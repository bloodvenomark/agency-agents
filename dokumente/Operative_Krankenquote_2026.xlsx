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rankenquote Objekte" sheetId="1" state="visible" r:id="rId1"/>
    <sheet name="KQuote Mitarbeiter" sheetId="2" state="visible" r:id="rId2"/>
    <sheet name="Auswertung Objekte" sheetId="3" state="visible" r:id="rId3"/>
    <sheet name="Stundenauswertun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-#,##0;&quot;-&quot;"/>
    <numFmt numFmtId="165" formatCode="#,##0.0;-#,##0.0;&quot;-&quot;"/>
    <numFmt numFmtId="166" formatCode="0.0%;-0.0%;&quot;-&quot;"/>
    <numFmt numFmtId="167" formatCode="+0.0%;-0.0%;&quot;±0,0%&quot;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0000FF"/>
      <sz val="11"/>
    </font>
    <font>
      <name val="Arial"/>
      <sz val="10"/>
    </font>
    <font>
      <name val="Arial"/>
      <color rgb="00008000"/>
      <sz val="10"/>
    </font>
    <font>
      <name val="Arial"/>
      <b val="1"/>
      <color rgb="00008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right"/>
    </xf>
    <xf numFmtId="164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6" fillId="3" borderId="1" pivotButton="0" quotePrefix="0" xfId="0"/>
    <xf numFmtId="0" fontId="7" fillId="4" borderId="1" pivotButton="0" quotePrefix="0" xfId="0"/>
    <xf numFmtId="1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4" fillId="5" borderId="1" pivotButton="0" quotePrefix="0" xfId="0"/>
    <xf numFmtId="0" fontId="4" fillId="5" borderId="1" applyAlignment="1" pivotButton="0" quotePrefix="0" xfId="0">
      <alignment horizontal="center" vertical="center" wrapText="1"/>
    </xf>
    <xf numFmtId="2" fontId="4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center" vertical="center" wrapText="1"/>
    </xf>
    <xf numFmtId="0" fontId="7" fillId="5" borderId="1" pivotButton="0" quotePrefix="0" xfId="0"/>
    <xf numFmtId="0" fontId="4" fillId="6" borderId="1" pivotButton="0" quotePrefix="0" xfId="0"/>
    <xf numFmtId="0" fontId="7" fillId="6" borderId="1" pivotButton="0" quotePrefix="0" xfId="0"/>
    <xf numFmtId="0" fontId="3" fillId="2" borderId="1" pivotButton="0" quotePrefix="0" xfId="0"/>
    <xf numFmtId="2" fontId="3" fillId="2" borderId="1" applyAlignment="1" pivotButton="0" quotePrefix="0" xfId="0">
      <alignment horizontal="center" vertical="center" wrapText="1"/>
    </xf>
    <xf numFmtId="165" fontId="3" fillId="2" borderId="1" applyAlignment="1" pivotButton="0" quotePrefix="0" xfId="0">
      <alignment horizontal="center" vertical="center" wrapText="1"/>
    </xf>
    <xf numFmtId="164" fontId="3" fillId="2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4" fontId="8" fillId="0" borderId="1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7" fillId="0" borderId="1" pivotButton="0" quotePrefix="0" xfId="0"/>
    <xf numFmtId="166" fontId="5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5" fontId="4" fillId="0" borderId="1" applyAlignment="1" pivotButton="0" quotePrefix="0" xfId="0">
      <alignment horizontal="center" vertical="center" wrapText="1"/>
    </xf>
    <xf numFmtId="0" fontId="8" fillId="4" borderId="1" pivotButton="0" quotePrefix="0" xfId="0"/>
    <xf numFmtId="166" fontId="7" fillId="0" borderId="1" applyAlignment="1" pivotButton="0" quotePrefix="0" xfId="0">
      <alignment horizontal="center" vertical="center" wrapText="1"/>
    </xf>
    <xf numFmtId="167" fontId="7" fillId="0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4" fillId="0" borderId="0" pivotButton="0" quotePrefix="0" xfId="0"/>
    <xf numFmtId="166" fontId="8" fillId="0" borderId="1" applyAlignment="1" pivotButton="0" quotePrefix="0" xfId="0">
      <alignment horizontal="center" vertical="center" wrapText="1"/>
    </xf>
    <xf numFmtId="0" fontId="4" fillId="0" borderId="1" pivotButton="0" quotePrefix="0" xfId="0"/>
    <xf numFmtId="168" fontId="5" fillId="3" borderId="1" applyAlignment="1" pivotButton="0" quotePrefix="0" xfId="0">
      <alignment horizontal="center" vertical="center" wrapText="1"/>
    </xf>
    <xf numFmtId="0" fontId="9" fillId="4" borderId="1" pivotButton="0" quotePrefix="0" xfId="0"/>
    <xf numFmtId="2" fontId="5" fillId="3" borderId="1" applyAlignment="1" pivotButton="0" quotePrefix="0" xfId="0">
      <alignment horizontal="center" vertical="center" wrapText="1"/>
    </xf>
    <xf numFmtId="0" fontId="9" fillId="6" borderId="1" pivotButton="0" quotePrefix="0" xfId="0"/>
    <xf numFmtId="2" fontId="7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Krankenquote je Mitarbeiter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Mitarbeiter'!F3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'KQuote Mitarbeiter'!$B$4:$B$23</f>
            </numRef>
          </cat>
          <val>
            <numRef>
              <f>'KQuote Mitarbeiter'!$F$4:$F$23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Mitarbeiter'!K24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Mitarbeiter'!$J$25:$J$27</f>
            </numRef>
          </cat>
          <val>
            <numRef>
              <f>'KQuote Mitarbeiter'!$K$25:$K$27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Krankheitstage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Objekte'!D3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Objekte'!$D$4:$D$5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Mitarbeiter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Objekte'!$A$4:$A$5</f>
            </numRef>
          </cat>
          <val>
            <numRef>
              <f>'Auswertung Objekte'!$B$4:$B$5</f>
            </numRef>
          </val>
        </ser>
        <dLbls>
          <showVal val="1"/>
          <showCatName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Monatsquote je Objekt</a:t>
            </a:r>
          </a:p>
        </rich>
      </tx>
    </title>
    <plotArea>
      <lineChart>
        <grouping val="standard"/>
        <ser>
          <idx val="0"/>
          <order val="0"/>
          <tx>
            <strRef>
              <f>'Auswertung Objekte'!B10</f>
            </strRef>
          </tx>
          <spPr>
            <a:ln w="22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Objekte'!$B$11:$B$22</f>
            </numRef>
          </val>
        </ser>
        <ser>
          <idx val="1"/>
          <order val="1"/>
          <tx>
            <strRef>
              <f>'Auswertung Objekte'!C10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Objekte'!$C$11:$C$22</f>
            </numRef>
          </val>
        </ser>
        <ser>
          <idx val="2"/>
          <order val="2"/>
          <tx>
            <strRef>
              <f>'Auswertung Objekte'!D10</f>
            </strRef>
          </tx>
          <spPr>
            <a:ln w="22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'Auswertung Objekte'!$A$11:$A$22</f>
            </numRef>
          </cat>
          <val>
            <numRef>
              <f>'Auswertung Objekte'!$D$11:$D$22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Quote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Krankheitsstunden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'Stundenauswertung'!C38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'Stundenauswertung'!$A$39:$A$40</f>
            </numRef>
          </cat>
          <val>
            <numRef>
              <f>'Stundenauswertung'!$C$39:$C$40</f>
            </numRef>
          </val>
        </ser>
        <dLbls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'Stundenauswertung'!B45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'Stundenauswertung'!$A$46:$A$57</f>
            </numRef>
          </cat>
          <val>
            <numRef>
              <f>'Stundenauswertung'!$B$46:$B$57</f>
            </numRef>
          </val>
        </ser>
        <ser>
          <idx val="1"/>
          <order val="1"/>
          <tx>
            <strRef>
              <f>'Stundenauswertung'!C45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'Stundenauswertung'!$A$46:$A$57</f>
            </numRef>
          </cat>
          <val>
            <numRef>
              <f>'Stundenauswertung'!$C$46:$C$57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Stunden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F4" authorId="0" shapeId="0">
      <text>
        <t>Arbeitstage 2026 (Mo–Fr abzgl. bundesweiter Feiertage) als Richtwert – bitte an Bundesland/Schichtmodell anpassen.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K4" authorId="0" shapeId="0">
      <text>
        <t>Schwellwerte frei wählbar (Richtwert: Bundesdurchschnitt liegt je nach Branche bei ca. 5–7 %).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C3" authorId="0" shapeId="0">
      <text>
        <t>Annahme 40 Std./Woche (5-Tage-Woche) – bitte an Tarif/Arbeitsvertrag anpassen.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27</row>
      <rowOff>0</rowOff>
    </from>
    <ext cx="36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43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24</row>
      <rowOff>0</rowOff>
    </from>
    <ext cx="576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36</row>
      <rowOff>0</rowOff>
    </from>
    <ext cx="43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576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8" customWidth="1" min="4" max="4"/>
    <col width="10" customWidth="1" min="5" max="5"/>
    <col width="6.5" customWidth="1" min="6" max="6"/>
    <col width="6.5" customWidth="1" min="7" max="7"/>
    <col width="6.5" customWidth="1" min="8" max="8"/>
    <col width="6.5" customWidth="1" min="9" max="9"/>
    <col width="6.5" customWidth="1" min="10" max="10"/>
    <col width="6.5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9" customWidth="1" min="18" max="18"/>
    <col width="9" customWidth="1" min="19" max="19"/>
    <col width="8" customWidth="1" min="20" max="20"/>
  </cols>
  <sheetData>
    <row r="1">
      <c r="A1" s="1" t="inlineStr">
        <is>
          <t>Operative Krankenquote 2026 – sortiert nach Objekt</t>
        </is>
      </c>
    </row>
    <row r="2">
      <c r="A2" s="2" t="inlineStr">
        <is>
          <t>Eingabe: blaue Schrift / gelbe Felder (Objektnamen, Arbeitstage je Monat, Mitarbeiter, Beschäftigungsgrad, Krankheitstage). Alle übrigen Werte werden berechnet. Beispieldaten bitte überschreiben.</t>
        </is>
      </c>
    </row>
    <row r="4">
      <c r="E4" s="3" t="inlineStr">
        <is>
          <t>Arbeitstage/Monat →</t>
        </is>
      </c>
      <c r="F4" s="4" t="n">
        <v>21</v>
      </c>
      <c r="G4" s="4" t="n">
        <v>20</v>
      </c>
      <c r="H4" s="4" t="n">
        <v>22</v>
      </c>
      <c r="I4" s="4" t="n">
        <v>20</v>
      </c>
      <c r="J4" s="4" t="n">
        <v>18</v>
      </c>
      <c r="K4" s="4" t="n">
        <v>21</v>
      </c>
      <c r="L4" s="4" t="n">
        <v>23</v>
      </c>
      <c r="M4" s="4" t="n">
        <v>21</v>
      </c>
      <c r="N4" s="4" t="n">
        <v>22</v>
      </c>
      <c r="O4" s="4" t="n">
        <v>21</v>
      </c>
      <c r="P4" s="4" t="n">
        <v>21</v>
      </c>
      <c r="Q4" s="4" t="n">
        <v>20</v>
      </c>
      <c r="R4" s="5">
        <f>SUM(F4:Q4)</f>
        <v/>
      </c>
    </row>
    <row r="5" ht="30" customHeight="1">
      <c r="A5" s="6" t="inlineStr">
        <is>
          <t>Pers.-Nr.</t>
        </is>
      </c>
      <c r="B5" s="6" t="inlineStr">
        <is>
          <t>Name</t>
        </is>
      </c>
      <c r="C5" s="6" t="inlineStr">
        <is>
          <t>Objekt</t>
        </is>
      </c>
      <c r="D5" s="6" t="inlineStr">
        <is>
          <t>Besch.-
grad</t>
        </is>
      </c>
      <c r="E5" s="6" t="inlineStr">
        <is>
          <t>Soll-
Arbeitstage</t>
        </is>
      </c>
      <c r="F5" s="6" t="inlineStr">
        <is>
          <t>Jan</t>
        </is>
      </c>
      <c r="G5" s="6" t="inlineStr">
        <is>
          <t>Feb</t>
        </is>
      </c>
      <c r="H5" s="6" t="inlineStr">
        <is>
          <t>Mär</t>
        </is>
      </c>
      <c r="I5" s="6" t="inlineStr">
        <is>
          <t>Apr</t>
        </is>
      </c>
      <c r="J5" s="6" t="inlineStr">
        <is>
          <t>Mai</t>
        </is>
      </c>
      <c r="K5" s="6" t="inlineStr">
        <is>
          <t>Jun</t>
        </is>
      </c>
      <c r="L5" s="6" t="inlineStr">
        <is>
          <t>Jul</t>
        </is>
      </c>
      <c r="M5" s="6" t="inlineStr">
        <is>
          <t>Aug</t>
        </is>
      </c>
      <c r="N5" s="6" t="inlineStr">
        <is>
          <t>Sep</t>
        </is>
      </c>
      <c r="O5" s="6" t="inlineStr">
        <is>
          <t>Okt</t>
        </is>
      </c>
      <c r="P5" s="6" t="inlineStr">
        <is>
          <t>Nov</t>
        </is>
      </c>
      <c r="Q5" s="6" t="inlineStr">
        <is>
          <t>Dez</t>
        </is>
      </c>
      <c r="R5" s="6" t="inlineStr">
        <is>
          <t>Krank-
tage ges.</t>
        </is>
      </c>
      <c r="S5" s="6" t="inlineStr">
        <is>
          <t>Kranken-
quote</t>
        </is>
      </c>
      <c r="T5" s="6" t="inlineStr">
        <is>
          <t>Krank-
monate</t>
        </is>
      </c>
    </row>
    <row r="6">
      <c r="A6" s="7" t="inlineStr">
        <is>
          <t>Objekt:</t>
        </is>
      </c>
      <c r="B6" s="8" t="inlineStr">
        <is>
          <t>Objekt 1</t>
        </is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</row>
    <row r="7">
      <c r="A7" s="10" t="n">
        <v>1001</v>
      </c>
      <c r="B7" s="11" t="inlineStr">
        <is>
          <t>Mitarbeiter 01</t>
        </is>
      </c>
      <c r="C7" s="12">
        <f>$B$6</f>
        <v/>
      </c>
      <c r="D7" s="13" t="n">
        <v>1</v>
      </c>
      <c r="E7" s="14">
        <f>$R$4*D7</f>
        <v/>
      </c>
      <c r="F7" s="15" t="n">
        <v>0</v>
      </c>
      <c r="G7" s="15" t="n">
        <v>0</v>
      </c>
      <c r="H7" s="15" t="n">
        <v>2</v>
      </c>
      <c r="I7" s="15" t="n">
        <v>3</v>
      </c>
      <c r="J7" s="15" t="n">
        <v>2</v>
      </c>
      <c r="K7" s="15" t="n">
        <v>0</v>
      </c>
      <c r="L7" s="15" t="n">
        <v>0</v>
      </c>
      <c r="M7" s="15" t="n">
        <v>2</v>
      </c>
      <c r="N7" s="15" t="n">
        <v>3</v>
      </c>
      <c r="O7" s="15" t="n">
        <v>0</v>
      </c>
      <c r="P7" s="15" t="n">
        <v>3</v>
      </c>
      <c r="Q7" s="15" t="n">
        <v>3</v>
      </c>
      <c r="R7" s="5">
        <f>SUM(F7:Q7)</f>
        <v/>
      </c>
      <c r="S7" s="16">
        <f>IF(E7&gt;0,R7/E7,0)</f>
        <v/>
      </c>
      <c r="T7" s="17">
        <f>COUNTIF(F7:Q7,"&gt;0")</f>
        <v/>
      </c>
    </row>
    <row r="8">
      <c r="A8" s="10" t="n">
        <v>1002</v>
      </c>
      <c r="B8" s="11" t="inlineStr">
        <is>
          <t>Mitarbeiter 02</t>
        </is>
      </c>
      <c r="C8" s="12">
        <f>$B$6</f>
        <v/>
      </c>
      <c r="D8" s="13" t="n">
        <v>1</v>
      </c>
      <c r="E8" s="14">
        <f>$R$4*D8</f>
        <v/>
      </c>
      <c r="F8" s="15" t="n">
        <v>0</v>
      </c>
      <c r="G8" s="15" t="n">
        <v>0</v>
      </c>
      <c r="H8" s="15" t="n">
        <v>0</v>
      </c>
      <c r="I8" s="15" t="n">
        <v>3</v>
      </c>
      <c r="J8" s="15" t="n">
        <v>5</v>
      </c>
      <c r="K8" s="15" t="n">
        <v>3</v>
      </c>
      <c r="L8" s="15" t="n">
        <v>0</v>
      </c>
      <c r="M8" s="15" t="n">
        <v>2</v>
      </c>
      <c r="N8" s="15" t="n">
        <v>3</v>
      </c>
      <c r="O8" s="15" t="n">
        <v>0</v>
      </c>
      <c r="P8" s="15" t="n">
        <v>2</v>
      </c>
      <c r="Q8" s="15" t="n">
        <v>0</v>
      </c>
      <c r="R8" s="5">
        <f>SUM(F8:Q8)</f>
        <v/>
      </c>
      <c r="S8" s="16">
        <f>IF(E8&gt;0,R8/E8,0)</f>
        <v/>
      </c>
      <c r="T8" s="17">
        <f>COUNTIF(F8:Q8,"&gt;0")</f>
        <v/>
      </c>
    </row>
    <row r="9">
      <c r="A9" s="10" t="n">
        <v>1003</v>
      </c>
      <c r="B9" s="11" t="inlineStr">
        <is>
          <t>Mitarbeiter 03</t>
        </is>
      </c>
      <c r="C9" s="12">
        <f>$B$6</f>
        <v/>
      </c>
      <c r="D9" s="13" t="n">
        <v>1</v>
      </c>
      <c r="E9" s="14">
        <f>$R$4*D9</f>
        <v/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5" t="n">
        <v>0</v>
      </c>
      <c r="M9" s="15" t="n">
        <v>0</v>
      </c>
      <c r="N9" s="15" t="n">
        <v>0</v>
      </c>
      <c r="O9" s="15" t="n">
        <v>1</v>
      </c>
      <c r="P9" s="15" t="n">
        <v>5</v>
      </c>
      <c r="Q9" s="15" t="n">
        <v>2</v>
      </c>
      <c r="R9" s="5">
        <f>SUM(F9:Q9)</f>
        <v/>
      </c>
      <c r="S9" s="16">
        <f>IF(E9&gt;0,R9/E9,0)</f>
        <v/>
      </c>
      <c r="T9" s="17">
        <f>COUNTIF(F9:Q9,"&gt;0")</f>
        <v/>
      </c>
    </row>
    <row r="10">
      <c r="A10" s="10" t="n">
        <v>1004</v>
      </c>
      <c r="B10" s="11" t="inlineStr">
        <is>
          <t>Mitarbeiter 04</t>
        </is>
      </c>
      <c r="C10" s="12">
        <f>$B$6</f>
        <v/>
      </c>
      <c r="D10" s="13" t="n">
        <v>1</v>
      </c>
      <c r="E10" s="14">
        <f>$R$4*D10</f>
        <v/>
      </c>
      <c r="F10" s="15" t="n">
        <v>0</v>
      </c>
      <c r="G10" s="15" t="n">
        <v>3</v>
      </c>
      <c r="H10" s="15" t="n">
        <v>1</v>
      </c>
      <c r="I10" s="15" t="n">
        <v>0</v>
      </c>
      <c r="J10" s="15" t="n">
        <v>1</v>
      </c>
      <c r="K10" s="15" t="n">
        <v>0</v>
      </c>
      <c r="L10" s="15" t="n">
        <v>0</v>
      </c>
      <c r="M10" s="15" t="n">
        <v>5</v>
      </c>
      <c r="N10" s="15" t="n">
        <v>0</v>
      </c>
      <c r="O10" s="15" t="n">
        <v>5</v>
      </c>
      <c r="P10" s="15" t="n">
        <v>1</v>
      </c>
      <c r="Q10" s="15" t="n">
        <v>3</v>
      </c>
      <c r="R10" s="5">
        <f>SUM(F10:Q10)</f>
        <v/>
      </c>
      <c r="S10" s="16">
        <f>IF(E10&gt;0,R10/E10,0)</f>
        <v/>
      </c>
      <c r="T10" s="17">
        <f>COUNTIF(F10:Q10,"&gt;0")</f>
        <v/>
      </c>
    </row>
    <row r="11">
      <c r="A11" s="10" t="n">
        <v>1005</v>
      </c>
      <c r="B11" s="11" t="inlineStr">
        <is>
          <t>Mitarbeiter 05</t>
        </is>
      </c>
      <c r="C11" s="12">
        <f>$B$6</f>
        <v/>
      </c>
      <c r="D11" s="13" t="n">
        <v>1</v>
      </c>
      <c r="E11" s="14">
        <f>$R$4*D11</f>
        <v/>
      </c>
      <c r="F11" s="15" t="n">
        <v>0</v>
      </c>
      <c r="G11" s="15" t="n">
        <v>0</v>
      </c>
      <c r="H11" s="15" t="n">
        <v>0</v>
      </c>
      <c r="I11" s="15" t="n">
        <v>1</v>
      </c>
      <c r="J11" s="15" t="n">
        <v>1</v>
      </c>
      <c r="K11" s="15" t="n">
        <v>0</v>
      </c>
      <c r="L11" s="15" t="n">
        <v>0</v>
      </c>
      <c r="M11" s="15" t="n">
        <v>0</v>
      </c>
      <c r="N11" s="15" t="n">
        <v>0</v>
      </c>
      <c r="O11" s="15" t="n">
        <v>0</v>
      </c>
      <c r="P11" s="15" t="n">
        <v>0</v>
      </c>
      <c r="Q11" s="15" t="n">
        <v>0</v>
      </c>
      <c r="R11" s="5">
        <f>SUM(F11:Q11)</f>
        <v/>
      </c>
      <c r="S11" s="16">
        <f>IF(E11&gt;0,R11/E11,0)</f>
        <v/>
      </c>
      <c r="T11" s="17">
        <f>COUNTIF(F11:Q11,"&gt;0")</f>
        <v/>
      </c>
    </row>
    <row r="12">
      <c r="A12" s="10" t="n">
        <v>1006</v>
      </c>
      <c r="B12" s="11" t="inlineStr">
        <is>
          <t>Mitarbeiter 06</t>
        </is>
      </c>
      <c r="C12" s="12">
        <f>$B$6</f>
        <v/>
      </c>
      <c r="D12" s="13" t="n">
        <v>1</v>
      </c>
      <c r="E12" s="14">
        <f>$R$4*D12</f>
        <v/>
      </c>
      <c r="F12" s="15" t="n">
        <v>0</v>
      </c>
      <c r="G12" s="15" t="n">
        <v>3</v>
      </c>
      <c r="H12" s="15" t="n">
        <v>0</v>
      </c>
      <c r="I12" s="15" t="n">
        <v>0</v>
      </c>
      <c r="J12" s="15" t="n">
        <v>3</v>
      </c>
      <c r="K12" s="15" t="n">
        <v>0</v>
      </c>
      <c r="L12" s="15" t="n">
        <v>2</v>
      </c>
      <c r="M12" s="15" t="n">
        <v>5</v>
      </c>
      <c r="N12" s="15" t="n">
        <v>0</v>
      </c>
      <c r="O12" s="15" t="n">
        <v>5</v>
      </c>
      <c r="P12" s="15" t="n">
        <v>0</v>
      </c>
      <c r="Q12" s="15" t="n">
        <v>0</v>
      </c>
      <c r="R12" s="5">
        <f>SUM(F12:Q12)</f>
        <v/>
      </c>
      <c r="S12" s="16">
        <f>IF(E12&gt;0,R12/E12,0)</f>
        <v/>
      </c>
      <c r="T12" s="17">
        <f>COUNTIF(F12:Q12,"&gt;0")</f>
        <v/>
      </c>
    </row>
    <row r="13">
      <c r="A13" s="10" t="n">
        <v>1007</v>
      </c>
      <c r="B13" s="11" t="inlineStr">
        <is>
          <t>Mitarbeiter 07</t>
        </is>
      </c>
      <c r="C13" s="12">
        <f>$B$6</f>
        <v/>
      </c>
      <c r="D13" s="13" t="n">
        <v>0.5</v>
      </c>
      <c r="E13" s="14">
        <f>$R$4*D13</f>
        <v/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3</v>
      </c>
      <c r="O13" s="15" t="n">
        <v>5</v>
      </c>
      <c r="P13" s="15" t="n">
        <v>0</v>
      </c>
      <c r="Q13" s="15" t="n">
        <v>1</v>
      </c>
      <c r="R13" s="5">
        <f>SUM(F13:Q13)</f>
        <v/>
      </c>
      <c r="S13" s="16">
        <f>IF(E13&gt;0,R13/E13,0)</f>
        <v/>
      </c>
      <c r="T13" s="17">
        <f>COUNTIF(F13:Q13,"&gt;0")</f>
        <v/>
      </c>
    </row>
    <row r="14">
      <c r="A14" s="10" t="n">
        <v>1008</v>
      </c>
      <c r="B14" s="11" t="inlineStr">
        <is>
          <t>Mitarbeiter 08</t>
        </is>
      </c>
      <c r="C14" s="12">
        <f>$B$6</f>
        <v/>
      </c>
      <c r="D14" s="13" t="n">
        <v>1</v>
      </c>
      <c r="E14" s="14">
        <f>$R$4*D14</f>
        <v/>
      </c>
      <c r="F14" s="15" t="n">
        <v>1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5" t="n">
        <v>2</v>
      </c>
      <c r="M14" s="15" t="n">
        <v>2</v>
      </c>
      <c r="N14" s="15" t="n">
        <v>2</v>
      </c>
      <c r="O14" s="15" t="n">
        <v>5</v>
      </c>
      <c r="P14" s="15" t="n">
        <v>0</v>
      </c>
      <c r="Q14" s="15" t="n">
        <v>0</v>
      </c>
      <c r="R14" s="5">
        <f>SUM(F14:Q14)</f>
        <v/>
      </c>
      <c r="S14" s="16">
        <f>IF(E14&gt;0,R14/E14,0)</f>
        <v/>
      </c>
      <c r="T14" s="17">
        <f>COUNTIF(F14:Q14,"&gt;0")</f>
        <v/>
      </c>
    </row>
    <row r="15">
      <c r="A15" s="10" t="n">
        <v>1009</v>
      </c>
      <c r="B15" s="11" t="inlineStr">
        <is>
          <t>Mitarbeiter 09</t>
        </is>
      </c>
      <c r="C15" s="12">
        <f>$B$6</f>
        <v/>
      </c>
      <c r="D15" s="13" t="n">
        <v>1</v>
      </c>
      <c r="E15" s="14">
        <f>$R$4*D15</f>
        <v/>
      </c>
      <c r="F15" s="15" t="n">
        <v>2</v>
      </c>
      <c r="G15" s="15" t="n">
        <v>2</v>
      </c>
      <c r="H15" s="15" t="n">
        <v>0</v>
      </c>
      <c r="I15" s="15" t="n">
        <v>0</v>
      </c>
      <c r="J15" s="15" t="n">
        <v>0</v>
      </c>
      <c r="K15" s="15" t="n">
        <v>0</v>
      </c>
      <c r="L15" s="15" t="n">
        <v>1</v>
      </c>
      <c r="M15" s="15" t="n">
        <v>0</v>
      </c>
      <c r="N15" s="15" t="n">
        <v>0</v>
      </c>
      <c r="O15" s="15" t="n">
        <v>0</v>
      </c>
      <c r="P15" s="15" t="n">
        <v>0</v>
      </c>
      <c r="Q15" s="15" t="n">
        <v>0</v>
      </c>
      <c r="R15" s="5">
        <f>SUM(F15:Q15)</f>
        <v/>
      </c>
      <c r="S15" s="16">
        <f>IF(E15&gt;0,R15/E15,0)</f>
        <v/>
      </c>
      <c r="T15" s="17">
        <f>COUNTIF(F15:Q15,"&gt;0")</f>
        <v/>
      </c>
    </row>
    <row r="16">
      <c r="A16" s="10" t="n">
        <v>1010</v>
      </c>
      <c r="B16" s="11" t="inlineStr">
        <is>
          <t>Mitarbeiter 10</t>
        </is>
      </c>
      <c r="C16" s="12">
        <f>$B$6</f>
        <v/>
      </c>
      <c r="D16" s="13" t="n">
        <v>1</v>
      </c>
      <c r="E16" s="14">
        <f>$R$4*D16</f>
        <v/>
      </c>
      <c r="F16" s="15" t="n">
        <v>0</v>
      </c>
      <c r="G16" s="15" t="n">
        <v>0</v>
      </c>
      <c r="H16" s="15" t="n">
        <v>0</v>
      </c>
      <c r="I16" s="15" t="n">
        <v>3</v>
      </c>
      <c r="J16" s="15" t="n">
        <v>3</v>
      </c>
      <c r="K16" s="15" t="n">
        <v>1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</v>
      </c>
      <c r="Q16" s="15" t="n">
        <v>5</v>
      </c>
      <c r="R16" s="5">
        <f>SUM(F16:Q16)</f>
        <v/>
      </c>
      <c r="S16" s="16">
        <f>IF(E16&gt;0,R16/E16,0)</f>
        <v/>
      </c>
      <c r="T16" s="17">
        <f>COUNTIF(F16:Q16,"&gt;0")</f>
        <v/>
      </c>
    </row>
    <row r="17">
      <c r="A17" s="18" t="n"/>
      <c r="B17" s="18">
        <f>"Summe "&amp;$B$6</f>
        <v/>
      </c>
      <c r="C17" s="19">
        <f>COUNTA(B7:B16)&amp;" MA"</f>
        <v/>
      </c>
      <c r="D17" s="20">
        <f>SUM(D7:D16)</f>
        <v/>
      </c>
      <c r="E17" s="21">
        <f>SUM(E7:E16)</f>
        <v/>
      </c>
      <c r="F17" s="22">
        <f>SUM(F7:F16)</f>
        <v/>
      </c>
      <c r="G17" s="22">
        <f>SUM(G7:G16)</f>
        <v/>
      </c>
      <c r="H17" s="22">
        <f>SUM(H7:H16)</f>
        <v/>
      </c>
      <c r="I17" s="22">
        <f>SUM(I7:I16)</f>
        <v/>
      </c>
      <c r="J17" s="22">
        <f>SUM(J7:J16)</f>
        <v/>
      </c>
      <c r="K17" s="22">
        <f>SUM(K7:K16)</f>
        <v/>
      </c>
      <c r="L17" s="22">
        <f>SUM(L7:L16)</f>
        <v/>
      </c>
      <c r="M17" s="22">
        <f>SUM(M7:M16)</f>
        <v/>
      </c>
      <c r="N17" s="22">
        <f>SUM(N7:N16)</f>
        <v/>
      </c>
      <c r="O17" s="22">
        <f>SUM(O7:O16)</f>
        <v/>
      </c>
      <c r="P17" s="22">
        <f>SUM(P7:P16)</f>
        <v/>
      </c>
      <c r="Q17" s="22">
        <f>SUM(Q7:Q16)</f>
        <v/>
      </c>
      <c r="R17" s="22">
        <f>SUM(R7:R16)</f>
        <v/>
      </c>
      <c r="S17" s="23">
        <f>IF(E17&gt;0,R17/E17,0)</f>
        <v/>
      </c>
      <c r="T17" s="22">
        <f>SUM(T7:T16)</f>
        <v/>
      </c>
    </row>
    <row r="18">
      <c r="A18" s="24" t="n"/>
      <c r="B18" s="18" t="inlineStr">
        <is>
          <t>Monatsquote</t>
        </is>
      </c>
      <c r="C18" s="24" t="n"/>
      <c r="D18" s="24" t="n"/>
      <c r="E18" s="24" t="n"/>
      <c r="F18" s="23">
        <f>IF(F$4*$D17&gt;0,F17/(F$4*$D17),0)</f>
        <v/>
      </c>
      <c r="G18" s="23">
        <f>IF(G$4*$D17&gt;0,G17/(G$4*$D17),0)</f>
        <v/>
      </c>
      <c r="H18" s="23">
        <f>IF(H$4*$D17&gt;0,H17/(H$4*$D17),0)</f>
        <v/>
      </c>
      <c r="I18" s="23">
        <f>IF(I$4*$D17&gt;0,I17/(I$4*$D17),0)</f>
        <v/>
      </c>
      <c r="J18" s="23">
        <f>IF(J$4*$D17&gt;0,J17/(J$4*$D17),0)</f>
        <v/>
      </c>
      <c r="K18" s="23">
        <f>IF(K$4*$D17&gt;0,K17/(K$4*$D17),0)</f>
        <v/>
      </c>
      <c r="L18" s="23">
        <f>IF(L$4*$D17&gt;0,L17/(L$4*$D17),0)</f>
        <v/>
      </c>
      <c r="M18" s="23">
        <f>IF(M$4*$D17&gt;0,M17/(M$4*$D17),0)</f>
        <v/>
      </c>
      <c r="N18" s="23">
        <f>IF(N$4*$D17&gt;0,N17/(N$4*$D17),0)</f>
        <v/>
      </c>
      <c r="O18" s="23">
        <f>IF(O$4*$D17&gt;0,O17/(O$4*$D17),0)</f>
        <v/>
      </c>
      <c r="P18" s="23">
        <f>IF(P$4*$D17&gt;0,P17/(P$4*$D17),0)</f>
        <v/>
      </c>
      <c r="Q18" s="23">
        <f>IF(Q$4*$D17&gt;0,Q17/(Q$4*$D17),0)</f>
        <v/>
      </c>
      <c r="R18" s="24" t="n"/>
      <c r="S18" s="24" t="n"/>
      <c r="T18" s="24" t="n"/>
    </row>
    <row r="20">
      <c r="A20" s="25" t="inlineStr">
        <is>
          <t>Objekt:</t>
        </is>
      </c>
      <c r="B20" s="8" t="inlineStr">
        <is>
          <t>Objekt 2</t>
        </is>
      </c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</row>
    <row r="21">
      <c r="A21" s="10" t="n">
        <v>1011</v>
      </c>
      <c r="B21" s="11" t="inlineStr">
        <is>
          <t>Mitarbeiter 11</t>
        </is>
      </c>
      <c r="C21" s="12">
        <f>$B$20</f>
        <v/>
      </c>
      <c r="D21" s="13" t="n">
        <v>0.5</v>
      </c>
      <c r="E21" s="14">
        <f>$R$4*D21</f>
        <v/>
      </c>
      <c r="F21" s="15" t="n">
        <v>0</v>
      </c>
      <c r="G21" s="15" t="n">
        <v>0</v>
      </c>
      <c r="H21" s="15" t="n">
        <v>0</v>
      </c>
      <c r="I21" s="15" t="n">
        <v>0</v>
      </c>
      <c r="J21" s="15" t="n">
        <v>1</v>
      </c>
      <c r="K21" s="15" t="n">
        <v>0</v>
      </c>
      <c r="L21" s="15" t="n">
        <v>3</v>
      </c>
      <c r="M21" s="15" t="n">
        <v>5</v>
      </c>
      <c r="N21" s="15" t="n">
        <v>0</v>
      </c>
      <c r="O21" s="15" t="n">
        <v>1</v>
      </c>
      <c r="P21" s="15" t="n">
        <v>6</v>
      </c>
      <c r="Q21" s="15" t="n">
        <v>0</v>
      </c>
      <c r="R21" s="5">
        <f>SUM(F21:Q21)</f>
        <v/>
      </c>
      <c r="S21" s="16">
        <f>IF(E21&gt;0,R21/E21,0)</f>
        <v/>
      </c>
      <c r="T21" s="17">
        <f>COUNTIF(F21:Q21,"&gt;0")</f>
        <v/>
      </c>
    </row>
    <row r="22">
      <c r="A22" s="10" t="n">
        <v>1012</v>
      </c>
      <c r="B22" s="11" t="inlineStr">
        <is>
          <t>Mitarbeiter 12</t>
        </is>
      </c>
      <c r="C22" s="12">
        <f>$B$20</f>
        <v/>
      </c>
      <c r="D22" s="13" t="n">
        <v>1</v>
      </c>
      <c r="E22" s="14">
        <f>$R$4*D22</f>
        <v/>
      </c>
      <c r="F22" s="15" t="n">
        <v>1</v>
      </c>
      <c r="G22" s="15" t="n">
        <v>0</v>
      </c>
      <c r="H22" s="15" t="n">
        <v>0</v>
      </c>
      <c r="I22" s="15" t="n">
        <v>0</v>
      </c>
      <c r="J22" s="15" t="n">
        <v>0</v>
      </c>
      <c r="K22" s="15" t="n">
        <v>0</v>
      </c>
      <c r="L22" s="15" t="n">
        <v>0</v>
      </c>
      <c r="M22" s="15" t="n">
        <v>5</v>
      </c>
      <c r="N22" s="15" t="n">
        <v>2</v>
      </c>
      <c r="O22" s="15" t="n">
        <v>3</v>
      </c>
      <c r="P22" s="15" t="n">
        <v>0</v>
      </c>
      <c r="Q22" s="15" t="n">
        <v>0</v>
      </c>
      <c r="R22" s="5">
        <f>SUM(F22:Q22)</f>
        <v/>
      </c>
      <c r="S22" s="16">
        <f>IF(E22&gt;0,R22/E22,0)</f>
        <v/>
      </c>
      <c r="T22" s="17">
        <f>COUNTIF(F22:Q22,"&gt;0")</f>
        <v/>
      </c>
    </row>
    <row r="23">
      <c r="A23" s="10" t="n">
        <v>1013</v>
      </c>
      <c r="B23" s="11" t="inlineStr">
        <is>
          <t>Mitarbeiter 13</t>
        </is>
      </c>
      <c r="C23" s="12">
        <f>$B$20</f>
        <v/>
      </c>
      <c r="D23" s="13" t="n">
        <v>1</v>
      </c>
      <c r="E23" s="14">
        <f>$R$4*D23</f>
        <v/>
      </c>
      <c r="F23" s="15" t="n">
        <v>4</v>
      </c>
      <c r="G23" s="15" t="n">
        <v>0</v>
      </c>
      <c r="H23" s="15" t="n">
        <v>1</v>
      </c>
      <c r="I23" s="15" t="n">
        <v>0</v>
      </c>
      <c r="J23" s="15" t="n">
        <v>0</v>
      </c>
      <c r="K23" s="15" t="n">
        <v>2</v>
      </c>
      <c r="L23" s="15" t="n">
        <v>0</v>
      </c>
      <c r="M23" s="15" t="n">
        <v>0</v>
      </c>
      <c r="N23" s="15" t="n">
        <v>1</v>
      </c>
      <c r="O23" s="15" t="n">
        <v>0</v>
      </c>
      <c r="P23" s="15" t="n">
        <v>3</v>
      </c>
      <c r="Q23" s="15" t="n">
        <v>0</v>
      </c>
      <c r="R23" s="5">
        <f>SUM(F23:Q23)</f>
        <v/>
      </c>
      <c r="S23" s="16">
        <f>IF(E23&gt;0,R23/E23,0)</f>
        <v/>
      </c>
      <c r="T23" s="17">
        <f>COUNTIF(F23:Q23,"&gt;0")</f>
        <v/>
      </c>
    </row>
    <row r="24">
      <c r="A24" s="10" t="n">
        <v>1014</v>
      </c>
      <c r="B24" s="11" t="inlineStr">
        <is>
          <t>Mitarbeiter 14</t>
        </is>
      </c>
      <c r="C24" s="12">
        <f>$B$20</f>
        <v/>
      </c>
      <c r="D24" s="13" t="n">
        <v>0.75</v>
      </c>
      <c r="E24" s="14">
        <f>$R$4*D24</f>
        <v/>
      </c>
      <c r="F24" s="15" t="n">
        <v>2</v>
      </c>
      <c r="G24" s="15" t="n">
        <v>0</v>
      </c>
      <c r="H24" s="15" t="n">
        <v>1</v>
      </c>
      <c r="I24" s="15" t="n">
        <v>1</v>
      </c>
      <c r="J24" s="15" t="n">
        <v>0</v>
      </c>
      <c r="K24" s="15" t="n">
        <v>0</v>
      </c>
      <c r="L24" s="15" t="n">
        <v>0</v>
      </c>
      <c r="M24" s="15" t="n">
        <v>0</v>
      </c>
      <c r="N24" s="15" t="n">
        <v>0</v>
      </c>
      <c r="O24" s="15" t="n">
        <v>0</v>
      </c>
      <c r="P24" s="15" t="n">
        <v>1</v>
      </c>
      <c r="Q24" s="15" t="n">
        <v>5</v>
      </c>
      <c r="R24" s="5">
        <f>SUM(F24:Q24)</f>
        <v/>
      </c>
      <c r="S24" s="16">
        <f>IF(E24&gt;0,R24/E24,0)</f>
        <v/>
      </c>
      <c r="T24" s="17">
        <f>COUNTIF(F24:Q24,"&gt;0")</f>
        <v/>
      </c>
    </row>
    <row r="25">
      <c r="A25" s="10" t="n">
        <v>1015</v>
      </c>
      <c r="B25" s="11" t="inlineStr">
        <is>
          <t>Mitarbeiter 15</t>
        </is>
      </c>
      <c r="C25" s="12">
        <f>$B$20</f>
        <v/>
      </c>
      <c r="D25" s="13" t="n">
        <v>1</v>
      </c>
      <c r="E25" s="14">
        <f>$R$4*D25</f>
        <v/>
      </c>
      <c r="F25" s="15" t="n">
        <v>0</v>
      </c>
      <c r="G25" s="15" t="n">
        <v>5</v>
      </c>
      <c r="H25" s="15" t="n">
        <v>0</v>
      </c>
      <c r="I25" s="15" t="n">
        <v>0</v>
      </c>
      <c r="J25" s="15" t="n">
        <v>0</v>
      </c>
      <c r="K25" s="15" t="n">
        <v>0</v>
      </c>
      <c r="L25" s="15" t="n">
        <v>1</v>
      </c>
      <c r="M25" s="15" t="n">
        <v>5</v>
      </c>
      <c r="N25" s="15" t="n">
        <v>0</v>
      </c>
      <c r="O25" s="15" t="n">
        <v>2</v>
      </c>
      <c r="P25" s="15" t="n">
        <v>0</v>
      </c>
      <c r="Q25" s="15" t="n">
        <v>1</v>
      </c>
      <c r="R25" s="5">
        <f>SUM(F25:Q25)</f>
        <v/>
      </c>
      <c r="S25" s="16">
        <f>IF(E25&gt;0,R25/E25,0)</f>
        <v/>
      </c>
      <c r="T25" s="17">
        <f>COUNTIF(F25:Q25,"&gt;0")</f>
        <v/>
      </c>
    </row>
    <row r="26">
      <c r="A26" s="10" t="n">
        <v>1016</v>
      </c>
      <c r="B26" s="11" t="inlineStr">
        <is>
          <t>Mitarbeiter 16</t>
        </is>
      </c>
      <c r="C26" s="12">
        <f>$B$20</f>
        <v/>
      </c>
      <c r="D26" s="13" t="n">
        <v>1</v>
      </c>
      <c r="E26" s="14">
        <f>$R$4*D26</f>
        <v/>
      </c>
      <c r="F26" s="15" t="n">
        <v>0</v>
      </c>
      <c r="G26" s="15" t="n">
        <v>1</v>
      </c>
      <c r="H26" s="15" t="n">
        <v>0</v>
      </c>
      <c r="I26" s="15" t="n">
        <v>2</v>
      </c>
      <c r="J26" s="15" t="n">
        <v>2</v>
      </c>
      <c r="K26" s="15" t="n">
        <v>0</v>
      </c>
      <c r="L26" s="15" t="n">
        <v>0</v>
      </c>
      <c r="M26" s="15" t="n">
        <v>1</v>
      </c>
      <c r="N26" s="15" t="n">
        <v>1</v>
      </c>
      <c r="O26" s="15" t="n">
        <v>0</v>
      </c>
      <c r="P26" s="15" t="n">
        <v>0</v>
      </c>
      <c r="Q26" s="15" t="n">
        <v>5</v>
      </c>
      <c r="R26" s="5">
        <f>SUM(F26:Q26)</f>
        <v/>
      </c>
      <c r="S26" s="16">
        <f>IF(E26&gt;0,R26/E26,0)</f>
        <v/>
      </c>
      <c r="T26" s="17">
        <f>COUNTIF(F26:Q26,"&gt;0")</f>
        <v/>
      </c>
    </row>
    <row r="27">
      <c r="A27" s="10" t="n">
        <v>1017</v>
      </c>
      <c r="B27" s="11" t="inlineStr">
        <is>
          <t>Mitarbeiter 17</t>
        </is>
      </c>
      <c r="C27" s="12">
        <f>$B$20</f>
        <v/>
      </c>
      <c r="D27" s="13" t="n">
        <v>1</v>
      </c>
      <c r="E27" s="14">
        <f>$R$4*D27</f>
        <v/>
      </c>
      <c r="F27" s="15" t="n">
        <v>1</v>
      </c>
      <c r="G27" s="15" t="n">
        <v>2</v>
      </c>
      <c r="H27" s="15" t="n">
        <v>1</v>
      </c>
      <c r="I27" s="15" t="n">
        <v>0</v>
      </c>
      <c r="J27" s="15" t="n">
        <v>0</v>
      </c>
      <c r="K27" s="15" t="n">
        <v>0</v>
      </c>
      <c r="L27" s="15" t="n">
        <v>0</v>
      </c>
      <c r="M27" s="15" t="n">
        <v>1</v>
      </c>
      <c r="N27" s="15" t="n">
        <v>1</v>
      </c>
      <c r="O27" s="15" t="n">
        <v>0</v>
      </c>
      <c r="P27" s="15" t="n">
        <v>0</v>
      </c>
      <c r="Q27" s="15" t="n">
        <v>0</v>
      </c>
      <c r="R27" s="5">
        <f>SUM(F27:Q27)</f>
        <v/>
      </c>
      <c r="S27" s="16">
        <f>IF(E27&gt;0,R27/E27,0)</f>
        <v/>
      </c>
      <c r="T27" s="17">
        <f>COUNTIF(F27:Q27,"&gt;0")</f>
        <v/>
      </c>
    </row>
    <row r="28">
      <c r="A28" s="10" t="n">
        <v>1018</v>
      </c>
      <c r="B28" s="11" t="inlineStr">
        <is>
          <t>Mitarbeiter 18</t>
        </is>
      </c>
      <c r="C28" s="12">
        <f>$B$20</f>
        <v/>
      </c>
      <c r="D28" s="13" t="n">
        <v>1</v>
      </c>
      <c r="E28" s="14">
        <f>$R$4*D28</f>
        <v/>
      </c>
      <c r="F28" s="15" t="n">
        <v>4</v>
      </c>
      <c r="G28" s="15" t="n">
        <v>2</v>
      </c>
      <c r="H28" s="15" t="n">
        <v>0</v>
      </c>
      <c r="I28" s="15" t="n">
        <v>1</v>
      </c>
      <c r="J28" s="15" t="n">
        <v>0</v>
      </c>
      <c r="K28" s="15" t="n">
        <v>5</v>
      </c>
      <c r="L28" s="15" t="n">
        <v>0</v>
      </c>
      <c r="M28" s="15" t="n">
        <v>2</v>
      </c>
      <c r="N28" s="15" t="n">
        <v>0</v>
      </c>
      <c r="O28" s="15" t="n">
        <v>0</v>
      </c>
      <c r="P28" s="15" t="n">
        <v>1</v>
      </c>
      <c r="Q28" s="15" t="n">
        <v>2</v>
      </c>
      <c r="R28" s="5">
        <f>SUM(F28:Q28)</f>
        <v/>
      </c>
      <c r="S28" s="16">
        <f>IF(E28&gt;0,R28/E28,0)</f>
        <v/>
      </c>
      <c r="T28" s="17">
        <f>COUNTIF(F28:Q28,"&gt;0")</f>
        <v/>
      </c>
    </row>
    <row r="29">
      <c r="A29" s="10" t="n">
        <v>1019</v>
      </c>
      <c r="B29" s="11" t="inlineStr">
        <is>
          <t>Mitarbeiter 19</t>
        </is>
      </c>
      <c r="C29" s="12">
        <f>$B$20</f>
        <v/>
      </c>
      <c r="D29" s="13" t="n">
        <v>1</v>
      </c>
      <c r="E29" s="14">
        <f>$R$4*D29</f>
        <v/>
      </c>
      <c r="F29" s="15" t="n">
        <v>2</v>
      </c>
      <c r="G29" s="15" t="n">
        <v>2</v>
      </c>
      <c r="H29" s="15" t="n">
        <v>5</v>
      </c>
      <c r="I29" s="15" t="n">
        <v>1</v>
      </c>
      <c r="J29" s="15" t="n">
        <v>0</v>
      </c>
      <c r="K29" s="15" t="n">
        <v>0</v>
      </c>
      <c r="L29" s="15" t="n">
        <v>0</v>
      </c>
      <c r="M29" s="15" t="n">
        <v>6</v>
      </c>
      <c r="N29" s="15" t="n">
        <v>0</v>
      </c>
      <c r="O29" s="15" t="n">
        <v>1</v>
      </c>
      <c r="P29" s="15" t="n">
        <v>5</v>
      </c>
      <c r="Q29" s="15" t="n">
        <v>0</v>
      </c>
      <c r="R29" s="5">
        <f>SUM(F29:Q29)</f>
        <v/>
      </c>
      <c r="S29" s="16">
        <f>IF(E29&gt;0,R29/E29,0)</f>
        <v/>
      </c>
      <c r="T29" s="17">
        <f>COUNTIF(F29:Q29,"&gt;0")</f>
        <v/>
      </c>
    </row>
    <row r="30">
      <c r="A30" s="10" t="n">
        <v>1020</v>
      </c>
      <c r="B30" s="11" t="inlineStr">
        <is>
          <t>Mitarbeiter 20</t>
        </is>
      </c>
      <c r="C30" s="12">
        <f>$B$20</f>
        <v/>
      </c>
      <c r="D30" s="13" t="n">
        <v>1</v>
      </c>
      <c r="E30" s="14">
        <f>$R$4*D30</f>
        <v/>
      </c>
      <c r="F30" s="15" t="n">
        <v>0</v>
      </c>
      <c r="G30" s="15" t="n">
        <v>0</v>
      </c>
      <c r="H30" s="15" t="n">
        <v>5</v>
      </c>
      <c r="I30" s="15" t="n">
        <v>3</v>
      </c>
      <c r="J30" s="15" t="n">
        <v>1</v>
      </c>
      <c r="K30" s="15" t="n">
        <v>0</v>
      </c>
      <c r="L30" s="15" t="n">
        <v>2</v>
      </c>
      <c r="M30" s="15" t="n">
        <v>0</v>
      </c>
      <c r="N30" s="15" t="n">
        <v>2</v>
      </c>
      <c r="O30" s="15" t="n">
        <v>0</v>
      </c>
      <c r="P30" s="15" t="n">
        <v>0</v>
      </c>
      <c r="Q30" s="15" t="n">
        <v>1</v>
      </c>
      <c r="R30" s="5">
        <f>SUM(F30:Q30)</f>
        <v/>
      </c>
      <c r="S30" s="16">
        <f>IF(E30&gt;0,R30/E30,0)</f>
        <v/>
      </c>
      <c r="T30" s="17">
        <f>COUNTIF(F30:Q30,"&gt;0")</f>
        <v/>
      </c>
    </row>
    <row r="31">
      <c r="A31" s="18" t="n"/>
      <c r="B31" s="18">
        <f>"Summe "&amp;$B$20</f>
        <v/>
      </c>
      <c r="C31" s="19">
        <f>COUNTA(B21:B30)&amp;" MA"</f>
        <v/>
      </c>
      <c r="D31" s="20">
        <f>SUM(D21:D30)</f>
        <v/>
      </c>
      <c r="E31" s="21">
        <f>SUM(E21:E30)</f>
        <v/>
      </c>
      <c r="F31" s="22">
        <f>SUM(F21:F30)</f>
        <v/>
      </c>
      <c r="G31" s="22">
        <f>SUM(G21:G30)</f>
        <v/>
      </c>
      <c r="H31" s="22">
        <f>SUM(H21:H30)</f>
        <v/>
      </c>
      <c r="I31" s="22">
        <f>SUM(I21:I30)</f>
        <v/>
      </c>
      <c r="J31" s="22">
        <f>SUM(J21:J30)</f>
        <v/>
      </c>
      <c r="K31" s="22">
        <f>SUM(K21:K30)</f>
        <v/>
      </c>
      <c r="L31" s="22">
        <f>SUM(L21:L30)</f>
        <v/>
      </c>
      <c r="M31" s="22">
        <f>SUM(M21:M30)</f>
        <v/>
      </c>
      <c r="N31" s="22">
        <f>SUM(N21:N30)</f>
        <v/>
      </c>
      <c r="O31" s="22">
        <f>SUM(O21:O30)</f>
        <v/>
      </c>
      <c r="P31" s="22">
        <f>SUM(P21:P30)</f>
        <v/>
      </c>
      <c r="Q31" s="22">
        <f>SUM(Q21:Q30)</f>
        <v/>
      </c>
      <c r="R31" s="22">
        <f>SUM(R21:R30)</f>
        <v/>
      </c>
      <c r="S31" s="23">
        <f>IF(E31&gt;0,R31/E31,0)</f>
        <v/>
      </c>
      <c r="T31" s="22">
        <f>SUM(T21:T30)</f>
        <v/>
      </c>
    </row>
    <row r="32">
      <c r="A32" s="24" t="n"/>
      <c r="B32" s="18" t="inlineStr">
        <is>
          <t>Monatsquote</t>
        </is>
      </c>
      <c r="C32" s="24" t="n"/>
      <c r="D32" s="24" t="n"/>
      <c r="E32" s="24" t="n"/>
      <c r="F32" s="23">
        <f>IF(F$4*$D31&gt;0,F31/(F$4*$D31),0)</f>
        <v/>
      </c>
      <c r="G32" s="23">
        <f>IF(G$4*$D31&gt;0,G31/(G$4*$D31),0)</f>
        <v/>
      </c>
      <c r="H32" s="23">
        <f>IF(H$4*$D31&gt;0,H31/(H$4*$D31),0)</f>
        <v/>
      </c>
      <c r="I32" s="23">
        <f>IF(I$4*$D31&gt;0,I31/(I$4*$D31),0)</f>
        <v/>
      </c>
      <c r="J32" s="23">
        <f>IF(J$4*$D31&gt;0,J31/(J$4*$D31),0)</f>
        <v/>
      </c>
      <c r="K32" s="23">
        <f>IF(K$4*$D31&gt;0,K31/(K$4*$D31),0)</f>
        <v/>
      </c>
      <c r="L32" s="23">
        <f>IF(L$4*$D31&gt;0,L31/(L$4*$D31),0)</f>
        <v/>
      </c>
      <c r="M32" s="23">
        <f>IF(M$4*$D31&gt;0,M31/(M$4*$D31),0)</f>
        <v/>
      </c>
      <c r="N32" s="23">
        <f>IF(N$4*$D31&gt;0,N31/(N$4*$D31),0)</f>
        <v/>
      </c>
      <c r="O32" s="23">
        <f>IF(O$4*$D31&gt;0,O31/(O$4*$D31),0)</f>
        <v/>
      </c>
      <c r="P32" s="23">
        <f>IF(P$4*$D31&gt;0,P31/(P$4*$D31),0)</f>
        <v/>
      </c>
      <c r="Q32" s="23">
        <f>IF(Q$4*$D31&gt;0,Q31/(Q$4*$D31),0)</f>
        <v/>
      </c>
      <c r="R32" s="24" t="n"/>
      <c r="S32" s="24" t="n"/>
      <c r="T32" s="24" t="n"/>
    </row>
    <row r="34">
      <c r="A34" s="27" t="n"/>
      <c r="B34" s="27" t="inlineStr">
        <is>
          <t>GESAMT alle Objekte</t>
        </is>
      </c>
      <c r="C34" s="27" t="n"/>
      <c r="D34" s="28">
        <f>D17+D31</f>
        <v/>
      </c>
      <c r="E34" s="29">
        <f>E17+E31</f>
        <v/>
      </c>
      <c r="F34" s="30">
        <f>F17+F31</f>
        <v/>
      </c>
      <c r="G34" s="30">
        <f>G17+G31</f>
        <v/>
      </c>
      <c r="H34" s="30">
        <f>H17+H31</f>
        <v/>
      </c>
      <c r="I34" s="30">
        <f>I17+I31</f>
        <v/>
      </c>
      <c r="J34" s="30">
        <f>J17+J31</f>
        <v/>
      </c>
      <c r="K34" s="30">
        <f>K17+K31</f>
        <v/>
      </c>
      <c r="L34" s="30">
        <f>L17+L31</f>
        <v/>
      </c>
      <c r="M34" s="30">
        <f>M17+M31</f>
        <v/>
      </c>
      <c r="N34" s="30">
        <f>N17+N31</f>
        <v/>
      </c>
      <c r="O34" s="30">
        <f>O17+O31</f>
        <v/>
      </c>
      <c r="P34" s="30">
        <f>P17+P31</f>
        <v/>
      </c>
      <c r="Q34" s="30">
        <f>Q17+Q31</f>
        <v/>
      </c>
      <c r="R34" s="30">
        <f>R17+R31</f>
        <v/>
      </c>
      <c r="S34" s="31">
        <f>IF(E34&gt;0,R34/E34,0)</f>
        <v/>
      </c>
      <c r="T34" s="30">
        <f>T17+T31</f>
        <v/>
      </c>
    </row>
    <row r="35">
      <c r="B35" s="18" t="inlineStr">
        <is>
          <t>Monatsquote gesamt</t>
        </is>
      </c>
      <c r="F35" s="23">
        <f>IF(F$4*$D34&gt;0,F34/(F$4*$D34),0)</f>
        <v/>
      </c>
      <c r="G35" s="23">
        <f>IF(G$4*$D34&gt;0,G34/(G$4*$D34),0)</f>
        <v/>
      </c>
      <c r="H35" s="23">
        <f>IF(H$4*$D34&gt;0,H34/(H$4*$D34),0)</f>
        <v/>
      </c>
      <c r="I35" s="23">
        <f>IF(I$4*$D34&gt;0,I34/(I$4*$D34),0)</f>
        <v/>
      </c>
      <c r="J35" s="23">
        <f>IF(J$4*$D34&gt;0,J34/(J$4*$D34),0)</f>
        <v/>
      </c>
      <c r="K35" s="23">
        <f>IF(K$4*$D34&gt;0,K34/(K$4*$D34),0)</f>
        <v/>
      </c>
      <c r="L35" s="23">
        <f>IF(L$4*$D34&gt;0,L34/(L$4*$D34),0)</f>
        <v/>
      </c>
      <c r="M35" s="23">
        <f>IF(M$4*$D34&gt;0,M34/(M$4*$D34),0)</f>
        <v/>
      </c>
      <c r="N35" s="23">
        <f>IF(N$4*$D34&gt;0,N34/(N$4*$D34),0)</f>
        <v/>
      </c>
      <c r="O35" s="23">
        <f>IF(O$4*$D34&gt;0,O34/(O$4*$D34),0)</f>
        <v/>
      </c>
      <c r="P35" s="23">
        <f>IF(P$4*$D34&gt;0,P34/(P$4*$D34),0)</f>
        <v/>
      </c>
      <c r="Q35" s="23">
        <f>IF(Q$4*$D34&gt;0,Q34/(Q$4*$D34),0)</f>
        <v/>
      </c>
    </row>
    <row r="37">
      <c r="A37" s="2" t="inlineStr">
        <is>
          <t>Formel Krankenquote = Krankheitstage ÷ Soll-Arbeitstage (Soll = Arbeitstage Jahr × Beschäftigungsgrad). Monatsquote = Krankheitstage Monat ÷ (Arbeitstage Monat × Summe Beschäftigungsgrad).</t>
        </is>
      </c>
    </row>
  </sheetData>
  <mergeCells count="1">
    <mergeCell ref="A2:T2"/>
  </mergeCells>
  <dataValidations count="2">
    <dataValidation sqref="D7:D16 D21:D30" showDropDown="0" showInputMessage="0" showErrorMessage="1" allowBlank="0" error="Beschäftigungsgrad zwischen 0 % und 100 %" type="decimal" operator="between">
      <formula1>0</formula1>
      <formula2>1</formula2>
    </dataValidation>
    <dataValidation sqref="F7:Q16 F21:Q30" showDropDown="0" showInputMessage="0" showErrorMessage="1" allowBlank="0" error="Krankheitstage 0–31" type="whole" operator="between">
      <formula1>0</formula1>
      <formula2>31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1" customWidth="1" min="3" max="3"/>
    <col width="11" customWidth="1" min="4" max="4"/>
    <col width="8" customWidth="1" min="5" max="5"/>
    <col width="10" customWidth="1" min="6" max="6"/>
    <col width="8" customWidth="1" min="7" max="7"/>
    <col width="6" customWidth="1" min="8" max="8"/>
    <col width="13" customWidth="1" min="9" max="9"/>
    <col width="26" customWidth="1" min="10" max="10"/>
    <col width="12" customWidth="1" min="11" max="11"/>
  </cols>
  <sheetData>
    <row r="1">
      <c r="A1" s="1" t="inlineStr">
        <is>
          <t>Krankenquote nach Mitarbeitern – Auswertung</t>
        </is>
      </c>
    </row>
    <row r="3" ht="30" customHeight="1">
      <c r="A3" s="6" t="inlineStr">
        <is>
          <t>Pers.-Nr.</t>
        </is>
      </c>
      <c r="B3" s="6" t="inlineStr">
        <is>
          <t>Name</t>
        </is>
      </c>
      <c r="C3" s="6" t="inlineStr">
        <is>
          <t>Objekt</t>
        </is>
      </c>
      <c r="D3" s="6" t="inlineStr">
        <is>
          <t>Soll-
Arbeitstage</t>
        </is>
      </c>
      <c r="E3" s="6" t="inlineStr">
        <is>
          <t>Krank-
tage</t>
        </is>
      </c>
      <c r="F3" s="6" t="inlineStr">
        <is>
          <t>Kranken-
quote</t>
        </is>
      </c>
      <c r="G3" s="6" t="inlineStr">
        <is>
          <t>Krank-
monate</t>
        </is>
      </c>
      <c r="H3" s="6" t="inlineStr">
        <is>
          <t>Rang</t>
        </is>
      </c>
      <c r="I3" s="6" t="inlineStr">
        <is>
          <t>Bewertung</t>
        </is>
      </c>
      <c r="J3" s="27" t="inlineStr">
        <is>
          <t>Schwellwerte (Eingabe)</t>
        </is>
      </c>
      <c r="K3" s="27" t="n"/>
    </row>
    <row r="4">
      <c r="A4" s="32">
        <f>'Krankenquote Objekte'!A7</f>
        <v/>
      </c>
      <c r="B4" s="33">
        <f>'Krankenquote Objekte'!B7</f>
        <v/>
      </c>
      <c r="C4" s="34">
        <f>'Krankenquote Objekte'!C7</f>
        <v/>
      </c>
      <c r="D4" s="35">
        <f>'Krankenquote Objekte'!E7</f>
        <v/>
      </c>
      <c r="E4" s="36">
        <f>'Krankenquote Objekte'!R7</f>
        <v/>
      </c>
      <c r="F4" s="16">
        <f>IF(D4&gt;0,E4/D4,0)</f>
        <v/>
      </c>
      <c r="G4" s="36">
        <f>'Krankenquote Objekte'!T7</f>
        <v/>
      </c>
      <c r="H4" s="37">
        <f>RANK(F4,$F$4:$F$23,0)</f>
        <v/>
      </c>
      <c r="I4" s="38">
        <f>IF(F4&lt;=$K$4,"unauffällig",IF(F4&lt;=$K$5,"auffällig","kritisch"))</f>
        <v/>
      </c>
      <c r="J4" s="39" t="inlineStr">
        <is>
          <t>Unauffällig bis</t>
        </is>
      </c>
      <c r="K4" s="40" t="n">
        <v>0.03</v>
      </c>
    </row>
    <row r="5">
      <c r="A5" s="32">
        <f>'Krankenquote Objekte'!A8</f>
        <v/>
      </c>
      <c r="B5" s="33">
        <f>'Krankenquote Objekte'!B8</f>
        <v/>
      </c>
      <c r="C5" s="34">
        <f>'Krankenquote Objekte'!C8</f>
        <v/>
      </c>
      <c r="D5" s="35">
        <f>'Krankenquote Objekte'!E8</f>
        <v/>
      </c>
      <c r="E5" s="36">
        <f>'Krankenquote Objekte'!R8</f>
        <v/>
      </c>
      <c r="F5" s="16">
        <f>IF(D5&gt;0,E5/D5,0)</f>
        <v/>
      </c>
      <c r="G5" s="36">
        <f>'Krankenquote Objekte'!T8</f>
        <v/>
      </c>
      <c r="H5" s="37">
        <f>RANK(F5,$F$4:$F$23,0)</f>
        <v/>
      </c>
      <c r="I5" s="38">
        <f>IF(F5&lt;=$K$4,"unauffällig",IF(F5&lt;=$K$5,"auffällig","kritisch"))</f>
        <v/>
      </c>
      <c r="J5" s="39" t="inlineStr">
        <is>
          <t>Auffällig bis</t>
        </is>
      </c>
      <c r="K5" s="40" t="n">
        <v>0.06</v>
      </c>
    </row>
    <row r="6">
      <c r="A6" s="32">
        <f>'Krankenquote Objekte'!A9</f>
        <v/>
      </c>
      <c r="B6" s="33">
        <f>'Krankenquote Objekte'!B9</f>
        <v/>
      </c>
      <c r="C6" s="34">
        <f>'Krankenquote Objekte'!C9</f>
        <v/>
      </c>
      <c r="D6" s="35">
        <f>'Krankenquote Objekte'!E9</f>
        <v/>
      </c>
      <c r="E6" s="36">
        <f>'Krankenquote Objekte'!R9</f>
        <v/>
      </c>
      <c r="F6" s="16">
        <f>IF(D6&gt;0,E6/D6,0)</f>
        <v/>
      </c>
      <c r="G6" s="36">
        <f>'Krankenquote Objekte'!T9</f>
        <v/>
      </c>
      <c r="H6" s="37">
        <f>RANK(F6,$F$4:$F$23,0)</f>
        <v/>
      </c>
      <c r="I6" s="38">
        <f>IF(F6&lt;=$K$4,"unauffällig",IF(F6&lt;=$K$5,"auffällig","kritisch"))</f>
        <v/>
      </c>
      <c r="J6" s="41" t="inlineStr">
        <is>
          <t>darüber = kritisch</t>
        </is>
      </c>
      <c r="K6" s="39" t="n"/>
    </row>
    <row r="7">
      <c r="A7" s="32">
        <f>'Krankenquote Objekte'!A10</f>
        <v/>
      </c>
      <c r="B7" s="33">
        <f>'Krankenquote Objekte'!B10</f>
        <v/>
      </c>
      <c r="C7" s="34">
        <f>'Krankenquote Objekte'!C10</f>
        <v/>
      </c>
      <c r="D7" s="35">
        <f>'Krankenquote Objekte'!E10</f>
        <v/>
      </c>
      <c r="E7" s="36">
        <f>'Krankenquote Objekte'!R10</f>
        <v/>
      </c>
      <c r="F7" s="16">
        <f>IF(D7&gt;0,E7/D7,0)</f>
        <v/>
      </c>
      <c r="G7" s="36">
        <f>'Krankenquote Objekte'!T10</f>
        <v/>
      </c>
      <c r="H7" s="37">
        <f>RANK(F7,$F$4:$F$23,0)</f>
        <v/>
      </c>
      <c r="I7" s="38">
        <f>IF(F7&lt;=$K$4,"unauffällig",IF(F7&lt;=$K$5,"auffällig","kritisch"))</f>
        <v/>
      </c>
    </row>
    <row r="8">
      <c r="A8" s="32">
        <f>'Krankenquote Objekte'!A11</f>
        <v/>
      </c>
      <c r="B8" s="33">
        <f>'Krankenquote Objekte'!B11</f>
        <v/>
      </c>
      <c r="C8" s="34">
        <f>'Krankenquote Objekte'!C11</f>
        <v/>
      </c>
      <c r="D8" s="35">
        <f>'Krankenquote Objekte'!E11</f>
        <v/>
      </c>
      <c r="E8" s="36">
        <f>'Krankenquote Objekte'!R11</f>
        <v/>
      </c>
      <c r="F8" s="16">
        <f>IF(D8&gt;0,E8/D8,0)</f>
        <v/>
      </c>
      <c r="G8" s="36">
        <f>'Krankenquote Objekte'!T11</f>
        <v/>
      </c>
      <c r="H8" s="37">
        <f>RANK(F8,$F$4:$F$23,0)</f>
        <v/>
      </c>
      <c r="I8" s="38">
        <f>IF(F8&lt;=$K$4,"unauffällig",IF(F8&lt;=$K$5,"auffällig","kritisch"))</f>
        <v/>
      </c>
      <c r="J8" s="27" t="inlineStr">
        <is>
          <t>Kennzahlen</t>
        </is>
      </c>
      <c r="K8" s="27" t="n"/>
    </row>
    <row r="9">
      <c r="A9" s="32">
        <f>'Krankenquote Objekte'!A12</f>
        <v/>
      </c>
      <c r="B9" s="33">
        <f>'Krankenquote Objekte'!B12</f>
        <v/>
      </c>
      <c r="C9" s="34">
        <f>'Krankenquote Objekte'!C12</f>
        <v/>
      </c>
      <c r="D9" s="35">
        <f>'Krankenquote Objekte'!E12</f>
        <v/>
      </c>
      <c r="E9" s="36">
        <f>'Krankenquote Objekte'!R12</f>
        <v/>
      </c>
      <c r="F9" s="16">
        <f>IF(D9&gt;0,E9/D9,0)</f>
        <v/>
      </c>
      <c r="G9" s="36">
        <f>'Krankenquote Objekte'!T12</f>
        <v/>
      </c>
      <c r="H9" s="37">
        <f>RANK(F9,$F$4:$F$23,0)</f>
        <v/>
      </c>
      <c r="I9" s="38">
        <f>IF(F9&lt;=$K$4,"unauffällig",IF(F9&lt;=$K$5,"auffällig","kritisch"))</f>
        <v/>
      </c>
      <c r="J9" s="39" t="inlineStr">
        <is>
          <t>Anzahl Mitarbeiter</t>
        </is>
      </c>
      <c r="K9" s="5">
        <f>COUNTA(B4:B23)</f>
        <v/>
      </c>
    </row>
    <row r="10">
      <c r="A10" s="32">
        <f>'Krankenquote Objekte'!A13</f>
        <v/>
      </c>
      <c r="B10" s="33">
        <f>'Krankenquote Objekte'!B13</f>
        <v/>
      </c>
      <c r="C10" s="34">
        <f>'Krankenquote Objekte'!C13</f>
        <v/>
      </c>
      <c r="D10" s="35">
        <f>'Krankenquote Objekte'!E13</f>
        <v/>
      </c>
      <c r="E10" s="36">
        <f>'Krankenquote Objekte'!R13</f>
        <v/>
      </c>
      <c r="F10" s="16">
        <f>IF(D10&gt;0,E10/D10,0)</f>
        <v/>
      </c>
      <c r="G10" s="36">
        <f>'Krankenquote Objekte'!T13</f>
        <v/>
      </c>
      <c r="H10" s="37">
        <f>RANK(F10,$F$4:$F$23,0)</f>
        <v/>
      </c>
      <c r="I10" s="38">
        <f>IF(F10&lt;=$K$4,"unauffällig",IF(F10&lt;=$K$5,"auffällig","kritisch"))</f>
        <v/>
      </c>
      <c r="J10" s="39" t="inlineStr">
        <is>
          <t>Ø Krankenquote (gewichtet)</t>
        </is>
      </c>
      <c r="K10" s="16">
        <f>IF(SUM(D4:D23)&gt;0,SUM(E4:E23)/SUM(D4:D23),0)</f>
        <v/>
      </c>
    </row>
    <row r="11">
      <c r="A11" s="32">
        <f>'Krankenquote Objekte'!A14</f>
        <v/>
      </c>
      <c r="B11" s="33">
        <f>'Krankenquote Objekte'!B14</f>
        <v/>
      </c>
      <c r="C11" s="34">
        <f>'Krankenquote Objekte'!C14</f>
        <v/>
      </c>
      <c r="D11" s="35">
        <f>'Krankenquote Objekte'!E14</f>
        <v/>
      </c>
      <c r="E11" s="36">
        <f>'Krankenquote Objekte'!R14</f>
        <v/>
      </c>
      <c r="F11" s="16">
        <f>IF(D11&gt;0,E11/D11,0)</f>
        <v/>
      </c>
      <c r="G11" s="36">
        <f>'Krankenquote Objekte'!T14</f>
        <v/>
      </c>
      <c r="H11" s="37">
        <f>RANK(F11,$F$4:$F$23,0)</f>
        <v/>
      </c>
      <c r="I11" s="38">
        <f>IF(F11&lt;=$K$4,"unauffällig",IF(F11&lt;=$K$5,"auffällig","kritisch"))</f>
        <v/>
      </c>
      <c r="J11" s="39" t="inlineStr">
        <is>
          <t>Ø Krankenquote (je MA)</t>
        </is>
      </c>
      <c r="K11" s="16">
        <f>AVERAGE($F$4:$F$23)</f>
        <v/>
      </c>
    </row>
    <row r="12">
      <c r="A12" s="32">
        <f>'Krankenquote Objekte'!A15</f>
        <v/>
      </c>
      <c r="B12" s="33">
        <f>'Krankenquote Objekte'!B15</f>
        <v/>
      </c>
      <c r="C12" s="34">
        <f>'Krankenquote Objekte'!C15</f>
        <v/>
      </c>
      <c r="D12" s="35">
        <f>'Krankenquote Objekte'!E15</f>
        <v/>
      </c>
      <c r="E12" s="36">
        <f>'Krankenquote Objekte'!R15</f>
        <v/>
      </c>
      <c r="F12" s="16">
        <f>IF(D12&gt;0,E12/D12,0)</f>
        <v/>
      </c>
      <c r="G12" s="36">
        <f>'Krankenquote Objekte'!T15</f>
        <v/>
      </c>
      <c r="H12" s="37">
        <f>RANK(F12,$F$4:$F$23,0)</f>
        <v/>
      </c>
      <c r="I12" s="38">
        <f>IF(F12&lt;=$K$4,"unauffällig",IF(F12&lt;=$K$5,"auffällig","kritisch"))</f>
        <v/>
      </c>
      <c r="J12" s="39" t="inlineStr">
        <is>
          <t>Median</t>
        </is>
      </c>
      <c r="K12" s="16">
        <f>MEDIAN($F$4:$F$23)</f>
        <v/>
      </c>
    </row>
    <row r="13">
      <c r="A13" s="32">
        <f>'Krankenquote Objekte'!A16</f>
        <v/>
      </c>
      <c r="B13" s="33">
        <f>'Krankenquote Objekte'!B16</f>
        <v/>
      </c>
      <c r="C13" s="34">
        <f>'Krankenquote Objekte'!C16</f>
        <v/>
      </c>
      <c r="D13" s="35">
        <f>'Krankenquote Objekte'!E16</f>
        <v/>
      </c>
      <c r="E13" s="36">
        <f>'Krankenquote Objekte'!R16</f>
        <v/>
      </c>
      <c r="F13" s="16">
        <f>IF(D13&gt;0,E13/D13,0)</f>
        <v/>
      </c>
      <c r="G13" s="36">
        <f>'Krankenquote Objekte'!T16</f>
        <v/>
      </c>
      <c r="H13" s="37">
        <f>RANK(F13,$F$4:$F$23,0)</f>
        <v/>
      </c>
      <c r="I13" s="38">
        <f>IF(F13&lt;=$K$4,"unauffällig",IF(F13&lt;=$K$5,"auffällig","kritisch"))</f>
        <v/>
      </c>
      <c r="J13" s="39" t="inlineStr">
        <is>
          <t>Höchste Quote</t>
        </is>
      </c>
      <c r="K13" s="16">
        <f>MAX($F$4:$F$23)</f>
        <v/>
      </c>
    </row>
    <row r="14">
      <c r="A14" s="32">
        <f>'Krankenquote Objekte'!A21</f>
        <v/>
      </c>
      <c r="B14" s="33">
        <f>'Krankenquote Objekte'!B21</f>
        <v/>
      </c>
      <c r="C14" s="34">
        <f>'Krankenquote Objekte'!C21</f>
        <v/>
      </c>
      <c r="D14" s="35">
        <f>'Krankenquote Objekte'!E21</f>
        <v/>
      </c>
      <c r="E14" s="36">
        <f>'Krankenquote Objekte'!R21</f>
        <v/>
      </c>
      <c r="F14" s="16">
        <f>IF(D14&gt;0,E14/D14,0)</f>
        <v/>
      </c>
      <c r="G14" s="36">
        <f>'Krankenquote Objekte'!T21</f>
        <v/>
      </c>
      <c r="H14" s="37">
        <f>RANK(F14,$F$4:$F$23,0)</f>
        <v/>
      </c>
      <c r="I14" s="38">
        <f>IF(F14&lt;=$K$4,"unauffällig",IF(F14&lt;=$K$5,"auffällig","kritisch"))</f>
        <v/>
      </c>
      <c r="J14" s="39" t="inlineStr">
        <is>
          <t>… Mitarbeiter</t>
        </is>
      </c>
      <c r="K14" s="38">
        <f>INDEX(B4:B23,MATCH(MAX($F$4:$F$23),$F$4:$F$23,0))</f>
        <v/>
      </c>
    </row>
    <row r="15">
      <c r="A15" s="32">
        <f>'Krankenquote Objekte'!A22</f>
        <v/>
      </c>
      <c r="B15" s="33">
        <f>'Krankenquote Objekte'!B22</f>
        <v/>
      </c>
      <c r="C15" s="34">
        <f>'Krankenquote Objekte'!C22</f>
        <v/>
      </c>
      <c r="D15" s="35">
        <f>'Krankenquote Objekte'!E22</f>
        <v/>
      </c>
      <c r="E15" s="36">
        <f>'Krankenquote Objekte'!R22</f>
        <v/>
      </c>
      <c r="F15" s="16">
        <f>IF(D15&gt;0,E15/D15,0)</f>
        <v/>
      </c>
      <c r="G15" s="36">
        <f>'Krankenquote Objekte'!T22</f>
        <v/>
      </c>
      <c r="H15" s="37">
        <f>RANK(F15,$F$4:$F$23,0)</f>
        <v/>
      </c>
      <c r="I15" s="38">
        <f>IF(F15&lt;=$K$4,"unauffällig",IF(F15&lt;=$K$5,"auffällig","kritisch"))</f>
        <v/>
      </c>
      <c r="J15" s="39" t="inlineStr">
        <is>
          <t>Niedrigste Quote</t>
        </is>
      </c>
      <c r="K15" s="16">
        <f>MIN($F$4:$F$23)</f>
        <v/>
      </c>
    </row>
    <row r="16">
      <c r="A16" s="32">
        <f>'Krankenquote Objekte'!A23</f>
        <v/>
      </c>
      <c r="B16" s="33">
        <f>'Krankenquote Objekte'!B23</f>
        <v/>
      </c>
      <c r="C16" s="34">
        <f>'Krankenquote Objekte'!C23</f>
        <v/>
      </c>
      <c r="D16" s="35">
        <f>'Krankenquote Objekte'!E23</f>
        <v/>
      </c>
      <c r="E16" s="36">
        <f>'Krankenquote Objekte'!R23</f>
        <v/>
      </c>
      <c r="F16" s="16">
        <f>IF(D16&gt;0,E16/D16,0)</f>
        <v/>
      </c>
      <c r="G16" s="36">
        <f>'Krankenquote Objekte'!T23</f>
        <v/>
      </c>
      <c r="H16" s="37">
        <f>RANK(F16,$F$4:$F$23,0)</f>
        <v/>
      </c>
      <c r="I16" s="38">
        <f>IF(F16&lt;=$K$4,"unauffällig",IF(F16&lt;=$K$5,"auffällig","kritisch"))</f>
        <v/>
      </c>
      <c r="J16" s="39" t="inlineStr">
        <is>
          <t>MA ohne Krankheitstag</t>
        </is>
      </c>
      <c r="K16" s="5">
        <f>COUNTIF(E4:E23,0)</f>
        <v/>
      </c>
    </row>
    <row r="17">
      <c r="A17" s="32">
        <f>'Krankenquote Objekte'!A24</f>
        <v/>
      </c>
      <c r="B17" s="33">
        <f>'Krankenquote Objekte'!B24</f>
        <v/>
      </c>
      <c r="C17" s="34">
        <f>'Krankenquote Objekte'!C24</f>
        <v/>
      </c>
      <c r="D17" s="35">
        <f>'Krankenquote Objekte'!E24</f>
        <v/>
      </c>
      <c r="E17" s="36">
        <f>'Krankenquote Objekte'!R24</f>
        <v/>
      </c>
      <c r="F17" s="16">
        <f>IF(D17&gt;0,E17/D17,0)</f>
        <v/>
      </c>
      <c r="G17" s="36">
        <f>'Krankenquote Objekte'!T24</f>
        <v/>
      </c>
      <c r="H17" s="37">
        <f>RANK(F17,$F$4:$F$23,0)</f>
        <v/>
      </c>
      <c r="I17" s="38">
        <f>IF(F17&lt;=$K$4,"unauffällig",IF(F17&lt;=$K$5,"auffällig","kritisch"))</f>
        <v/>
      </c>
      <c r="J17" s="39" t="inlineStr">
        <is>
          <t>MA unauffällig</t>
        </is>
      </c>
      <c r="K17" s="5">
        <f>COUNTIF($I$4:$I$23,"unauffällig")</f>
        <v/>
      </c>
    </row>
    <row r="18">
      <c r="A18" s="32">
        <f>'Krankenquote Objekte'!A25</f>
        <v/>
      </c>
      <c r="B18" s="33">
        <f>'Krankenquote Objekte'!B25</f>
        <v/>
      </c>
      <c r="C18" s="34">
        <f>'Krankenquote Objekte'!C25</f>
        <v/>
      </c>
      <c r="D18" s="35">
        <f>'Krankenquote Objekte'!E25</f>
        <v/>
      </c>
      <c r="E18" s="36">
        <f>'Krankenquote Objekte'!R25</f>
        <v/>
      </c>
      <c r="F18" s="16">
        <f>IF(D18&gt;0,E18/D18,0)</f>
        <v/>
      </c>
      <c r="G18" s="36">
        <f>'Krankenquote Objekte'!T25</f>
        <v/>
      </c>
      <c r="H18" s="37">
        <f>RANK(F18,$F$4:$F$23,0)</f>
        <v/>
      </c>
      <c r="I18" s="38">
        <f>IF(F18&lt;=$K$4,"unauffällig",IF(F18&lt;=$K$5,"auffällig","kritisch"))</f>
        <v/>
      </c>
      <c r="J18" s="39" t="inlineStr">
        <is>
          <t>MA auffällig</t>
        </is>
      </c>
      <c r="K18" s="5">
        <f>COUNTIF($I$4:$I$23,"auffällig")</f>
        <v/>
      </c>
    </row>
    <row r="19">
      <c r="A19" s="32">
        <f>'Krankenquote Objekte'!A26</f>
        <v/>
      </c>
      <c r="B19" s="33">
        <f>'Krankenquote Objekte'!B26</f>
        <v/>
      </c>
      <c r="C19" s="34">
        <f>'Krankenquote Objekte'!C26</f>
        <v/>
      </c>
      <c r="D19" s="35">
        <f>'Krankenquote Objekte'!E26</f>
        <v/>
      </c>
      <c r="E19" s="36">
        <f>'Krankenquote Objekte'!R26</f>
        <v/>
      </c>
      <c r="F19" s="16">
        <f>IF(D19&gt;0,E19/D19,0)</f>
        <v/>
      </c>
      <c r="G19" s="36">
        <f>'Krankenquote Objekte'!T26</f>
        <v/>
      </c>
      <c r="H19" s="37">
        <f>RANK(F19,$F$4:$F$23,0)</f>
        <v/>
      </c>
      <c r="I19" s="38">
        <f>IF(F19&lt;=$K$4,"unauffällig",IF(F19&lt;=$K$5,"auffällig","kritisch"))</f>
        <v/>
      </c>
      <c r="J19" s="39" t="inlineStr">
        <is>
          <t>MA kritisch</t>
        </is>
      </c>
      <c r="K19" s="5">
        <f>COUNTIF($I$4:$I$23,"kritisch")</f>
        <v/>
      </c>
    </row>
    <row r="20">
      <c r="A20" s="32">
        <f>'Krankenquote Objekte'!A27</f>
        <v/>
      </c>
      <c r="B20" s="33">
        <f>'Krankenquote Objekte'!B27</f>
        <v/>
      </c>
      <c r="C20" s="34">
        <f>'Krankenquote Objekte'!C27</f>
        <v/>
      </c>
      <c r="D20" s="35">
        <f>'Krankenquote Objekte'!E27</f>
        <v/>
      </c>
      <c r="E20" s="36">
        <f>'Krankenquote Objekte'!R27</f>
        <v/>
      </c>
      <c r="F20" s="16">
        <f>IF(D20&gt;0,E20/D20,0)</f>
        <v/>
      </c>
      <c r="G20" s="36">
        <f>'Krankenquote Objekte'!T27</f>
        <v/>
      </c>
      <c r="H20" s="37">
        <f>RANK(F20,$F$4:$F$23,0)</f>
        <v/>
      </c>
      <c r="I20" s="38">
        <f>IF(F20&lt;=$K$4,"unauffällig",IF(F20&lt;=$K$5,"auffällig","kritisch"))</f>
        <v/>
      </c>
      <c r="J20" s="39" t="inlineStr">
        <is>
          <t>Anteil kritisch</t>
        </is>
      </c>
      <c r="K20" s="16">
        <f>IF(K9&gt;0,K19/K9,0)</f>
        <v/>
      </c>
    </row>
    <row r="21">
      <c r="A21" s="32">
        <f>'Krankenquote Objekte'!A28</f>
        <v/>
      </c>
      <c r="B21" s="33">
        <f>'Krankenquote Objekte'!B28</f>
        <v/>
      </c>
      <c r="C21" s="34">
        <f>'Krankenquote Objekte'!C28</f>
        <v/>
      </c>
      <c r="D21" s="35">
        <f>'Krankenquote Objekte'!E28</f>
        <v/>
      </c>
      <c r="E21" s="36">
        <f>'Krankenquote Objekte'!R28</f>
        <v/>
      </c>
      <c r="F21" s="16">
        <f>IF(D21&gt;0,E21/D21,0)</f>
        <v/>
      </c>
      <c r="G21" s="36">
        <f>'Krankenquote Objekte'!T28</f>
        <v/>
      </c>
      <c r="H21" s="37">
        <f>RANK(F21,$F$4:$F$23,0)</f>
        <v/>
      </c>
      <c r="I21" s="38">
        <f>IF(F21&lt;=$K$4,"unauffällig",IF(F21&lt;=$K$5,"auffällig","kritisch"))</f>
        <v/>
      </c>
      <c r="J21" s="39" t="inlineStr">
        <is>
          <t>Krankheitstage gesamt</t>
        </is>
      </c>
      <c r="K21" s="5">
        <f>SUM(E4:E23)</f>
        <v/>
      </c>
    </row>
    <row r="22">
      <c r="A22" s="32">
        <f>'Krankenquote Objekte'!A29</f>
        <v/>
      </c>
      <c r="B22" s="33">
        <f>'Krankenquote Objekte'!B29</f>
        <v/>
      </c>
      <c r="C22" s="34">
        <f>'Krankenquote Objekte'!C29</f>
        <v/>
      </c>
      <c r="D22" s="35">
        <f>'Krankenquote Objekte'!E29</f>
        <v/>
      </c>
      <c r="E22" s="36">
        <f>'Krankenquote Objekte'!R29</f>
        <v/>
      </c>
      <c r="F22" s="16">
        <f>IF(D22&gt;0,E22/D22,0)</f>
        <v/>
      </c>
      <c r="G22" s="36">
        <f>'Krankenquote Objekte'!T29</f>
        <v/>
      </c>
      <c r="H22" s="37">
        <f>RANK(F22,$F$4:$F$23,0)</f>
        <v/>
      </c>
      <c r="I22" s="38">
        <f>IF(F22&lt;=$K$4,"unauffällig",IF(F22&lt;=$K$5,"auffällig","kritisch"))</f>
        <v/>
      </c>
      <c r="J22" s="39" t="inlineStr">
        <is>
          <t>Ø Krankheitstage je MA</t>
        </is>
      </c>
      <c r="K22" s="42">
        <f>IF(K9&gt;0,K21/K9,0)</f>
        <v/>
      </c>
    </row>
    <row r="23">
      <c r="A23" s="32">
        <f>'Krankenquote Objekte'!A30</f>
        <v/>
      </c>
      <c r="B23" s="33">
        <f>'Krankenquote Objekte'!B30</f>
        <v/>
      </c>
      <c r="C23" s="34">
        <f>'Krankenquote Objekte'!C30</f>
        <v/>
      </c>
      <c r="D23" s="35">
        <f>'Krankenquote Objekte'!E30</f>
        <v/>
      </c>
      <c r="E23" s="36">
        <f>'Krankenquote Objekte'!R30</f>
        <v/>
      </c>
      <c r="F23" s="16">
        <f>IF(D23&gt;0,E23/D23,0)</f>
        <v/>
      </c>
      <c r="G23" s="36">
        <f>'Krankenquote Objekte'!T30</f>
        <v/>
      </c>
      <c r="H23" s="37">
        <f>RANK(F23,$F$4:$F$23,0)</f>
        <v/>
      </c>
      <c r="I23" s="38">
        <f>IF(F23&lt;=$K$4,"unauffällig",IF(F23&lt;=$K$5,"auffällig","kritisch"))</f>
        <v/>
      </c>
    </row>
    <row r="24">
      <c r="J24" s="27" t="inlineStr">
        <is>
          <t>Verteilung</t>
        </is>
      </c>
      <c r="K24" s="6" t="inlineStr">
        <is>
          <t>Anzahl</t>
        </is>
      </c>
    </row>
    <row r="25">
      <c r="J25" s="39" t="inlineStr">
        <is>
          <t>unauffällig</t>
        </is>
      </c>
      <c r="K25" s="5">
        <f>K17</f>
        <v/>
      </c>
    </row>
    <row r="26">
      <c r="J26" s="39" t="inlineStr">
        <is>
          <t>auffällig</t>
        </is>
      </c>
      <c r="K26" s="5">
        <f>K18</f>
        <v/>
      </c>
    </row>
    <row r="27">
      <c r="J27" s="39" t="inlineStr">
        <is>
          <t>kritisch</t>
        </is>
      </c>
      <c r="K27" s="5">
        <f>K19</f>
        <v/>
      </c>
    </row>
  </sheetData>
  <conditionalFormatting sqref="I4:I23">
    <cfRule type="cellIs" priority="1" operator="equal" dxfId="0">
      <formula>"unauffällig"</formula>
    </cfRule>
    <cfRule type="cellIs" priority="2" operator="equal" dxfId="1">
      <formula>"auffällig"</formula>
    </cfRule>
    <cfRule type="cellIs" priority="3" operator="equal" dxfId="2">
      <formula>"kritisch"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9" customWidth="1" min="4" max="4"/>
    <col width="10" customWidth="1" min="5" max="5"/>
    <col width="13" customWidth="1" min="6" max="6"/>
    <col width="10" customWidth="1" min="7" max="7"/>
    <col width="9" customWidth="1" min="8" max="8"/>
    <col width="11" customWidth="1" min="9" max="9"/>
  </cols>
  <sheetData>
    <row r="1">
      <c r="A1" s="1" t="inlineStr">
        <is>
          <t>Auswertung der Objekte</t>
        </is>
      </c>
    </row>
    <row r="3" ht="30" customHeight="1">
      <c r="A3" s="6" t="inlineStr">
        <is>
          <t>Objekt</t>
        </is>
      </c>
      <c r="B3" s="6" t="inlineStr">
        <is>
          <t>Anzahl MA</t>
        </is>
      </c>
      <c r="C3" s="6" t="inlineStr">
        <is>
          <t>Soll-
Arbeitstage</t>
        </is>
      </c>
      <c r="D3" s="6" t="inlineStr">
        <is>
          <t>Krank-
tage</t>
        </is>
      </c>
      <c r="E3" s="6" t="inlineStr">
        <is>
          <t>Kranken-
quote</t>
        </is>
      </c>
      <c r="F3" s="6" t="inlineStr">
        <is>
          <t>Anteil an
Krankheitstagen</t>
        </is>
      </c>
      <c r="G3" s="6" t="inlineStr">
        <is>
          <t>Ø Krank-
tage je MA</t>
        </is>
      </c>
      <c r="H3" s="6" t="inlineStr">
        <is>
          <t>MA
kritisch</t>
        </is>
      </c>
      <c r="I3" s="6" t="inlineStr">
        <is>
          <t>Abw. zur
Gesamtquote</t>
        </is>
      </c>
    </row>
    <row r="4">
      <c r="A4" s="43">
        <f>'Krankenquote Objekte'!B6</f>
        <v/>
      </c>
      <c r="B4" s="36">
        <f>COUNTA('Krankenquote Objekte'!B7:B16)</f>
        <v/>
      </c>
      <c r="C4" s="35">
        <f>'Krankenquote Objekte'!E17</f>
        <v/>
      </c>
      <c r="D4" s="36">
        <f>'Krankenquote Objekte'!R17</f>
        <v/>
      </c>
      <c r="E4" s="16">
        <f>IF(C4&gt;0,D4/C4,0)</f>
        <v/>
      </c>
      <c r="F4" s="44">
        <f>IF($D$6&gt;0,D4/$D$6,0)</f>
        <v/>
      </c>
      <c r="G4" s="14">
        <f>IF(B4&gt;0,D4/B4,0)</f>
        <v/>
      </c>
      <c r="H4" s="36">
        <f>COUNTIFS('KQuote Mitarbeiter'!$C$4:$C$23,A4,'KQuote Mitarbeiter'!$I$4:$I$23,"kritisch")</f>
        <v/>
      </c>
      <c r="I4" s="45">
        <f>E4-$E$6</f>
        <v/>
      </c>
    </row>
    <row r="5">
      <c r="A5" s="46">
        <f>'Krankenquote Objekte'!B20</f>
        <v/>
      </c>
      <c r="B5" s="36">
        <f>COUNTA('Krankenquote Objekte'!B21:B30)</f>
        <v/>
      </c>
      <c r="C5" s="35">
        <f>'Krankenquote Objekte'!E31</f>
        <v/>
      </c>
      <c r="D5" s="36">
        <f>'Krankenquote Objekte'!R31</f>
        <v/>
      </c>
      <c r="E5" s="16">
        <f>IF(C5&gt;0,D5/C5,0)</f>
        <v/>
      </c>
      <c r="F5" s="44">
        <f>IF($D$6&gt;0,D5/$D$6,0)</f>
        <v/>
      </c>
      <c r="G5" s="14">
        <f>IF(B5&gt;0,D5/B5,0)</f>
        <v/>
      </c>
      <c r="H5" s="36">
        <f>COUNTIFS('KQuote Mitarbeiter'!$C$4:$C$23,A5,'KQuote Mitarbeiter'!$I$4:$I$23,"kritisch")</f>
        <v/>
      </c>
      <c r="I5" s="45">
        <f>E5-$E$6</f>
        <v/>
      </c>
    </row>
    <row r="6">
      <c r="A6" s="27" t="inlineStr">
        <is>
          <t>Gesamt</t>
        </is>
      </c>
      <c r="B6" s="30">
        <f>SUM(B4:B5)</f>
        <v/>
      </c>
      <c r="C6" s="29">
        <f>SUM(C4:C5)</f>
        <v/>
      </c>
      <c r="D6" s="30">
        <f>SUM(D4:D5)</f>
        <v/>
      </c>
      <c r="E6" s="31">
        <f>IF(C6&gt;0,D6/C6,0)</f>
        <v/>
      </c>
      <c r="F6" s="31">
        <f>SUM(F4:F5)</f>
        <v/>
      </c>
      <c r="G6" s="29">
        <f>IF(B6&gt;0,D6/B6,0)</f>
        <v/>
      </c>
      <c r="H6" s="30">
        <f>SUM(H4:H5)</f>
        <v/>
      </c>
      <c r="I6" s="27" t="n"/>
    </row>
    <row r="7">
      <c r="A7" s="47" t="inlineStr">
        <is>
          <t>Objekt mit höchster Quote:</t>
        </is>
      </c>
      <c r="C7" s="47">
        <f>INDEX(A4:A5,MATCH(MAX(E4:E5),E4:E5,0))</f>
        <v/>
      </c>
    </row>
    <row r="9">
      <c r="A9" s="47" t="inlineStr">
        <is>
          <t>Krankenquote im Monatsverlauf</t>
        </is>
      </c>
    </row>
    <row r="10">
      <c r="A10" s="6" t="inlineStr">
        <is>
          <t>Monat</t>
        </is>
      </c>
      <c r="B10" s="6">
        <f>A4</f>
        <v/>
      </c>
      <c r="C10" s="6">
        <f>A5</f>
        <v/>
      </c>
      <c r="D10" s="6" t="inlineStr">
        <is>
          <t>Gesamt</t>
        </is>
      </c>
    </row>
    <row r="11">
      <c r="A11" s="12" t="inlineStr">
        <is>
          <t>Jan</t>
        </is>
      </c>
      <c r="B11" s="48">
        <f>'Krankenquote Objekte'!F18</f>
        <v/>
      </c>
      <c r="C11" s="48">
        <f>'Krankenquote Objekte'!F32</f>
        <v/>
      </c>
      <c r="D11" s="48">
        <f>'Krankenquote Objekte'!F35</f>
        <v/>
      </c>
    </row>
    <row r="12">
      <c r="A12" s="12" t="inlineStr">
        <is>
          <t>Feb</t>
        </is>
      </c>
      <c r="B12" s="48">
        <f>'Krankenquote Objekte'!G18</f>
        <v/>
      </c>
      <c r="C12" s="48">
        <f>'Krankenquote Objekte'!G32</f>
        <v/>
      </c>
      <c r="D12" s="48">
        <f>'Krankenquote Objekte'!G35</f>
        <v/>
      </c>
    </row>
    <row r="13">
      <c r="A13" s="12" t="inlineStr">
        <is>
          <t>Mär</t>
        </is>
      </c>
      <c r="B13" s="48">
        <f>'Krankenquote Objekte'!H18</f>
        <v/>
      </c>
      <c r="C13" s="48">
        <f>'Krankenquote Objekte'!H32</f>
        <v/>
      </c>
      <c r="D13" s="48">
        <f>'Krankenquote Objekte'!H35</f>
        <v/>
      </c>
    </row>
    <row r="14">
      <c r="A14" s="12" t="inlineStr">
        <is>
          <t>Apr</t>
        </is>
      </c>
      <c r="B14" s="48">
        <f>'Krankenquote Objekte'!I18</f>
        <v/>
      </c>
      <c r="C14" s="48">
        <f>'Krankenquote Objekte'!I32</f>
        <v/>
      </c>
      <c r="D14" s="48">
        <f>'Krankenquote Objekte'!I35</f>
        <v/>
      </c>
    </row>
    <row r="15">
      <c r="A15" s="12" t="inlineStr">
        <is>
          <t>Mai</t>
        </is>
      </c>
      <c r="B15" s="48">
        <f>'Krankenquote Objekte'!J18</f>
        <v/>
      </c>
      <c r="C15" s="48">
        <f>'Krankenquote Objekte'!J32</f>
        <v/>
      </c>
      <c r="D15" s="48">
        <f>'Krankenquote Objekte'!J35</f>
        <v/>
      </c>
    </row>
    <row r="16">
      <c r="A16" s="12" t="inlineStr">
        <is>
          <t>Jun</t>
        </is>
      </c>
      <c r="B16" s="48">
        <f>'Krankenquote Objekte'!K18</f>
        <v/>
      </c>
      <c r="C16" s="48">
        <f>'Krankenquote Objekte'!K32</f>
        <v/>
      </c>
      <c r="D16" s="48">
        <f>'Krankenquote Objekte'!K35</f>
        <v/>
      </c>
    </row>
    <row r="17">
      <c r="A17" s="12" t="inlineStr">
        <is>
          <t>Jul</t>
        </is>
      </c>
      <c r="B17" s="48">
        <f>'Krankenquote Objekte'!L18</f>
        <v/>
      </c>
      <c r="C17" s="48">
        <f>'Krankenquote Objekte'!L32</f>
        <v/>
      </c>
      <c r="D17" s="48">
        <f>'Krankenquote Objekte'!L35</f>
        <v/>
      </c>
    </row>
    <row r="18">
      <c r="A18" s="12" t="inlineStr">
        <is>
          <t>Aug</t>
        </is>
      </c>
      <c r="B18" s="48">
        <f>'Krankenquote Objekte'!M18</f>
        <v/>
      </c>
      <c r="C18" s="48">
        <f>'Krankenquote Objekte'!M32</f>
        <v/>
      </c>
      <c r="D18" s="48">
        <f>'Krankenquote Objekte'!M35</f>
        <v/>
      </c>
    </row>
    <row r="19">
      <c r="A19" s="12" t="inlineStr">
        <is>
          <t>Sep</t>
        </is>
      </c>
      <c r="B19" s="48">
        <f>'Krankenquote Objekte'!N18</f>
        <v/>
      </c>
      <c r="C19" s="48">
        <f>'Krankenquote Objekte'!N32</f>
        <v/>
      </c>
      <c r="D19" s="48">
        <f>'Krankenquote Objekte'!N35</f>
        <v/>
      </c>
    </row>
    <row r="20">
      <c r="A20" s="12" t="inlineStr">
        <is>
          <t>Okt</t>
        </is>
      </c>
      <c r="B20" s="48">
        <f>'Krankenquote Objekte'!O18</f>
        <v/>
      </c>
      <c r="C20" s="48">
        <f>'Krankenquote Objekte'!O32</f>
        <v/>
      </c>
      <c r="D20" s="48">
        <f>'Krankenquote Objekte'!O35</f>
        <v/>
      </c>
    </row>
    <row r="21">
      <c r="A21" s="12" t="inlineStr">
        <is>
          <t>Nov</t>
        </is>
      </c>
      <c r="B21" s="48">
        <f>'Krankenquote Objekte'!P18</f>
        <v/>
      </c>
      <c r="C21" s="48">
        <f>'Krankenquote Objekte'!P32</f>
        <v/>
      </c>
      <c r="D21" s="48">
        <f>'Krankenquote Objekte'!P35</f>
        <v/>
      </c>
    </row>
    <row r="22">
      <c r="A22" s="12" t="inlineStr">
        <is>
          <t>Dez</t>
        </is>
      </c>
      <c r="B22" s="48">
        <f>'Krankenquote Objekte'!Q18</f>
        <v/>
      </c>
      <c r="C22" s="48">
        <f>'Krankenquote Objekte'!Q32</f>
        <v/>
      </c>
      <c r="D22" s="48">
        <f>'Krankenquote Objekte'!Q35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11" customWidth="1" min="3" max="3"/>
    <col width="8" customWidth="1" min="4" max="4"/>
    <col width="10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9" customWidth="1" min="19" max="19"/>
    <col width="8" customWidth="1" min="20" max="20"/>
  </cols>
  <sheetData>
    <row r="1">
      <c r="A1" s="1" t="inlineStr">
        <is>
          <t>Stundenauswertung – Krankheitsstunden &amp; stundenbasierte Krankenquote</t>
        </is>
      </c>
    </row>
    <row r="2">
      <c r="A2" s="2" t="inlineStr">
        <is>
          <t>Krankheitstage kommen aus Tab „Krankenquote Objekte“. Std./Tag = Vollzeit-Wochenstunden ÷ 5 × Beschäftigungsgrad (Formel, bei abweichendem Arbeitszeitmodell einfach mit eigenem Wert überschreiben).</t>
        </is>
      </c>
    </row>
    <row r="3">
      <c r="B3" s="49" t="inlineStr">
        <is>
          <t>Vollzeit-Wochenstunden</t>
        </is>
      </c>
      <c r="C3" s="50" t="n">
        <v>40</v>
      </c>
    </row>
    <row r="4">
      <c r="E4" s="3" t="inlineStr">
        <is>
          <t>Arbeitstage/Monat →</t>
        </is>
      </c>
      <c r="F4" s="36">
        <f>'Krankenquote Objekte'!F4</f>
        <v/>
      </c>
      <c r="G4" s="36">
        <f>'Krankenquote Objekte'!G4</f>
        <v/>
      </c>
      <c r="H4" s="36">
        <f>'Krankenquote Objekte'!H4</f>
        <v/>
      </c>
      <c r="I4" s="36">
        <f>'Krankenquote Objekte'!I4</f>
        <v/>
      </c>
      <c r="J4" s="36">
        <f>'Krankenquote Objekte'!J4</f>
        <v/>
      </c>
      <c r="K4" s="36">
        <f>'Krankenquote Objekte'!K4</f>
        <v/>
      </c>
      <c r="L4" s="36">
        <f>'Krankenquote Objekte'!L4</f>
        <v/>
      </c>
      <c r="M4" s="36">
        <f>'Krankenquote Objekte'!M4</f>
        <v/>
      </c>
      <c r="N4" s="36">
        <f>'Krankenquote Objekte'!N4</f>
        <v/>
      </c>
      <c r="O4" s="36">
        <f>'Krankenquote Objekte'!O4</f>
        <v/>
      </c>
      <c r="P4" s="36">
        <f>'Krankenquote Objekte'!P4</f>
        <v/>
      </c>
      <c r="Q4" s="36">
        <f>'Krankenquote Objekte'!Q4</f>
        <v/>
      </c>
      <c r="R4" s="5">
        <f>SUM(F4:Q4)</f>
        <v/>
      </c>
    </row>
    <row r="5" ht="30" customHeight="1">
      <c r="A5" s="6" t="inlineStr">
        <is>
          <t>Pers.-Nr.</t>
        </is>
      </c>
      <c r="B5" s="6" t="inlineStr">
        <is>
          <t>Name</t>
        </is>
      </c>
      <c r="C5" s="6" t="inlineStr">
        <is>
          <t>Objekt</t>
        </is>
      </c>
      <c r="D5" s="6" t="inlineStr">
        <is>
          <t>Std./
Tag</t>
        </is>
      </c>
      <c r="E5" s="6" t="inlineStr">
        <is>
          <t>Soll-
stunden</t>
        </is>
      </c>
      <c r="F5" s="6" t="inlineStr">
        <is>
          <t>Jan</t>
        </is>
      </c>
      <c r="G5" s="6" t="inlineStr">
        <is>
          <t>Feb</t>
        </is>
      </c>
      <c r="H5" s="6" t="inlineStr">
        <is>
          <t>Mär</t>
        </is>
      </c>
      <c r="I5" s="6" t="inlineStr">
        <is>
          <t>Apr</t>
        </is>
      </c>
      <c r="J5" s="6" t="inlineStr">
        <is>
          <t>Mai</t>
        </is>
      </c>
      <c r="K5" s="6" t="inlineStr">
        <is>
          <t>Jun</t>
        </is>
      </c>
      <c r="L5" s="6" t="inlineStr">
        <is>
          <t>Jul</t>
        </is>
      </c>
      <c r="M5" s="6" t="inlineStr">
        <is>
          <t>Aug</t>
        </is>
      </c>
      <c r="N5" s="6" t="inlineStr">
        <is>
          <t>Sep</t>
        </is>
      </c>
      <c r="O5" s="6" t="inlineStr">
        <is>
          <t>Okt</t>
        </is>
      </c>
      <c r="P5" s="6" t="inlineStr">
        <is>
          <t>Nov</t>
        </is>
      </c>
      <c r="Q5" s="6" t="inlineStr">
        <is>
          <t>Dez</t>
        </is>
      </c>
      <c r="R5" s="6" t="inlineStr">
        <is>
          <t>Krank-
stunden</t>
        </is>
      </c>
      <c r="S5" s="6" t="inlineStr">
        <is>
          <t>Quote
(Std.)</t>
        </is>
      </c>
      <c r="T5" s="6" t="inlineStr">
        <is>
          <t>Ausfall
VZ-Tage</t>
        </is>
      </c>
    </row>
    <row r="6">
      <c r="A6" s="7" t="inlineStr">
        <is>
          <t>Objekt:</t>
        </is>
      </c>
      <c r="B6" s="51">
        <f>'Krankenquote Objekte'!B6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</row>
    <row r="7">
      <c r="A7" s="32">
        <f>'Krankenquote Objekte'!A7</f>
        <v/>
      </c>
      <c r="B7" s="33">
        <f>'Krankenquote Objekte'!B7</f>
        <v/>
      </c>
      <c r="C7" s="34">
        <f>'Krankenquote Objekte'!C7</f>
        <v/>
      </c>
      <c r="D7" s="52">
        <f>$C$3/5*'Krankenquote Objekte'!D7</f>
        <v/>
      </c>
      <c r="E7" s="17">
        <f>$R$4*D7</f>
        <v/>
      </c>
      <c r="F7" s="17">
        <f>'Krankenquote Objekte'!F7*$D7</f>
        <v/>
      </c>
      <c r="G7" s="17">
        <f>'Krankenquote Objekte'!G7*$D7</f>
        <v/>
      </c>
      <c r="H7" s="17">
        <f>'Krankenquote Objekte'!H7*$D7</f>
        <v/>
      </c>
      <c r="I7" s="17">
        <f>'Krankenquote Objekte'!I7*$D7</f>
        <v/>
      </c>
      <c r="J7" s="17">
        <f>'Krankenquote Objekte'!J7*$D7</f>
        <v/>
      </c>
      <c r="K7" s="17">
        <f>'Krankenquote Objekte'!K7*$D7</f>
        <v/>
      </c>
      <c r="L7" s="17">
        <f>'Krankenquote Objekte'!L7*$D7</f>
        <v/>
      </c>
      <c r="M7" s="17">
        <f>'Krankenquote Objekte'!M7*$D7</f>
        <v/>
      </c>
      <c r="N7" s="17">
        <f>'Krankenquote Objekte'!N7*$D7</f>
        <v/>
      </c>
      <c r="O7" s="17">
        <f>'Krankenquote Objekte'!O7*$D7</f>
        <v/>
      </c>
      <c r="P7" s="17">
        <f>'Krankenquote Objekte'!P7*$D7</f>
        <v/>
      </c>
      <c r="Q7" s="17">
        <f>'Krankenquote Objekte'!Q7*$D7</f>
        <v/>
      </c>
      <c r="R7" s="5">
        <f>SUM(F7:Q7)</f>
        <v/>
      </c>
      <c r="S7" s="16">
        <f>IF(E7&gt;0,R7/E7,0)</f>
        <v/>
      </c>
      <c r="T7" s="14">
        <f>IF($C$3&gt;0,R7/($C$3/5),0)</f>
        <v/>
      </c>
    </row>
    <row r="8">
      <c r="A8" s="32">
        <f>'Krankenquote Objekte'!A8</f>
        <v/>
      </c>
      <c r="B8" s="33">
        <f>'Krankenquote Objekte'!B8</f>
        <v/>
      </c>
      <c r="C8" s="34">
        <f>'Krankenquote Objekte'!C8</f>
        <v/>
      </c>
      <c r="D8" s="52">
        <f>$C$3/5*'Krankenquote Objekte'!D8</f>
        <v/>
      </c>
      <c r="E8" s="17">
        <f>$R$4*D8</f>
        <v/>
      </c>
      <c r="F8" s="17">
        <f>'Krankenquote Objekte'!F8*$D8</f>
        <v/>
      </c>
      <c r="G8" s="17">
        <f>'Krankenquote Objekte'!G8*$D8</f>
        <v/>
      </c>
      <c r="H8" s="17">
        <f>'Krankenquote Objekte'!H8*$D8</f>
        <v/>
      </c>
      <c r="I8" s="17">
        <f>'Krankenquote Objekte'!I8*$D8</f>
        <v/>
      </c>
      <c r="J8" s="17">
        <f>'Krankenquote Objekte'!J8*$D8</f>
        <v/>
      </c>
      <c r="K8" s="17">
        <f>'Krankenquote Objekte'!K8*$D8</f>
        <v/>
      </c>
      <c r="L8" s="17">
        <f>'Krankenquote Objekte'!L8*$D8</f>
        <v/>
      </c>
      <c r="M8" s="17">
        <f>'Krankenquote Objekte'!M8*$D8</f>
        <v/>
      </c>
      <c r="N8" s="17">
        <f>'Krankenquote Objekte'!N8*$D8</f>
        <v/>
      </c>
      <c r="O8" s="17">
        <f>'Krankenquote Objekte'!O8*$D8</f>
        <v/>
      </c>
      <c r="P8" s="17">
        <f>'Krankenquote Objekte'!P8*$D8</f>
        <v/>
      </c>
      <c r="Q8" s="17">
        <f>'Krankenquote Objekte'!Q8*$D8</f>
        <v/>
      </c>
      <c r="R8" s="5">
        <f>SUM(F8:Q8)</f>
        <v/>
      </c>
      <c r="S8" s="16">
        <f>IF(E8&gt;0,R8/E8,0)</f>
        <v/>
      </c>
      <c r="T8" s="14">
        <f>IF($C$3&gt;0,R8/($C$3/5),0)</f>
        <v/>
      </c>
    </row>
    <row r="9">
      <c r="A9" s="32">
        <f>'Krankenquote Objekte'!A9</f>
        <v/>
      </c>
      <c r="B9" s="33">
        <f>'Krankenquote Objekte'!B9</f>
        <v/>
      </c>
      <c r="C9" s="34">
        <f>'Krankenquote Objekte'!C9</f>
        <v/>
      </c>
      <c r="D9" s="52">
        <f>$C$3/5*'Krankenquote Objekte'!D9</f>
        <v/>
      </c>
      <c r="E9" s="17">
        <f>$R$4*D9</f>
        <v/>
      </c>
      <c r="F9" s="17">
        <f>'Krankenquote Objekte'!F9*$D9</f>
        <v/>
      </c>
      <c r="G9" s="17">
        <f>'Krankenquote Objekte'!G9*$D9</f>
        <v/>
      </c>
      <c r="H9" s="17">
        <f>'Krankenquote Objekte'!H9*$D9</f>
        <v/>
      </c>
      <c r="I9" s="17">
        <f>'Krankenquote Objekte'!I9*$D9</f>
        <v/>
      </c>
      <c r="J9" s="17">
        <f>'Krankenquote Objekte'!J9*$D9</f>
        <v/>
      </c>
      <c r="K9" s="17">
        <f>'Krankenquote Objekte'!K9*$D9</f>
        <v/>
      </c>
      <c r="L9" s="17">
        <f>'Krankenquote Objekte'!L9*$D9</f>
        <v/>
      </c>
      <c r="M9" s="17">
        <f>'Krankenquote Objekte'!M9*$D9</f>
        <v/>
      </c>
      <c r="N9" s="17">
        <f>'Krankenquote Objekte'!N9*$D9</f>
        <v/>
      </c>
      <c r="O9" s="17">
        <f>'Krankenquote Objekte'!O9*$D9</f>
        <v/>
      </c>
      <c r="P9" s="17">
        <f>'Krankenquote Objekte'!P9*$D9</f>
        <v/>
      </c>
      <c r="Q9" s="17">
        <f>'Krankenquote Objekte'!Q9*$D9</f>
        <v/>
      </c>
      <c r="R9" s="5">
        <f>SUM(F9:Q9)</f>
        <v/>
      </c>
      <c r="S9" s="16">
        <f>IF(E9&gt;0,R9/E9,0)</f>
        <v/>
      </c>
      <c r="T9" s="14">
        <f>IF($C$3&gt;0,R9/($C$3/5),0)</f>
        <v/>
      </c>
    </row>
    <row r="10">
      <c r="A10" s="32">
        <f>'Krankenquote Objekte'!A10</f>
        <v/>
      </c>
      <c r="B10" s="33">
        <f>'Krankenquote Objekte'!B10</f>
        <v/>
      </c>
      <c r="C10" s="34">
        <f>'Krankenquote Objekte'!C10</f>
        <v/>
      </c>
      <c r="D10" s="52">
        <f>$C$3/5*'Krankenquote Objekte'!D10</f>
        <v/>
      </c>
      <c r="E10" s="17">
        <f>$R$4*D10</f>
        <v/>
      </c>
      <c r="F10" s="17">
        <f>'Krankenquote Objekte'!F10*$D10</f>
        <v/>
      </c>
      <c r="G10" s="17">
        <f>'Krankenquote Objekte'!G10*$D10</f>
        <v/>
      </c>
      <c r="H10" s="17">
        <f>'Krankenquote Objekte'!H10*$D10</f>
        <v/>
      </c>
      <c r="I10" s="17">
        <f>'Krankenquote Objekte'!I10*$D10</f>
        <v/>
      </c>
      <c r="J10" s="17">
        <f>'Krankenquote Objekte'!J10*$D10</f>
        <v/>
      </c>
      <c r="K10" s="17">
        <f>'Krankenquote Objekte'!K10*$D10</f>
        <v/>
      </c>
      <c r="L10" s="17">
        <f>'Krankenquote Objekte'!L10*$D10</f>
        <v/>
      </c>
      <c r="M10" s="17">
        <f>'Krankenquote Objekte'!M10*$D10</f>
        <v/>
      </c>
      <c r="N10" s="17">
        <f>'Krankenquote Objekte'!N10*$D10</f>
        <v/>
      </c>
      <c r="O10" s="17">
        <f>'Krankenquote Objekte'!O10*$D10</f>
        <v/>
      </c>
      <c r="P10" s="17">
        <f>'Krankenquote Objekte'!P10*$D10</f>
        <v/>
      </c>
      <c r="Q10" s="17">
        <f>'Krankenquote Objekte'!Q10*$D10</f>
        <v/>
      </c>
      <c r="R10" s="5">
        <f>SUM(F10:Q10)</f>
        <v/>
      </c>
      <c r="S10" s="16">
        <f>IF(E10&gt;0,R10/E10,0)</f>
        <v/>
      </c>
      <c r="T10" s="14">
        <f>IF($C$3&gt;0,R10/($C$3/5),0)</f>
        <v/>
      </c>
    </row>
    <row r="11">
      <c r="A11" s="32">
        <f>'Krankenquote Objekte'!A11</f>
        <v/>
      </c>
      <c r="B11" s="33">
        <f>'Krankenquote Objekte'!B11</f>
        <v/>
      </c>
      <c r="C11" s="34">
        <f>'Krankenquote Objekte'!C11</f>
        <v/>
      </c>
      <c r="D11" s="52">
        <f>$C$3/5*'Krankenquote Objekte'!D11</f>
        <v/>
      </c>
      <c r="E11" s="17">
        <f>$R$4*D11</f>
        <v/>
      </c>
      <c r="F11" s="17">
        <f>'Krankenquote Objekte'!F11*$D11</f>
        <v/>
      </c>
      <c r="G11" s="17">
        <f>'Krankenquote Objekte'!G11*$D11</f>
        <v/>
      </c>
      <c r="H11" s="17">
        <f>'Krankenquote Objekte'!H11*$D11</f>
        <v/>
      </c>
      <c r="I11" s="17">
        <f>'Krankenquote Objekte'!I11*$D11</f>
        <v/>
      </c>
      <c r="J11" s="17">
        <f>'Krankenquote Objekte'!J11*$D11</f>
        <v/>
      </c>
      <c r="K11" s="17">
        <f>'Krankenquote Objekte'!K11*$D11</f>
        <v/>
      </c>
      <c r="L11" s="17">
        <f>'Krankenquote Objekte'!L11*$D11</f>
        <v/>
      </c>
      <c r="M11" s="17">
        <f>'Krankenquote Objekte'!M11*$D11</f>
        <v/>
      </c>
      <c r="N11" s="17">
        <f>'Krankenquote Objekte'!N11*$D11</f>
        <v/>
      </c>
      <c r="O11" s="17">
        <f>'Krankenquote Objekte'!O11*$D11</f>
        <v/>
      </c>
      <c r="P11" s="17">
        <f>'Krankenquote Objekte'!P11*$D11</f>
        <v/>
      </c>
      <c r="Q11" s="17">
        <f>'Krankenquote Objekte'!Q11*$D11</f>
        <v/>
      </c>
      <c r="R11" s="5">
        <f>SUM(F11:Q11)</f>
        <v/>
      </c>
      <c r="S11" s="16">
        <f>IF(E11&gt;0,R11/E11,0)</f>
        <v/>
      </c>
      <c r="T11" s="14">
        <f>IF($C$3&gt;0,R11/($C$3/5),0)</f>
        <v/>
      </c>
    </row>
    <row r="12">
      <c r="A12" s="32">
        <f>'Krankenquote Objekte'!A12</f>
        <v/>
      </c>
      <c r="B12" s="33">
        <f>'Krankenquote Objekte'!B12</f>
        <v/>
      </c>
      <c r="C12" s="34">
        <f>'Krankenquote Objekte'!C12</f>
        <v/>
      </c>
      <c r="D12" s="52">
        <f>$C$3/5*'Krankenquote Objekte'!D12</f>
        <v/>
      </c>
      <c r="E12" s="17">
        <f>$R$4*D12</f>
        <v/>
      </c>
      <c r="F12" s="17">
        <f>'Krankenquote Objekte'!F12*$D12</f>
        <v/>
      </c>
      <c r="G12" s="17">
        <f>'Krankenquote Objekte'!G12*$D12</f>
        <v/>
      </c>
      <c r="H12" s="17">
        <f>'Krankenquote Objekte'!H12*$D12</f>
        <v/>
      </c>
      <c r="I12" s="17">
        <f>'Krankenquote Objekte'!I12*$D12</f>
        <v/>
      </c>
      <c r="J12" s="17">
        <f>'Krankenquote Objekte'!J12*$D12</f>
        <v/>
      </c>
      <c r="K12" s="17">
        <f>'Krankenquote Objekte'!K12*$D12</f>
        <v/>
      </c>
      <c r="L12" s="17">
        <f>'Krankenquote Objekte'!L12*$D12</f>
        <v/>
      </c>
      <c r="M12" s="17">
        <f>'Krankenquote Objekte'!M12*$D12</f>
        <v/>
      </c>
      <c r="N12" s="17">
        <f>'Krankenquote Objekte'!N12*$D12</f>
        <v/>
      </c>
      <c r="O12" s="17">
        <f>'Krankenquote Objekte'!O12*$D12</f>
        <v/>
      </c>
      <c r="P12" s="17">
        <f>'Krankenquote Objekte'!P12*$D12</f>
        <v/>
      </c>
      <c r="Q12" s="17">
        <f>'Krankenquote Objekte'!Q12*$D12</f>
        <v/>
      </c>
      <c r="R12" s="5">
        <f>SUM(F12:Q12)</f>
        <v/>
      </c>
      <c r="S12" s="16">
        <f>IF(E12&gt;0,R12/E12,0)</f>
        <v/>
      </c>
      <c r="T12" s="14">
        <f>IF($C$3&gt;0,R12/($C$3/5),0)</f>
        <v/>
      </c>
    </row>
    <row r="13">
      <c r="A13" s="32">
        <f>'Krankenquote Objekte'!A13</f>
        <v/>
      </c>
      <c r="B13" s="33">
        <f>'Krankenquote Objekte'!B13</f>
        <v/>
      </c>
      <c r="C13" s="34">
        <f>'Krankenquote Objekte'!C13</f>
        <v/>
      </c>
      <c r="D13" s="52">
        <f>$C$3/5*'Krankenquote Objekte'!D13</f>
        <v/>
      </c>
      <c r="E13" s="17">
        <f>$R$4*D13</f>
        <v/>
      </c>
      <c r="F13" s="17">
        <f>'Krankenquote Objekte'!F13*$D13</f>
        <v/>
      </c>
      <c r="G13" s="17">
        <f>'Krankenquote Objekte'!G13*$D13</f>
        <v/>
      </c>
      <c r="H13" s="17">
        <f>'Krankenquote Objekte'!H13*$D13</f>
        <v/>
      </c>
      <c r="I13" s="17">
        <f>'Krankenquote Objekte'!I13*$D13</f>
        <v/>
      </c>
      <c r="J13" s="17">
        <f>'Krankenquote Objekte'!J13*$D13</f>
        <v/>
      </c>
      <c r="K13" s="17">
        <f>'Krankenquote Objekte'!K13*$D13</f>
        <v/>
      </c>
      <c r="L13" s="17">
        <f>'Krankenquote Objekte'!L13*$D13</f>
        <v/>
      </c>
      <c r="M13" s="17">
        <f>'Krankenquote Objekte'!M13*$D13</f>
        <v/>
      </c>
      <c r="N13" s="17">
        <f>'Krankenquote Objekte'!N13*$D13</f>
        <v/>
      </c>
      <c r="O13" s="17">
        <f>'Krankenquote Objekte'!O13*$D13</f>
        <v/>
      </c>
      <c r="P13" s="17">
        <f>'Krankenquote Objekte'!P13*$D13</f>
        <v/>
      </c>
      <c r="Q13" s="17">
        <f>'Krankenquote Objekte'!Q13*$D13</f>
        <v/>
      </c>
      <c r="R13" s="5">
        <f>SUM(F13:Q13)</f>
        <v/>
      </c>
      <c r="S13" s="16">
        <f>IF(E13&gt;0,R13/E13,0)</f>
        <v/>
      </c>
      <c r="T13" s="14">
        <f>IF($C$3&gt;0,R13/($C$3/5),0)</f>
        <v/>
      </c>
    </row>
    <row r="14">
      <c r="A14" s="32">
        <f>'Krankenquote Objekte'!A14</f>
        <v/>
      </c>
      <c r="B14" s="33">
        <f>'Krankenquote Objekte'!B14</f>
        <v/>
      </c>
      <c r="C14" s="34">
        <f>'Krankenquote Objekte'!C14</f>
        <v/>
      </c>
      <c r="D14" s="52">
        <f>$C$3/5*'Krankenquote Objekte'!D14</f>
        <v/>
      </c>
      <c r="E14" s="17">
        <f>$R$4*D14</f>
        <v/>
      </c>
      <c r="F14" s="17">
        <f>'Krankenquote Objekte'!F14*$D14</f>
        <v/>
      </c>
      <c r="G14" s="17">
        <f>'Krankenquote Objekte'!G14*$D14</f>
        <v/>
      </c>
      <c r="H14" s="17">
        <f>'Krankenquote Objekte'!H14*$D14</f>
        <v/>
      </c>
      <c r="I14" s="17">
        <f>'Krankenquote Objekte'!I14*$D14</f>
        <v/>
      </c>
      <c r="J14" s="17">
        <f>'Krankenquote Objekte'!J14*$D14</f>
        <v/>
      </c>
      <c r="K14" s="17">
        <f>'Krankenquote Objekte'!K14*$D14</f>
        <v/>
      </c>
      <c r="L14" s="17">
        <f>'Krankenquote Objekte'!L14*$D14</f>
        <v/>
      </c>
      <c r="M14" s="17">
        <f>'Krankenquote Objekte'!M14*$D14</f>
        <v/>
      </c>
      <c r="N14" s="17">
        <f>'Krankenquote Objekte'!N14*$D14</f>
        <v/>
      </c>
      <c r="O14" s="17">
        <f>'Krankenquote Objekte'!O14*$D14</f>
        <v/>
      </c>
      <c r="P14" s="17">
        <f>'Krankenquote Objekte'!P14*$D14</f>
        <v/>
      </c>
      <c r="Q14" s="17">
        <f>'Krankenquote Objekte'!Q14*$D14</f>
        <v/>
      </c>
      <c r="R14" s="5">
        <f>SUM(F14:Q14)</f>
        <v/>
      </c>
      <c r="S14" s="16">
        <f>IF(E14&gt;0,R14/E14,0)</f>
        <v/>
      </c>
      <c r="T14" s="14">
        <f>IF($C$3&gt;0,R14/($C$3/5),0)</f>
        <v/>
      </c>
    </row>
    <row r="15">
      <c r="A15" s="32">
        <f>'Krankenquote Objekte'!A15</f>
        <v/>
      </c>
      <c r="B15" s="33">
        <f>'Krankenquote Objekte'!B15</f>
        <v/>
      </c>
      <c r="C15" s="34">
        <f>'Krankenquote Objekte'!C15</f>
        <v/>
      </c>
      <c r="D15" s="52">
        <f>$C$3/5*'Krankenquote Objekte'!D15</f>
        <v/>
      </c>
      <c r="E15" s="17">
        <f>$R$4*D15</f>
        <v/>
      </c>
      <c r="F15" s="17">
        <f>'Krankenquote Objekte'!F15*$D15</f>
        <v/>
      </c>
      <c r="G15" s="17">
        <f>'Krankenquote Objekte'!G15*$D15</f>
        <v/>
      </c>
      <c r="H15" s="17">
        <f>'Krankenquote Objekte'!H15*$D15</f>
        <v/>
      </c>
      <c r="I15" s="17">
        <f>'Krankenquote Objekte'!I15*$D15</f>
        <v/>
      </c>
      <c r="J15" s="17">
        <f>'Krankenquote Objekte'!J15*$D15</f>
        <v/>
      </c>
      <c r="K15" s="17">
        <f>'Krankenquote Objekte'!K15*$D15</f>
        <v/>
      </c>
      <c r="L15" s="17">
        <f>'Krankenquote Objekte'!L15*$D15</f>
        <v/>
      </c>
      <c r="M15" s="17">
        <f>'Krankenquote Objekte'!M15*$D15</f>
        <v/>
      </c>
      <c r="N15" s="17">
        <f>'Krankenquote Objekte'!N15*$D15</f>
        <v/>
      </c>
      <c r="O15" s="17">
        <f>'Krankenquote Objekte'!O15*$D15</f>
        <v/>
      </c>
      <c r="P15" s="17">
        <f>'Krankenquote Objekte'!P15*$D15</f>
        <v/>
      </c>
      <c r="Q15" s="17">
        <f>'Krankenquote Objekte'!Q15*$D15</f>
        <v/>
      </c>
      <c r="R15" s="5">
        <f>SUM(F15:Q15)</f>
        <v/>
      </c>
      <c r="S15" s="16">
        <f>IF(E15&gt;0,R15/E15,0)</f>
        <v/>
      </c>
      <c r="T15" s="14">
        <f>IF($C$3&gt;0,R15/($C$3/5),0)</f>
        <v/>
      </c>
    </row>
    <row r="16">
      <c r="A16" s="32">
        <f>'Krankenquote Objekte'!A16</f>
        <v/>
      </c>
      <c r="B16" s="33">
        <f>'Krankenquote Objekte'!B16</f>
        <v/>
      </c>
      <c r="C16" s="34">
        <f>'Krankenquote Objekte'!C16</f>
        <v/>
      </c>
      <c r="D16" s="52">
        <f>$C$3/5*'Krankenquote Objekte'!D16</f>
        <v/>
      </c>
      <c r="E16" s="17">
        <f>$R$4*D16</f>
        <v/>
      </c>
      <c r="F16" s="17">
        <f>'Krankenquote Objekte'!F16*$D16</f>
        <v/>
      </c>
      <c r="G16" s="17">
        <f>'Krankenquote Objekte'!G16*$D16</f>
        <v/>
      </c>
      <c r="H16" s="17">
        <f>'Krankenquote Objekte'!H16*$D16</f>
        <v/>
      </c>
      <c r="I16" s="17">
        <f>'Krankenquote Objekte'!I16*$D16</f>
        <v/>
      </c>
      <c r="J16" s="17">
        <f>'Krankenquote Objekte'!J16*$D16</f>
        <v/>
      </c>
      <c r="K16" s="17">
        <f>'Krankenquote Objekte'!K16*$D16</f>
        <v/>
      </c>
      <c r="L16" s="17">
        <f>'Krankenquote Objekte'!L16*$D16</f>
        <v/>
      </c>
      <c r="M16" s="17">
        <f>'Krankenquote Objekte'!M16*$D16</f>
        <v/>
      </c>
      <c r="N16" s="17">
        <f>'Krankenquote Objekte'!N16*$D16</f>
        <v/>
      </c>
      <c r="O16" s="17">
        <f>'Krankenquote Objekte'!O16*$D16</f>
        <v/>
      </c>
      <c r="P16" s="17">
        <f>'Krankenquote Objekte'!P16*$D16</f>
        <v/>
      </c>
      <c r="Q16" s="17">
        <f>'Krankenquote Objekte'!Q16*$D16</f>
        <v/>
      </c>
      <c r="R16" s="5">
        <f>SUM(F16:Q16)</f>
        <v/>
      </c>
      <c r="S16" s="16">
        <f>IF(E16&gt;0,R16/E16,0)</f>
        <v/>
      </c>
      <c r="T16" s="14">
        <f>IF($C$3&gt;0,R16/($C$3/5),0)</f>
        <v/>
      </c>
    </row>
    <row r="17">
      <c r="A17" s="18" t="n"/>
      <c r="B17" s="18">
        <f>"Summe "&amp;B6</f>
        <v/>
      </c>
      <c r="C17" s="18" t="n"/>
      <c r="D17" s="20">
        <f>SUM(D7:D16)</f>
        <v/>
      </c>
      <c r="E17" s="22">
        <f>SUM(E7:E16)</f>
        <v/>
      </c>
      <c r="F17" s="22">
        <f>SUM(F7:F16)</f>
        <v/>
      </c>
      <c r="G17" s="22">
        <f>SUM(G7:G16)</f>
        <v/>
      </c>
      <c r="H17" s="22">
        <f>SUM(H7:H16)</f>
        <v/>
      </c>
      <c r="I17" s="22">
        <f>SUM(I7:I16)</f>
        <v/>
      </c>
      <c r="J17" s="22">
        <f>SUM(J7:J16)</f>
        <v/>
      </c>
      <c r="K17" s="22">
        <f>SUM(K7:K16)</f>
        <v/>
      </c>
      <c r="L17" s="22">
        <f>SUM(L7:L16)</f>
        <v/>
      </c>
      <c r="M17" s="22">
        <f>SUM(M7:M16)</f>
        <v/>
      </c>
      <c r="N17" s="22">
        <f>SUM(N7:N16)</f>
        <v/>
      </c>
      <c r="O17" s="22">
        <f>SUM(O7:O16)</f>
        <v/>
      </c>
      <c r="P17" s="22">
        <f>SUM(P7:P16)</f>
        <v/>
      </c>
      <c r="Q17" s="22">
        <f>SUM(Q7:Q16)</f>
        <v/>
      </c>
      <c r="R17" s="22">
        <f>SUM(R7:R16)</f>
        <v/>
      </c>
      <c r="S17" s="23">
        <f>IF(E17&gt;0,R17/E17,0)</f>
        <v/>
      </c>
      <c r="T17" s="21">
        <f>SUM(T7:T16)</f>
        <v/>
      </c>
    </row>
    <row r="18">
      <c r="A18" s="24" t="n"/>
      <c r="B18" s="18" t="inlineStr">
        <is>
          <t>Monatsquote (Std.)</t>
        </is>
      </c>
      <c r="C18" s="24" t="n"/>
      <c r="D18" s="24" t="n"/>
      <c r="E18" s="24" t="n"/>
      <c r="F18" s="23">
        <f>IF(F$4*$D17&gt;0,F17/(F$4*$D17),0)</f>
        <v/>
      </c>
      <c r="G18" s="23">
        <f>IF(G$4*$D17&gt;0,G17/(G$4*$D17),0)</f>
        <v/>
      </c>
      <c r="H18" s="23">
        <f>IF(H$4*$D17&gt;0,H17/(H$4*$D17),0)</f>
        <v/>
      </c>
      <c r="I18" s="23">
        <f>IF(I$4*$D17&gt;0,I17/(I$4*$D17),0)</f>
        <v/>
      </c>
      <c r="J18" s="23">
        <f>IF(J$4*$D17&gt;0,J17/(J$4*$D17),0)</f>
        <v/>
      </c>
      <c r="K18" s="23">
        <f>IF(K$4*$D17&gt;0,K17/(K$4*$D17),0)</f>
        <v/>
      </c>
      <c r="L18" s="23">
        <f>IF(L$4*$D17&gt;0,L17/(L$4*$D17),0)</f>
        <v/>
      </c>
      <c r="M18" s="23">
        <f>IF(M$4*$D17&gt;0,M17/(M$4*$D17),0)</f>
        <v/>
      </c>
      <c r="N18" s="23">
        <f>IF(N$4*$D17&gt;0,N17/(N$4*$D17),0)</f>
        <v/>
      </c>
      <c r="O18" s="23">
        <f>IF(O$4*$D17&gt;0,O17/(O$4*$D17),0)</f>
        <v/>
      </c>
      <c r="P18" s="23">
        <f>IF(P$4*$D17&gt;0,P17/(P$4*$D17),0)</f>
        <v/>
      </c>
      <c r="Q18" s="23">
        <f>IF(Q$4*$D17&gt;0,Q17/(Q$4*$D17),0)</f>
        <v/>
      </c>
      <c r="R18" s="24" t="n"/>
      <c r="S18" s="24" t="n"/>
      <c r="T18" s="24" t="n"/>
    </row>
    <row r="20">
      <c r="A20" s="25" t="inlineStr">
        <is>
          <t>Objekt:</t>
        </is>
      </c>
      <c r="B20" s="53">
        <f>'Krankenquote Objekte'!B20</f>
        <v/>
      </c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</row>
    <row r="21">
      <c r="A21" s="32">
        <f>'Krankenquote Objekte'!A21</f>
        <v/>
      </c>
      <c r="B21" s="33">
        <f>'Krankenquote Objekte'!B21</f>
        <v/>
      </c>
      <c r="C21" s="34">
        <f>'Krankenquote Objekte'!C21</f>
        <v/>
      </c>
      <c r="D21" s="52">
        <f>$C$3/5*'Krankenquote Objekte'!D21</f>
        <v/>
      </c>
      <c r="E21" s="17">
        <f>$R$4*D21</f>
        <v/>
      </c>
      <c r="F21" s="17">
        <f>'Krankenquote Objekte'!F21*$D21</f>
        <v/>
      </c>
      <c r="G21" s="17">
        <f>'Krankenquote Objekte'!G21*$D21</f>
        <v/>
      </c>
      <c r="H21" s="17">
        <f>'Krankenquote Objekte'!H21*$D21</f>
        <v/>
      </c>
      <c r="I21" s="17">
        <f>'Krankenquote Objekte'!I21*$D21</f>
        <v/>
      </c>
      <c r="J21" s="17">
        <f>'Krankenquote Objekte'!J21*$D21</f>
        <v/>
      </c>
      <c r="K21" s="17">
        <f>'Krankenquote Objekte'!K21*$D21</f>
        <v/>
      </c>
      <c r="L21" s="17">
        <f>'Krankenquote Objekte'!L21*$D21</f>
        <v/>
      </c>
      <c r="M21" s="17">
        <f>'Krankenquote Objekte'!M21*$D21</f>
        <v/>
      </c>
      <c r="N21" s="17">
        <f>'Krankenquote Objekte'!N21*$D21</f>
        <v/>
      </c>
      <c r="O21" s="17">
        <f>'Krankenquote Objekte'!O21*$D21</f>
        <v/>
      </c>
      <c r="P21" s="17">
        <f>'Krankenquote Objekte'!P21*$D21</f>
        <v/>
      </c>
      <c r="Q21" s="17">
        <f>'Krankenquote Objekte'!Q21*$D21</f>
        <v/>
      </c>
      <c r="R21" s="5">
        <f>SUM(F21:Q21)</f>
        <v/>
      </c>
      <c r="S21" s="16">
        <f>IF(E21&gt;0,R21/E21,0)</f>
        <v/>
      </c>
      <c r="T21" s="14">
        <f>IF($C$3&gt;0,R21/($C$3/5),0)</f>
        <v/>
      </c>
    </row>
    <row r="22">
      <c r="A22" s="32">
        <f>'Krankenquote Objekte'!A22</f>
        <v/>
      </c>
      <c r="B22" s="33">
        <f>'Krankenquote Objekte'!B22</f>
        <v/>
      </c>
      <c r="C22" s="34">
        <f>'Krankenquote Objekte'!C22</f>
        <v/>
      </c>
      <c r="D22" s="52">
        <f>$C$3/5*'Krankenquote Objekte'!D22</f>
        <v/>
      </c>
      <c r="E22" s="17">
        <f>$R$4*D22</f>
        <v/>
      </c>
      <c r="F22" s="17">
        <f>'Krankenquote Objekte'!F22*$D22</f>
        <v/>
      </c>
      <c r="G22" s="17">
        <f>'Krankenquote Objekte'!G22*$D22</f>
        <v/>
      </c>
      <c r="H22" s="17">
        <f>'Krankenquote Objekte'!H22*$D22</f>
        <v/>
      </c>
      <c r="I22" s="17">
        <f>'Krankenquote Objekte'!I22*$D22</f>
        <v/>
      </c>
      <c r="J22" s="17">
        <f>'Krankenquote Objekte'!J22*$D22</f>
        <v/>
      </c>
      <c r="K22" s="17">
        <f>'Krankenquote Objekte'!K22*$D22</f>
        <v/>
      </c>
      <c r="L22" s="17">
        <f>'Krankenquote Objekte'!L22*$D22</f>
        <v/>
      </c>
      <c r="M22" s="17">
        <f>'Krankenquote Objekte'!M22*$D22</f>
        <v/>
      </c>
      <c r="N22" s="17">
        <f>'Krankenquote Objekte'!N22*$D22</f>
        <v/>
      </c>
      <c r="O22" s="17">
        <f>'Krankenquote Objekte'!O22*$D22</f>
        <v/>
      </c>
      <c r="P22" s="17">
        <f>'Krankenquote Objekte'!P22*$D22</f>
        <v/>
      </c>
      <c r="Q22" s="17">
        <f>'Krankenquote Objekte'!Q22*$D22</f>
        <v/>
      </c>
      <c r="R22" s="5">
        <f>SUM(F22:Q22)</f>
        <v/>
      </c>
      <c r="S22" s="16">
        <f>IF(E22&gt;0,R22/E22,0)</f>
        <v/>
      </c>
      <c r="T22" s="14">
        <f>IF($C$3&gt;0,R22/($C$3/5),0)</f>
        <v/>
      </c>
    </row>
    <row r="23">
      <c r="A23" s="32">
        <f>'Krankenquote Objekte'!A23</f>
        <v/>
      </c>
      <c r="B23" s="33">
        <f>'Krankenquote Objekte'!B23</f>
        <v/>
      </c>
      <c r="C23" s="34">
        <f>'Krankenquote Objekte'!C23</f>
        <v/>
      </c>
      <c r="D23" s="52">
        <f>$C$3/5*'Krankenquote Objekte'!D23</f>
        <v/>
      </c>
      <c r="E23" s="17">
        <f>$R$4*D23</f>
        <v/>
      </c>
      <c r="F23" s="17">
        <f>'Krankenquote Objekte'!F23*$D23</f>
        <v/>
      </c>
      <c r="G23" s="17">
        <f>'Krankenquote Objekte'!G23*$D23</f>
        <v/>
      </c>
      <c r="H23" s="17">
        <f>'Krankenquote Objekte'!H23*$D23</f>
        <v/>
      </c>
      <c r="I23" s="17">
        <f>'Krankenquote Objekte'!I23*$D23</f>
        <v/>
      </c>
      <c r="J23" s="17">
        <f>'Krankenquote Objekte'!J23*$D23</f>
        <v/>
      </c>
      <c r="K23" s="17">
        <f>'Krankenquote Objekte'!K23*$D23</f>
        <v/>
      </c>
      <c r="L23" s="17">
        <f>'Krankenquote Objekte'!L23*$D23</f>
        <v/>
      </c>
      <c r="M23" s="17">
        <f>'Krankenquote Objekte'!M23*$D23</f>
        <v/>
      </c>
      <c r="N23" s="17">
        <f>'Krankenquote Objekte'!N23*$D23</f>
        <v/>
      </c>
      <c r="O23" s="17">
        <f>'Krankenquote Objekte'!O23*$D23</f>
        <v/>
      </c>
      <c r="P23" s="17">
        <f>'Krankenquote Objekte'!P23*$D23</f>
        <v/>
      </c>
      <c r="Q23" s="17">
        <f>'Krankenquote Objekte'!Q23*$D23</f>
        <v/>
      </c>
      <c r="R23" s="5">
        <f>SUM(F23:Q23)</f>
        <v/>
      </c>
      <c r="S23" s="16">
        <f>IF(E23&gt;0,R23/E23,0)</f>
        <v/>
      </c>
      <c r="T23" s="14">
        <f>IF($C$3&gt;0,R23/($C$3/5),0)</f>
        <v/>
      </c>
    </row>
    <row r="24">
      <c r="A24" s="32">
        <f>'Krankenquote Objekte'!A24</f>
        <v/>
      </c>
      <c r="B24" s="33">
        <f>'Krankenquote Objekte'!B24</f>
        <v/>
      </c>
      <c r="C24" s="34">
        <f>'Krankenquote Objekte'!C24</f>
        <v/>
      </c>
      <c r="D24" s="52">
        <f>$C$3/5*'Krankenquote Objekte'!D24</f>
        <v/>
      </c>
      <c r="E24" s="17">
        <f>$R$4*D24</f>
        <v/>
      </c>
      <c r="F24" s="17">
        <f>'Krankenquote Objekte'!F24*$D24</f>
        <v/>
      </c>
      <c r="G24" s="17">
        <f>'Krankenquote Objekte'!G24*$D24</f>
        <v/>
      </c>
      <c r="H24" s="17">
        <f>'Krankenquote Objekte'!H24*$D24</f>
        <v/>
      </c>
      <c r="I24" s="17">
        <f>'Krankenquote Objekte'!I24*$D24</f>
        <v/>
      </c>
      <c r="J24" s="17">
        <f>'Krankenquote Objekte'!J24*$D24</f>
        <v/>
      </c>
      <c r="K24" s="17">
        <f>'Krankenquote Objekte'!K24*$D24</f>
        <v/>
      </c>
      <c r="L24" s="17">
        <f>'Krankenquote Objekte'!L24*$D24</f>
        <v/>
      </c>
      <c r="M24" s="17">
        <f>'Krankenquote Objekte'!M24*$D24</f>
        <v/>
      </c>
      <c r="N24" s="17">
        <f>'Krankenquote Objekte'!N24*$D24</f>
        <v/>
      </c>
      <c r="O24" s="17">
        <f>'Krankenquote Objekte'!O24*$D24</f>
        <v/>
      </c>
      <c r="P24" s="17">
        <f>'Krankenquote Objekte'!P24*$D24</f>
        <v/>
      </c>
      <c r="Q24" s="17">
        <f>'Krankenquote Objekte'!Q24*$D24</f>
        <v/>
      </c>
      <c r="R24" s="5">
        <f>SUM(F24:Q24)</f>
        <v/>
      </c>
      <c r="S24" s="16">
        <f>IF(E24&gt;0,R24/E24,0)</f>
        <v/>
      </c>
      <c r="T24" s="14">
        <f>IF($C$3&gt;0,R24/($C$3/5),0)</f>
        <v/>
      </c>
    </row>
    <row r="25">
      <c r="A25" s="32">
        <f>'Krankenquote Objekte'!A25</f>
        <v/>
      </c>
      <c r="B25" s="33">
        <f>'Krankenquote Objekte'!B25</f>
        <v/>
      </c>
      <c r="C25" s="34">
        <f>'Krankenquote Objekte'!C25</f>
        <v/>
      </c>
      <c r="D25" s="52">
        <f>$C$3/5*'Krankenquote Objekte'!D25</f>
        <v/>
      </c>
      <c r="E25" s="17">
        <f>$R$4*D25</f>
        <v/>
      </c>
      <c r="F25" s="17">
        <f>'Krankenquote Objekte'!F25*$D25</f>
        <v/>
      </c>
      <c r="G25" s="17">
        <f>'Krankenquote Objekte'!G25*$D25</f>
        <v/>
      </c>
      <c r="H25" s="17">
        <f>'Krankenquote Objekte'!H25*$D25</f>
        <v/>
      </c>
      <c r="I25" s="17">
        <f>'Krankenquote Objekte'!I25*$D25</f>
        <v/>
      </c>
      <c r="J25" s="17">
        <f>'Krankenquote Objekte'!J25*$D25</f>
        <v/>
      </c>
      <c r="K25" s="17">
        <f>'Krankenquote Objekte'!K25*$D25</f>
        <v/>
      </c>
      <c r="L25" s="17">
        <f>'Krankenquote Objekte'!L25*$D25</f>
        <v/>
      </c>
      <c r="M25" s="17">
        <f>'Krankenquote Objekte'!M25*$D25</f>
        <v/>
      </c>
      <c r="N25" s="17">
        <f>'Krankenquote Objekte'!N25*$D25</f>
        <v/>
      </c>
      <c r="O25" s="17">
        <f>'Krankenquote Objekte'!O25*$D25</f>
        <v/>
      </c>
      <c r="P25" s="17">
        <f>'Krankenquote Objekte'!P25*$D25</f>
        <v/>
      </c>
      <c r="Q25" s="17">
        <f>'Krankenquote Objekte'!Q25*$D25</f>
        <v/>
      </c>
      <c r="R25" s="5">
        <f>SUM(F25:Q25)</f>
        <v/>
      </c>
      <c r="S25" s="16">
        <f>IF(E25&gt;0,R25/E25,0)</f>
        <v/>
      </c>
      <c r="T25" s="14">
        <f>IF($C$3&gt;0,R25/($C$3/5),0)</f>
        <v/>
      </c>
    </row>
    <row r="26">
      <c r="A26" s="32">
        <f>'Krankenquote Objekte'!A26</f>
        <v/>
      </c>
      <c r="B26" s="33">
        <f>'Krankenquote Objekte'!B26</f>
        <v/>
      </c>
      <c r="C26" s="34">
        <f>'Krankenquote Objekte'!C26</f>
        <v/>
      </c>
      <c r="D26" s="52">
        <f>$C$3/5*'Krankenquote Objekte'!D26</f>
        <v/>
      </c>
      <c r="E26" s="17">
        <f>$R$4*D26</f>
        <v/>
      </c>
      <c r="F26" s="17">
        <f>'Krankenquote Objekte'!F26*$D26</f>
        <v/>
      </c>
      <c r="G26" s="17">
        <f>'Krankenquote Objekte'!G26*$D26</f>
        <v/>
      </c>
      <c r="H26" s="17">
        <f>'Krankenquote Objekte'!H26*$D26</f>
        <v/>
      </c>
      <c r="I26" s="17">
        <f>'Krankenquote Objekte'!I26*$D26</f>
        <v/>
      </c>
      <c r="J26" s="17">
        <f>'Krankenquote Objekte'!J26*$D26</f>
        <v/>
      </c>
      <c r="K26" s="17">
        <f>'Krankenquote Objekte'!K26*$D26</f>
        <v/>
      </c>
      <c r="L26" s="17">
        <f>'Krankenquote Objekte'!L26*$D26</f>
        <v/>
      </c>
      <c r="M26" s="17">
        <f>'Krankenquote Objekte'!M26*$D26</f>
        <v/>
      </c>
      <c r="N26" s="17">
        <f>'Krankenquote Objekte'!N26*$D26</f>
        <v/>
      </c>
      <c r="O26" s="17">
        <f>'Krankenquote Objekte'!O26*$D26</f>
        <v/>
      </c>
      <c r="P26" s="17">
        <f>'Krankenquote Objekte'!P26*$D26</f>
        <v/>
      </c>
      <c r="Q26" s="17">
        <f>'Krankenquote Objekte'!Q26*$D26</f>
        <v/>
      </c>
      <c r="R26" s="5">
        <f>SUM(F26:Q26)</f>
        <v/>
      </c>
      <c r="S26" s="16">
        <f>IF(E26&gt;0,R26/E26,0)</f>
        <v/>
      </c>
      <c r="T26" s="14">
        <f>IF($C$3&gt;0,R26/($C$3/5),0)</f>
        <v/>
      </c>
    </row>
    <row r="27">
      <c r="A27" s="32">
        <f>'Krankenquote Objekte'!A27</f>
        <v/>
      </c>
      <c r="B27" s="33">
        <f>'Krankenquote Objekte'!B27</f>
        <v/>
      </c>
      <c r="C27" s="34">
        <f>'Krankenquote Objekte'!C27</f>
        <v/>
      </c>
      <c r="D27" s="52">
        <f>$C$3/5*'Krankenquote Objekte'!D27</f>
        <v/>
      </c>
      <c r="E27" s="17">
        <f>$R$4*D27</f>
        <v/>
      </c>
      <c r="F27" s="17">
        <f>'Krankenquote Objekte'!F27*$D27</f>
        <v/>
      </c>
      <c r="G27" s="17">
        <f>'Krankenquote Objekte'!G27*$D27</f>
        <v/>
      </c>
      <c r="H27" s="17">
        <f>'Krankenquote Objekte'!H27*$D27</f>
        <v/>
      </c>
      <c r="I27" s="17">
        <f>'Krankenquote Objekte'!I27*$D27</f>
        <v/>
      </c>
      <c r="J27" s="17">
        <f>'Krankenquote Objekte'!J27*$D27</f>
        <v/>
      </c>
      <c r="K27" s="17">
        <f>'Krankenquote Objekte'!K27*$D27</f>
        <v/>
      </c>
      <c r="L27" s="17">
        <f>'Krankenquote Objekte'!L27*$D27</f>
        <v/>
      </c>
      <c r="M27" s="17">
        <f>'Krankenquote Objekte'!M27*$D27</f>
        <v/>
      </c>
      <c r="N27" s="17">
        <f>'Krankenquote Objekte'!N27*$D27</f>
        <v/>
      </c>
      <c r="O27" s="17">
        <f>'Krankenquote Objekte'!O27*$D27</f>
        <v/>
      </c>
      <c r="P27" s="17">
        <f>'Krankenquote Objekte'!P27*$D27</f>
        <v/>
      </c>
      <c r="Q27" s="17">
        <f>'Krankenquote Objekte'!Q27*$D27</f>
        <v/>
      </c>
      <c r="R27" s="5">
        <f>SUM(F27:Q27)</f>
        <v/>
      </c>
      <c r="S27" s="16">
        <f>IF(E27&gt;0,R27/E27,0)</f>
        <v/>
      </c>
      <c r="T27" s="14">
        <f>IF($C$3&gt;0,R27/($C$3/5),0)</f>
        <v/>
      </c>
    </row>
    <row r="28">
      <c r="A28" s="32">
        <f>'Krankenquote Objekte'!A28</f>
        <v/>
      </c>
      <c r="B28" s="33">
        <f>'Krankenquote Objekte'!B28</f>
        <v/>
      </c>
      <c r="C28" s="34">
        <f>'Krankenquote Objekte'!C28</f>
        <v/>
      </c>
      <c r="D28" s="52">
        <f>$C$3/5*'Krankenquote Objekte'!D28</f>
        <v/>
      </c>
      <c r="E28" s="17">
        <f>$R$4*D28</f>
        <v/>
      </c>
      <c r="F28" s="17">
        <f>'Krankenquote Objekte'!F28*$D28</f>
        <v/>
      </c>
      <c r="G28" s="17">
        <f>'Krankenquote Objekte'!G28*$D28</f>
        <v/>
      </c>
      <c r="H28" s="17">
        <f>'Krankenquote Objekte'!H28*$D28</f>
        <v/>
      </c>
      <c r="I28" s="17">
        <f>'Krankenquote Objekte'!I28*$D28</f>
        <v/>
      </c>
      <c r="J28" s="17">
        <f>'Krankenquote Objekte'!J28*$D28</f>
        <v/>
      </c>
      <c r="K28" s="17">
        <f>'Krankenquote Objekte'!K28*$D28</f>
        <v/>
      </c>
      <c r="L28" s="17">
        <f>'Krankenquote Objekte'!L28*$D28</f>
        <v/>
      </c>
      <c r="M28" s="17">
        <f>'Krankenquote Objekte'!M28*$D28</f>
        <v/>
      </c>
      <c r="N28" s="17">
        <f>'Krankenquote Objekte'!N28*$D28</f>
        <v/>
      </c>
      <c r="O28" s="17">
        <f>'Krankenquote Objekte'!O28*$D28</f>
        <v/>
      </c>
      <c r="P28" s="17">
        <f>'Krankenquote Objekte'!P28*$D28</f>
        <v/>
      </c>
      <c r="Q28" s="17">
        <f>'Krankenquote Objekte'!Q28*$D28</f>
        <v/>
      </c>
      <c r="R28" s="5">
        <f>SUM(F28:Q28)</f>
        <v/>
      </c>
      <c r="S28" s="16">
        <f>IF(E28&gt;0,R28/E28,0)</f>
        <v/>
      </c>
      <c r="T28" s="14">
        <f>IF($C$3&gt;0,R28/($C$3/5),0)</f>
        <v/>
      </c>
    </row>
    <row r="29">
      <c r="A29" s="32">
        <f>'Krankenquote Objekte'!A29</f>
        <v/>
      </c>
      <c r="B29" s="33">
        <f>'Krankenquote Objekte'!B29</f>
        <v/>
      </c>
      <c r="C29" s="34">
        <f>'Krankenquote Objekte'!C29</f>
        <v/>
      </c>
      <c r="D29" s="52">
        <f>$C$3/5*'Krankenquote Objekte'!D29</f>
        <v/>
      </c>
      <c r="E29" s="17">
        <f>$R$4*D29</f>
        <v/>
      </c>
      <c r="F29" s="17">
        <f>'Krankenquote Objekte'!F29*$D29</f>
        <v/>
      </c>
      <c r="G29" s="17">
        <f>'Krankenquote Objekte'!G29*$D29</f>
        <v/>
      </c>
      <c r="H29" s="17">
        <f>'Krankenquote Objekte'!H29*$D29</f>
        <v/>
      </c>
      <c r="I29" s="17">
        <f>'Krankenquote Objekte'!I29*$D29</f>
        <v/>
      </c>
      <c r="J29" s="17">
        <f>'Krankenquote Objekte'!J29*$D29</f>
        <v/>
      </c>
      <c r="K29" s="17">
        <f>'Krankenquote Objekte'!K29*$D29</f>
        <v/>
      </c>
      <c r="L29" s="17">
        <f>'Krankenquote Objekte'!L29*$D29</f>
        <v/>
      </c>
      <c r="M29" s="17">
        <f>'Krankenquote Objekte'!M29*$D29</f>
        <v/>
      </c>
      <c r="N29" s="17">
        <f>'Krankenquote Objekte'!N29*$D29</f>
        <v/>
      </c>
      <c r="O29" s="17">
        <f>'Krankenquote Objekte'!O29*$D29</f>
        <v/>
      </c>
      <c r="P29" s="17">
        <f>'Krankenquote Objekte'!P29*$D29</f>
        <v/>
      </c>
      <c r="Q29" s="17">
        <f>'Krankenquote Objekte'!Q29*$D29</f>
        <v/>
      </c>
      <c r="R29" s="5">
        <f>SUM(F29:Q29)</f>
        <v/>
      </c>
      <c r="S29" s="16">
        <f>IF(E29&gt;0,R29/E29,0)</f>
        <v/>
      </c>
      <c r="T29" s="14">
        <f>IF($C$3&gt;0,R29/($C$3/5),0)</f>
        <v/>
      </c>
    </row>
    <row r="30">
      <c r="A30" s="32">
        <f>'Krankenquote Objekte'!A30</f>
        <v/>
      </c>
      <c r="B30" s="33">
        <f>'Krankenquote Objekte'!B30</f>
        <v/>
      </c>
      <c r="C30" s="34">
        <f>'Krankenquote Objekte'!C30</f>
        <v/>
      </c>
      <c r="D30" s="52">
        <f>$C$3/5*'Krankenquote Objekte'!D30</f>
        <v/>
      </c>
      <c r="E30" s="17">
        <f>$R$4*D30</f>
        <v/>
      </c>
      <c r="F30" s="17">
        <f>'Krankenquote Objekte'!F30*$D30</f>
        <v/>
      </c>
      <c r="G30" s="17">
        <f>'Krankenquote Objekte'!G30*$D30</f>
        <v/>
      </c>
      <c r="H30" s="17">
        <f>'Krankenquote Objekte'!H30*$D30</f>
        <v/>
      </c>
      <c r="I30" s="17">
        <f>'Krankenquote Objekte'!I30*$D30</f>
        <v/>
      </c>
      <c r="J30" s="17">
        <f>'Krankenquote Objekte'!J30*$D30</f>
        <v/>
      </c>
      <c r="K30" s="17">
        <f>'Krankenquote Objekte'!K30*$D30</f>
        <v/>
      </c>
      <c r="L30" s="17">
        <f>'Krankenquote Objekte'!L30*$D30</f>
        <v/>
      </c>
      <c r="M30" s="17">
        <f>'Krankenquote Objekte'!M30*$D30</f>
        <v/>
      </c>
      <c r="N30" s="17">
        <f>'Krankenquote Objekte'!N30*$D30</f>
        <v/>
      </c>
      <c r="O30" s="17">
        <f>'Krankenquote Objekte'!O30*$D30</f>
        <v/>
      </c>
      <c r="P30" s="17">
        <f>'Krankenquote Objekte'!P30*$D30</f>
        <v/>
      </c>
      <c r="Q30" s="17">
        <f>'Krankenquote Objekte'!Q30*$D30</f>
        <v/>
      </c>
      <c r="R30" s="5">
        <f>SUM(F30:Q30)</f>
        <v/>
      </c>
      <c r="S30" s="16">
        <f>IF(E30&gt;0,R30/E30,0)</f>
        <v/>
      </c>
      <c r="T30" s="14">
        <f>IF($C$3&gt;0,R30/($C$3/5),0)</f>
        <v/>
      </c>
    </row>
    <row r="31">
      <c r="A31" s="18" t="n"/>
      <c r="B31" s="18">
        <f>"Summe "&amp;B20</f>
        <v/>
      </c>
      <c r="C31" s="18" t="n"/>
      <c r="D31" s="20">
        <f>SUM(D21:D30)</f>
        <v/>
      </c>
      <c r="E31" s="22">
        <f>SUM(E21:E30)</f>
        <v/>
      </c>
      <c r="F31" s="22">
        <f>SUM(F21:F30)</f>
        <v/>
      </c>
      <c r="G31" s="22">
        <f>SUM(G21:G30)</f>
        <v/>
      </c>
      <c r="H31" s="22">
        <f>SUM(H21:H30)</f>
        <v/>
      </c>
      <c r="I31" s="22">
        <f>SUM(I21:I30)</f>
        <v/>
      </c>
      <c r="J31" s="22">
        <f>SUM(J21:J30)</f>
        <v/>
      </c>
      <c r="K31" s="22">
        <f>SUM(K21:K30)</f>
        <v/>
      </c>
      <c r="L31" s="22">
        <f>SUM(L21:L30)</f>
        <v/>
      </c>
      <c r="M31" s="22">
        <f>SUM(M21:M30)</f>
        <v/>
      </c>
      <c r="N31" s="22">
        <f>SUM(N21:N30)</f>
        <v/>
      </c>
      <c r="O31" s="22">
        <f>SUM(O21:O30)</f>
        <v/>
      </c>
      <c r="P31" s="22">
        <f>SUM(P21:P30)</f>
        <v/>
      </c>
      <c r="Q31" s="22">
        <f>SUM(Q21:Q30)</f>
        <v/>
      </c>
      <c r="R31" s="22">
        <f>SUM(R21:R30)</f>
        <v/>
      </c>
      <c r="S31" s="23">
        <f>IF(E31&gt;0,R31/E31,0)</f>
        <v/>
      </c>
      <c r="T31" s="21">
        <f>SUM(T21:T30)</f>
        <v/>
      </c>
    </row>
    <row r="32">
      <c r="A32" s="24" t="n"/>
      <c r="B32" s="18" t="inlineStr">
        <is>
          <t>Monatsquote (Std.)</t>
        </is>
      </c>
      <c r="C32" s="24" t="n"/>
      <c r="D32" s="24" t="n"/>
      <c r="E32" s="24" t="n"/>
      <c r="F32" s="23">
        <f>IF(F$4*$D31&gt;0,F31/(F$4*$D31),0)</f>
        <v/>
      </c>
      <c r="G32" s="23">
        <f>IF(G$4*$D31&gt;0,G31/(G$4*$D31),0)</f>
        <v/>
      </c>
      <c r="H32" s="23">
        <f>IF(H$4*$D31&gt;0,H31/(H$4*$D31),0)</f>
        <v/>
      </c>
      <c r="I32" s="23">
        <f>IF(I$4*$D31&gt;0,I31/(I$4*$D31),0)</f>
        <v/>
      </c>
      <c r="J32" s="23">
        <f>IF(J$4*$D31&gt;0,J31/(J$4*$D31),0)</f>
        <v/>
      </c>
      <c r="K32" s="23">
        <f>IF(K$4*$D31&gt;0,K31/(K$4*$D31),0)</f>
        <v/>
      </c>
      <c r="L32" s="23">
        <f>IF(L$4*$D31&gt;0,L31/(L$4*$D31),0)</f>
        <v/>
      </c>
      <c r="M32" s="23">
        <f>IF(M$4*$D31&gt;0,M31/(M$4*$D31),0)</f>
        <v/>
      </c>
      <c r="N32" s="23">
        <f>IF(N$4*$D31&gt;0,N31/(N$4*$D31),0)</f>
        <v/>
      </c>
      <c r="O32" s="23">
        <f>IF(O$4*$D31&gt;0,O31/(O$4*$D31),0)</f>
        <v/>
      </c>
      <c r="P32" s="23">
        <f>IF(P$4*$D31&gt;0,P31/(P$4*$D31),0)</f>
        <v/>
      </c>
      <c r="Q32" s="23">
        <f>IF(Q$4*$D31&gt;0,Q31/(Q$4*$D31),0)</f>
        <v/>
      </c>
      <c r="R32" s="24" t="n"/>
      <c r="S32" s="24" t="n"/>
      <c r="T32" s="24" t="n"/>
    </row>
    <row r="34">
      <c r="A34" s="27" t="n"/>
      <c r="B34" s="27" t="inlineStr">
        <is>
          <t>GESAMT alle Objekte</t>
        </is>
      </c>
      <c r="C34" s="27" t="n"/>
      <c r="D34" s="28">
        <f>D17+D31</f>
        <v/>
      </c>
      <c r="E34" s="30">
        <f>E17+E31</f>
        <v/>
      </c>
      <c r="F34" s="30">
        <f>F17+F31</f>
        <v/>
      </c>
      <c r="G34" s="30">
        <f>G17+G31</f>
        <v/>
      </c>
      <c r="H34" s="30">
        <f>H17+H31</f>
        <v/>
      </c>
      <c r="I34" s="30">
        <f>I17+I31</f>
        <v/>
      </c>
      <c r="J34" s="30">
        <f>J17+J31</f>
        <v/>
      </c>
      <c r="K34" s="30">
        <f>K17+K31</f>
        <v/>
      </c>
      <c r="L34" s="30">
        <f>L17+L31</f>
        <v/>
      </c>
      <c r="M34" s="30">
        <f>M17+M31</f>
        <v/>
      </c>
      <c r="N34" s="30">
        <f>N17+N31</f>
        <v/>
      </c>
      <c r="O34" s="30">
        <f>O17+O31</f>
        <v/>
      </c>
      <c r="P34" s="30">
        <f>P17+P31</f>
        <v/>
      </c>
      <c r="Q34" s="30">
        <f>Q17+Q31</f>
        <v/>
      </c>
      <c r="R34" s="30">
        <f>R17+R31</f>
        <v/>
      </c>
      <c r="S34" s="31">
        <f>IF(E34&gt;0,R34/E34,0)</f>
        <v/>
      </c>
      <c r="T34" s="29">
        <f>T17+T31</f>
        <v/>
      </c>
    </row>
    <row r="35">
      <c r="B35" s="18" t="inlineStr">
        <is>
          <t>Monatsquote gesamt</t>
        </is>
      </c>
      <c r="F35" s="23">
        <f>IF(F$4*$D34&gt;0,F34/(F$4*$D34),0)</f>
        <v/>
      </c>
      <c r="G35" s="23">
        <f>IF(G$4*$D34&gt;0,G34/(G$4*$D34),0)</f>
        <v/>
      </c>
      <c r="H35" s="23">
        <f>IF(H$4*$D34&gt;0,H34/(H$4*$D34),0)</f>
        <v/>
      </c>
      <c r="I35" s="23">
        <f>IF(I$4*$D34&gt;0,I34/(I$4*$D34),0)</f>
        <v/>
      </c>
      <c r="J35" s="23">
        <f>IF(J$4*$D34&gt;0,J34/(J$4*$D34),0)</f>
        <v/>
      </c>
      <c r="K35" s="23">
        <f>IF(K$4*$D34&gt;0,K34/(K$4*$D34),0)</f>
        <v/>
      </c>
      <c r="L35" s="23">
        <f>IF(L$4*$D34&gt;0,L34/(L$4*$D34),0)</f>
        <v/>
      </c>
      <c r="M35" s="23">
        <f>IF(M$4*$D34&gt;0,M34/(M$4*$D34),0)</f>
        <v/>
      </c>
      <c r="N35" s="23">
        <f>IF(N$4*$D34&gt;0,N34/(N$4*$D34),0)</f>
        <v/>
      </c>
      <c r="O35" s="23">
        <f>IF(O$4*$D34&gt;0,O34/(O$4*$D34),0)</f>
        <v/>
      </c>
      <c r="P35" s="23">
        <f>IF(P$4*$D34&gt;0,P34/(P$4*$D34),0)</f>
        <v/>
      </c>
      <c r="Q35" s="23">
        <f>IF(Q$4*$D34&gt;0,Q34/(Q$4*$D34),0)</f>
        <v/>
      </c>
    </row>
    <row r="37">
      <c r="A37" s="47" t="inlineStr">
        <is>
          <t>Stunden je Objekt</t>
        </is>
      </c>
    </row>
    <row r="38" ht="30" customHeight="1">
      <c r="A38" s="6" t="inlineStr">
        <is>
          <t>Objekt</t>
        </is>
      </c>
      <c r="B38" s="6" t="inlineStr">
        <is>
          <t>Sollstunden</t>
        </is>
      </c>
      <c r="C38" s="6" t="inlineStr">
        <is>
          <t>Krankstunden</t>
        </is>
      </c>
      <c r="D38" s="6" t="inlineStr">
        <is>
          <t>Quote (Std.)</t>
        </is>
      </c>
      <c r="E38" s="6" t="inlineStr">
        <is>
          <t>Anteil Krank-
stunden</t>
        </is>
      </c>
      <c r="F38" s="6" t="inlineStr">
        <is>
          <t>Ø Krankstd.
je MA</t>
        </is>
      </c>
      <c r="G38" s="6" t="inlineStr">
        <is>
          <t>Ausfall
VZ-Tage</t>
        </is>
      </c>
      <c r="H38" s="6" t="inlineStr">
        <is>
          <t>Ausfall
VZ-Stellen</t>
        </is>
      </c>
    </row>
    <row r="39">
      <c r="A39" s="9">
        <f>B6</f>
        <v/>
      </c>
      <c r="B39" s="17">
        <f>E17</f>
        <v/>
      </c>
      <c r="C39" s="17">
        <f>R17</f>
        <v/>
      </c>
      <c r="D39" s="16">
        <f>IF(B39&gt;0,C39/B39,0)</f>
        <v/>
      </c>
      <c r="E39" s="44">
        <f>IF($C$41&gt;0,C39/$C$41,0)</f>
        <v/>
      </c>
      <c r="F39" s="14">
        <f>IF(COUNTA(B7:B16)&gt;0,C39/COUNTA(B7:B16),0)</f>
        <v/>
      </c>
      <c r="G39" s="14">
        <f>T17</f>
        <v/>
      </c>
      <c r="H39" s="54">
        <f>IF($R$4*$C$3/5&gt;0,C39/($R$4*$C$3/5),0)</f>
        <v/>
      </c>
    </row>
    <row r="40">
      <c r="A40" s="26">
        <f>B20</f>
        <v/>
      </c>
      <c r="B40" s="17">
        <f>E31</f>
        <v/>
      </c>
      <c r="C40" s="17">
        <f>R31</f>
        <v/>
      </c>
      <c r="D40" s="16">
        <f>IF(B40&gt;0,C40/B40,0)</f>
        <v/>
      </c>
      <c r="E40" s="44">
        <f>IF($C$41&gt;0,C40/$C$41,0)</f>
        <v/>
      </c>
      <c r="F40" s="14">
        <f>IF(COUNTA(B21:B30)&gt;0,C40/COUNTA(B21:B30),0)</f>
        <v/>
      </c>
      <c r="G40" s="14">
        <f>T31</f>
        <v/>
      </c>
      <c r="H40" s="54">
        <f>IF($R$4*$C$3/5&gt;0,C40/($R$4*$C$3/5),0)</f>
        <v/>
      </c>
    </row>
    <row r="41">
      <c r="A41" s="27" t="inlineStr">
        <is>
          <t>Gesamt</t>
        </is>
      </c>
      <c r="B41" s="30">
        <f>SUM(B39:B40)</f>
        <v/>
      </c>
      <c r="C41" s="30">
        <f>SUM(C39:C40)</f>
        <v/>
      </c>
      <c r="D41" s="31">
        <f>IF(B41&gt;0,C41/B41,0)</f>
        <v/>
      </c>
      <c r="E41" s="31">
        <f>SUM(E39:E40)</f>
        <v/>
      </c>
      <c r="F41" s="29">
        <f>IF(COUNTA(B7:B16)+COUNTA(B21:B30)&gt;0,C41/(COUNTA(B7:B16)+COUNTA(B21:B30)),0)</f>
        <v/>
      </c>
      <c r="G41" s="29">
        <f>SUM(G39:G40)</f>
        <v/>
      </c>
      <c r="H41" s="28">
        <f>SUM(H39:H40)</f>
        <v/>
      </c>
    </row>
    <row r="42">
      <c r="A42" s="2" t="inlineStr">
        <is>
          <t>Ausfall VZ-Stellen = Krankstunden ÷ Jahres-Sollstunden einer Vollzeitkraft (wie viele Vollzeitstellen über das Jahr durch Krankheit gefehlt haben).</t>
        </is>
      </c>
    </row>
    <row r="44">
      <c r="A44" s="47" t="inlineStr">
        <is>
          <t>Krankstunden im Monatsverlauf</t>
        </is>
      </c>
    </row>
    <row r="45">
      <c r="A45" s="6" t="inlineStr">
        <is>
          <t>Monat</t>
        </is>
      </c>
      <c r="B45" s="6">
        <f>B6</f>
        <v/>
      </c>
      <c r="C45" s="6">
        <f>B20</f>
        <v/>
      </c>
    </row>
    <row r="46">
      <c r="A46" s="12" t="inlineStr">
        <is>
          <t>Jan</t>
        </is>
      </c>
      <c r="B46" s="17">
        <f>F17</f>
        <v/>
      </c>
      <c r="C46" s="17">
        <f>F31</f>
        <v/>
      </c>
    </row>
    <row r="47">
      <c r="A47" s="12" t="inlineStr">
        <is>
          <t>Feb</t>
        </is>
      </c>
      <c r="B47" s="17">
        <f>G17</f>
        <v/>
      </c>
      <c r="C47" s="17">
        <f>G31</f>
        <v/>
      </c>
    </row>
    <row r="48">
      <c r="A48" s="12" t="inlineStr">
        <is>
          <t>Mär</t>
        </is>
      </c>
      <c r="B48" s="17">
        <f>H17</f>
        <v/>
      </c>
      <c r="C48" s="17">
        <f>H31</f>
        <v/>
      </c>
    </row>
    <row r="49">
      <c r="A49" s="12" t="inlineStr">
        <is>
          <t>Apr</t>
        </is>
      </c>
      <c r="B49" s="17">
        <f>I17</f>
        <v/>
      </c>
      <c r="C49" s="17">
        <f>I31</f>
        <v/>
      </c>
    </row>
    <row r="50">
      <c r="A50" s="12" t="inlineStr">
        <is>
          <t>Mai</t>
        </is>
      </c>
      <c r="B50" s="17">
        <f>J17</f>
        <v/>
      </c>
      <c r="C50" s="17">
        <f>J31</f>
        <v/>
      </c>
    </row>
    <row r="51">
      <c r="A51" s="12" t="inlineStr">
        <is>
          <t>Jun</t>
        </is>
      </c>
      <c r="B51" s="17">
        <f>K17</f>
        <v/>
      </c>
      <c r="C51" s="17">
        <f>K31</f>
        <v/>
      </c>
    </row>
    <row r="52">
      <c r="A52" s="12" t="inlineStr">
        <is>
          <t>Jul</t>
        </is>
      </c>
      <c r="B52" s="17">
        <f>L17</f>
        <v/>
      </c>
      <c r="C52" s="17">
        <f>L31</f>
        <v/>
      </c>
    </row>
    <row r="53">
      <c r="A53" s="12" t="inlineStr">
        <is>
          <t>Aug</t>
        </is>
      </c>
      <c r="B53" s="17">
        <f>M17</f>
        <v/>
      </c>
      <c r="C53" s="17">
        <f>M31</f>
        <v/>
      </c>
    </row>
    <row r="54">
      <c r="A54" s="12" t="inlineStr">
        <is>
          <t>Sep</t>
        </is>
      </c>
      <c r="B54" s="17">
        <f>N17</f>
        <v/>
      </c>
      <c r="C54" s="17">
        <f>N31</f>
        <v/>
      </c>
    </row>
    <row r="55">
      <c r="A55" s="12" t="inlineStr">
        <is>
          <t>Okt</t>
        </is>
      </c>
      <c r="B55" s="17">
        <f>O17</f>
        <v/>
      </c>
      <c r="C55" s="17">
        <f>O31</f>
        <v/>
      </c>
    </row>
    <row r="56">
      <c r="A56" s="12" t="inlineStr">
        <is>
          <t>Nov</t>
        </is>
      </c>
      <c r="B56" s="17">
        <f>P17</f>
        <v/>
      </c>
      <c r="C56" s="17">
        <f>P31</f>
        <v/>
      </c>
    </row>
    <row r="57">
      <c r="A57" s="12" t="inlineStr">
        <is>
          <t>Dez</t>
        </is>
      </c>
      <c r="B57" s="17">
        <f>Q17</f>
        <v/>
      </c>
      <c r="C57" s="17">
        <f>Q31</f>
        <v/>
      </c>
    </row>
  </sheetData>
  <mergeCells count="1">
    <mergeCell ref="A2:T2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2026-10-03T08:41:56Z</dcterms:created>
  <dcterms:modified xsi:type="dcterms:W3CDTF">2026-10-03T08:41:56Z</dcterms:modified>
</cp:coreProperties>
</file>