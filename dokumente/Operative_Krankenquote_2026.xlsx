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klärung" sheetId="1" state="visible" r:id="rId1"/>
    <sheet name="Einstellungen" sheetId="2" state="visible" r:id="rId2"/>
    <sheet name="Mitarbeiter" sheetId="3" state="visible" r:id="rId3"/>
    <sheet name="Stunden Objekte" sheetId="4" state="visible" r:id="rId4"/>
    <sheet name="Krankheitstage" sheetId="5" state="visible" r:id="rId5"/>
    <sheet name="Ist-Stunden" sheetId="6" state="visible" r:id="rId6"/>
    <sheet name="Krankenquote Objekte" sheetId="7" state="visible" r:id="rId7"/>
    <sheet name="KQuote Mitarbeiter" sheetId="8" state="visible" r:id="rId8"/>
    <sheet name="Auswertung Objekte" sheetId="9" state="visible" r:id="rId9"/>
    <sheet name="Stundenauswertung" sheetId="10" state="visible" r:id="rId10"/>
    <sheet name="Berechnung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"/>
    <numFmt numFmtId="165" formatCode="0.0%"/>
    <numFmt numFmtId="166" formatCode="DD.MM.YYYY"/>
    <numFmt numFmtId="167" formatCode="#,##0;-#,##0;&quot;-&quot;"/>
    <numFmt numFmtId="168" formatCode="yyyy-mm-dd"/>
    <numFmt numFmtId="169" formatCode="#,##0.0;-#,##0.0;&quot;-&quot;"/>
    <numFmt numFmtId="170" formatCode="MMMM"/>
    <numFmt numFmtId="171" formatCode="0.0%;-0.0%;&quot;-&quot;"/>
    <numFmt numFmtId="172" formatCode="0.000"/>
    <numFmt numFmtId="173" formatCode="+0.0%;-0.0%;&quot;±0,0%&quot;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008000"/>
      <sz val="10"/>
    </font>
    <font>
      <name val="Arial"/>
      <b val="1"/>
      <color rgb="001F3864"/>
      <sz val="11"/>
    </font>
    <font>
      <name val="Arial"/>
      <b val="1"/>
      <color rgb="00006100"/>
    </font>
    <font>
      <name val="Arial"/>
      <b val="1"/>
      <color rgb="009C5700"/>
    </font>
    <font>
      <name val="Arial"/>
      <b val="1"/>
      <color rgb="009C0006"/>
    </font>
    <font>
      <name val="Arial"/>
      <color rgb="000563C1"/>
      <sz val="10"/>
      <u val="single"/>
    </font>
  </fonts>
  <fills count="11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F5597"/>
      </patternFill>
    </fill>
    <fill>
      <patternFill patternType="solid">
        <fgColor rgb="00548235"/>
      </patternFill>
    </fill>
    <fill>
      <patternFill patternType="solid">
        <fgColor rgb="007F7F7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7" fillId="3" borderId="1" pivotButton="0" quotePrefix="0" xfId="0"/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1" applyAlignment="1" pivotButton="0" quotePrefix="0" xfId="0">
      <alignment vertical="center" wrapText="1"/>
    </xf>
    <xf numFmtId="1" fontId="4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164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167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3" fillId="4" borderId="1" pivotButton="0" quotePrefix="0" xfId="0"/>
    <xf numFmtId="167" fontId="3" fillId="4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2" fontId="6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9" fontId="6" fillId="4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/>
    </xf>
    <xf numFmtId="167" fontId="3" fillId="0" borderId="1" applyAlignment="1" pivotButton="0" quotePrefix="0" xfId="0">
      <alignment horizontal="center" vertical="center" wrapText="1"/>
    </xf>
    <xf numFmtId="170" fontId="6" fillId="0" borderId="1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center" vertical="center" wrapText="1"/>
    </xf>
    <xf numFmtId="169" fontId="3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71" fontId="3" fillId="0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9" fontId="4" fillId="2" borderId="1" applyAlignment="1" pivotButton="0" quotePrefix="0" xfId="0">
      <alignment horizontal="center" vertical="center" wrapText="1"/>
    </xf>
    <xf numFmtId="169" fontId="5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8" fillId="0" borderId="1" pivotButton="0" quotePrefix="0" xfId="0"/>
    <xf numFmtId="164" fontId="8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0" fontId="5" fillId="5" borderId="1" pivotButton="0" quotePrefix="0" xfId="0"/>
    <xf numFmtId="0" fontId="5" fillId="6" borderId="1" pivotButton="0" quotePrefix="0" xfId="0"/>
    <xf numFmtId="0" fontId="5" fillId="7" borderId="1" applyAlignment="1" pivotButton="0" quotePrefix="0" xfId="0">
      <alignment horizontal="center" vertical="center" wrapText="1"/>
    </xf>
    <xf numFmtId="0" fontId="5" fillId="7" borderId="1" pivotButton="0" quotePrefix="0" xfId="0"/>
    <xf numFmtId="0" fontId="3" fillId="0" borderId="1" applyAlignment="1" pivotButton="0" quotePrefix="0" xfId="0">
      <alignment horizontal="center" vertical="center" wrapText="1"/>
    </xf>
    <xf numFmtId="169" fontId="8" fillId="0" borderId="1" applyAlignment="1" pivotButton="0" quotePrefix="0" xfId="0">
      <alignment horizontal="center" vertical="center" wrapText="1"/>
    </xf>
    <xf numFmtId="169" fontId="6" fillId="0" borderId="1" applyAlignment="1" pivotButton="0" quotePrefix="0" xfId="0">
      <alignment horizontal="center" vertical="center" wrapText="1"/>
    </xf>
    <xf numFmtId="171" fontId="3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167" fontId="8" fillId="0" borderId="1" applyAlignment="1" pivotButton="0" quotePrefix="0" xfId="0">
      <alignment horizontal="center" vertical="center" wrapText="1"/>
    </xf>
    <xf numFmtId="171" fontId="2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72" fontId="2" fillId="0" borderId="1" applyAlignment="1" pivotButton="0" quotePrefix="0" xfId="0">
      <alignment horizontal="center" vertical="center" wrapText="1"/>
    </xf>
    <xf numFmtId="169" fontId="3" fillId="0" borderId="1" applyAlignment="1" pivotButton="0" quotePrefix="0" xfId="0">
      <alignment horizontal="center" vertical="center" wrapText="1"/>
    </xf>
    <xf numFmtId="171" fontId="8" fillId="0" borderId="1" applyAlignment="1" pivotButton="0" quotePrefix="0" xfId="0">
      <alignment horizontal="center" vertical="center" wrapText="1"/>
    </xf>
    <xf numFmtId="171" fontId="6" fillId="0" borderId="1" applyAlignment="1" pivotButton="0" quotePrefix="0" xfId="0">
      <alignment horizontal="center" vertical="center" wrapText="1"/>
    </xf>
    <xf numFmtId="173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167" fontId="5" fillId="3" borderId="1" applyAlignment="1" pivotButton="0" quotePrefix="0" xfId="0">
      <alignment horizontal="center" vertical="center" wrapText="1"/>
    </xf>
    <xf numFmtId="171" fontId="5" fillId="3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1" fontId="6" fillId="0" borderId="1" pivotButton="0" quotePrefix="0" xfId="0"/>
    <xf numFmtId="164" fontId="6" fillId="0" borderId="1" pivotButton="0" quotePrefix="0" xfId="0"/>
    <xf numFmtId="167" fontId="6" fillId="0" borderId="1" pivotButton="0" quotePrefix="0" xfId="0"/>
    <xf numFmtId="169" fontId="6" fillId="0" borderId="1" pivotButton="0" quotePrefix="0" xfId="0"/>
  </cellXfs>
  <cellStyles count="1">
    <cellStyle name="Normal" xfId="0" builtinId="0" hidden="0"/>
  </cellStyles>
  <dxfs count="9">
    <dxf>
      <font>
        <name val="Arial"/>
        <color rgb="007F7F7F"/>
      </font>
    </dxf>
    <dxf>
      <font>
        <name val="Arial"/>
        <b val="1"/>
        <color rgb="00006100"/>
      </font>
    </dxf>
    <dxf>
      <fill>
        <patternFill patternType="solid">
          <fgColor rgb="00FFC7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EB9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  <dxf>
      <font>
        <name val="Arial"/>
        <b val="1"/>
        <color rgb="007F7F7F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Eintritte / Austritte je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'Mitarbeiter'!K5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'Mitarbeiter'!$J$7:$J$18</f>
            </numRef>
          </cat>
          <val>
            <numRef>
              <f>'Mitarbeiter'!$K$6:$K$18</f>
            </numRef>
          </val>
        </ser>
        <ser>
          <idx val="1"/>
          <order val="1"/>
          <tx>
            <strRef>
              <f>'Mitarbeiter'!L5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'Mitarbeiter'!$J$7:$J$18</f>
            </numRef>
          </cat>
          <val>
            <numRef>
              <f>'Mitarbeiter'!$L$6:$L$18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Krankenquote im Monatsverlauf</a:t>
            </a:r>
          </a:p>
        </rich>
      </tx>
    </title>
    <plotArea>
      <lineChart>
        <grouping val="standard"/>
        <ser>
          <idx val="0"/>
          <order val="0"/>
          <tx>
            <strRef>
              <f>'Krankenquote Objekte'!$B$4</f>
            </strRef>
          </tx>
          <spPr>
            <a:ln w="24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Objekte'!$D$6:$D$17</f>
            </numRef>
          </val>
        </ser>
        <ser>
          <idx val="1"/>
          <order val="1"/>
          <tx>
            <strRef>
              <f>'Krankenquote Objekte'!$G$4</f>
            </strRef>
          </tx>
          <spPr>
            <a:ln w="24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Objekte'!$I$6:$I$17</f>
            </numRef>
          </val>
        </ser>
        <ser>
          <idx val="2"/>
          <order val="2"/>
          <tx>
            <strRef>
              <f>'Krankenquote Objekte'!$L$4</f>
            </strRef>
          </tx>
          <spPr>
            <a:ln w="2400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Objekte'!$N$6:$N$17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Kumulierte Krankenquote (Jahr bis Monat)</a:t>
            </a:r>
          </a:p>
        </rich>
      </tx>
    </title>
    <plotArea>
      <lineChart>
        <grouping val="standard"/>
        <ser>
          <idx val="0"/>
          <order val="0"/>
          <tx>
            <strRef>
              <f>'Krankenquote Objekte'!$B$22</f>
            </strRef>
          </tx>
          <spPr>
            <a:ln w="24000">
              <a:solidFill>
                <a:srgbClr val="1F3864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Objekte'!$D$24:$D$35</f>
            </numRef>
          </val>
        </ser>
        <ser>
          <idx val="1"/>
          <order val="1"/>
          <tx>
            <strRef>
              <f>'Krankenquote Objekte'!$E$22</f>
            </strRef>
          </tx>
          <spPr>
            <a:ln w="24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Objekte'!$G$24:$G$35</f>
            </numRef>
          </val>
        </ser>
        <ser>
          <idx val="2"/>
          <order val="2"/>
          <tx>
            <strRef>
              <f>'Krankenquote Objekte'!$H$22</f>
            </strRef>
          </tx>
          <spPr>
            <a:ln w="24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Objekte'!$J$24:$J$35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Verteilung Bewertung (Ist)</a:t>
            </a:r>
          </a:p>
        </rich>
      </tx>
    </title>
    <plotArea>
      <pieChart>
        <varyColors val="1"/>
        <ser>
          <idx val="0"/>
          <order val="0"/>
          <tx>
            <strRef>
              <f>'KQuote Mitarbeiter'!W18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'KQuote Mitarbeiter'!$V$19:$V$21</f>
            </numRef>
          </cat>
          <val>
            <numRef>
              <f>'KQuote Mitarbeiter'!$W$19:$W$21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Krankenquote (Ist)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'KQuote Mitarbeiter'!X25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'KQuote Mitarbeiter'!$W$26:$W$35</f>
            </numRef>
          </cat>
          <val>
            <numRef>
              <f>'KQuote Mitarbeiter'!$X$26:$X$35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Anteil Krankstunden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Objekte'!C4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Objekte'!$A$5:$A$6</f>
            </numRef>
          </cat>
          <val>
            <numRef>
              <f>'Auswertung Objekte'!$C$5:$C$6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Gesamtstunden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Objekte'!B4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Objekte'!$A$5:$A$6</f>
            </numRef>
          </cat>
          <val>
            <numRef>
              <f>'Auswertung Objekte'!$B$5:$B$6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Krankstunden je Monat und Objekt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'Krankenquote Objekte'!$B$4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'Krankenquote Objekte'!$A$6:$A$17</f>
            </numRef>
          </cat>
          <val>
            <numRef>
              <f>'Krankenquote Objekte'!$C$6:$C$17</f>
            </numRef>
          </val>
        </ser>
        <ser>
          <idx val="1"/>
          <order val="1"/>
          <tx>
            <strRef>
              <f>'Krankenquote Objekte'!$G$4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'Krankenquote Objekte'!$A$6:$A$17</f>
            </numRef>
          </cat>
          <val>
            <numRef>
              <f>'Krankenquote Objekte'!$H$6:$H$17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38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24</col>
      <colOff>0</colOff>
      <row>3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37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11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29</row>
      <rowOff>0</rowOff>
    </from>
    <ext cx="79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2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3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4.xm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1">
      <c r="B1" s="1" t="inlineStr">
        <is>
          <t>Erklärung – Operative Krankenquote</t>
        </is>
      </c>
    </row>
    <row r="4">
      <c r="B4" s="2" t="inlineStr">
        <is>
          <t>Was muss ich eintragen?</t>
        </is>
      </c>
      <c r="C4" s="2" t="n"/>
    </row>
    <row r="5" ht="28" customHeight="1">
      <c r="B5" s="3" t="inlineStr">
        <is>
          <t>1. Mitarbeiter</t>
        </is>
      </c>
      <c r="C5" s="4" t="inlineStr">
        <is>
          <t>Jede Person einmal: Pers.-Nr., Name, Eintritt, ggf. Austritt, Wochenstunden. Bei Austritt nur Datum eintragen, Zeile nie löschen.</t>
        </is>
      </c>
    </row>
    <row r="6" ht="28" customHeight="1">
      <c r="B6" s="3" t="inlineStr">
        <is>
          <t>2. Stunden Objekte</t>
        </is>
      </c>
      <c r="C6" s="4" t="inlineStr">
        <is>
          <t>Pro Monat je Objekt EINE Zahl: Gesamtstunden aller Mitarbeiter im Objekt (z. B. aus Dienstplan/Zeiterfassung). Wer zwischen den Objekten wechselt, steckt mit seinen Stunden einfach in der jeweiligen Objektsumme.</t>
        </is>
      </c>
    </row>
    <row r="7" ht="42" customHeight="1">
      <c r="B7" s="3" t="inlineStr">
        <is>
          <t>3. Krankheitstage</t>
        </is>
      </c>
      <c r="C7" s="4" t="inlineStr">
        <is>
          <t>Tabelle mit einer Zeile je Mitarbeiter (automatisch aus der Mitarbeiterliste) und einer Spalte je Monat. Nur die Krankheitstage eintragen, an denen der MA eingesetzt war – tariflich zählen nur eingesetzte Zeiträume, daher keine AU-Zeiträume. Krankstunden = Tage × Std./Tag (40 Std./Woche = 8 Std.).</t>
        </is>
      </c>
    </row>
    <row r="8" ht="28" customHeight="1">
      <c r="B8" s="3" t="inlineStr">
        <is>
          <t>4. Ist-Stunden</t>
        </is>
      </c>
      <c r="C8" s="4" t="inlineStr">
        <is>
          <t>Je Mitarbeiter und Monat die tatsächlich geleisteten Stunden (beide Objekte zusammen). Darauf beruhen Krankenquote, Rang und Ampel je Mitarbeiter. Ohne Ist-Stunden erscheint „keine Ist-Std.“.</t>
        </is>
      </c>
    </row>
    <row r="9" ht="56" customHeight="1">
      <c r="B9" s="3" t="inlineStr">
        <is>
          <t>Jahreswechsel</t>
        </is>
      </c>
      <c r="C9" s="4" t="inlineStr">
        <is>
          <t>In „Stunden Objekte“, „Krankheitstage“ und „Ist-Stunden“ hat jedes Jahr (2026–2030) einen eigenen Block (nach rechts scrollen; mit +/– über den Spalten ein-/ausklappen). Zum Jahreswechsel nur in den Einstellungen das Auswertungsjahr umstellen – alle Auswertungen, Fluktuation und Kumulierung rechnen dann für dieses Jahr. Die Daten der Vorjahre bleiben erhalten.</t>
        </is>
      </c>
    </row>
    <row r="10" ht="28" customHeight="1">
      <c r="B10" s="3" t="inlineStr">
        <is>
          <t>Quote seit Zugehörigkeit</t>
        </is>
      </c>
      <c r="C10" s="4" t="inlineStr">
        <is>
          <t>In „KQuote Mitarbeiter“ rechts: Krankstunden ÷ (Ist-Stunden + Krankstunden) über alle erfassten Jahre ab Eintritt, mit eigener Ampel. Erfasst wird ab 2026 – frühere Jahre fließen nicht ein.</t>
        </is>
      </c>
    </row>
    <row r="11" ht="28" customHeight="1">
      <c r="B11" s="3" t="inlineStr">
        <is>
          <t>Zwei Objekte</t>
        </is>
      </c>
      <c r="C11" s="4" t="inlineStr">
        <is>
          <t>Linker Block = Objekt 1, rechter Block = Objekt 2. War ein MA im Monat in beiden Objekten krank, Tage aufteilen.</t>
        </is>
      </c>
    </row>
    <row r="12" ht="28" customHeight="1">
      <c r="B12" s="3" t="inlineStr">
        <is>
          <t>Farben</t>
        </is>
      </c>
      <c r="C12" s="4" t="inlineStr">
        <is>
          <t>Grau = Monat außerhalb der Beschäftigung (vor Eintritt/nach Austritt). Rot = beide Objekte zusammen mehr Tage als der Monat hat.</t>
        </is>
      </c>
    </row>
    <row r="14">
      <c r="B14" s="2" t="inlineStr">
        <is>
          <t>Einmalig einrichten (Tab Einstellungen)</t>
        </is>
      </c>
      <c r="C14" s="2" t="n"/>
    </row>
    <row r="15" ht="14" customHeight="1">
      <c r="B15" s="3" t="inlineStr">
        <is>
          <t>Grundwerte</t>
        </is>
      </c>
      <c r="C15" s="4" t="inlineStr">
        <is>
          <t>Auswertungsjahr, Objektnamen, Ampelgrenzen, Vollzeit-Wochenstunden.</t>
        </is>
      </c>
    </row>
    <row r="16" ht="28" customHeight="1">
      <c r="B16" s="3" t="inlineStr">
        <is>
          <t>Gesamtstunden mit Krankstunden?</t>
        </is>
      </c>
      <c r="C16" s="4" t="inlineStr">
        <is>
          <t>„Nein“ (Standard), wenn in „Stunden Objekte“ nur tatsächlich gearbeitete Stunden stehen. „Ja“, wenn die Stunden aus dem Dienstplan stammen und Krankstunden bereits enthalten sind.</t>
        </is>
      </c>
    </row>
    <row r="17" ht="28" customHeight="1">
      <c r="B17" s="3" t="inlineStr">
        <is>
          <t>Feiertage</t>
        </is>
      </c>
      <c r="C17" s="4" t="inlineStr">
        <is>
          <t>NRW 2026 sind eingetragen. Sie werden nur bei Einstellung „Mo–Fr“ abgezogen; bei „7 Tage“ zählt jeder Kalendertag.</t>
        </is>
      </c>
    </row>
    <row r="19">
      <c r="B19" s="2" t="inlineStr">
        <is>
          <t>Die Auswertungen (alles automatisch)</t>
        </is>
      </c>
      <c r="C19" s="2" t="n"/>
    </row>
    <row r="20" ht="14" customHeight="1">
      <c r="B20" s="3" t="inlineStr">
        <is>
          <t>Krankenquote Objekte</t>
        </is>
      </c>
      <c r="C20" s="4" t="inlineStr">
        <is>
          <t>Je Monat und Objekt: Gesamtstunden, Krankstunden, Quote, Krankheitstage, Anzahl kranker MA; Liniendiagramm.</t>
        </is>
      </c>
    </row>
    <row r="21" ht="28" customHeight="1">
      <c r="B21" s="3" t="inlineStr">
        <is>
          <t>Jahreskumulierung</t>
        </is>
      </c>
      <c r="C21" s="4" t="inlineStr">
        <is>
          <t>Im Tab „Krankenquote Objekte“ unter der Monatstabelle: Gesamtstunden, Krankstunden und Quote kumuliert von Januar bis zum jeweiligen Monat (je Objekt und gesamt), mit Liniendiagramm.</t>
        </is>
      </c>
    </row>
    <row r="22" ht="28" customHeight="1">
      <c r="B22" s="3" t="inlineStr">
        <is>
          <t>KQuote Mitarbeiter</t>
        </is>
      </c>
      <c r="C22" s="4" t="inlineStr">
        <is>
          <t>Je Person: Soll- und Ist-Stunden, Krankstunden, Krankheitstage je Objekt, Quote (Soll, Info), Quote (Ist), Rang und Ampel auf Basis Ist. Kennzahlen, Kuchendiagramm Bewertung, Top 10.</t>
        </is>
      </c>
    </row>
    <row r="23" ht="14" customHeight="1">
      <c r="B23" s="3" t="inlineStr">
        <is>
          <t>Auswertung Objekte</t>
        </is>
      </c>
      <c r="C23" s="4" t="inlineStr">
        <is>
          <t>Jahresvergleich beider Objekte mit Kuchendiagrammen (Krankstunden, Gesamtstunden) und Monatsdiagramm.</t>
        </is>
      </c>
    </row>
    <row r="24" ht="14" customHeight="1">
      <c r="B24" s="3" t="inlineStr">
        <is>
          <t>Stundenauswertung</t>
        </is>
      </c>
      <c r="C24" s="4" t="inlineStr">
        <is>
          <t>Krankstunden je Mitarbeiter und Monat mit Sollstunden und Quote.</t>
        </is>
      </c>
    </row>
    <row r="25" ht="14" customHeight="1">
      <c r="B25" s="3" t="inlineStr">
        <is>
          <t>Mitarbeiter (Fluktuation)</t>
        </is>
      </c>
      <c r="C25" s="4" t="inlineStr">
        <is>
          <t>Eintritte, Austritte, Bestand je Monat, Fluktuationsquote.</t>
        </is>
      </c>
    </row>
    <row r="27">
      <c r="B27" s="2" t="inlineStr">
        <is>
          <t>Formeln</t>
        </is>
      </c>
      <c r="C27" s="2" t="n"/>
    </row>
    <row r="28" ht="28" customHeight="1">
      <c r="B28" s="3" t="inlineStr">
        <is>
          <t>Tage zählen</t>
        </is>
      </c>
      <c r="C28" s="4" t="inlineStr">
        <is>
          <t>Wirkt nur auf die Sollstunden je Mitarbeiter: „7 Tage“ = jeder Kalendertag im Beschäftigungszeitraum × Std./Tag, „Mo–Fr“ = nur Werktage ohne Feiertage. Krankheitstage trägst du selbst ein.</t>
        </is>
      </c>
    </row>
    <row r="29" ht="14" customHeight="1">
      <c r="B29" s="3" t="inlineStr">
        <is>
          <t>Krankstunden</t>
        </is>
      </c>
      <c r="C29" s="4" t="inlineStr">
        <is>
          <t>Krankheitstage × Std./Tag.</t>
        </is>
      </c>
    </row>
    <row r="30" ht="14" customHeight="1">
      <c r="B30" s="3" t="inlineStr">
        <is>
          <t>Quote je Objekt</t>
        </is>
      </c>
      <c r="C30" s="4" t="inlineStr">
        <is>
          <t>Krankstunden ÷ (Gesamtstunden + Krankstunden). Bei Einstellung „Ja“: Krankstunden ÷ Gesamtstunden.</t>
        </is>
      </c>
    </row>
    <row r="31" ht="28" customHeight="1">
      <c r="B31" s="3" t="inlineStr">
        <is>
          <t>Quote je Mitarbeiter</t>
        </is>
      </c>
      <c r="C31" s="4" t="inlineStr">
        <is>
          <t>Maßgeblich (Rang, Ampel): Krankstunden ÷ (Ist-Stunden + Krankstunden); bei Einstellung „Ja“ Krankstunden ÷ Ist-Stunden. Zur Info zusätzlich Quote (Soll) = Krankstunden ÷ Sollstunden.</t>
        </is>
      </c>
    </row>
    <row r="32" ht="14" customHeight="1">
      <c r="B32" s="3" t="inlineStr">
        <is>
          <t>Ampel</t>
        </is>
      </c>
      <c r="C32" s="4" t="inlineStr">
        <is>
          <t>unauffällig ≤ Schwelle 1, auffällig ≤ Schwelle 2, darüber kritisch.</t>
        </is>
      </c>
    </row>
    <row r="33" ht="14" customHeight="1">
      <c r="B33" s="3" t="inlineStr">
        <is>
          <t>Fluktuationsquote</t>
        </is>
      </c>
      <c r="C33" s="4" t="inlineStr">
        <is>
          <t>Austritte ÷ Ø Personalbestand (Jahresbeginn + 12 Monatsenden).</t>
        </is>
      </c>
    </row>
    <row r="34" ht="14" customHeight="1">
      <c r="B34" s="3" t="inlineStr">
        <is>
          <t>Ausfall VZ-Stellen</t>
        </is>
      </c>
      <c r="C34" s="4" t="inlineStr">
        <is>
          <t>Krankstunden ÷ Jahres-Sollstunden einer Vollzeitkraft.</t>
        </is>
      </c>
    </row>
    <row r="36">
      <c r="B36" s="2" t="inlineStr">
        <is>
          <t>Hinweise</t>
        </is>
      </c>
      <c r="C36" s="2" t="n"/>
    </row>
    <row r="37" ht="14" customHeight="1">
      <c r="B37" s="3" t="inlineStr">
        <is>
          <t>Kapazität</t>
        </is>
      </c>
      <c r="C37" s="4" t="inlineStr">
        <is>
          <t>300 Mitarbeiter.</t>
        </is>
      </c>
    </row>
    <row r="38" ht="28" customHeight="1">
      <c r="B38" s="3" t="inlineStr">
        <is>
          <t>Datenschutz</t>
        </is>
      </c>
      <c r="C38" s="4" t="inlineStr">
        <is>
          <t>Gesundheitsdaten sind besonders schützenswert (Art. 9 DSGVO). Zugriff nur für Berechtigte, Datei mit Passwort schützen.</t>
        </is>
      </c>
    </row>
    <row r="40">
      <c r="B40" s="2" t="inlineStr">
        <is>
          <t>Farblegende</t>
        </is>
      </c>
      <c r="C40" s="2" t="n"/>
    </row>
    <row r="41">
      <c r="B41" s="5" t="inlineStr">
        <is>
          <t>123</t>
        </is>
      </c>
      <c r="C41" s="6" t="inlineStr">
        <is>
          <t>Eingabe (blaue Schrift / gelbes Feld)</t>
        </is>
      </c>
    </row>
    <row r="42">
      <c r="B42" s="7" t="inlineStr">
        <is>
          <t>123</t>
        </is>
      </c>
      <c r="C42" s="6" t="inlineStr">
        <is>
          <t>Verknüpfung aus anderem Tab (grün)</t>
        </is>
      </c>
    </row>
    <row r="43">
      <c r="B43" s="8" t="inlineStr">
        <is>
          <t>123</t>
        </is>
      </c>
      <c r="C43" s="6" t="inlineStr">
        <is>
          <t>Automatisch berechnet – nicht überschreiben</t>
        </is>
      </c>
    </row>
    <row r="44">
      <c r="B44" s="9" t="inlineStr">
        <is>
          <t>unauffällig</t>
        </is>
      </c>
      <c r="C44" s="6" t="inlineStr">
        <is>
          <t>Ampel grün</t>
        </is>
      </c>
    </row>
    <row r="45">
      <c r="B45" s="10" t="inlineStr">
        <is>
          <t>auffällig</t>
        </is>
      </c>
      <c r="C45" s="6" t="inlineStr">
        <is>
          <t>Ampel gelb / offen</t>
        </is>
      </c>
    </row>
    <row r="46">
      <c r="B46" s="11" t="inlineStr">
        <is>
          <t>kritisch</t>
        </is>
      </c>
      <c r="C46" s="6" t="inlineStr">
        <is>
          <t>Ampel rot / Fehler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6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3" customWidth="1" min="3" max="3"/>
    <col width="60" customWidth="1" min="4" max="4"/>
    <col width="26" customWidth="1" min="5" max="5"/>
    <col width="12" customWidth="1" min="6" max="6"/>
  </cols>
  <sheetData>
    <row r="1">
      <c r="A1" s="1" t="inlineStr">
        <is>
          <t>Einstellungen</t>
        </is>
      </c>
      <c r="G1" s="12" t="inlineStr">
        <is>
          <t>→ Erklärung</t>
        </is>
      </c>
    </row>
    <row r="2" ht="28" customHeight="1">
      <c r="A2" s="13" t="inlineStr">
        <is>
          <t>Zentrale Vorgaben – gelbe Felder anpassen. Alle Tabs beziehen sich auf diese Werte.</t>
        </is>
      </c>
    </row>
    <row r="3">
      <c r="B3" s="14" t="inlineStr">
        <is>
          <t>Auswertungsjahr</t>
        </is>
      </c>
      <c r="C3" s="15" t="n">
        <v>2026</v>
      </c>
      <c r="D3" s="16" t="inlineStr">
        <is>
          <t>Jahreswechsel: hier das Jahr auswählen (2026–2030). Alle Auswertungen rechnen dann für dieses Jahr.</t>
        </is>
      </c>
    </row>
    <row r="4">
      <c r="B4" s="14" t="inlineStr">
        <is>
          <t>Name Objekt 1</t>
        </is>
      </c>
      <c r="C4" s="5" t="inlineStr">
        <is>
          <t>Objekt 1</t>
        </is>
      </c>
      <c r="D4" s="16" t="inlineStr">
        <is>
          <t>Erscheint in allen Auswahllisten und Auswertungen.</t>
        </is>
      </c>
    </row>
    <row r="5">
      <c r="B5" s="14" t="inlineStr">
        <is>
          <t>Name Objekt 2</t>
        </is>
      </c>
      <c r="C5" s="5" t="inlineStr">
        <is>
          <t>Objekt 2</t>
        </is>
      </c>
      <c r="D5" s="16" t="inlineStr"/>
    </row>
    <row r="6">
      <c r="B6" s="14" t="inlineStr">
        <is>
          <t>Vollzeit-Wochenstunden</t>
        </is>
      </c>
      <c r="C6" s="17" t="n">
        <v>40</v>
      </c>
      <c r="D6" s="16" t="inlineStr">
        <is>
          <t>Für Ausfall in Vollzeitstellen.</t>
        </is>
      </c>
    </row>
    <row r="7">
      <c r="B7" s="14" t="inlineStr">
        <is>
          <t>Ampel: unauffällig bis</t>
        </is>
      </c>
      <c r="C7" s="18" t="n">
        <v>0.03</v>
      </c>
      <c r="D7" s="16" t="inlineStr">
        <is>
          <t>Krankenquote bis zu diesem Wert = grün.</t>
        </is>
      </c>
    </row>
    <row r="8">
      <c r="B8" s="14" t="inlineStr">
        <is>
          <t>Ampel: auffällig bis</t>
        </is>
      </c>
      <c r="C8" s="18" t="n">
        <v>0.06</v>
      </c>
      <c r="D8" s="16" t="inlineStr">
        <is>
          <t>Bis zu diesem Wert = gelb, darüber = rot (kritisch).</t>
        </is>
      </c>
    </row>
    <row r="9">
      <c r="B9" s="14" t="inlineStr">
        <is>
          <t>Stichtag</t>
        </is>
      </c>
      <c r="C9" s="19">
        <f>MIN(TODAY(),DATE(C3,12,31))</f>
        <v/>
      </c>
      <c r="D9" s="16" t="inlineStr">
        <is>
          <t>Bis zu diesem Tag werden die Sollstunden je Mitarbeiter gerechnet.</t>
        </is>
      </c>
    </row>
    <row r="10">
      <c r="B10" s="14" t="inlineStr">
        <is>
          <t>Gesamtstunden enthalten Krankstunden?</t>
        </is>
      </c>
      <c r="C10" s="5" t="inlineStr">
        <is>
          <t>Nein</t>
        </is>
      </c>
      <c r="D10" s="16" t="inlineStr">
        <is>
          <t>Nein = in „Stunden Objekte“ stehen nur geleistete Stunden. Ja = Krankstunden sind in den Gesamtstunden schon enthalten.</t>
        </is>
      </c>
    </row>
    <row r="11">
      <c r="B11" s="20" t="inlineStr">
        <is>
          <t>Tage zählen</t>
        </is>
      </c>
      <c r="C11" s="5" t="inlineStr">
        <is>
          <t>7 Tage</t>
        </is>
      </c>
      <c r="D11" s="16" t="inlineStr">
        <is>
          <t>Nur für die Sollstunden je Mitarbeiter: 7 Tage = alle Kalendertage, Mo–Fr = Werktage ohne Feiertage. Std. je Tag = Wochenstunden ÷ 5 (40 Std. = 8 Std.).</t>
        </is>
      </c>
    </row>
    <row r="12" ht="30" customHeight="1">
      <c r="B12" s="21" t="inlineStr">
        <is>
          <t>Monat</t>
        </is>
      </c>
      <c r="C12" s="21" t="inlineStr">
        <is>
          <t>Zähltage
(auto)</t>
        </is>
      </c>
      <c r="E12" s="21" t="inlineStr">
        <is>
          <t>Feiertag</t>
        </is>
      </c>
      <c r="F12" s="21" t="inlineStr">
        <is>
          <t>Datum</t>
        </is>
      </c>
    </row>
    <row r="13">
      <c r="B13" s="6" t="inlineStr">
        <is>
          <t>Januar</t>
        </is>
      </c>
      <c r="C13" s="22">
        <f>IF(Einstellungen!$C$11="7 Tage",MAX(0,(DATE($C$3,2,0))-(DATE($C$3,1,1))+1),MAX(0,NETWORKDAYS(DATE($C$3,1,1),DATE($C$3,2,0),Einstellungen!$F$13:$F$67)))</f>
        <v/>
      </c>
      <c r="E13" s="23" t="inlineStr">
        <is>
          <t>Neujahr 2026</t>
        </is>
      </c>
      <c r="F13" s="19" t="n">
        <v>46023</v>
      </c>
    </row>
    <row r="14">
      <c r="B14" s="6" t="inlineStr">
        <is>
          <t>Februar</t>
        </is>
      </c>
      <c r="C14" s="22">
        <f>IF(Einstellungen!$C$11="7 Tage",MAX(0,(DATE($C$3,3,0))-(DATE($C$3,2,1))+1),MAX(0,NETWORKDAYS(DATE($C$3,2,1),DATE($C$3,3,0),Einstellungen!$F$13:$F$67)))</f>
        <v/>
      </c>
      <c r="E14" s="23" t="inlineStr">
        <is>
          <t>Karfreitag 2026</t>
        </is>
      </c>
      <c r="F14" s="19" t="n">
        <v>46115</v>
      </c>
    </row>
    <row r="15">
      <c r="B15" s="6" t="inlineStr">
        <is>
          <t>März</t>
        </is>
      </c>
      <c r="C15" s="22">
        <f>IF(Einstellungen!$C$11="7 Tage",MAX(0,(DATE($C$3,4,0))-(DATE($C$3,3,1))+1),MAX(0,NETWORKDAYS(DATE($C$3,3,1),DATE($C$3,4,0),Einstellungen!$F$13:$F$67)))</f>
        <v/>
      </c>
      <c r="E15" s="23" t="inlineStr">
        <is>
          <t>Ostermontag 2026</t>
        </is>
      </c>
      <c r="F15" s="19" t="n">
        <v>46118</v>
      </c>
    </row>
    <row r="16">
      <c r="B16" s="6" t="inlineStr">
        <is>
          <t>April</t>
        </is>
      </c>
      <c r="C16" s="22">
        <f>IF(Einstellungen!$C$11="7 Tage",MAX(0,(DATE($C$3,5,0))-(DATE($C$3,4,1))+1),MAX(0,NETWORKDAYS(DATE($C$3,4,1),DATE($C$3,5,0),Einstellungen!$F$13:$F$67)))</f>
        <v/>
      </c>
      <c r="E16" s="23" t="inlineStr">
        <is>
          <t>Tag der Arbeit 2026</t>
        </is>
      </c>
      <c r="F16" s="19" t="n">
        <v>46143</v>
      </c>
    </row>
    <row r="17">
      <c r="B17" s="6" t="inlineStr">
        <is>
          <t>Mai</t>
        </is>
      </c>
      <c r="C17" s="22">
        <f>IF(Einstellungen!$C$11="7 Tage",MAX(0,(DATE($C$3,6,0))-(DATE($C$3,5,1))+1),MAX(0,NETWORKDAYS(DATE($C$3,5,1),DATE($C$3,6,0),Einstellungen!$F$13:$F$67)))</f>
        <v/>
      </c>
      <c r="E17" s="23" t="inlineStr">
        <is>
          <t>Christi Himmelfahrt 2026</t>
        </is>
      </c>
      <c r="F17" s="19" t="n">
        <v>46156</v>
      </c>
    </row>
    <row r="18">
      <c r="B18" s="6" t="inlineStr">
        <is>
          <t>Juni</t>
        </is>
      </c>
      <c r="C18" s="22">
        <f>IF(Einstellungen!$C$11="7 Tage",MAX(0,(DATE($C$3,7,0))-(DATE($C$3,6,1))+1),MAX(0,NETWORKDAYS(DATE($C$3,6,1),DATE($C$3,7,0),Einstellungen!$F$13:$F$67)))</f>
        <v/>
      </c>
      <c r="E18" s="23" t="inlineStr">
        <is>
          <t>Pfingstmontag 2026</t>
        </is>
      </c>
      <c r="F18" s="19" t="n">
        <v>46167</v>
      </c>
    </row>
    <row r="19">
      <c r="B19" s="6" t="inlineStr">
        <is>
          <t>Juli</t>
        </is>
      </c>
      <c r="C19" s="22">
        <f>IF(Einstellungen!$C$11="7 Tage",MAX(0,(DATE($C$3,8,0))-(DATE($C$3,7,1))+1),MAX(0,NETWORKDAYS(DATE($C$3,7,1),DATE($C$3,8,0),Einstellungen!$F$13:$F$67)))</f>
        <v/>
      </c>
      <c r="E19" s="23" t="inlineStr">
        <is>
          <t>Fronleichnam 2026</t>
        </is>
      </c>
      <c r="F19" s="19" t="n">
        <v>46177</v>
      </c>
    </row>
    <row r="20">
      <c r="B20" s="6" t="inlineStr">
        <is>
          <t>August</t>
        </is>
      </c>
      <c r="C20" s="22">
        <f>IF(Einstellungen!$C$11="7 Tage",MAX(0,(DATE($C$3,9,0))-(DATE($C$3,8,1))+1),MAX(0,NETWORKDAYS(DATE($C$3,8,1),DATE($C$3,9,0),Einstellungen!$F$13:$F$67)))</f>
        <v/>
      </c>
      <c r="E20" s="23" t="inlineStr">
        <is>
          <t>Tag der Deutschen Einheit 2026</t>
        </is>
      </c>
      <c r="F20" s="19" t="n">
        <v>46298</v>
      </c>
    </row>
    <row r="21">
      <c r="B21" s="6" t="inlineStr">
        <is>
          <t>September</t>
        </is>
      </c>
      <c r="C21" s="22">
        <f>IF(Einstellungen!$C$11="7 Tage",MAX(0,(DATE($C$3,10,0))-(DATE($C$3,9,1))+1),MAX(0,NETWORKDAYS(DATE($C$3,9,1),DATE($C$3,10,0),Einstellungen!$F$13:$F$67)))</f>
        <v/>
      </c>
      <c r="E21" s="23" t="inlineStr">
        <is>
          <t>Allerheiligen 2026</t>
        </is>
      </c>
      <c r="F21" s="19" t="n">
        <v>46327</v>
      </c>
    </row>
    <row r="22">
      <c r="B22" s="6" t="inlineStr">
        <is>
          <t>Oktober</t>
        </is>
      </c>
      <c r="C22" s="22">
        <f>IF(Einstellungen!$C$11="7 Tage",MAX(0,(DATE($C$3,11,0))-(DATE($C$3,10,1))+1),MAX(0,NETWORKDAYS(DATE($C$3,10,1),DATE($C$3,11,0),Einstellungen!$F$13:$F$67)))</f>
        <v/>
      </c>
      <c r="E22" s="23" t="inlineStr">
        <is>
          <t>1. Weihnachtstag 2026</t>
        </is>
      </c>
      <c r="F22" s="19" t="n">
        <v>46381</v>
      </c>
    </row>
    <row r="23">
      <c r="B23" s="6" t="inlineStr">
        <is>
          <t>November</t>
        </is>
      </c>
      <c r="C23" s="22">
        <f>IF(Einstellungen!$C$11="7 Tage",MAX(0,(DATE($C$3,12,0))-(DATE($C$3,11,1))+1),MAX(0,NETWORKDAYS(DATE($C$3,11,1),DATE($C$3,12,0),Einstellungen!$F$13:$F$67)))</f>
        <v/>
      </c>
      <c r="E23" s="23" t="inlineStr">
        <is>
          <t>2. Weihnachtstag 2026</t>
        </is>
      </c>
      <c r="F23" s="19" t="n">
        <v>46382</v>
      </c>
    </row>
    <row r="24">
      <c r="B24" s="6" t="inlineStr">
        <is>
          <t>Dezember</t>
        </is>
      </c>
      <c r="C24" s="22">
        <f>IF(Einstellungen!$C$11="7 Tage",MAX(0,(DATE($C$3,13,0))-(DATE($C$3,12,1))+1),MAX(0,NETWORKDAYS(DATE($C$3,12,1),DATE($C$3,13,0),Einstellungen!$F$13:$F$67)))</f>
        <v/>
      </c>
      <c r="E24" s="23" t="inlineStr">
        <is>
          <t>Neujahr 2027</t>
        </is>
      </c>
      <c r="F24" s="19" t="n">
        <v>46388</v>
      </c>
    </row>
    <row r="25">
      <c r="B25" s="24" t="inlineStr">
        <is>
          <t>Summe</t>
        </is>
      </c>
      <c r="C25" s="25">
        <f>SUM(C13:C24)</f>
        <v/>
      </c>
      <c r="E25" s="23" t="inlineStr">
        <is>
          <t>Karfreitag 2027</t>
        </is>
      </c>
      <c r="F25" s="19" t="n">
        <v>46472</v>
      </c>
    </row>
    <row r="26">
      <c r="E26" s="23" t="inlineStr">
        <is>
          <t>Ostermontag 2027</t>
        </is>
      </c>
      <c r="F26" s="19" t="n">
        <v>46475</v>
      </c>
    </row>
    <row r="27">
      <c r="D27" s="16" t="inlineStr">
        <is>
          <t>Feiertage NRW 2026–2030 (rechts). Werden nur bei Einstellung „Mo–Fr“ abgezogen.</t>
        </is>
      </c>
      <c r="E27" s="23" t="inlineStr">
        <is>
          <t>Tag der Arbeit 2027</t>
        </is>
      </c>
      <c r="F27" s="19" t="n">
        <v>46508</v>
      </c>
    </row>
    <row r="28">
      <c r="E28" s="23" t="inlineStr">
        <is>
          <t>Christi Himmelfahrt 2027</t>
        </is>
      </c>
      <c r="F28" s="19" t="n">
        <v>46513</v>
      </c>
    </row>
    <row r="29">
      <c r="E29" s="23" t="inlineStr">
        <is>
          <t>Pfingstmontag 2027</t>
        </is>
      </c>
      <c r="F29" s="19" t="n">
        <v>46524</v>
      </c>
    </row>
    <row r="30">
      <c r="E30" s="23" t="inlineStr">
        <is>
          <t>Fronleichnam 2027</t>
        </is>
      </c>
      <c r="F30" s="19" t="n">
        <v>46534</v>
      </c>
    </row>
    <row r="31">
      <c r="E31" s="23" t="inlineStr">
        <is>
          <t>Tag der Deutschen Einheit 2027</t>
        </is>
      </c>
      <c r="F31" s="19" t="n">
        <v>46663</v>
      </c>
    </row>
    <row r="32">
      <c r="E32" s="23" t="inlineStr">
        <is>
          <t>Allerheiligen 2027</t>
        </is>
      </c>
      <c r="F32" s="19" t="n">
        <v>46692</v>
      </c>
    </row>
    <row r="33">
      <c r="E33" s="23" t="inlineStr">
        <is>
          <t>1. Weihnachtstag 2027</t>
        </is>
      </c>
      <c r="F33" s="19" t="n">
        <v>46746</v>
      </c>
    </row>
    <row r="34">
      <c r="E34" s="23" t="inlineStr">
        <is>
          <t>2. Weihnachtstag 2027</t>
        </is>
      </c>
      <c r="F34" s="19" t="n">
        <v>46747</v>
      </c>
    </row>
    <row r="35">
      <c r="E35" s="23" t="inlineStr">
        <is>
          <t>Neujahr 2028</t>
        </is>
      </c>
      <c r="F35" s="19" t="n">
        <v>46753</v>
      </c>
    </row>
    <row r="36">
      <c r="E36" s="23" t="inlineStr">
        <is>
          <t>Karfreitag 2028</t>
        </is>
      </c>
      <c r="F36" s="19" t="n">
        <v>46857</v>
      </c>
    </row>
    <row r="37">
      <c r="E37" s="23" t="inlineStr">
        <is>
          <t>Ostermontag 2028</t>
        </is>
      </c>
      <c r="F37" s="19" t="n">
        <v>46860</v>
      </c>
    </row>
    <row r="38">
      <c r="E38" s="23" t="inlineStr">
        <is>
          <t>Tag der Arbeit 2028</t>
        </is>
      </c>
      <c r="F38" s="19" t="n">
        <v>46874</v>
      </c>
    </row>
    <row r="39">
      <c r="E39" s="23" t="inlineStr">
        <is>
          <t>Christi Himmelfahrt 2028</t>
        </is>
      </c>
      <c r="F39" s="19" t="n">
        <v>46898</v>
      </c>
    </row>
    <row r="40">
      <c r="E40" s="23" t="inlineStr">
        <is>
          <t>Pfingstmontag 2028</t>
        </is>
      </c>
      <c r="F40" s="19" t="n">
        <v>46909</v>
      </c>
    </row>
    <row r="41">
      <c r="E41" s="23" t="inlineStr">
        <is>
          <t>Fronleichnam 2028</t>
        </is>
      </c>
      <c r="F41" s="19" t="n">
        <v>46919</v>
      </c>
    </row>
    <row r="42">
      <c r="E42" s="23" t="inlineStr">
        <is>
          <t>Tag der Deutschen Einheit 2028</t>
        </is>
      </c>
      <c r="F42" s="19" t="n">
        <v>47029</v>
      </c>
    </row>
    <row r="43">
      <c r="E43" s="23" t="inlineStr">
        <is>
          <t>Allerheiligen 2028</t>
        </is>
      </c>
      <c r="F43" s="19" t="n">
        <v>47058</v>
      </c>
    </row>
    <row r="44">
      <c r="E44" s="23" t="inlineStr">
        <is>
          <t>1. Weihnachtstag 2028</t>
        </is>
      </c>
      <c r="F44" s="19" t="n">
        <v>47112</v>
      </c>
    </row>
    <row r="45">
      <c r="E45" s="23" t="inlineStr">
        <is>
          <t>2. Weihnachtstag 2028</t>
        </is>
      </c>
      <c r="F45" s="19" t="n">
        <v>47113</v>
      </c>
    </row>
    <row r="46">
      <c r="E46" s="23" t="inlineStr">
        <is>
          <t>Neujahr 2029</t>
        </is>
      </c>
      <c r="F46" s="19" t="n">
        <v>47119</v>
      </c>
    </row>
    <row r="47">
      <c r="E47" s="23" t="inlineStr">
        <is>
          <t>Karfreitag 2029</t>
        </is>
      </c>
      <c r="F47" s="19" t="n">
        <v>47207</v>
      </c>
    </row>
    <row r="48">
      <c r="E48" s="23" t="inlineStr">
        <is>
          <t>Ostermontag 2029</t>
        </is>
      </c>
      <c r="F48" s="19" t="n">
        <v>47210</v>
      </c>
    </row>
    <row r="49">
      <c r="E49" s="23" t="inlineStr">
        <is>
          <t>Tag der Arbeit 2029</t>
        </is>
      </c>
      <c r="F49" s="19" t="n">
        <v>47239</v>
      </c>
    </row>
    <row r="50">
      <c r="E50" s="23" t="inlineStr">
        <is>
          <t>Christi Himmelfahrt 2029</t>
        </is>
      </c>
      <c r="F50" s="19" t="n">
        <v>47248</v>
      </c>
    </row>
    <row r="51">
      <c r="E51" s="23" t="inlineStr">
        <is>
          <t>Pfingstmontag 2029</t>
        </is>
      </c>
      <c r="F51" s="19" t="n">
        <v>47259</v>
      </c>
    </row>
    <row r="52">
      <c r="E52" s="23" t="inlineStr">
        <is>
          <t>Fronleichnam 2029</t>
        </is>
      </c>
      <c r="F52" s="19" t="n">
        <v>47269</v>
      </c>
    </row>
    <row r="53">
      <c r="E53" s="23" t="inlineStr">
        <is>
          <t>Tag der Deutschen Einheit 2029</t>
        </is>
      </c>
      <c r="F53" s="19" t="n">
        <v>47394</v>
      </c>
    </row>
    <row r="54">
      <c r="E54" s="23" t="inlineStr">
        <is>
          <t>Allerheiligen 2029</t>
        </is>
      </c>
      <c r="F54" s="19" t="n">
        <v>47423</v>
      </c>
    </row>
    <row r="55">
      <c r="E55" s="23" t="inlineStr">
        <is>
          <t>1. Weihnachtstag 2029</t>
        </is>
      </c>
      <c r="F55" s="19" t="n">
        <v>47477</v>
      </c>
    </row>
    <row r="56">
      <c r="E56" s="23" t="inlineStr">
        <is>
          <t>2. Weihnachtstag 2029</t>
        </is>
      </c>
      <c r="F56" s="19" t="n">
        <v>47478</v>
      </c>
    </row>
    <row r="57">
      <c r="E57" s="23" t="inlineStr">
        <is>
          <t>Neujahr 2030</t>
        </is>
      </c>
      <c r="F57" s="19" t="n">
        <v>47484</v>
      </c>
    </row>
    <row r="58">
      <c r="E58" s="23" t="inlineStr">
        <is>
          <t>Karfreitag 2030</t>
        </is>
      </c>
      <c r="F58" s="19" t="n">
        <v>47592</v>
      </c>
    </row>
    <row r="59">
      <c r="E59" s="23" t="inlineStr">
        <is>
          <t>Ostermontag 2030</t>
        </is>
      </c>
      <c r="F59" s="19" t="n">
        <v>47595</v>
      </c>
    </row>
    <row r="60">
      <c r="E60" s="23" t="inlineStr">
        <is>
          <t>Tag der Arbeit 2030</t>
        </is>
      </c>
      <c r="F60" s="19" t="n">
        <v>47604</v>
      </c>
    </row>
    <row r="61">
      <c r="E61" s="23" t="inlineStr">
        <is>
          <t>Christi Himmelfahrt 2030</t>
        </is>
      </c>
      <c r="F61" s="19" t="n">
        <v>47633</v>
      </c>
    </row>
    <row r="62">
      <c r="E62" s="23" t="inlineStr">
        <is>
          <t>Pfingstmontag 2030</t>
        </is>
      </c>
      <c r="F62" s="19" t="n">
        <v>47644</v>
      </c>
    </row>
    <row r="63">
      <c r="E63" s="23" t="inlineStr">
        <is>
          <t>Fronleichnam 2030</t>
        </is>
      </c>
      <c r="F63" s="19" t="n">
        <v>47654</v>
      </c>
    </row>
    <row r="64">
      <c r="E64" s="23" t="inlineStr">
        <is>
          <t>Tag der Deutschen Einheit 2030</t>
        </is>
      </c>
      <c r="F64" s="19" t="n">
        <v>47759</v>
      </c>
    </row>
    <row r="65">
      <c r="E65" s="23" t="inlineStr">
        <is>
          <t>Allerheiligen 2030</t>
        </is>
      </c>
      <c r="F65" s="19" t="n">
        <v>47788</v>
      </c>
    </row>
    <row r="66">
      <c r="E66" s="23" t="inlineStr">
        <is>
          <t>1. Weihnachtstag 2030</t>
        </is>
      </c>
      <c r="F66" s="19" t="n">
        <v>47842</v>
      </c>
    </row>
    <row r="67">
      <c r="E67" s="23" t="inlineStr">
        <is>
          <t>2. Weihnachtstag 2030</t>
        </is>
      </c>
      <c r="F67" s="19" t="n">
        <v>47843</v>
      </c>
    </row>
  </sheetData>
  <mergeCells count="1">
    <mergeCell ref="A2:F2"/>
  </mergeCells>
  <dataValidations count="3">
    <dataValidation sqref="C10" showDropDown="0" showInputMessage="0" showErrorMessage="0" allowBlank="0" type="list">
      <formula1>"Ja,Nein"</formula1>
    </dataValidation>
    <dataValidation sqref="C3" showDropDown="0" showInputMessage="0" showErrorMessage="1" allowBlank="0" error="Jahre 2026–2030 verfügbar" type="list">
      <formula1>"2026,2027,2028,2029,2030"</formula1>
    </dataValidation>
    <dataValidation sqref="C11" showDropDown="0" showInputMessage="0" showErrorMessage="0" allowBlank="0" type="list">
      <formula1>"7 Tage,Mo–Fr"</formula1>
    </dataValidation>
  </dataValidations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N3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1" customWidth="1" min="3" max="3"/>
    <col width="11" customWidth="1" min="4" max="4"/>
    <col width="9" customWidth="1" min="5" max="5"/>
    <col width="8" customWidth="1" min="6" max="6"/>
    <col width="13" customWidth="1" min="7" max="7"/>
    <col width="11" customWidth="1" min="8" max="8"/>
    <col width="3" customWidth="1" min="9" max="9"/>
    <col width="12" customWidth="1" min="10" max="10"/>
    <col width="10" customWidth="1" min="11" max="11"/>
    <col width="10" customWidth="1" min="12" max="12"/>
    <col width="11" customWidth="1" min="13" max="13"/>
    <col width="28" customWidth="1" min="14" max="14"/>
  </cols>
  <sheetData>
    <row r="1">
      <c r="A1" s="1" t="inlineStr">
        <is>
          <t>Mitarbeiter – Stammdaten &amp; Fluktuation</t>
        </is>
      </c>
      <c r="N1" s="12" t="inlineStr">
        <is>
          <t>→ Erklärung</t>
        </is>
      </c>
    </row>
    <row r="2" ht="28" customHeight="1">
      <c r="A2" s="13" t="inlineStr">
        <is>
          <t>Jede Person nur EINMAL eintragen. Bei Austritt Datum eintragen – Zeile NICHT löschen. Neue Mitarbeiter unten anfügen.</t>
        </is>
      </c>
    </row>
    <row r="4">
      <c r="J4" s="2" t="inlineStr">
        <is>
          <t>Fluktuation im Auswertungsjahr</t>
        </is>
      </c>
      <c r="K4" s="2" t="n"/>
      <c r="L4" s="2" t="n"/>
      <c r="M4" s="2" t="n"/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Eintritt</t>
        </is>
      </c>
      <c r="D5" s="21" t="inlineStr">
        <is>
          <t>Austritt</t>
        </is>
      </c>
      <c r="E5" s="21" t="inlineStr">
        <is>
          <t>Wochen-
stunden</t>
        </is>
      </c>
      <c r="F5" s="21" t="inlineStr">
        <is>
          <t>Std./Tag</t>
        </is>
      </c>
      <c r="G5" s="21" t="inlineStr">
        <is>
          <t>Status</t>
        </is>
      </c>
      <c r="H5" s="21" t="inlineStr">
        <is>
          <t>Sollstunden
bis Stichtag</t>
        </is>
      </c>
      <c r="J5" s="21" t="inlineStr">
        <is>
          <t>Monat</t>
        </is>
      </c>
      <c r="K5" s="21" t="inlineStr">
        <is>
          <t>Eintritte</t>
        </is>
      </c>
      <c r="L5" s="21" t="inlineStr">
        <is>
          <t>Austritte</t>
        </is>
      </c>
      <c r="M5" s="21" t="inlineStr">
        <is>
          <t>Bestand
Monatsende</t>
        </is>
      </c>
    </row>
    <row r="6">
      <c r="A6" s="26" t="n">
        <v>1001</v>
      </c>
      <c r="B6" s="23" t="inlineStr">
        <is>
          <t>Mitarbeiter 001</t>
        </is>
      </c>
      <c r="C6" s="27" t="n">
        <v>46023</v>
      </c>
      <c r="D6" s="27" t="n"/>
      <c r="E6" s="28" t="n">
        <v>40</v>
      </c>
      <c r="F6" s="29">
        <f>IF(E6="","",E6/5)</f>
        <v/>
      </c>
      <c r="G6" s="30">
        <f>IF(B6="","",IF(C6&gt;Einstellungen!$C$9,"künftig",IF(AND(D6&lt;&gt;"",D6&lt;Einstellungen!$C$9),"ausgeschieden","aktiv")))</f>
        <v/>
      </c>
      <c r="H6" s="31">
        <f>IF(OR(B6="",E6=""),"",IF(Einstellungen!$C$11="7 Tage",MAX(0,(MIN(IF(D6="",DATE(Einstellungen!$C$3,12,31),D6),Einstellungen!$C$9))-(MAX(C6,DATE(Einstellungen!$C$3,1,1)))+1),MAX(0,NETWORKDAYS(MAX(C6,DATE(Einstellungen!$C$3,1,1)),MIN(IF(D6="",DATE(Einstellungen!$C$3,12,31),D6),Einstellungen!$C$9),Einstellungen!$F$13:$F$67)))*F6)</f>
        <v/>
      </c>
      <c r="J6" s="32">
        <f>DATE(Einstellungen!$C$3,1,1)-1</f>
        <v/>
      </c>
      <c r="K6" s="33" t="inlineStr">
        <is>
          <t>Bestand Jahresbeginn →</t>
        </is>
      </c>
      <c r="L6" s="6" t="n"/>
      <c r="M6" s="34">
        <f>COUNTIFS($C$6:$C$305,"&lt;="&amp;J6,$D$6:$D$305,"&gt;"&amp;J6)+COUNTIFS($C$6:$C$305,"&lt;="&amp;J6,$D$6:$D$305,"")</f>
        <v/>
      </c>
    </row>
    <row r="7">
      <c r="A7" s="26" t="n">
        <v>1002</v>
      </c>
      <c r="B7" s="23" t="inlineStr">
        <is>
          <t>Mitarbeiter 002</t>
        </is>
      </c>
      <c r="C7" s="27" t="n">
        <v>46023</v>
      </c>
      <c r="D7" s="27" t="n"/>
      <c r="E7" s="28" t="n">
        <v>20</v>
      </c>
      <c r="F7" s="29">
        <f>IF(E7="","",E7/5)</f>
        <v/>
      </c>
      <c r="G7" s="30">
        <f>IF(B7="","",IF(C7&gt;Einstellungen!$C$9,"künftig",IF(AND(D7&lt;&gt;"",D7&lt;Einstellungen!$C$9),"ausgeschieden","aktiv")))</f>
        <v/>
      </c>
      <c r="H7" s="31">
        <f>IF(OR(B7="",E7=""),"",IF(Einstellungen!$C$11="7 Tage",MAX(0,(MIN(IF(D7="",DATE(Einstellungen!$C$3,12,31),D7),Einstellungen!$C$9))-(MAX(C7,DATE(Einstellungen!$C$3,1,1)))+1),MAX(0,NETWORKDAYS(MAX(C7,DATE(Einstellungen!$C$3,1,1)),MIN(IF(D7="",DATE(Einstellungen!$C$3,12,31),D7),Einstellungen!$C$9),Einstellungen!$F$13:$F$67)))*F7)</f>
        <v/>
      </c>
      <c r="J7" s="35">
        <f>DATE(Einstellungen!$C$3,1,1)</f>
        <v/>
      </c>
      <c r="K7" s="36">
        <f>COUNTIFS($C$6:$C$305,"&gt;="&amp;J7,$C$6:$C$305,"&lt;="&amp;DATE(Einstellungen!$C$3,2,0))</f>
        <v/>
      </c>
      <c r="L7" s="36">
        <f>COUNTIFS($D$6:$D$305,"&gt;="&amp;J7,$D$6:$D$305,"&lt;="&amp;DATE(Einstellungen!$C$3,2,0))</f>
        <v/>
      </c>
      <c r="M7" s="36">
        <f>COUNTIFS($C$6:$C$305,"&lt;="&amp;DATE(Einstellungen!$C$3,2,0),$D$6:$D$305,"&gt;"&amp;DATE(Einstellungen!$C$3,2,0))+COUNTIFS($C$6:$C$305,"&lt;="&amp;DATE(Einstellungen!$C$3,2,0),$D$6:$D$305,"")</f>
        <v/>
      </c>
    </row>
    <row r="8">
      <c r="A8" s="26" t="n">
        <v>1003</v>
      </c>
      <c r="B8" s="23" t="inlineStr">
        <is>
          <t>Mitarbeiter 003</t>
        </is>
      </c>
      <c r="C8" s="27" t="n">
        <v>46023</v>
      </c>
      <c r="D8" s="27" t="n">
        <v>46293</v>
      </c>
      <c r="E8" s="28" t="n">
        <v>40</v>
      </c>
      <c r="F8" s="29">
        <f>IF(E8="","",E8/5)</f>
        <v/>
      </c>
      <c r="G8" s="30">
        <f>IF(B8="","",IF(C8&gt;Einstellungen!$C$9,"künftig",IF(AND(D8&lt;&gt;"",D8&lt;Einstellungen!$C$9),"ausgeschieden","aktiv")))</f>
        <v/>
      </c>
      <c r="H8" s="31">
        <f>IF(OR(B8="",E8=""),"",IF(Einstellungen!$C$11="7 Tage",MAX(0,(MIN(IF(D8="",DATE(Einstellungen!$C$3,12,31),D8),Einstellungen!$C$9))-(MAX(C8,DATE(Einstellungen!$C$3,1,1)))+1),MAX(0,NETWORKDAYS(MAX(C8,DATE(Einstellungen!$C$3,1,1)),MIN(IF(D8="",DATE(Einstellungen!$C$3,12,31),D8),Einstellungen!$C$9),Einstellungen!$F$13:$F$67)))*F8)</f>
        <v/>
      </c>
      <c r="J8" s="35">
        <f>DATE(Einstellungen!$C$3,2,1)</f>
        <v/>
      </c>
      <c r="K8" s="36">
        <f>COUNTIFS($C$6:$C$305,"&gt;="&amp;J8,$C$6:$C$305,"&lt;="&amp;DATE(Einstellungen!$C$3,3,0))</f>
        <v/>
      </c>
      <c r="L8" s="36">
        <f>COUNTIFS($D$6:$D$305,"&gt;="&amp;J8,$D$6:$D$305,"&lt;="&amp;DATE(Einstellungen!$C$3,3,0))</f>
        <v/>
      </c>
      <c r="M8" s="36">
        <f>COUNTIFS($C$6:$C$305,"&lt;="&amp;DATE(Einstellungen!$C$3,3,0),$D$6:$D$305,"&gt;"&amp;DATE(Einstellungen!$C$3,3,0))+COUNTIFS($C$6:$C$305,"&lt;="&amp;DATE(Einstellungen!$C$3,3,0),$D$6:$D$305,"")</f>
        <v/>
      </c>
    </row>
    <row r="9">
      <c r="A9" s="26" t="n">
        <v>1004</v>
      </c>
      <c r="B9" s="23" t="inlineStr">
        <is>
          <t>Mitarbeiter 004</t>
        </is>
      </c>
      <c r="C9" s="27" t="n">
        <v>46023</v>
      </c>
      <c r="D9" s="27" t="n"/>
      <c r="E9" s="28" t="n">
        <v>40</v>
      </c>
      <c r="F9" s="29">
        <f>IF(E9="","",E9/5)</f>
        <v/>
      </c>
      <c r="G9" s="30">
        <f>IF(B9="","",IF(C9&gt;Einstellungen!$C$9,"künftig",IF(AND(D9&lt;&gt;"",D9&lt;Einstellungen!$C$9),"ausgeschieden","aktiv")))</f>
        <v/>
      </c>
      <c r="H9" s="31">
        <f>IF(OR(B9="",E9=""),"",IF(Einstellungen!$C$11="7 Tage",MAX(0,(MIN(IF(D9="",DATE(Einstellungen!$C$3,12,31),D9),Einstellungen!$C$9))-(MAX(C9,DATE(Einstellungen!$C$3,1,1)))+1),MAX(0,NETWORKDAYS(MAX(C9,DATE(Einstellungen!$C$3,1,1)),MIN(IF(D9="",DATE(Einstellungen!$C$3,12,31),D9),Einstellungen!$C$9),Einstellungen!$F$13:$F$67)))*F9)</f>
        <v/>
      </c>
      <c r="J9" s="35">
        <f>DATE(Einstellungen!$C$3,3,1)</f>
        <v/>
      </c>
      <c r="K9" s="36">
        <f>COUNTIFS($C$6:$C$305,"&gt;="&amp;J9,$C$6:$C$305,"&lt;="&amp;DATE(Einstellungen!$C$3,4,0))</f>
        <v/>
      </c>
      <c r="L9" s="36">
        <f>COUNTIFS($D$6:$D$305,"&gt;="&amp;J9,$D$6:$D$305,"&lt;="&amp;DATE(Einstellungen!$C$3,4,0))</f>
        <v/>
      </c>
      <c r="M9" s="36">
        <f>COUNTIFS($C$6:$C$305,"&lt;="&amp;DATE(Einstellungen!$C$3,4,0),$D$6:$D$305,"&gt;"&amp;DATE(Einstellungen!$C$3,4,0))+COUNTIFS($C$6:$C$305,"&lt;="&amp;DATE(Einstellungen!$C$3,4,0),$D$6:$D$305,"")</f>
        <v/>
      </c>
    </row>
    <row r="10">
      <c r="A10" s="26" t="n">
        <v>1005</v>
      </c>
      <c r="B10" s="23" t="inlineStr">
        <is>
          <t>Mitarbeiter 005</t>
        </is>
      </c>
      <c r="C10" s="27" t="n">
        <v>46023</v>
      </c>
      <c r="D10" s="27" t="n">
        <v>46293</v>
      </c>
      <c r="E10" s="28" t="n">
        <v>40</v>
      </c>
      <c r="F10" s="29">
        <f>IF(E10="","",E10/5)</f>
        <v/>
      </c>
      <c r="G10" s="30">
        <f>IF(B10="","",IF(C10&gt;Einstellungen!$C$9,"künftig",IF(AND(D10&lt;&gt;"",D10&lt;Einstellungen!$C$9),"ausgeschieden","aktiv")))</f>
        <v/>
      </c>
      <c r="H10" s="31">
        <f>IF(OR(B10="",E10=""),"",IF(Einstellungen!$C$11="7 Tage",MAX(0,(MIN(IF(D10="",DATE(Einstellungen!$C$3,12,31),D10),Einstellungen!$C$9))-(MAX(C10,DATE(Einstellungen!$C$3,1,1)))+1),MAX(0,NETWORKDAYS(MAX(C10,DATE(Einstellungen!$C$3,1,1)),MIN(IF(D10="",DATE(Einstellungen!$C$3,12,31),D10),Einstellungen!$C$9),Einstellungen!$F$13:$F$67)))*F10)</f>
        <v/>
      </c>
      <c r="J10" s="35">
        <f>DATE(Einstellungen!$C$3,4,1)</f>
        <v/>
      </c>
      <c r="K10" s="36">
        <f>COUNTIFS($C$6:$C$305,"&gt;="&amp;J10,$C$6:$C$305,"&lt;="&amp;DATE(Einstellungen!$C$3,5,0))</f>
        <v/>
      </c>
      <c r="L10" s="36">
        <f>COUNTIFS($D$6:$D$305,"&gt;="&amp;J10,$D$6:$D$305,"&lt;="&amp;DATE(Einstellungen!$C$3,5,0))</f>
        <v/>
      </c>
      <c r="M10" s="36">
        <f>COUNTIFS($C$6:$C$305,"&lt;="&amp;DATE(Einstellungen!$C$3,5,0),$D$6:$D$305,"&gt;"&amp;DATE(Einstellungen!$C$3,5,0))+COUNTIFS($C$6:$C$305,"&lt;="&amp;DATE(Einstellungen!$C$3,5,0),$D$6:$D$305,"")</f>
        <v/>
      </c>
    </row>
    <row r="11">
      <c r="A11" s="26" t="n">
        <v>1006</v>
      </c>
      <c r="B11" s="23" t="inlineStr">
        <is>
          <t>Mitarbeiter 006</t>
        </is>
      </c>
      <c r="C11" s="27" t="n">
        <v>46023</v>
      </c>
      <c r="D11" s="27" t="n"/>
      <c r="E11" s="28" t="n">
        <v>40</v>
      </c>
      <c r="F11" s="29">
        <f>IF(E11="","",E11/5)</f>
        <v/>
      </c>
      <c r="G11" s="30">
        <f>IF(B11="","",IF(C11&gt;Einstellungen!$C$9,"künftig",IF(AND(D11&lt;&gt;"",D11&lt;Einstellungen!$C$9),"ausgeschieden","aktiv")))</f>
        <v/>
      </c>
      <c r="H11" s="31">
        <f>IF(OR(B11="",E11=""),"",IF(Einstellungen!$C$11="7 Tage",MAX(0,(MIN(IF(D11="",DATE(Einstellungen!$C$3,12,31),D11),Einstellungen!$C$9))-(MAX(C11,DATE(Einstellungen!$C$3,1,1)))+1),MAX(0,NETWORKDAYS(MAX(C11,DATE(Einstellungen!$C$3,1,1)),MIN(IF(D11="",DATE(Einstellungen!$C$3,12,31),D11),Einstellungen!$C$9),Einstellungen!$F$13:$F$67)))*F11)</f>
        <v/>
      </c>
      <c r="J11" s="35">
        <f>DATE(Einstellungen!$C$3,5,1)</f>
        <v/>
      </c>
      <c r="K11" s="36">
        <f>COUNTIFS($C$6:$C$305,"&gt;="&amp;J11,$C$6:$C$305,"&lt;="&amp;DATE(Einstellungen!$C$3,6,0))</f>
        <v/>
      </c>
      <c r="L11" s="36">
        <f>COUNTIFS($D$6:$D$305,"&gt;="&amp;J11,$D$6:$D$305,"&lt;="&amp;DATE(Einstellungen!$C$3,6,0))</f>
        <v/>
      </c>
      <c r="M11" s="36">
        <f>COUNTIFS($C$6:$C$305,"&lt;="&amp;DATE(Einstellungen!$C$3,6,0),$D$6:$D$305,"&gt;"&amp;DATE(Einstellungen!$C$3,6,0))+COUNTIFS($C$6:$C$305,"&lt;="&amp;DATE(Einstellungen!$C$3,6,0),$D$6:$D$305,"")</f>
        <v/>
      </c>
    </row>
    <row r="12">
      <c r="A12" s="26" t="n">
        <v>1007</v>
      </c>
      <c r="B12" s="23" t="inlineStr">
        <is>
          <t>Mitarbeiter 007</t>
        </is>
      </c>
      <c r="C12" s="27" t="n">
        <v>46023</v>
      </c>
      <c r="D12" s="27" t="n"/>
      <c r="E12" s="28" t="n">
        <v>40</v>
      </c>
      <c r="F12" s="29">
        <f>IF(E12="","",E12/5)</f>
        <v/>
      </c>
      <c r="G12" s="30">
        <f>IF(B12="","",IF(C12&gt;Einstellungen!$C$9,"künftig",IF(AND(D12&lt;&gt;"",D12&lt;Einstellungen!$C$9),"ausgeschieden","aktiv")))</f>
        <v/>
      </c>
      <c r="H12" s="31">
        <f>IF(OR(B12="",E12=""),"",IF(Einstellungen!$C$11="7 Tage",MAX(0,(MIN(IF(D12="",DATE(Einstellungen!$C$3,12,31),D12),Einstellungen!$C$9))-(MAX(C12,DATE(Einstellungen!$C$3,1,1)))+1),MAX(0,NETWORKDAYS(MAX(C12,DATE(Einstellungen!$C$3,1,1)),MIN(IF(D12="",DATE(Einstellungen!$C$3,12,31),D12),Einstellungen!$C$9),Einstellungen!$F$13:$F$67)))*F12)</f>
        <v/>
      </c>
      <c r="J12" s="35">
        <f>DATE(Einstellungen!$C$3,6,1)</f>
        <v/>
      </c>
      <c r="K12" s="36">
        <f>COUNTIFS($C$6:$C$305,"&gt;="&amp;J12,$C$6:$C$305,"&lt;="&amp;DATE(Einstellungen!$C$3,7,0))</f>
        <v/>
      </c>
      <c r="L12" s="36">
        <f>COUNTIFS($D$6:$D$305,"&gt;="&amp;J12,$D$6:$D$305,"&lt;="&amp;DATE(Einstellungen!$C$3,7,0))</f>
        <v/>
      </c>
      <c r="M12" s="36">
        <f>COUNTIFS($C$6:$C$305,"&lt;="&amp;DATE(Einstellungen!$C$3,7,0),$D$6:$D$305,"&gt;"&amp;DATE(Einstellungen!$C$3,7,0))+COUNTIFS($C$6:$C$305,"&lt;="&amp;DATE(Einstellungen!$C$3,7,0),$D$6:$D$305,"")</f>
        <v/>
      </c>
    </row>
    <row r="13">
      <c r="A13" s="26" t="n">
        <v>1008</v>
      </c>
      <c r="B13" s="23" t="inlineStr">
        <is>
          <t>Mitarbeiter 008</t>
        </is>
      </c>
      <c r="C13" s="27" t="n">
        <v>46023</v>
      </c>
      <c r="D13" s="27" t="n"/>
      <c r="E13" s="28" t="n">
        <v>30</v>
      </c>
      <c r="F13" s="29">
        <f>IF(E13="","",E13/5)</f>
        <v/>
      </c>
      <c r="G13" s="30">
        <f>IF(B13="","",IF(C13&gt;Einstellungen!$C$9,"künftig",IF(AND(D13&lt;&gt;"",D13&lt;Einstellungen!$C$9),"ausgeschieden","aktiv")))</f>
        <v/>
      </c>
      <c r="H13" s="31">
        <f>IF(OR(B13="",E13=""),"",IF(Einstellungen!$C$11="7 Tage",MAX(0,(MIN(IF(D13="",DATE(Einstellungen!$C$3,12,31),D13),Einstellungen!$C$9))-(MAX(C13,DATE(Einstellungen!$C$3,1,1)))+1),MAX(0,NETWORKDAYS(MAX(C13,DATE(Einstellungen!$C$3,1,1)),MIN(IF(D13="",DATE(Einstellungen!$C$3,12,31),D13),Einstellungen!$C$9),Einstellungen!$F$13:$F$67)))*F13)</f>
        <v/>
      </c>
      <c r="J13" s="35">
        <f>DATE(Einstellungen!$C$3,7,1)</f>
        <v/>
      </c>
      <c r="K13" s="36">
        <f>COUNTIFS($C$6:$C$305,"&gt;="&amp;J13,$C$6:$C$305,"&lt;="&amp;DATE(Einstellungen!$C$3,8,0))</f>
        <v/>
      </c>
      <c r="L13" s="36">
        <f>COUNTIFS($D$6:$D$305,"&gt;="&amp;J13,$D$6:$D$305,"&lt;="&amp;DATE(Einstellungen!$C$3,8,0))</f>
        <v/>
      </c>
      <c r="M13" s="36">
        <f>COUNTIFS($C$6:$C$305,"&lt;="&amp;DATE(Einstellungen!$C$3,8,0),$D$6:$D$305,"&gt;"&amp;DATE(Einstellungen!$C$3,8,0))+COUNTIFS($C$6:$C$305,"&lt;="&amp;DATE(Einstellungen!$C$3,8,0),$D$6:$D$305,"")</f>
        <v/>
      </c>
    </row>
    <row r="14">
      <c r="A14" s="26" t="n">
        <v>1009</v>
      </c>
      <c r="B14" s="23" t="inlineStr">
        <is>
          <t>Mitarbeiter 009</t>
        </is>
      </c>
      <c r="C14" s="27" t="n">
        <v>46023</v>
      </c>
      <c r="D14" s="27" t="n"/>
      <c r="E14" s="28" t="n">
        <v>30</v>
      </c>
      <c r="F14" s="29">
        <f>IF(E14="","",E14/5)</f>
        <v/>
      </c>
      <c r="G14" s="30">
        <f>IF(B14="","",IF(C14&gt;Einstellungen!$C$9,"künftig",IF(AND(D14&lt;&gt;"",D14&lt;Einstellungen!$C$9),"ausgeschieden","aktiv")))</f>
        <v/>
      </c>
      <c r="H14" s="31">
        <f>IF(OR(B14="",E14=""),"",IF(Einstellungen!$C$11="7 Tage",MAX(0,(MIN(IF(D14="",DATE(Einstellungen!$C$3,12,31),D14),Einstellungen!$C$9))-(MAX(C14,DATE(Einstellungen!$C$3,1,1)))+1),MAX(0,NETWORKDAYS(MAX(C14,DATE(Einstellungen!$C$3,1,1)),MIN(IF(D14="",DATE(Einstellungen!$C$3,12,31),D14),Einstellungen!$C$9),Einstellungen!$F$13:$F$67)))*F14)</f>
        <v/>
      </c>
      <c r="J14" s="35">
        <f>DATE(Einstellungen!$C$3,8,1)</f>
        <v/>
      </c>
      <c r="K14" s="36">
        <f>COUNTIFS($C$6:$C$305,"&gt;="&amp;J14,$C$6:$C$305,"&lt;="&amp;DATE(Einstellungen!$C$3,9,0))</f>
        <v/>
      </c>
      <c r="L14" s="36">
        <f>COUNTIFS($D$6:$D$305,"&gt;="&amp;J14,$D$6:$D$305,"&lt;="&amp;DATE(Einstellungen!$C$3,9,0))</f>
        <v/>
      </c>
      <c r="M14" s="36">
        <f>COUNTIFS($C$6:$C$305,"&lt;="&amp;DATE(Einstellungen!$C$3,9,0),$D$6:$D$305,"&gt;"&amp;DATE(Einstellungen!$C$3,9,0))+COUNTIFS($C$6:$C$305,"&lt;="&amp;DATE(Einstellungen!$C$3,9,0),$D$6:$D$305,"")</f>
        <v/>
      </c>
    </row>
    <row r="15">
      <c r="A15" s="26" t="n">
        <v>1010</v>
      </c>
      <c r="B15" s="23" t="inlineStr">
        <is>
          <t>Mitarbeiter 010</t>
        </is>
      </c>
      <c r="C15" s="27" t="n">
        <v>46023</v>
      </c>
      <c r="D15" s="27" t="n">
        <v>46109</v>
      </c>
      <c r="E15" s="28" t="n">
        <v>40</v>
      </c>
      <c r="F15" s="29">
        <f>IF(E15="","",E15/5)</f>
        <v/>
      </c>
      <c r="G15" s="30">
        <f>IF(B15="","",IF(C15&gt;Einstellungen!$C$9,"künftig",IF(AND(D15&lt;&gt;"",D15&lt;Einstellungen!$C$9),"ausgeschieden","aktiv")))</f>
        <v/>
      </c>
      <c r="H15" s="31">
        <f>IF(OR(B15="",E15=""),"",IF(Einstellungen!$C$11="7 Tage",MAX(0,(MIN(IF(D15="",DATE(Einstellungen!$C$3,12,31),D15),Einstellungen!$C$9))-(MAX(C15,DATE(Einstellungen!$C$3,1,1)))+1),MAX(0,NETWORKDAYS(MAX(C15,DATE(Einstellungen!$C$3,1,1)),MIN(IF(D15="",DATE(Einstellungen!$C$3,12,31),D15),Einstellungen!$C$9),Einstellungen!$F$13:$F$67)))*F15)</f>
        <v/>
      </c>
      <c r="J15" s="35">
        <f>DATE(Einstellungen!$C$3,9,1)</f>
        <v/>
      </c>
      <c r="K15" s="36">
        <f>COUNTIFS($C$6:$C$305,"&gt;="&amp;J15,$C$6:$C$305,"&lt;="&amp;DATE(Einstellungen!$C$3,10,0))</f>
        <v/>
      </c>
      <c r="L15" s="36">
        <f>COUNTIFS($D$6:$D$305,"&gt;="&amp;J15,$D$6:$D$305,"&lt;="&amp;DATE(Einstellungen!$C$3,10,0))</f>
        <v/>
      </c>
      <c r="M15" s="36">
        <f>COUNTIFS($C$6:$C$305,"&lt;="&amp;DATE(Einstellungen!$C$3,10,0),$D$6:$D$305,"&gt;"&amp;DATE(Einstellungen!$C$3,10,0))+COUNTIFS($C$6:$C$305,"&lt;="&amp;DATE(Einstellungen!$C$3,10,0),$D$6:$D$305,"")</f>
        <v/>
      </c>
    </row>
    <row r="16">
      <c r="A16" s="26" t="n">
        <v>1011</v>
      </c>
      <c r="B16" s="23" t="inlineStr">
        <is>
          <t>Mitarbeiter 011</t>
        </is>
      </c>
      <c r="C16" s="27" t="n">
        <v>46023</v>
      </c>
      <c r="D16" s="27" t="n"/>
      <c r="E16" s="28" t="n">
        <v>30</v>
      </c>
      <c r="F16" s="29">
        <f>IF(E16="","",E16/5)</f>
        <v/>
      </c>
      <c r="G16" s="30">
        <f>IF(B16="","",IF(C16&gt;Einstellungen!$C$9,"künftig",IF(AND(D16&lt;&gt;"",D16&lt;Einstellungen!$C$9),"ausgeschieden","aktiv")))</f>
        <v/>
      </c>
      <c r="H16" s="31">
        <f>IF(OR(B16="",E16=""),"",IF(Einstellungen!$C$11="7 Tage",MAX(0,(MIN(IF(D16="",DATE(Einstellungen!$C$3,12,31),D16),Einstellungen!$C$9))-(MAX(C16,DATE(Einstellungen!$C$3,1,1)))+1),MAX(0,NETWORKDAYS(MAX(C16,DATE(Einstellungen!$C$3,1,1)),MIN(IF(D16="",DATE(Einstellungen!$C$3,12,31),D16),Einstellungen!$C$9),Einstellungen!$F$13:$F$67)))*F16)</f>
        <v/>
      </c>
      <c r="J16" s="35">
        <f>DATE(Einstellungen!$C$3,10,1)</f>
        <v/>
      </c>
      <c r="K16" s="36">
        <f>COUNTIFS($C$6:$C$305,"&gt;="&amp;J16,$C$6:$C$305,"&lt;="&amp;DATE(Einstellungen!$C$3,11,0))</f>
        <v/>
      </c>
      <c r="L16" s="36">
        <f>COUNTIFS($D$6:$D$305,"&gt;="&amp;J16,$D$6:$D$305,"&lt;="&amp;DATE(Einstellungen!$C$3,11,0))</f>
        <v/>
      </c>
      <c r="M16" s="36">
        <f>COUNTIFS($C$6:$C$305,"&lt;="&amp;DATE(Einstellungen!$C$3,11,0),$D$6:$D$305,"&gt;"&amp;DATE(Einstellungen!$C$3,11,0))+COUNTIFS($C$6:$C$305,"&lt;="&amp;DATE(Einstellungen!$C$3,11,0),$D$6:$D$305,"")</f>
        <v/>
      </c>
    </row>
    <row r="17">
      <c r="A17" s="26" t="n">
        <v>1012</v>
      </c>
      <c r="B17" s="23" t="inlineStr">
        <is>
          <t>Mitarbeiter 012</t>
        </is>
      </c>
      <c r="C17" s="27" t="n">
        <v>46023</v>
      </c>
      <c r="D17" s="27" t="n">
        <v>46081</v>
      </c>
      <c r="E17" s="28" t="n">
        <v>40</v>
      </c>
      <c r="F17" s="29">
        <f>IF(E17="","",E17/5)</f>
        <v/>
      </c>
      <c r="G17" s="30">
        <f>IF(B17="","",IF(C17&gt;Einstellungen!$C$9,"künftig",IF(AND(D17&lt;&gt;"",D17&lt;Einstellungen!$C$9),"ausgeschieden","aktiv")))</f>
        <v/>
      </c>
      <c r="H17" s="31">
        <f>IF(OR(B17="",E17=""),"",IF(Einstellungen!$C$11="7 Tage",MAX(0,(MIN(IF(D17="",DATE(Einstellungen!$C$3,12,31),D17),Einstellungen!$C$9))-(MAX(C17,DATE(Einstellungen!$C$3,1,1)))+1),MAX(0,NETWORKDAYS(MAX(C17,DATE(Einstellungen!$C$3,1,1)),MIN(IF(D17="",DATE(Einstellungen!$C$3,12,31),D17),Einstellungen!$C$9),Einstellungen!$F$13:$F$67)))*F17)</f>
        <v/>
      </c>
      <c r="J17" s="35">
        <f>DATE(Einstellungen!$C$3,11,1)</f>
        <v/>
      </c>
      <c r="K17" s="36">
        <f>COUNTIFS($C$6:$C$305,"&gt;="&amp;J17,$C$6:$C$305,"&lt;="&amp;DATE(Einstellungen!$C$3,12,0))</f>
        <v/>
      </c>
      <c r="L17" s="36">
        <f>COUNTIFS($D$6:$D$305,"&gt;="&amp;J17,$D$6:$D$305,"&lt;="&amp;DATE(Einstellungen!$C$3,12,0))</f>
        <v/>
      </c>
      <c r="M17" s="36">
        <f>COUNTIFS($C$6:$C$305,"&lt;="&amp;DATE(Einstellungen!$C$3,12,0),$D$6:$D$305,"&gt;"&amp;DATE(Einstellungen!$C$3,12,0))+COUNTIFS($C$6:$C$305,"&lt;="&amp;DATE(Einstellungen!$C$3,12,0),$D$6:$D$305,"")</f>
        <v/>
      </c>
    </row>
    <row r="18">
      <c r="A18" s="26" t="n">
        <v>1013</v>
      </c>
      <c r="B18" s="23" t="inlineStr">
        <is>
          <t>Mitarbeiter 013</t>
        </is>
      </c>
      <c r="C18" s="27" t="n">
        <v>46023</v>
      </c>
      <c r="D18" s="27" t="n">
        <v>46170</v>
      </c>
      <c r="E18" s="28" t="n">
        <v>40</v>
      </c>
      <c r="F18" s="29">
        <f>IF(E18="","",E18/5)</f>
        <v/>
      </c>
      <c r="G18" s="30">
        <f>IF(B18="","",IF(C18&gt;Einstellungen!$C$9,"künftig",IF(AND(D18&lt;&gt;"",D18&lt;Einstellungen!$C$9),"ausgeschieden","aktiv")))</f>
        <v/>
      </c>
      <c r="H18" s="31">
        <f>IF(OR(B18="",E18=""),"",IF(Einstellungen!$C$11="7 Tage",MAX(0,(MIN(IF(D18="",DATE(Einstellungen!$C$3,12,31),D18),Einstellungen!$C$9))-(MAX(C18,DATE(Einstellungen!$C$3,1,1)))+1),MAX(0,NETWORKDAYS(MAX(C18,DATE(Einstellungen!$C$3,1,1)),MIN(IF(D18="",DATE(Einstellungen!$C$3,12,31),D18),Einstellungen!$C$9),Einstellungen!$F$13:$F$67)))*F18)</f>
        <v/>
      </c>
      <c r="J18" s="35">
        <f>DATE(Einstellungen!$C$3,12,1)</f>
        <v/>
      </c>
      <c r="K18" s="36">
        <f>COUNTIFS($C$6:$C$305,"&gt;="&amp;J18,$C$6:$C$305,"&lt;="&amp;DATE(Einstellungen!$C$3,13,0))</f>
        <v/>
      </c>
      <c r="L18" s="36">
        <f>COUNTIFS($D$6:$D$305,"&gt;="&amp;J18,$D$6:$D$305,"&lt;="&amp;DATE(Einstellungen!$C$3,13,0))</f>
        <v/>
      </c>
      <c r="M18" s="36">
        <f>COUNTIFS($C$6:$C$305,"&lt;="&amp;DATE(Einstellungen!$C$3,13,0),$D$6:$D$305,"&gt;"&amp;DATE(Einstellungen!$C$3,13,0))+COUNTIFS($C$6:$C$305,"&lt;="&amp;DATE(Einstellungen!$C$3,13,0),$D$6:$D$305,"")</f>
        <v/>
      </c>
    </row>
    <row r="19">
      <c r="A19" s="26" t="n">
        <v>1014</v>
      </c>
      <c r="B19" s="23" t="inlineStr">
        <is>
          <t>Mitarbeiter 014</t>
        </is>
      </c>
      <c r="C19" s="27" t="n">
        <v>46023</v>
      </c>
      <c r="D19" s="27" t="n"/>
      <c r="E19" s="28" t="n">
        <v>40</v>
      </c>
      <c r="F19" s="29">
        <f>IF(E19="","",E19/5)</f>
        <v/>
      </c>
      <c r="G19" s="30">
        <f>IF(B19="","",IF(C19&gt;Einstellungen!$C$9,"künftig",IF(AND(D19&lt;&gt;"",D19&lt;Einstellungen!$C$9),"ausgeschieden","aktiv")))</f>
        <v/>
      </c>
      <c r="H19" s="31">
        <f>IF(OR(B19="",E19=""),"",IF(Einstellungen!$C$11="7 Tage",MAX(0,(MIN(IF(D19="",DATE(Einstellungen!$C$3,12,31),D19),Einstellungen!$C$9))-(MAX(C19,DATE(Einstellungen!$C$3,1,1)))+1),MAX(0,NETWORKDAYS(MAX(C19,DATE(Einstellungen!$C$3,1,1)),MIN(IF(D19="",DATE(Einstellungen!$C$3,12,31),D19),Einstellungen!$C$9),Einstellungen!$F$13:$F$67)))*F19)</f>
        <v/>
      </c>
      <c r="J19" s="24" t="inlineStr">
        <is>
          <t>Summe / Ø</t>
        </is>
      </c>
      <c r="K19" s="25">
        <f>SUM(K7:K18)</f>
        <v/>
      </c>
      <c r="L19" s="25">
        <f>SUM(L7:L18)</f>
        <v/>
      </c>
      <c r="M19" s="37">
        <f>AVERAGE(M6:M18)</f>
        <v/>
      </c>
    </row>
    <row r="20">
      <c r="A20" s="26" t="n">
        <v>1015</v>
      </c>
      <c r="B20" s="23" t="inlineStr">
        <is>
          <t>Mitarbeiter 015</t>
        </is>
      </c>
      <c r="C20" s="27" t="n">
        <v>46023</v>
      </c>
      <c r="D20" s="27" t="n"/>
      <c r="E20" s="28" t="n">
        <v>40</v>
      </c>
      <c r="F20" s="29">
        <f>IF(E20="","",E20/5)</f>
        <v/>
      </c>
      <c r="G20" s="30">
        <f>IF(B20="","",IF(C20&gt;Einstellungen!$C$9,"künftig",IF(AND(D20&lt;&gt;"",D20&lt;Einstellungen!$C$9),"ausgeschieden","aktiv")))</f>
        <v/>
      </c>
      <c r="H20" s="31">
        <f>IF(OR(B20="",E20=""),"",IF(Einstellungen!$C$11="7 Tage",MAX(0,(MIN(IF(D20="",DATE(Einstellungen!$C$3,12,31),D20),Einstellungen!$C$9))-(MAX(C20,DATE(Einstellungen!$C$3,1,1)))+1),MAX(0,NETWORKDAYS(MAX(C20,DATE(Einstellungen!$C$3,1,1)),MIN(IF(D20="",DATE(Einstellungen!$C$3,12,31),D20),Einstellungen!$C$9),Einstellungen!$F$13:$F$67)))*F20)</f>
        <v/>
      </c>
    </row>
    <row r="21">
      <c r="A21" s="26" t="n">
        <v>1016</v>
      </c>
      <c r="B21" s="23" t="inlineStr">
        <is>
          <t>Mitarbeiter 016</t>
        </is>
      </c>
      <c r="C21" s="27" t="n">
        <v>46023</v>
      </c>
      <c r="D21" s="27" t="n"/>
      <c r="E21" s="28" t="n">
        <v>40</v>
      </c>
      <c r="F21" s="29">
        <f>IF(E21="","",E21/5)</f>
        <v/>
      </c>
      <c r="G21" s="30">
        <f>IF(B21="","",IF(C21&gt;Einstellungen!$C$9,"künftig",IF(AND(D21&lt;&gt;"",D21&lt;Einstellungen!$C$9),"ausgeschieden","aktiv")))</f>
        <v/>
      </c>
      <c r="H21" s="31">
        <f>IF(OR(B21="",E21=""),"",IF(Einstellungen!$C$11="7 Tage",MAX(0,(MIN(IF(D21="",DATE(Einstellungen!$C$3,12,31),D21),Einstellungen!$C$9))-(MAX(C21,DATE(Einstellungen!$C$3,1,1)))+1),MAX(0,NETWORKDAYS(MAX(C21,DATE(Einstellungen!$C$3,1,1)),MIN(IF(D21="",DATE(Einstellungen!$C$3,12,31),D21),Einstellungen!$C$9),Einstellungen!$F$13:$F$67)))*F21)</f>
        <v/>
      </c>
      <c r="J21" s="20" t="inlineStr">
        <is>
          <t>Fluktuationsquote (BDA)</t>
        </is>
      </c>
      <c r="K21" s="38" t="n"/>
      <c r="L21" s="39" t="n"/>
      <c r="M21" s="40">
        <f>IF(M19&gt;0,L19/M19,0)</f>
        <v/>
      </c>
      <c r="N21" s="16" t="inlineStr">
        <is>
          <t>Austritte ÷ Ø Personalbestand</t>
        </is>
      </c>
    </row>
    <row r="22">
      <c r="A22" s="26" t="n">
        <v>1017</v>
      </c>
      <c r="B22" s="23" t="inlineStr">
        <is>
          <t>Mitarbeiter 017</t>
        </is>
      </c>
      <c r="C22" s="27" t="n">
        <v>46023</v>
      </c>
      <c r="D22" s="27" t="n">
        <v>46170</v>
      </c>
      <c r="E22" s="28" t="n">
        <v>30</v>
      </c>
      <c r="F22" s="29">
        <f>IF(E22="","",E22/5)</f>
        <v/>
      </c>
      <c r="G22" s="30">
        <f>IF(B22="","",IF(C22&gt;Einstellungen!$C$9,"künftig",IF(AND(D22&lt;&gt;"",D22&lt;Einstellungen!$C$9),"ausgeschieden","aktiv")))</f>
        <v/>
      </c>
      <c r="H22" s="31">
        <f>IF(OR(B22="",E22=""),"",IF(Einstellungen!$C$11="7 Tage",MAX(0,(MIN(IF(D22="",DATE(Einstellungen!$C$3,12,31),D22),Einstellungen!$C$9))-(MAX(C22,DATE(Einstellungen!$C$3,1,1)))+1),MAX(0,NETWORKDAYS(MAX(C22,DATE(Einstellungen!$C$3,1,1)),MIN(IF(D22="",DATE(Einstellungen!$C$3,12,31),D22),Einstellungen!$C$9),Einstellungen!$F$13:$F$67)))*F22)</f>
        <v/>
      </c>
      <c r="J22" s="20" t="inlineStr">
        <is>
          <t>Aktive Mitarbeiter (Stichtag)</t>
        </is>
      </c>
      <c r="K22" s="38" t="n"/>
      <c r="L22" s="39" t="n"/>
      <c r="M22" s="34">
        <f>COUNTIF($G$6:$G$305,"aktiv")</f>
        <v/>
      </c>
      <c r="N22" s="16" t="inlineStr"/>
    </row>
    <row r="23">
      <c r="A23" s="26" t="n">
        <v>1018</v>
      </c>
      <c r="B23" s="23" t="inlineStr">
        <is>
          <t>Mitarbeiter 018</t>
        </is>
      </c>
      <c r="C23" s="27" t="n">
        <v>46023</v>
      </c>
      <c r="D23" s="27" t="n"/>
      <c r="E23" s="28" t="n">
        <v>40</v>
      </c>
      <c r="F23" s="29">
        <f>IF(E23="","",E23/5)</f>
        <v/>
      </c>
      <c r="G23" s="30">
        <f>IF(B23="","",IF(C23&gt;Einstellungen!$C$9,"künftig",IF(AND(D23&lt;&gt;"",D23&lt;Einstellungen!$C$9),"ausgeschieden","aktiv")))</f>
        <v/>
      </c>
      <c r="H23" s="31">
        <f>IF(OR(B23="",E23=""),"",IF(Einstellungen!$C$11="7 Tage",MAX(0,(MIN(IF(D23="",DATE(Einstellungen!$C$3,12,31),D23),Einstellungen!$C$9))-(MAX(C23,DATE(Einstellungen!$C$3,1,1)))+1),MAX(0,NETWORKDAYS(MAX(C23,DATE(Einstellungen!$C$3,1,1)),MIN(IF(D23="",DATE(Einstellungen!$C$3,12,31),D23),Einstellungen!$C$9),Einstellungen!$F$13:$F$67)))*F23)</f>
        <v/>
      </c>
      <c r="J23" s="20" t="inlineStr">
        <is>
          <t>Ausgeschiedene gesamt</t>
        </is>
      </c>
      <c r="K23" s="38" t="n"/>
      <c r="L23" s="39" t="n"/>
      <c r="M23" s="34">
        <f>COUNTIF($G$6:$G$305,"ausgeschieden")</f>
        <v/>
      </c>
      <c r="N23" s="16" t="inlineStr"/>
    </row>
    <row r="24">
      <c r="A24" s="26" t="n">
        <v>1019</v>
      </c>
      <c r="B24" s="23" t="inlineStr">
        <is>
          <t>Mitarbeiter 019</t>
        </is>
      </c>
      <c r="C24" s="27" t="n">
        <v>46023</v>
      </c>
      <c r="D24" s="27" t="n"/>
      <c r="E24" s="28" t="n">
        <v>40</v>
      </c>
      <c r="F24" s="29">
        <f>IF(E24="","",E24/5)</f>
        <v/>
      </c>
      <c r="G24" s="30">
        <f>IF(B24="","",IF(C24&gt;Einstellungen!$C$9,"künftig",IF(AND(D24&lt;&gt;"",D24&lt;Einstellungen!$C$9),"ausgeschieden","aktiv")))</f>
        <v/>
      </c>
      <c r="H24" s="31">
        <f>IF(OR(B24="",E24=""),"",IF(Einstellungen!$C$11="7 Tage",MAX(0,(MIN(IF(D24="",DATE(Einstellungen!$C$3,12,31),D24),Einstellungen!$C$9))-(MAX(C24,DATE(Einstellungen!$C$3,1,1)))+1),MAX(0,NETWORKDAYS(MAX(C24,DATE(Einstellungen!$C$3,1,1)),MIN(IF(D24="",DATE(Einstellungen!$C$3,12,31),D24),Einstellungen!$C$9),Einstellungen!$F$13:$F$67)))*F24)</f>
        <v/>
      </c>
    </row>
    <row r="25">
      <c r="A25" s="26" t="n">
        <v>1020</v>
      </c>
      <c r="B25" s="23" t="inlineStr">
        <is>
          <t>Mitarbeiter 020</t>
        </is>
      </c>
      <c r="C25" s="27" t="n">
        <v>46023</v>
      </c>
      <c r="D25" s="27" t="n"/>
      <c r="E25" s="28" t="n">
        <v>40</v>
      </c>
      <c r="F25" s="29">
        <f>IF(E25="","",E25/5)</f>
        <v/>
      </c>
      <c r="G25" s="30">
        <f>IF(B25="","",IF(C25&gt;Einstellungen!$C$9,"künftig",IF(AND(D25&lt;&gt;"",D25&lt;Einstellungen!$C$9),"ausgeschieden","aktiv")))</f>
        <v/>
      </c>
      <c r="H25" s="31">
        <f>IF(OR(B25="",E25=""),"",IF(Einstellungen!$C$11="7 Tage",MAX(0,(MIN(IF(D25="",DATE(Einstellungen!$C$3,12,31),D25),Einstellungen!$C$9))-(MAX(C25,DATE(Einstellungen!$C$3,1,1)))+1),MAX(0,NETWORKDAYS(MAX(C25,DATE(Einstellungen!$C$3,1,1)),MIN(IF(D25="",DATE(Einstellungen!$C$3,12,31),D25),Einstellungen!$C$9),Einstellungen!$F$13:$F$67)))*F25)</f>
        <v/>
      </c>
    </row>
    <row r="26">
      <c r="A26" s="26" t="n">
        <v>1021</v>
      </c>
      <c r="B26" s="23" t="inlineStr">
        <is>
          <t>Mitarbeiter 021</t>
        </is>
      </c>
      <c r="C26" s="27" t="n">
        <v>46023</v>
      </c>
      <c r="D26" s="27" t="n"/>
      <c r="E26" s="28" t="n">
        <v>20</v>
      </c>
      <c r="F26" s="29">
        <f>IF(E26="","",E26/5)</f>
        <v/>
      </c>
      <c r="G26" s="30">
        <f>IF(B26="","",IF(C26&gt;Einstellungen!$C$9,"künftig",IF(AND(D26&lt;&gt;"",D26&lt;Einstellungen!$C$9),"ausgeschieden","aktiv")))</f>
        <v/>
      </c>
      <c r="H26" s="31">
        <f>IF(OR(B26="",E26=""),"",IF(Einstellungen!$C$11="7 Tage",MAX(0,(MIN(IF(D26="",DATE(Einstellungen!$C$3,12,31),D26),Einstellungen!$C$9))-(MAX(C26,DATE(Einstellungen!$C$3,1,1)))+1),MAX(0,NETWORKDAYS(MAX(C26,DATE(Einstellungen!$C$3,1,1)),MIN(IF(D26="",DATE(Einstellungen!$C$3,12,31),D26),Einstellungen!$C$9),Einstellungen!$F$13:$F$67)))*F26)</f>
        <v/>
      </c>
    </row>
    <row r="27">
      <c r="A27" s="26" t="n">
        <v>1022</v>
      </c>
      <c r="B27" s="23" t="inlineStr">
        <is>
          <t>Mitarbeiter 022</t>
        </is>
      </c>
      <c r="C27" s="27" t="n">
        <v>46023</v>
      </c>
      <c r="D27" s="27" t="n"/>
      <c r="E27" s="28" t="n">
        <v>20</v>
      </c>
      <c r="F27" s="29">
        <f>IF(E27="","",E27/5)</f>
        <v/>
      </c>
      <c r="G27" s="30">
        <f>IF(B27="","",IF(C27&gt;Einstellungen!$C$9,"künftig",IF(AND(D27&lt;&gt;"",D27&lt;Einstellungen!$C$9),"ausgeschieden","aktiv")))</f>
        <v/>
      </c>
      <c r="H27" s="31">
        <f>IF(OR(B27="",E27=""),"",IF(Einstellungen!$C$11="7 Tage",MAX(0,(MIN(IF(D27="",DATE(Einstellungen!$C$3,12,31),D27),Einstellungen!$C$9))-(MAX(C27,DATE(Einstellungen!$C$3,1,1)))+1),MAX(0,NETWORKDAYS(MAX(C27,DATE(Einstellungen!$C$3,1,1)),MIN(IF(D27="",DATE(Einstellungen!$C$3,12,31),D27),Einstellungen!$C$9),Einstellungen!$F$13:$F$67)))*F27)</f>
        <v/>
      </c>
    </row>
    <row r="28">
      <c r="A28" s="26" t="n">
        <v>1023</v>
      </c>
      <c r="B28" s="23" t="inlineStr">
        <is>
          <t>Mitarbeiter 023</t>
        </is>
      </c>
      <c r="C28" s="27" t="n">
        <v>46023</v>
      </c>
      <c r="D28" s="27" t="n"/>
      <c r="E28" s="28" t="n">
        <v>40</v>
      </c>
      <c r="F28" s="29">
        <f>IF(E28="","",E28/5)</f>
        <v/>
      </c>
      <c r="G28" s="30">
        <f>IF(B28="","",IF(C28&gt;Einstellungen!$C$9,"künftig",IF(AND(D28&lt;&gt;"",D28&lt;Einstellungen!$C$9),"ausgeschieden","aktiv")))</f>
        <v/>
      </c>
      <c r="H28" s="31">
        <f>IF(OR(B28="",E28=""),"",IF(Einstellungen!$C$11="7 Tage",MAX(0,(MIN(IF(D28="",DATE(Einstellungen!$C$3,12,31),D28),Einstellungen!$C$9))-(MAX(C28,DATE(Einstellungen!$C$3,1,1)))+1),MAX(0,NETWORKDAYS(MAX(C28,DATE(Einstellungen!$C$3,1,1)),MIN(IF(D28="",DATE(Einstellungen!$C$3,12,31),D28),Einstellungen!$C$9),Einstellungen!$F$13:$F$67)))*F28)</f>
        <v/>
      </c>
    </row>
    <row r="29">
      <c r="A29" s="26" t="n">
        <v>1024</v>
      </c>
      <c r="B29" s="23" t="inlineStr">
        <is>
          <t>Mitarbeiter 024</t>
        </is>
      </c>
      <c r="C29" s="27" t="n">
        <v>46023</v>
      </c>
      <c r="D29" s="27" t="n">
        <v>46231</v>
      </c>
      <c r="E29" s="28" t="n">
        <v>40</v>
      </c>
      <c r="F29" s="29">
        <f>IF(E29="","",E29/5)</f>
        <v/>
      </c>
      <c r="G29" s="30">
        <f>IF(B29="","",IF(C29&gt;Einstellungen!$C$9,"künftig",IF(AND(D29&lt;&gt;"",D29&lt;Einstellungen!$C$9),"ausgeschieden","aktiv")))</f>
        <v/>
      </c>
      <c r="H29" s="31">
        <f>IF(OR(B29="",E29=""),"",IF(Einstellungen!$C$11="7 Tage",MAX(0,(MIN(IF(D29="",DATE(Einstellungen!$C$3,12,31),D29),Einstellungen!$C$9))-(MAX(C29,DATE(Einstellungen!$C$3,1,1)))+1),MAX(0,NETWORKDAYS(MAX(C29,DATE(Einstellungen!$C$3,1,1)),MIN(IF(D29="",DATE(Einstellungen!$C$3,12,31),D29),Einstellungen!$C$9),Einstellungen!$F$13:$F$67)))*F29)</f>
        <v/>
      </c>
    </row>
    <row r="30">
      <c r="A30" s="26" t="n">
        <v>1025</v>
      </c>
      <c r="B30" s="23" t="inlineStr">
        <is>
          <t>Mitarbeiter 025</t>
        </is>
      </c>
      <c r="C30" s="27" t="n">
        <v>46023</v>
      </c>
      <c r="D30" s="27" t="n"/>
      <c r="E30" s="28" t="n">
        <v>40</v>
      </c>
      <c r="F30" s="29">
        <f>IF(E30="","",E30/5)</f>
        <v/>
      </c>
      <c r="G30" s="30">
        <f>IF(B30="","",IF(C30&gt;Einstellungen!$C$9,"künftig",IF(AND(D30&lt;&gt;"",D30&lt;Einstellungen!$C$9),"ausgeschieden","aktiv")))</f>
        <v/>
      </c>
      <c r="H30" s="31">
        <f>IF(OR(B30="",E30=""),"",IF(Einstellungen!$C$11="7 Tage",MAX(0,(MIN(IF(D30="",DATE(Einstellungen!$C$3,12,31),D30),Einstellungen!$C$9))-(MAX(C30,DATE(Einstellungen!$C$3,1,1)))+1),MAX(0,NETWORKDAYS(MAX(C30,DATE(Einstellungen!$C$3,1,1)),MIN(IF(D30="",DATE(Einstellungen!$C$3,12,31),D30),Einstellungen!$C$9),Einstellungen!$F$13:$F$67)))*F30)</f>
        <v/>
      </c>
    </row>
    <row r="31">
      <c r="A31" s="26" t="n">
        <v>1026</v>
      </c>
      <c r="B31" s="23" t="inlineStr">
        <is>
          <t>Mitarbeiter 026</t>
        </is>
      </c>
      <c r="C31" s="27" t="n">
        <v>46023</v>
      </c>
      <c r="D31" s="27" t="n">
        <v>46293</v>
      </c>
      <c r="E31" s="28" t="n">
        <v>40</v>
      </c>
      <c r="F31" s="29">
        <f>IF(E31="","",E31/5)</f>
        <v/>
      </c>
      <c r="G31" s="30">
        <f>IF(B31="","",IF(C31&gt;Einstellungen!$C$9,"künftig",IF(AND(D31&lt;&gt;"",D31&lt;Einstellungen!$C$9),"ausgeschieden","aktiv")))</f>
        <v/>
      </c>
      <c r="H31" s="31">
        <f>IF(OR(B31="",E31=""),"",IF(Einstellungen!$C$11="7 Tage",MAX(0,(MIN(IF(D31="",DATE(Einstellungen!$C$3,12,31),D31),Einstellungen!$C$9))-(MAX(C31,DATE(Einstellungen!$C$3,1,1)))+1),MAX(0,NETWORKDAYS(MAX(C31,DATE(Einstellungen!$C$3,1,1)),MIN(IF(D31="",DATE(Einstellungen!$C$3,12,31),D31),Einstellungen!$C$9),Einstellungen!$F$13:$F$67)))*F31)</f>
        <v/>
      </c>
    </row>
    <row r="32">
      <c r="A32" s="26" t="n">
        <v>1027</v>
      </c>
      <c r="B32" s="23" t="inlineStr">
        <is>
          <t>Mitarbeiter 027</t>
        </is>
      </c>
      <c r="C32" s="27" t="n">
        <v>46023</v>
      </c>
      <c r="D32" s="27" t="n">
        <v>46081</v>
      </c>
      <c r="E32" s="28" t="n">
        <v>40</v>
      </c>
      <c r="F32" s="29">
        <f>IF(E32="","",E32/5)</f>
        <v/>
      </c>
      <c r="G32" s="30">
        <f>IF(B32="","",IF(C32&gt;Einstellungen!$C$9,"künftig",IF(AND(D32&lt;&gt;"",D32&lt;Einstellungen!$C$9),"ausgeschieden","aktiv")))</f>
        <v/>
      </c>
      <c r="H32" s="31">
        <f>IF(OR(B32="",E32=""),"",IF(Einstellungen!$C$11="7 Tage",MAX(0,(MIN(IF(D32="",DATE(Einstellungen!$C$3,12,31),D32),Einstellungen!$C$9))-(MAX(C32,DATE(Einstellungen!$C$3,1,1)))+1),MAX(0,NETWORKDAYS(MAX(C32,DATE(Einstellungen!$C$3,1,1)),MIN(IF(D32="",DATE(Einstellungen!$C$3,12,31),D32),Einstellungen!$C$9),Einstellungen!$F$13:$F$67)))*F32)</f>
        <v/>
      </c>
    </row>
    <row r="33">
      <c r="A33" s="26" t="n">
        <v>1028</v>
      </c>
      <c r="B33" s="23" t="inlineStr">
        <is>
          <t>Mitarbeiter 028</t>
        </is>
      </c>
      <c r="C33" s="27" t="n">
        <v>46023</v>
      </c>
      <c r="D33" s="27" t="n"/>
      <c r="E33" s="28" t="n">
        <v>40</v>
      </c>
      <c r="F33" s="29">
        <f>IF(E33="","",E33/5)</f>
        <v/>
      </c>
      <c r="G33" s="30">
        <f>IF(B33="","",IF(C33&gt;Einstellungen!$C$9,"künftig",IF(AND(D33&lt;&gt;"",D33&lt;Einstellungen!$C$9),"ausgeschieden","aktiv")))</f>
        <v/>
      </c>
      <c r="H33" s="31">
        <f>IF(OR(B33="",E33=""),"",IF(Einstellungen!$C$11="7 Tage",MAX(0,(MIN(IF(D33="",DATE(Einstellungen!$C$3,12,31),D33),Einstellungen!$C$9))-(MAX(C33,DATE(Einstellungen!$C$3,1,1)))+1),MAX(0,NETWORKDAYS(MAX(C33,DATE(Einstellungen!$C$3,1,1)),MIN(IF(D33="",DATE(Einstellungen!$C$3,12,31),D33),Einstellungen!$C$9),Einstellungen!$F$13:$F$67)))*F33)</f>
        <v/>
      </c>
    </row>
    <row r="34">
      <c r="A34" s="26" t="n">
        <v>1029</v>
      </c>
      <c r="B34" s="23" t="inlineStr">
        <is>
          <t>Mitarbeiter 029</t>
        </is>
      </c>
      <c r="C34" s="27" t="n">
        <v>46023</v>
      </c>
      <c r="D34" s="27" t="n"/>
      <c r="E34" s="28" t="n">
        <v>30</v>
      </c>
      <c r="F34" s="29">
        <f>IF(E34="","",E34/5)</f>
        <v/>
      </c>
      <c r="G34" s="30">
        <f>IF(B34="","",IF(C34&gt;Einstellungen!$C$9,"künftig",IF(AND(D34&lt;&gt;"",D34&lt;Einstellungen!$C$9),"ausgeschieden","aktiv")))</f>
        <v/>
      </c>
      <c r="H34" s="31">
        <f>IF(OR(B34="",E34=""),"",IF(Einstellungen!$C$11="7 Tage",MAX(0,(MIN(IF(D34="",DATE(Einstellungen!$C$3,12,31),D34),Einstellungen!$C$9))-(MAX(C34,DATE(Einstellungen!$C$3,1,1)))+1),MAX(0,NETWORKDAYS(MAX(C34,DATE(Einstellungen!$C$3,1,1)),MIN(IF(D34="",DATE(Einstellungen!$C$3,12,31),D34),Einstellungen!$C$9),Einstellungen!$F$13:$F$67)))*F34)</f>
        <v/>
      </c>
    </row>
    <row r="35">
      <c r="A35" s="26" t="n">
        <v>1030</v>
      </c>
      <c r="B35" s="23" t="inlineStr">
        <is>
          <t>Mitarbeiter 030</t>
        </is>
      </c>
      <c r="C35" s="27" t="n">
        <v>46023</v>
      </c>
      <c r="D35" s="27" t="n"/>
      <c r="E35" s="28" t="n">
        <v>20</v>
      </c>
      <c r="F35" s="29">
        <f>IF(E35="","",E35/5)</f>
        <v/>
      </c>
      <c r="G35" s="30">
        <f>IF(B35="","",IF(C35&gt;Einstellungen!$C$9,"künftig",IF(AND(D35&lt;&gt;"",D35&lt;Einstellungen!$C$9),"ausgeschieden","aktiv")))</f>
        <v/>
      </c>
      <c r="H35" s="31">
        <f>IF(OR(B35="",E35=""),"",IF(Einstellungen!$C$11="7 Tage",MAX(0,(MIN(IF(D35="",DATE(Einstellungen!$C$3,12,31),D35),Einstellungen!$C$9))-(MAX(C35,DATE(Einstellungen!$C$3,1,1)))+1),MAX(0,NETWORKDAYS(MAX(C35,DATE(Einstellungen!$C$3,1,1)),MIN(IF(D35="",DATE(Einstellungen!$C$3,12,31),D35),Einstellungen!$C$9),Einstellungen!$F$13:$F$67)))*F35)</f>
        <v/>
      </c>
    </row>
    <row r="36">
      <c r="A36" s="26" t="n">
        <v>1031</v>
      </c>
      <c r="B36" s="23" t="inlineStr">
        <is>
          <t>Mitarbeiter 031</t>
        </is>
      </c>
      <c r="C36" s="27" t="n">
        <v>46023</v>
      </c>
      <c r="D36" s="27" t="n"/>
      <c r="E36" s="28" t="n">
        <v>30</v>
      </c>
      <c r="F36" s="29">
        <f>IF(E36="","",E36/5)</f>
        <v/>
      </c>
      <c r="G36" s="30">
        <f>IF(B36="","",IF(C36&gt;Einstellungen!$C$9,"künftig",IF(AND(D36&lt;&gt;"",D36&lt;Einstellungen!$C$9),"ausgeschieden","aktiv")))</f>
        <v/>
      </c>
      <c r="H36" s="31">
        <f>IF(OR(B36="",E36=""),"",IF(Einstellungen!$C$11="7 Tage",MAX(0,(MIN(IF(D36="",DATE(Einstellungen!$C$3,12,31),D36),Einstellungen!$C$9))-(MAX(C36,DATE(Einstellungen!$C$3,1,1)))+1),MAX(0,NETWORKDAYS(MAX(C36,DATE(Einstellungen!$C$3,1,1)),MIN(IF(D36="",DATE(Einstellungen!$C$3,12,31),D36),Einstellungen!$C$9),Einstellungen!$F$13:$F$67)))*F36)</f>
        <v/>
      </c>
    </row>
    <row r="37">
      <c r="A37" s="26" t="n">
        <v>1032</v>
      </c>
      <c r="B37" s="23" t="inlineStr">
        <is>
          <t>Mitarbeiter 032</t>
        </is>
      </c>
      <c r="C37" s="27" t="n">
        <v>46023</v>
      </c>
      <c r="D37" s="27" t="n">
        <v>46140</v>
      </c>
      <c r="E37" s="28" t="n">
        <v>20</v>
      </c>
      <c r="F37" s="29">
        <f>IF(E37="","",E37/5)</f>
        <v/>
      </c>
      <c r="G37" s="30">
        <f>IF(B37="","",IF(C37&gt;Einstellungen!$C$9,"künftig",IF(AND(D37&lt;&gt;"",D37&lt;Einstellungen!$C$9),"ausgeschieden","aktiv")))</f>
        <v/>
      </c>
      <c r="H37" s="31">
        <f>IF(OR(B37="",E37=""),"",IF(Einstellungen!$C$11="7 Tage",MAX(0,(MIN(IF(D37="",DATE(Einstellungen!$C$3,12,31),D37),Einstellungen!$C$9))-(MAX(C37,DATE(Einstellungen!$C$3,1,1)))+1),MAX(0,NETWORKDAYS(MAX(C37,DATE(Einstellungen!$C$3,1,1)),MIN(IF(D37="",DATE(Einstellungen!$C$3,12,31),D37),Einstellungen!$C$9),Einstellungen!$F$13:$F$67)))*F37)</f>
        <v/>
      </c>
    </row>
    <row r="38">
      <c r="A38" s="26" t="n">
        <v>1033</v>
      </c>
      <c r="B38" s="23" t="inlineStr">
        <is>
          <t>Mitarbeiter 033</t>
        </is>
      </c>
      <c r="C38" s="27" t="n">
        <v>46023</v>
      </c>
      <c r="D38" s="27" t="n"/>
      <c r="E38" s="28" t="n">
        <v>40</v>
      </c>
      <c r="F38" s="29">
        <f>IF(E38="","",E38/5)</f>
        <v/>
      </c>
      <c r="G38" s="30">
        <f>IF(B38="","",IF(C38&gt;Einstellungen!$C$9,"künftig",IF(AND(D38&lt;&gt;"",D38&lt;Einstellungen!$C$9),"ausgeschieden","aktiv")))</f>
        <v/>
      </c>
      <c r="H38" s="31">
        <f>IF(OR(B38="",E38=""),"",IF(Einstellungen!$C$11="7 Tage",MAX(0,(MIN(IF(D38="",DATE(Einstellungen!$C$3,12,31),D38),Einstellungen!$C$9))-(MAX(C38,DATE(Einstellungen!$C$3,1,1)))+1),MAX(0,NETWORKDAYS(MAX(C38,DATE(Einstellungen!$C$3,1,1)),MIN(IF(D38="",DATE(Einstellungen!$C$3,12,31),D38),Einstellungen!$C$9),Einstellungen!$F$13:$F$67)))*F38)</f>
        <v/>
      </c>
    </row>
    <row r="39">
      <c r="A39" s="26" t="n">
        <v>1034</v>
      </c>
      <c r="B39" s="23" t="inlineStr">
        <is>
          <t>Mitarbeiter 034</t>
        </is>
      </c>
      <c r="C39" s="27" t="n">
        <v>46023</v>
      </c>
      <c r="D39" s="27" t="n">
        <v>46170</v>
      </c>
      <c r="E39" s="28" t="n">
        <v>30</v>
      </c>
      <c r="F39" s="29">
        <f>IF(E39="","",E39/5)</f>
        <v/>
      </c>
      <c r="G39" s="30">
        <f>IF(B39="","",IF(C39&gt;Einstellungen!$C$9,"künftig",IF(AND(D39&lt;&gt;"",D39&lt;Einstellungen!$C$9),"ausgeschieden","aktiv")))</f>
        <v/>
      </c>
      <c r="H39" s="31">
        <f>IF(OR(B39="",E39=""),"",IF(Einstellungen!$C$11="7 Tage",MAX(0,(MIN(IF(D39="",DATE(Einstellungen!$C$3,12,31),D39),Einstellungen!$C$9))-(MAX(C39,DATE(Einstellungen!$C$3,1,1)))+1),MAX(0,NETWORKDAYS(MAX(C39,DATE(Einstellungen!$C$3,1,1)),MIN(IF(D39="",DATE(Einstellungen!$C$3,12,31),D39),Einstellungen!$C$9),Einstellungen!$F$13:$F$67)))*F39)</f>
        <v/>
      </c>
    </row>
    <row r="40">
      <c r="A40" s="26" t="n">
        <v>1035</v>
      </c>
      <c r="B40" s="23" t="inlineStr">
        <is>
          <t>Mitarbeiter 035</t>
        </is>
      </c>
      <c r="C40" s="27" t="n">
        <v>46023</v>
      </c>
      <c r="D40" s="27" t="n"/>
      <c r="E40" s="28" t="n">
        <v>40</v>
      </c>
      <c r="F40" s="29">
        <f>IF(E40="","",E40/5)</f>
        <v/>
      </c>
      <c r="G40" s="30">
        <f>IF(B40="","",IF(C40&gt;Einstellungen!$C$9,"künftig",IF(AND(D40&lt;&gt;"",D40&lt;Einstellungen!$C$9),"ausgeschieden","aktiv")))</f>
        <v/>
      </c>
      <c r="H40" s="31">
        <f>IF(OR(B40="",E40=""),"",IF(Einstellungen!$C$11="7 Tage",MAX(0,(MIN(IF(D40="",DATE(Einstellungen!$C$3,12,31),D40),Einstellungen!$C$9))-(MAX(C40,DATE(Einstellungen!$C$3,1,1)))+1),MAX(0,NETWORKDAYS(MAX(C40,DATE(Einstellungen!$C$3,1,1)),MIN(IF(D40="",DATE(Einstellungen!$C$3,12,31),D40),Einstellungen!$C$9),Einstellungen!$F$13:$F$67)))*F40)</f>
        <v/>
      </c>
    </row>
    <row r="41">
      <c r="A41" s="26" t="n">
        <v>1036</v>
      </c>
      <c r="B41" s="23" t="inlineStr">
        <is>
          <t>Mitarbeiter 036</t>
        </is>
      </c>
      <c r="C41" s="27" t="n">
        <v>46023</v>
      </c>
      <c r="D41" s="27" t="n"/>
      <c r="E41" s="28" t="n">
        <v>40</v>
      </c>
      <c r="F41" s="29">
        <f>IF(E41="","",E41/5)</f>
        <v/>
      </c>
      <c r="G41" s="30">
        <f>IF(B41="","",IF(C41&gt;Einstellungen!$C$9,"künftig",IF(AND(D41&lt;&gt;"",D41&lt;Einstellungen!$C$9),"ausgeschieden","aktiv")))</f>
        <v/>
      </c>
      <c r="H41" s="31">
        <f>IF(OR(B41="",E41=""),"",IF(Einstellungen!$C$11="7 Tage",MAX(0,(MIN(IF(D41="",DATE(Einstellungen!$C$3,12,31),D41),Einstellungen!$C$9))-(MAX(C41,DATE(Einstellungen!$C$3,1,1)))+1),MAX(0,NETWORKDAYS(MAX(C41,DATE(Einstellungen!$C$3,1,1)),MIN(IF(D41="",DATE(Einstellungen!$C$3,12,31),D41),Einstellungen!$C$9),Einstellungen!$F$13:$F$67)))*F41)</f>
        <v/>
      </c>
    </row>
    <row r="42">
      <c r="A42" s="26" t="n">
        <v>1037</v>
      </c>
      <c r="B42" s="23" t="inlineStr">
        <is>
          <t>Mitarbeiter 037</t>
        </is>
      </c>
      <c r="C42" s="27" t="n">
        <v>46023</v>
      </c>
      <c r="D42" s="27" t="n"/>
      <c r="E42" s="28" t="n">
        <v>40</v>
      </c>
      <c r="F42" s="29">
        <f>IF(E42="","",E42/5)</f>
        <v/>
      </c>
      <c r="G42" s="30">
        <f>IF(B42="","",IF(C42&gt;Einstellungen!$C$9,"künftig",IF(AND(D42&lt;&gt;"",D42&lt;Einstellungen!$C$9),"ausgeschieden","aktiv")))</f>
        <v/>
      </c>
      <c r="H42" s="31">
        <f>IF(OR(B42="",E42=""),"",IF(Einstellungen!$C$11="7 Tage",MAX(0,(MIN(IF(D42="",DATE(Einstellungen!$C$3,12,31),D42),Einstellungen!$C$9))-(MAX(C42,DATE(Einstellungen!$C$3,1,1)))+1),MAX(0,NETWORKDAYS(MAX(C42,DATE(Einstellungen!$C$3,1,1)),MIN(IF(D42="",DATE(Einstellungen!$C$3,12,31),D42),Einstellungen!$C$9),Einstellungen!$F$13:$F$67)))*F42)</f>
        <v/>
      </c>
    </row>
    <row r="43">
      <c r="A43" s="26" t="n">
        <v>1038</v>
      </c>
      <c r="B43" s="23" t="inlineStr">
        <is>
          <t>Mitarbeiter 038</t>
        </is>
      </c>
      <c r="C43" s="27" t="n">
        <v>46023</v>
      </c>
      <c r="D43" s="27" t="n"/>
      <c r="E43" s="28" t="n">
        <v>40</v>
      </c>
      <c r="F43" s="29">
        <f>IF(E43="","",E43/5)</f>
        <v/>
      </c>
      <c r="G43" s="30">
        <f>IF(B43="","",IF(C43&gt;Einstellungen!$C$9,"künftig",IF(AND(D43&lt;&gt;"",D43&lt;Einstellungen!$C$9),"ausgeschieden","aktiv")))</f>
        <v/>
      </c>
      <c r="H43" s="31">
        <f>IF(OR(B43="",E43=""),"",IF(Einstellungen!$C$11="7 Tage",MAX(0,(MIN(IF(D43="",DATE(Einstellungen!$C$3,12,31),D43),Einstellungen!$C$9))-(MAX(C43,DATE(Einstellungen!$C$3,1,1)))+1),MAX(0,NETWORKDAYS(MAX(C43,DATE(Einstellungen!$C$3,1,1)),MIN(IF(D43="",DATE(Einstellungen!$C$3,12,31),D43),Einstellungen!$C$9),Einstellungen!$F$13:$F$67)))*F43)</f>
        <v/>
      </c>
    </row>
    <row r="44">
      <c r="A44" s="26" t="n">
        <v>1039</v>
      </c>
      <c r="B44" s="23" t="inlineStr">
        <is>
          <t>Mitarbeiter 039</t>
        </is>
      </c>
      <c r="C44" s="27" t="n">
        <v>46023</v>
      </c>
      <c r="D44" s="27" t="n"/>
      <c r="E44" s="28" t="n">
        <v>40</v>
      </c>
      <c r="F44" s="29">
        <f>IF(E44="","",E44/5)</f>
        <v/>
      </c>
      <c r="G44" s="30">
        <f>IF(B44="","",IF(C44&gt;Einstellungen!$C$9,"künftig",IF(AND(D44&lt;&gt;"",D44&lt;Einstellungen!$C$9),"ausgeschieden","aktiv")))</f>
        <v/>
      </c>
      <c r="H44" s="31">
        <f>IF(OR(B44="",E44=""),"",IF(Einstellungen!$C$11="7 Tage",MAX(0,(MIN(IF(D44="",DATE(Einstellungen!$C$3,12,31),D44),Einstellungen!$C$9))-(MAX(C44,DATE(Einstellungen!$C$3,1,1)))+1),MAX(0,NETWORKDAYS(MAX(C44,DATE(Einstellungen!$C$3,1,1)),MIN(IF(D44="",DATE(Einstellungen!$C$3,12,31),D44),Einstellungen!$C$9),Einstellungen!$F$13:$F$67)))*F44)</f>
        <v/>
      </c>
    </row>
    <row r="45">
      <c r="A45" s="26" t="n">
        <v>1040</v>
      </c>
      <c r="B45" s="23" t="inlineStr">
        <is>
          <t>Mitarbeiter 040</t>
        </is>
      </c>
      <c r="C45" s="27" t="n">
        <v>46023</v>
      </c>
      <c r="D45" s="27" t="n"/>
      <c r="E45" s="28" t="n">
        <v>40</v>
      </c>
      <c r="F45" s="29">
        <f>IF(E45="","",E45/5)</f>
        <v/>
      </c>
      <c r="G45" s="30">
        <f>IF(B45="","",IF(C45&gt;Einstellungen!$C$9,"künftig",IF(AND(D45&lt;&gt;"",D45&lt;Einstellungen!$C$9),"ausgeschieden","aktiv")))</f>
        <v/>
      </c>
      <c r="H45" s="31">
        <f>IF(OR(B45="",E45=""),"",IF(Einstellungen!$C$11="7 Tage",MAX(0,(MIN(IF(D45="",DATE(Einstellungen!$C$3,12,31),D45),Einstellungen!$C$9))-(MAX(C45,DATE(Einstellungen!$C$3,1,1)))+1),MAX(0,NETWORKDAYS(MAX(C45,DATE(Einstellungen!$C$3,1,1)),MIN(IF(D45="",DATE(Einstellungen!$C$3,12,31),D45),Einstellungen!$C$9),Einstellungen!$F$13:$F$67)))*F45)</f>
        <v/>
      </c>
    </row>
    <row r="46">
      <c r="A46" s="26" t="n">
        <v>1041</v>
      </c>
      <c r="B46" s="23" t="inlineStr">
        <is>
          <t>Mitarbeiter 041</t>
        </is>
      </c>
      <c r="C46" s="27" t="n">
        <v>46023</v>
      </c>
      <c r="D46" s="27" t="n">
        <v>46231</v>
      </c>
      <c r="E46" s="28" t="n">
        <v>40</v>
      </c>
      <c r="F46" s="29">
        <f>IF(E46="","",E46/5)</f>
        <v/>
      </c>
      <c r="G46" s="30">
        <f>IF(B46="","",IF(C46&gt;Einstellungen!$C$9,"künftig",IF(AND(D46&lt;&gt;"",D46&lt;Einstellungen!$C$9),"ausgeschieden","aktiv")))</f>
        <v/>
      </c>
      <c r="H46" s="31">
        <f>IF(OR(B46="",E46=""),"",IF(Einstellungen!$C$11="7 Tage",MAX(0,(MIN(IF(D46="",DATE(Einstellungen!$C$3,12,31),D46),Einstellungen!$C$9))-(MAX(C46,DATE(Einstellungen!$C$3,1,1)))+1),MAX(0,NETWORKDAYS(MAX(C46,DATE(Einstellungen!$C$3,1,1)),MIN(IF(D46="",DATE(Einstellungen!$C$3,12,31),D46),Einstellungen!$C$9),Einstellungen!$F$13:$F$67)))*F46)</f>
        <v/>
      </c>
    </row>
    <row r="47">
      <c r="A47" s="26" t="n">
        <v>1042</v>
      </c>
      <c r="B47" s="23" t="inlineStr">
        <is>
          <t>Mitarbeiter 042</t>
        </is>
      </c>
      <c r="C47" s="27" t="n">
        <v>46023</v>
      </c>
      <c r="D47" s="27" t="n"/>
      <c r="E47" s="28" t="n">
        <v>20</v>
      </c>
      <c r="F47" s="29">
        <f>IF(E47="","",E47/5)</f>
        <v/>
      </c>
      <c r="G47" s="30">
        <f>IF(B47="","",IF(C47&gt;Einstellungen!$C$9,"künftig",IF(AND(D47&lt;&gt;"",D47&lt;Einstellungen!$C$9),"ausgeschieden","aktiv")))</f>
        <v/>
      </c>
      <c r="H47" s="31">
        <f>IF(OR(B47="",E47=""),"",IF(Einstellungen!$C$11="7 Tage",MAX(0,(MIN(IF(D47="",DATE(Einstellungen!$C$3,12,31),D47),Einstellungen!$C$9))-(MAX(C47,DATE(Einstellungen!$C$3,1,1)))+1),MAX(0,NETWORKDAYS(MAX(C47,DATE(Einstellungen!$C$3,1,1)),MIN(IF(D47="",DATE(Einstellungen!$C$3,12,31),D47),Einstellungen!$C$9),Einstellungen!$F$13:$F$67)))*F47)</f>
        <v/>
      </c>
    </row>
    <row r="48">
      <c r="A48" s="26" t="n">
        <v>1043</v>
      </c>
      <c r="B48" s="23" t="inlineStr">
        <is>
          <t>Mitarbeiter 043</t>
        </is>
      </c>
      <c r="C48" s="27" t="n">
        <v>46023</v>
      </c>
      <c r="D48" s="27" t="n">
        <v>46231</v>
      </c>
      <c r="E48" s="28" t="n">
        <v>40</v>
      </c>
      <c r="F48" s="29">
        <f>IF(E48="","",E48/5)</f>
        <v/>
      </c>
      <c r="G48" s="30">
        <f>IF(B48="","",IF(C48&gt;Einstellungen!$C$9,"künftig",IF(AND(D48&lt;&gt;"",D48&lt;Einstellungen!$C$9),"ausgeschieden","aktiv")))</f>
        <v/>
      </c>
      <c r="H48" s="31">
        <f>IF(OR(B48="",E48=""),"",IF(Einstellungen!$C$11="7 Tage",MAX(0,(MIN(IF(D48="",DATE(Einstellungen!$C$3,12,31),D48),Einstellungen!$C$9))-(MAX(C48,DATE(Einstellungen!$C$3,1,1)))+1),MAX(0,NETWORKDAYS(MAX(C48,DATE(Einstellungen!$C$3,1,1)),MIN(IF(D48="",DATE(Einstellungen!$C$3,12,31),D48),Einstellungen!$C$9),Einstellungen!$F$13:$F$67)))*F48)</f>
        <v/>
      </c>
    </row>
    <row r="49">
      <c r="A49" s="26" t="n">
        <v>1044</v>
      </c>
      <c r="B49" s="23" t="inlineStr">
        <is>
          <t>Mitarbeiter 044</t>
        </is>
      </c>
      <c r="C49" s="27" t="n">
        <v>46023</v>
      </c>
      <c r="D49" s="27" t="n">
        <v>46109</v>
      </c>
      <c r="E49" s="28" t="n">
        <v>40</v>
      </c>
      <c r="F49" s="29">
        <f>IF(E49="","",E49/5)</f>
        <v/>
      </c>
      <c r="G49" s="30">
        <f>IF(B49="","",IF(C49&gt;Einstellungen!$C$9,"künftig",IF(AND(D49&lt;&gt;"",D49&lt;Einstellungen!$C$9),"ausgeschieden","aktiv")))</f>
        <v/>
      </c>
      <c r="H49" s="31">
        <f>IF(OR(B49="",E49=""),"",IF(Einstellungen!$C$11="7 Tage",MAX(0,(MIN(IF(D49="",DATE(Einstellungen!$C$3,12,31),D49),Einstellungen!$C$9))-(MAX(C49,DATE(Einstellungen!$C$3,1,1)))+1),MAX(0,NETWORKDAYS(MAX(C49,DATE(Einstellungen!$C$3,1,1)),MIN(IF(D49="",DATE(Einstellungen!$C$3,12,31),D49),Einstellungen!$C$9),Einstellungen!$F$13:$F$67)))*F49)</f>
        <v/>
      </c>
    </row>
    <row r="50">
      <c r="A50" s="26" t="n">
        <v>1045</v>
      </c>
      <c r="B50" s="23" t="inlineStr">
        <is>
          <t>Mitarbeiter 045</t>
        </is>
      </c>
      <c r="C50" s="27" t="n">
        <v>46023</v>
      </c>
      <c r="D50" s="27" t="n"/>
      <c r="E50" s="28" t="n">
        <v>40</v>
      </c>
      <c r="F50" s="29">
        <f>IF(E50="","",E50/5)</f>
        <v/>
      </c>
      <c r="G50" s="30">
        <f>IF(B50="","",IF(C50&gt;Einstellungen!$C$9,"künftig",IF(AND(D50&lt;&gt;"",D50&lt;Einstellungen!$C$9),"ausgeschieden","aktiv")))</f>
        <v/>
      </c>
      <c r="H50" s="31">
        <f>IF(OR(B50="",E50=""),"",IF(Einstellungen!$C$11="7 Tage",MAX(0,(MIN(IF(D50="",DATE(Einstellungen!$C$3,12,31),D50),Einstellungen!$C$9))-(MAX(C50,DATE(Einstellungen!$C$3,1,1)))+1),MAX(0,NETWORKDAYS(MAX(C50,DATE(Einstellungen!$C$3,1,1)),MIN(IF(D50="",DATE(Einstellungen!$C$3,12,31),D50),Einstellungen!$C$9),Einstellungen!$F$13:$F$67)))*F50)</f>
        <v/>
      </c>
    </row>
    <row r="51">
      <c r="A51" s="26" t="n">
        <v>1046</v>
      </c>
      <c r="B51" s="23" t="inlineStr">
        <is>
          <t>Mitarbeiter 046</t>
        </is>
      </c>
      <c r="C51" s="27" t="n">
        <v>46143</v>
      </c>
      <c r="D51" s="27" t="n">
        <v>46081</v>
      </c>
      <c r="E51" s="28" t="n">
        <v>40</v>
      </c>
      <c r="F51" s="29">
        <f>IF(E51="","",E51/5)</f>
        <v/>
      </c>
      <c r="G51" s="30">
        <f>IF(B51="","",IF(C51&gt;Einstellungen!$C$9,"künftig",IF(AND(D51&lt;&gt;"",D51&lt;Einstellungen!$C$9),"ausgeschieden","aktiv")))</f>
        <v/>
      </c>
      <c r="H51" s="31">
        <f>IF(OR(B51="",E51=""),"",IF(Einstellungen!$C$11="7 Tage",MAX(0,(MIN(IF(D51="",DATE(Einstellungen!$C$3,12,31),D51),Einstellungen!$C$9))-(MAX(C51,DATE(Einstellungen!$C$3,1,1)))+1),MAX(0,NETWORKDAYS(MAX(C51,DATE(Einstellungen!$C$3,1,1)),MIN(IF(D51="",DATE(Einstellungen!$C$3,12,31),D51),Einstellungen!$C$9),Einstellungen!$F$13:$F$67)))*F51)</f>
        <v/>
      </c>
    </row>
    <row r="52">
      <c r="A52" s="26" t="n">
        <v>1047</v>
      </c>
      <c r="B52" s="23" t="inlineStr">
        <is>
          <t>Mitarbeiter 047</t>
        </is>
      </c>
      <c r="C52" s="27" t="n">
        <v>46174</v>
      </c>
      <c r="D52" s="27" t="n"/>
      <c r="E52" s="28" t="n">
        <v>30</v>
      </c>
      <c r="F52" s="29">
        <f>IF(E52="","",E52/5)</f>
        <v/>
      </c>
      <c r="G52" s="30">
        <f>IF(B52="","",IF(C52&gt;Einstellungen!$C$9,"künftig",IF(AND(D52&lt;&gt;"",D52&lt;Einstellungen!$C$9),"ausgeschieden","aktiv")))</f>
        <v/>
      </c>
      <c r="H52" s="31">
        <f>IF(OR(B52="",E52=""),"",IF(Einstellungen!$C$11="7 Tage",MAX(0,(MIN(IF(D52="",DATE(Einstellungen!$C$3,12,31),D52),Einstellungen!$C$9))-(MAX(C52,DATE(Einstellungen!$C$3,1,1)))+1),MAX(0,NETWORKDAYS(MAX(C52,DATE(Einstellungen!$C$3,1,1)),MIN(IF(D52="",DATE(Einstellungen!$C$3,12,31),D52),Einstellungen!$C$9),Einstellungen!$F$13:$F$67)))*F52)</f>
        <v/>
      </c>
    </row>
    <row r="53">
      <c r="A53" s="26" t="n">
        <v>1048</v>
      </c>
      <c r="B53" s="23" t="inlineStr">
        <is>
          <t>Mitarbeiter 048</t>
        </is>
      </c>
      <c r="C53" s="27" t="n">
        <v>46054</v>
      </c>
      <c r="D53" s="27" t="n">
        <v>46231</v>
      </c>
      <c r="E53" s="28" t="n">
        <v>40</v>
      </c>
      <c r="F53" s="29">
        <f>IF(E53="","",E53/5)</f>
        <v/>
      </c>
      <c r="G53" s="30">
        <f>IF(B53="","",IF(C53&gt;Einstellungen!$C$9,"künftig",IF(AND(D53&lt;&gt;"",D53&lt;Einstellungen!$C$9),"ausgeschieden","aktiv")))</f>
        <v/>
      </c>
      <c r="H53" s="31">
        <f>IF(OR(B53="",E53=""),"",IF(Einstellungen!$C$11="7 Tage",MAX(0,(MIN(IF(D53="",DATE(Einstellungen!$C$3,12,31),D53),Einstellungen!$C$9))-(MAX(C53,DATE(Einstellungen!$C$3,1,1)))+1),MAX(0,NETWORKDAYS(MAX(C53,DATE(Einstellungen!$C$3,1,1)),MIN(IF(D53="",DATE(Einstellungen!$C$3,12,31),D53),Einstellungen!$C$9),Einstellungen!$F$13:$F$67)))*F53)</f>
        <v/>
      </c>
    </row>
    <row r="54">
      <c r="A54" s="26" t="n">
        <v>1049</v>
      </c>
      <c r="B54" s="23" t="inlineStr">
        <is>
          <t>Mitarbeiter 049</t>
        </is>
      </c>
      <c r="C54" s="27" t="n">
        <v>46143</v>
      </c>
      <c r="D54" s="27" t="n"/>
      <c r="E54" s="28" t="n">
        <v>40</v>
      </c>
      <c r="F54" s="29">
        <f>IF(E54="","",E54/5)</f>
        <v/>
      </c>
      <c r="G54" s="30">
        <f>IF(B54="","",IF(C54&gt;Einstellungen!$C$9,"künftig",IF(AND(D54&lt;&gt;"",D54&lt;Einstellungen!$C$9),"ausgeschieden","aktiv")))</f>
        <v/>
      </c>
      <c r="H54" s="31">
        <f>IF(OR(B54="",E54=""),"",IF(Einstellungen!$C$11="7 Tage",MAX(0,(MIN(IF(D54="",DATE(Einstellungen!$C$3,12,31),D54),Einstellungen!$C$9))-(MAX(C54,DATE(Einstellungen!$C$3,1,1)))+1),MAX(0,NETWORKDAYS(MAX(C54,DATE(Einstellungen!$C$3,1,1)),MIN(IF(D54="",DATE(Einstellungen!$C$3,12,31),D54),Einstellungen!$C$9),Einstellungen!$F$13:$F$67)))*F54)</f>
        <v/>
      </c>
    </row>
    <row r="55">
      <c r="A55" s="26" t="n">
        <v>1050</v>
      </c>
      <c r="B55" s="23" t="inlineStr">
        <is>
          <t>Mitarbeiter 050</t>
        </is>
      </c>
      <c r="C55" s="27" t="n">
        <v>46054</v>
      </c>
      <c r="D55" s="27" t="n"/>
      <c r="E55" s="28" t="n">
        <v>40</v>
      </c>
      <c r="F55" s="29">
        <f>IF(E55="","",E55/5)</f>
        <v/>
      </c>
      <c r="G55" s="30">
        <f>IF(B55="","",IF(C55&gt;Einstellungen!$C$9,"künftig",IF(AND(D55&lt;&gt;"",D55&lt;Einstellungen!$C$9),"ausgeschieden","aktiv")))</f>
        <v/>
      </c>
      <c r="H55" s="31">
        <f>IF(OR(B55="",E55=""),"",IF(Einstellungen!$C$11="7 Tage",MAX(0,(MIN(IF(D55="",DATE(Einstellungen!$C$3,12,31),D55),Einstellungen!$C$9))-(MAX(C55,DATE(Einstellungen!$C$3,1,1)))+1),MAX(0,NETWORKDAYS(MAX(C55,DATE(Einstellungen!$C$3,1,1)),MIN(IF(D55="",DATE(Einstellungen!$C$3,12,31),D55),Einstellungen!$C$9),Einstellungen!$F$13:$F$67)))*F55)</f>
        <v/>
      </c>
    </row>
    <row r="56">
      <c r="A56" s="26" t="n">
        <v>1051</v>
      </c>
      <c r="B56" s="23" t="inlineStr">
        <is>
          <t>Mitarbeiter 051</t>
        </is>
      </c>
      <c r="C56" s="27" t="n">
        <v>46235</v>
      </c>
      <c r="D56" s="27" t="n"/>
      <c r="E56" s="28" t="n">
        <v>40</v>
      </c>
      <c r="F56" s="29">
        <f>IF(E56="","",E56/5)</f>
        <v/>
      </c>
      <c r="G56" s="30">
        <f>IF(B56="","",IF(C56&gt;Einstellungen!$C$9,"künftig",IF(AND(D56&lt;&gt;"",D56&lt;Einstellungen!$C$9),"ausgeschieden","aktiv")))</f>
        <v/>
      </c>
      <c r="H56" s="31">
        <f>IF(OR(B56="",E56=""),"",IF(Einstellungen!$C$11="7 Tage",MAX(0,(MIN(IF(D56="",DATE(Einstellungen!$C$3,12,31),D56),Einstellungen!$C$9))-(MAX(C56,DATE(Einstellungen!$C$3,1,1)))+1),MAX(0,NETWORKDAYS(MAX(C56,DATE(Einstellungen!$C$3,1,1)),MIN(IF(D56="",DATE(Einstellungen!$C$3,12,31),D56),Einstellungen!$C$9),Einstellungen!$F$13:$F$67)))*F56)</f>
        <v/>
      </c>
    </row>
    <row r="57">
      <c r="A57" s="26" t="n">
        <v>1052</v>
      </c>
      <c r="B57" s="23" t="inlineStr">
        <is>
          <t>Mitarbeiter 052</t>
        </is>
      </c>
      <c r="C57" s="27" t="n">
        <v>46082</v>
      </c>
      <c r="D57" s="27" t="n"/>
      <c r="E57" s="28" t="n">
        <v>20</v>
      </c>
      <c r="F57" s="29">
        <f>IF(E57="","",E57/5)</f>
        <v/>
      </c>
      <c r="G57" s="30">
        <f>IF(B57="","",IF(C57&gt;Einstellungen!$C$9,"künftig",IF(AND(D57&lt;&gt;"",D57&lt;Einstellungen!$C$9),"ausgeschieden","aktiv")))</f>
        <v/>
      </c>
      <c r="H57" s="31">
        <f>IF(OR(B57="",E57=""),"",IF(Einstellungen!$C$11="7 Tage",MAX(0,(MIN(IF(D57="",DATE(Einstellungen!$C$3,12,31),D57),Einstellungen!$C$9))-(MAX(C57,DATE(Einstellungen!$C$3,1,1)))+1),MAX(0,NETWORKDAYS(MAX(C57,DATE(Einstellungen!$C$3,1,1)),MIN(IF(D57="",DATE(Einstellungen!$C$3,12,31),D57),Einstellungen!$C$9),Einstellungen!$F$13:$F$67)))*F57)</f>
        <v/>
      </c>
    </row>
    <row r="58">
      <c r="A58" s="26" t="n">
        <v>1053</v>
      </c>
      <c r="B58" s="23" t="inlineStr">
        <is>
          <t>Mitarbeiter 053</t>
        </is>
      </c>
      <c r="C58" s="27" t="n">
        <v>46082</v>
      </c>
      <c r="D58" s="27" t="n"/>
      <c r="E58" s="28" t="n">
        <v>30</v>
      </c>
      <c r="F58" s="29">
        <f>IF(E58="","",E58/5)</f>
        <v/>
      </c>
      <c r="G58" s="30">
        <f>IF(B58="","",IF(C58&gt;Einstellungen!$C$9,"künftig",IF(AND(D58&lt;&gt;"",D58&lt;Einstellungen!$C$9),"ausgeschieden","aktiv")))</f>
        <v/>
      </c>
      <c r="H58" s="31">
        <f>IF(OR(B58="",E58=""),"",IF(Einstellungen!$C$11="7 Tage",MAX(0,(MIN(IF(D58="",DATE(Einstellungen!$C$3,12,31),D58),Einstellungen!$C$9))-(MAX(C58,DATE(Einstellungen!$C$3,1,1)))+1),MAX(0,NETWORKDAYS(MAX(C58,DATE(Einstellungen!$C$3,1,1)),MIN(IF(D58="",DATE(Einstellungen!$C$3,12,31),D58),Einstellungen!$C$9),Einstellungen!$F$13:$F$67)))*F58)</f>
        <v/>
      </c>
    </row>
    <row r="59">
      <c r="A59" s="26" t="n">
        <v>1054</v>
      </c>
      <c r="B59" s="23" t="inlineStr">
        <is>
          <t>Mitarbeiter 054</t>
        </is>
      </c>
      <c r="C59" s="27" t="n">
        <v>46054</v>
      </c>
      <c r="D59" s="27" t="n">
        <v>46231</v>
      </c>
      <c r="E59" s="28" t="n">
        <v>40</v>
      </c>
      <c r="F59" s="29">
        <f>IF(E59="","",E59/5)</f>
        <v/>
      </c>
      <c r="G59" s="30">
        <f>IF(B59="","",IF(C59&gt;Einstellungen!$C$9,"künftig",IF(AND(D59&lt;&gt;"",D59&lt;Einstellungen!$C$9),"ausgeschieden","aktiv")))</f>
        <v/>
      </c>
      <c r="H59" s="31">
        <f>IF(OR(B59="",E59=""),"",IF(Einstellungen!$C$11="7 Tage",MAX(0,(MIN(IF(D59="",DATE(Einstellungen!$C$3,12,31),D59),Einstellungen!$C$9))-(MAX(C59,DATE(Einstellungen!$C$3,1,1)))+1),MAX(0,NETWORKDAYS(MAX(C59,DATE(Einstellungen!$C$3,1,1)),MIN(IF(D59="",DATE(Einstellungen!$C$3,12,31),D59),Einstellungen!$C$9),Einstellungen!$F$13:$F$67)))*F59)</f>
        <v/>
      </c>
    </row>
    <row r="60">
      <c r="A60" s="26" t="n">
        <v>1055</v>
      </c>
      <c r="B60" s="23" t="inlineStr">
        <is>
          <t>Mitarbeiter 055</t>
        </is>
      </c>
      <c r="C60" s="27" t="n">
        <v>46054</v>
      </c>
      <c r="D60" s="27" t="n"/>
      <c r="E60" s="28" t="n">
        <v>40</v>
      </c>
      <c r="F60" s="29">
        <f>IF(E60="","",E60/5)</f>
        <v/>
      </c>
      <c r="G60" s="30">
        <f>IF(B60="","",IF(C60&gt;Einstellungen!$C$9,"künftig",IF(AND(D60&lt;&gt;"",D60&lt;Einstellungen!$C$9),"ausgeschieden","aktiv")))</f>
        <v/>
      </c>
      <c r="H60" s="31">
        <f>IF(OR(B60="",E60=""),"",IF(Einstellungen!$C$11="7 Tage",MAX(0,(MIN(IF(D60="",DATE(Einstellungen!$C$3,12,31),D60),Einstellungen!$C$9))-(MAX(C60,DATE(Einstellungen!$C$3,1,1)))+1),MAX(0,NETWORKDAYS(MAX(C60,DATE(Einstellungen!$C$3,1,1)),MIN(IF(D60="",DATE(Einstellungen!$C$3,12,31),D60),Einstellungen!$C$9),Einstellungen!$F$13:$F$67)))*F60)</f>
        <v/>
      </c>
    </row>
    <row r="61">
      <c r="A61" s="26" t="n"/>
      <c r="B61" s="23" t="n"/>
      <c r="C61" s="27" t="n"/>
      <c r="D61" s="27" t="n"/>
      <c r="E61" s="28" t="n"/>
      <c r="F61" s="29">
        <f>IF(E61="","",E61/5)</f>
        <v/>
      </c>
      <c r="G61" s="30">
        <f>IF(B61="","",IF(C61&gt;Einstellungen!$C$9,"künftig",IF(AND(D61&lt;&gt;"",D61&lt;Einstellungen!$C$9),"ausgeschieden","aktiv")))</f>
        <v/>
      </c>
      <c r="H61" s="31">
        <f>IF(OR(B61="",E61=""),"",IF(Einstellungen!$C$11="7 Tage",MAX(0,(MIN(IF(D61="",DATE(Einstellungen!$C$3,12,31),D61),Einstellungen!$C$9))-(MAX(C61,DATE(Einstellungen!$C$3,1,1)))+1),MAX(0,NETWORKDAYS(MAX(C61,DATE(Einstellungen!$C$3,1,1)),MIN(IF(D61="",DATE(Einstellungen!$C$3,12,31),D61),Einstellungen!$C$9),Einstellungen!$F$13:$F$67)))*F61)</f>
        <v/>
      </c>
    </row>
    <row r="62">
      <c r="A62" s="26" t="n"/>
      <c r="B62" s="23" t="n"/>
      <c r="C62" s="27" t="n"/>
      <c r="D62" s="27" t="n"/>
      <c r="E62" s="28" t="n"/>
      <c r="F62" s="29">
        <f>IF(E62="","",E62/5)</f>
        <v/>
      </c>
      <c r="G62" s="30">
        <f>IF(B62="","",IF(C62&gt;Einstellungen!$C$9,"künftig",IF(AND(D62&lt;&gt;"",D62&lt;Einstellungen!$C$9),"ausgeschieden","aktiv")))</f>
        <v/>
      </c>
      <c r="H62" s="31">
        <f>IF(OR(B62="",E62=""),"",IF(Einstellungen!$C$11="7 Tage",MAX(0,(MIN(IF(D62="",DATE(Einstellungen!$C$3,12,31),D62),Einstellungen!$C$9))-(MAX(C62,DATE(Einstellungen!$C$3,1,1)))+1),MAX(0,NETWORKDAYS(MAX(C62,DATE(Einstellungen!$C$3,1,1)),MIN(IF(D62="",DATE(Einstellungen!$C$3,12,31),D62),Einstellungen!$C$9),Einstellungen!$F$13:$F$67)))*F62)</f>
        <v/>
      </c>
    </row>
    <row r="63">
      <c r="A63" s="26" t="n"/>
      <c r="B63" s="23" t="n"/>
      <c r="C63" s="27" t="n"/>
      <c r="D63" s="27" t="n"/>
      <c r="E63" s="28" t="n"/>
      <c r="F63" s="29">
        <f>IF(E63="","",E63/5)</f>
        <v/>
      </c>
      <c r="G63" s="30">
        <f>IF(B63="","",IF(C63&gt;Einstellungen!$C$9,"künftig",IF(AND(D63&lt;&gt;"",D63&lt;Einstellungen!$C$9),"ausgeschieden","aktiv")))</f>
        <v/>
      </c>
      <c r="H63" s="31">
        <f>IF(OR(B63="",E63=""),"",IF(Einstellungen!$C$11="7 Tage",MAX(0,(MIN(IF(D63="",DATE(Einstellungen!$C$3,12,31),D63),Einstellungen!$C$9))-(MAX(C63,DATE(Einstellungen!$C$3,1,1)))+1),MAX(0,NETWORKDAYS(MAX(C63,DATE(Einstellungen!$C$3,1,1)),MIN(IF(D63="",DATE(Einstellungen!$C$3,12,31),D63),Einstellungen!$C$9),Einstellungen!$F$13:$F$67)))*F63)</f>
        <v/>
      </c>
    </row>
    <row r="64">
      <c r="A64" s="26" t="n"/>
      <c r="B64" s="23" t="n"/>
      <c r="C64" s="27" t="n"/>
      <c r="D64" s="27" t="n"/>
      <c r="E64" s="28" t="n"/>
      <c r="F64" s="29">
        <f>IF(E64="","",E64/5)</f>
        <v/>
      </c>
      <c r="G64" s="30">
        <f>IF(B64="","",IF(C64&gt;Einstellungen!$C$9,"künftig",IF(AND(D64&lt;&gt;"",D64&lt;Einstellungen!$C$9),"ausgeschieden","aktiv")))</f>
        <v/>
      </c>
      <c r="H64" s="31">
        <f>IF(OR(B64="",E64=""),"",IF(Einstellungen!$C$11="7 Tage",MAX(0,(MIN(IF(D64="",DATE(Einstellungen!$C$3,12,31),D64),Einstellungen!$C$9))-(MAX(C64,DATE(Einstellungen!$C$3,1,1)))+1),MAX(0,NETWORKDAYS(MAX(C64,DATE(Einstellungen!$C$3,1,1)),MIN(IF(D64="",DATE(Einstellungen!$C$3,12,31),D64),Einstellungen!$C$9),Einstellungen!$F$13:$F$67)))*F64)</f>
        <v/>
      </c>
    </row>
    <row r="65">
      <c r="A65" s="26" t="n"/>
      <c r="B65" s="23" t="n"/>
      <c r="C65" s="27" t="n"/>
      <c r="D65" s="27" t="n"/>
      <c r="E65" s="28" t="n"/>
      <c r="F65" s="29">
        <f>IF(E65="","",E65/5)</f>
        <v/>
      </c>
      <c r="G65" s="30">
        <f>IF(B65="","",IF(C65&gt;Einstellungen!$C$9,"künftig",IF(AND(D65&lt;&gt;"",D65&lt;Einstellungen!$C$9),"ausgeschieden","aktiv")))</f>
        <v/>
      </c>
      <c r="H65" s="31">
        <f>IF(OR(B65="",E65=""),"",IF(Einstellungen!$C$11="7 Tage",MAX(0,(MIN(IF(D65="",DATE(Einstellungen!$C$3,12,31),D65),Einstellungen!$C$9))-(MAX(C65,DATE(Einstellungen!$C$3,1,1)))+1),MAX(0,NETWORKDAYS(MAX(C65,DATE(Einstellungen!$C$3,1,1)),MIN(IF(D65="",DATE(Einstellungen!$C$3,12,31),D65),Einstellungen!$C$9),Einstellungen!$F$13:$F$67)))*F65)</f>
        <v/>
      </c>
    </row>
    <row r="66">
      <c r="A66" s="26" t="n"/>
      <c r="B66" s="23" t="n"/>
      <c r="C66" s="27" t="n"/>
      <c r="D66" s="27" t="n"/>
      <c r="E66" s="28" t="n"/>
      <c r="F66" s="29">
        <f>IF(E66="","",E66/5)</f>
        <v/>
      </c>
      <c r="G66" s="30">
        <f>IF(B66="","",IF(C66&gt;Einstellungen!$C$9,"künftig",IF(AND(D66&lt;&gt;"",D66&lt;Einstellungen!$C$9),"ausgeschieden","aktiv")))</f>
        <v/>
      </c>
      <c r="H66" s="31">
        <f>IF(OR(B66="",E66=""),"",IF(Einstellungen!$C$11="7 Tage",MAX(0,(MIN(IF(D66="",DATE(Einstellungen!$C$3,12,31),D66),Einstellungen!$C$9))-(MAX(C66,DATE(Einstellungen!$C$3,1,1)))+1),MAX(0,NETWORKDAYS(MAX(C66,DATE(Einstellungen!$C$3,1,1)),MIN(IF(D66="",DATE(Einstellungen!$C$3,12,31),D66),Einstellungen!$C$9),Einstellungen!$F$13:$F$67)))*F66)</f>
        <v/>
      </c>
    </row>
    <row r="67">
      <c r="A67" s="26" t="n"/>
      <c r="B67" s="23" t="n"/>
      <c r="C67" s="27" t="n"/>
      <c r="D67" s="27" t="n"/>
      <c r="E67" s="28" t="n"/>
      <c r="F67" s="29">
        <f>IF(E67="","",E67/5)</f>
        <v/>
      </c>
      <c r="G67" s="30">
        <f>IF(B67="","",IF(C67&gt;Einstellungen!$C$9,"künftig",IF(AND(D67&lt;&gt;"",D67&lt;Einstellungen!$C$9),"ausgeschieden","aktiv")))</f>
        <v/>
      </c>
      <c r="H67" s="31">
        <f>IF(OR(B67="",E67=""),"",IF(Einstellungen!$C$11="7 Tage",MAX(0,(MIN(IF(D67="",DATE(Einstellungen!$C$3,12,31),D67),Einstellungen!$C$9))-(MAX(C67,DATE(Einstellungen!$C$3,1,1)))+1),MAX(0,NETWORKDAYS(MAX(C67,DATE(Einstellungen!$C$3,1,1)),MIN(IF(D67="",DATE(Einstellungen!$C$3,12,31),D67),Einstellungen!$C$9),Einstellungen!$F$13:$F$67)))*F67)</f>
        <v/>
      </c>
    </row>
    <row r="68">
      <c r="A68" s="26" t="n"/>
      <c r="B68" s="23" t="n"/>
      <c r="C68" s="27" t="n"/>
      <c r="D68" s="27" t="n"/>
      <c r="E68" s="28" t="n"/>
      <c r="F68" s="29">
        <f>IF(E68="","",E68/5)</f>
        <v/>
      </c>
      <c r="G68" s="30">
        <f>IF(B68="","",IF(C68&gt;Einstellungen!$C$9,"künftig",IF(AND(D68&lt;&gt;"",D68&lt;Einstellungen!$C$9),"ausgeschieden","aktiv")))</f>
        <v/>
      </c>
      <c r="H68" s="31">
        <f>IF(OR(B68="",E68=""),"",IF(Einstellungen!$C$11="7 Tage",MAX(0,(MIN(IF(D68="",DATE(Einstellungen!$C$3,12,31),D68),Einstellungen!$C$9))-(MAX(C68,DATE(Einstellungen!$C$3,1,1)))+1),MAX(0,NETWORKDAYS(MAX(C68,DATE(Einstellungen!$C$3,1,1)),MIN(IF(D68="",DATE(Einstellungen!$C$3,12,31),D68),Einstellungen!$C$9),Einstellungen!$F$13:$F$67)))*F68)</f>
        <v/>
      </c>
    </row>
    <row r="69">
      <c r="A69" s="26" t="n"/>
      <c r="B69" s="23" t="n"/>
      <c r="C69" s="27" t="n"/>
      <c r="D69" s="27" t="n"/>
      <c r="E69" s="28" t="n"/>
      <c r="F69" s="29">
        <f>IF(E69="","",E69/5)</f>
        <v/>
      </c>
      <c r="G69" s="30">
        <f>IF(B69="","",IF(C69&gt;Einstellungen!$C$9,"künftig",IF(AND(D69&lt;&gt;"",D69&lt;Einstellungen!$C$9),"ausgeschieden","aktiv")))</f>
        <v/>
      </c>
      <c r="H69" s="31">
        <f>IF(OR(B69="",E69=""),"",IF(Einstellungen!$C$11="7 Tage",MAX(0,(MIN(IF(D69="",DATE(Einstellungen!$C$3,12,31),D69),Einstellungen!$C$9))-(MAX(C69,DATE(Einstellungen!$C$3,1,1)))+1),MAX(0,NETWORKDAYS(MAX(C69,DATE(Einstellungen!$C$3,1,1)),MIN(IF(D69="",DATE(Einstellungen!$C$3,12,31),D69),Einstellungen!$C$9),Einstellungen!$F$13:$F$67)))*F69)</f>
        <v/>
      </c>
    </row>
    <row r="70">
      <c r="A70" s="26" t="n"/>
      <c r="B70" s="23" t="n"/>
      <c r="C70" s="27" t="n"/>
      <c r="D70" s="27" t="n"/>
      <c r="E70" s="28" t="n"/>
      <c r="F70" s="29">
        <f>IF(E70="","",E70/5)</f>
        <v/>
      </c>
      <c r="G70" s="30">
        <f>IF(B70="","",IF(C70&gt;Einstellungen!$C$9,"künftig",IF(AND(D70&lt;&gt;"",D70&lt;Einstellungen!$C$9),"ausgeschieden","aktiv")))</f>
        <v/>
      </c>
      <c r="H70" s="31">
        <f>IF(OR(B70="",E70=""),"",IF(Einstellungen!$C$11="7 Tage",MAX(0,(MIN(IF(D70="",DATE(Einstellungen!$C$3,12,31),D70),Einstellungen!$C$9))-(MAX(C70,DATE(Einstellungen!$C$3,1,1)))+1),MAX(0,NETWORKDAYS(MAX(C70,DATE(Einstellungen!$C$3,1,1)),MIN(IF(D70="",DATE(Einstellungen!$C$3,12,31),D70),Einstellungen!$C$9),Einstellungen!$F$13:$F$67)))*F70)</f>
        <v/>
      </c>
    </row>
    <row r="71">
      <c r="A71" s="26" t="n"/>
      <c r="B71" s="23" t="n"/>
      <c r="C71" s="27" t="n"/>
      <c r="D71" s="27" t="n"/>
      <c r="E71" s="28" t="n"/>
      <c r="F71" s="29">
        <f>IF(E71="","",E71/5)</f>
        <v/>
      </c>
      <c r="G71" s="30">
        <f>IF(B71="","",IF(C71&gt;Einstellungen!$C$9,"künftig",IF(AND(D71&lt;&gt;"",D71&lt;Einstellungen!$C$9),"ausgeschieden","aktiv")))</f>
        <v/>
      </c>
      <c r="H71" s="31">
        <f>IF(OR(B71="",E71=""),"",IF(Einstellungen!$C$11="7 Tage",MAX(0,(MIN(IF(D71="",DATE(Einstellungen!$C$3,12,31),D71),Einstellungen!$C$9))-(MAX(C71,DATE(Einstellungen!$C$3,1,1)))+1),MAX(0,NETWORKDAYS(MAX(C71,DATE(Einstellungen!$C$3,1,1)),MIN(IF(D71="",DATE(Einstellungen!$C$3,12,31),D71),Einstellungen!$C$9),Einstellungen!$F$13:$F$67)))*F71)</f>
        <v/>
      </c>
    </row>
    <row r="72">
      <c r="A72" s="26" t="n"/>
      <c r="B72" s="23" t="n"/>
      <c r="C72" s="27" t="n"/>
      <c r="D72" s="27" t="n"/>
      <c r="E72" s="28" t="n"/>
      <c r="F72" s="29">
        <f>IF(E72="","",E72/5)</f>
        <v/>
      </c>
      <c r="G72" s="30">
        <f>IF(B72="","",IF(C72&gt;Einstellungen!$C$9,"künftig",IF(AND(D72&lt;&gt;"",D72&lt;Einstellungen!$C$9),"ausgeschieden","aktiv")))</f>
        <v/>
      </c>
      <c r="H72" s="31">
        <f>IF(OR(B72="",E72=""),"",IF(Einstellungen!$C$11="7 Tage",MAX(0,(MIN(IF(D72="",DATE(Einstellungen!$C$3,12,31),D72),Einstellungen!$C$9))-(MAX(C72,DATE(Einstellungen!$C$3,1,1)))+1),MAX(0,NETWORKDAYS(MAX(C72,DATE(Einstellungen!$C$3,1,1)),MIN(IF(D72="",DATE(Einstellungen!$C$3,12,31),D72),Einstellungen!$C$9),Einstellungen!$F$13:$F$67)))*F72)</f>
        <v/>
      </c>
    </row>
    <row r="73">
      <c r="A73" s="26" t="n"/>
      <c r="B73" s="23" t="n"/>
      <c r="C73" s="27" t="n"/>
      <c r="D73" s="27" t="n"/>
      <c r="E73" s="28" t="n"/>
      <c r="F73" s="29">
        <f>IF(E73="","",E73/5)</f>
        <v/>
      </c>
      <c r="G73" s="30">
        <f>IF(B73="","",IF(C73&gt;Einstellungen!$C$9,"künftig",IF(AND(D73&lt;&gt;"",D73&lt;Einstellungen!$C$9),"ausgeschieden","aktiv")))</f>
        <v/>
      </c>
      <c r="H73" s="31">
        <f>IF(OR(B73="",E73=""),"",IF(Einstellungen!$C$11="7 Tage",MAX(0,(MIN(IF(D73="",DATE(Einstellungen!$C$3,12,31),D73),Einstellungen!$C$9))-(MAX(C73,DATE(Einstellungen!$C$3,1,1)))+1),MAX(0,NETWORKDAYS(MAX(C73,DATE(Einstellungen!$C$3,1,1)),MIN(IF(D73="",DATE(Einstellungen!$C$3,12,31),D73),Einstellungen!$C$9),Einstellungen!$F$13:$F$67)))*F73)</f>
        <v/>
      </c>
    </row>
    <row r="74">
      <c r="A74" s="26" t="n"/>
      <c r="B74" s="23" t="n"/>
      <c r="C74" s="27" t="n"/>
      <c r="D74" s="27" t="n"/>
      <c r="E74" s="28" t="n"/>
      <c r="F74" s="29">
        <f>IF(E74="","",E74/5)</f>
        <v/>
      </c>
      <c r="G74" s="30">
        <f>IF(B74="","",IF(C74&gt;Einstellungen!$C$9,"künftig",IF(AND(D74&lt;&gt;"",D74&lt;Einstellungen!$C$9),"ausgeschieden","aktiv")))</f>
        <v/>
      </c>
      <c r="H74" s="31">
        <f>IF(OR(B74="",E74=""),"",IF(Einstellungen!$C$11="7 Tage",MAX(0,(MIN(IF(D74="",DATE(Einstellungen!$C$3,12,31),D74),Einstellungen!$C$9))-(MAX(C74,DATE(Einstellungen!$C$3,1,1)))+1),MAX(0,NETWORKDAYS(MAX(C74,DATE(Einstellungen!$C$3,1,1)),MIN(IF(D74="",DATE(Einstellungen!$C$3,12,31),D74),Einstellungen!$C$9),Einstellungen!$F$13:$F$67)))*F74)</f>
        <v/>
      </c>
    </row>
    <row r="75">
      <c r="A75" s="26" t="n"/>
      <c r="B75" s="23" t="n"/>
      <c r="C75" s="27" t="n"/>
      <c r="D75" s="27" t="n"/>
      <c r="E75" s="28" t="n"/>
      <c r="F75" s="29">
        <f>IF(E75="","",E75/5)</f>
        <v/>
      </c>
      <c r="G75" s="30">
        <f>IF(B75="","",IF(C75&gt;Einstellungen!$C$9,"künftig",IF(AND(D75&lt;&gt;"",D75&lt;Einstellungen!$C$9),"ausgeschieden","aktiv")))</f>
        <v/>
      </c>
      <c r="H75" s="31">
        <f>IF(OR(B75="",E75=""),"",IF(Einstellungen!$C$11="7 Tage",MAX(0,(MIN(IF(D75="",DATE(Einstellungen!$C$3,12,31),D75),Einstellungen!$C$9))-(MAX(C75,DATE(Einstellungen!$C$3,1,1)))+1),MAX(0,NETWORKDAYS(MAX(C75,DATE(Einstellungen!$C$3,1,1)),MIN(IF(D75="",DATE(Einstellungen!$C$3,12,31),D75),Einstellungen!$C$9),Einstellungen!$F$13:$F$67)))*F75)</f>
        <v/>
      </c>
    </row>
    <row r="76">
      <c r="A76" s="26" t="n"/>
      <c r="B76" s="23" t="n"/>
      <c r="C76" s="27" t="n"/>
      <c r="D76" s="27" t="n"/>
      <c r="E76" s="28" t="n"/>
      <c r="F76" s="29">
        <f>IF(E76="","",E76/5)</f>
        <v/>
      </c>
      <c r="G76" s="30">
        <f>IF(B76="","",IF(C76&gt;Einstellungen!$C$9,"künftig",IF(AND(D76&lt;&gt;"",D76&lt;Einstellungen!$C$9),"ausgeschieden","aktiv")))</f>
        <v/>
      </c>
      <c r="H76" s="31">
        <f>IF(OR(B76="",E76=""),"",IF(Einstellungen!$C$11="7 Tage",MAX(0,(MIN(IF(D76="",DATE(Einstellungen!$C$3,12,31),D76),Einstellungen!$C$9))-(MAX(C76,DATE(Einstellungen!$C$3,1,1)))+1),MAX(0,NETWORKDAYS(MAX(C76,DATE(Einstellungen!$C$3,1,1)),MIN(IF(D76="",DATE(Einstellungen!$C$3,12,31),D76),Einstellungen!$C$9),Einstellungen!$F$13:$F$67)))*F76)</f>
        <v/>
      </c>
    </row>
    <row r="77">
      <c r="A77" s="26" t="n"/>
      <c r="B77" s="23" t="n"/>
      <c r="C77" s="27" t="n"/>
      <c r="D77" s="27" t="n"/>
      <c r="E77" s="28" t="n"/>
      <c r="F77" s="29">
        <f>IF(E77="","",E77/5)</f>
        <v/>
      </c>
      <c r="G77" s="30">
        <f>IF(B77="","",IF(C77&gt;Einstellungen!$C$9,"künftig",IF(AND(D77&lt;&gt;"",D77&lt;Einstellungen!$C$9),"ausgeschieden","aktiv")))</f>
        <v/>
      </c>
      <c r="H77" s="31">
        <f>IF(OR(B77="",E77=""),"",IF(Einstellungen!$C$11="7 Tage",MAX(0,(MIN(IF(D77="",DATE(Einstellungen!$C$3,12,31),D77),Einstellungen!$C$9))-(MAX(C77,DATE(Einstellungen!$C$3,1,1)))+1),MAX(0,NETWORKDAYS(MAX(C77,DATE(Einstellungen!$C$3,1,1)),MIN(IF(D77="",DATE(Einstellungen!$C$3,12,31),D77),Einstellungen!$C$9),Einstellungen!$F$13:$F$67)))*F77)</f>
        <v/>
      </c>
    </row>
    <row r="78">
      <c r="A78" s="26" t="n"/>
      <c r="B78" s="23" t="n"/>
      <c r="C78" s="27" t="n"/>
      <c r="D78" s="27" t="n"/>
      <c r="E78" s="28" t="n"/>
      <c r="F78" s="29">
        <f>IF(E78="","",E78/5)</f>
        <v/>
      </c>
      <c r="G78" s="30">
        <f>IF(B78="","",IF(C78&gt;Einstellungen!$C$9,"künftig",IF(AND(D78&lt;&gt;"",D78&lt;Einstellungen!$C$9),"ausgeschieden","aktiv")))</f>
        <v/>
      </c>
      <c r="H78" s="31">
        <f>IF(OR(B78="",E78=""),"",IF(Einstellungen!$C$11="7 Tage",MAX(0,(MIN(IF(D78="",DATE(Einstellungen!$C$3,12,31),D78),Einstellungen!$C$9))-(MAX(C78,DATE(Einstellungen!$C$3,1,1)))+1),MAX(0,NETWORKDAYS(MAX(C78,DATE(Einstellungen!$C$3,1,1)),MIN(IF(D78="",DATE(Einstellungen!$C$3,12,31),D78),Einstellungen!$C$9),Einstellungen!$F$13:$F$67)))*F78)</f>
        <v/>
      </c>
    </row>
    <row r="79">
      <c r="A79" s="26" t="n"/>
      <c r="B79" s="23" t="n"/>
      <c r="C79" s="27" t="n"/>
      <c r="D79" s="27" t="n"/>
      <c r="E79" s="28" t="n"/>
      <c r="F79" s="29">
        <f>IF(E79="","",E79/5)</f>
        <v/>
      </c>
      <c r="G79" s="30">
        <f>IF(B79="","",IF(C79&gt;Einstellungen!$C$9,"künftig",IF(AND(D79&lt;&gt;"",D79&lt;Einstellungen!$C$9),"ausgeschieden","aktiv")))</f>
        <v/>
      </c>
      <c r="H79" s="31">
        <f>IF(OR(B79="",E79=""),"",IF(Einstellungen!$C$11="7 Tage",MAX(0,(MIN(IF(D79="",DATE(Einstellungen!$C$3,12,31),D79),Einstellungen!$C$9))-(MAX(C79,DATE(Einstellungen!$C$3,1,1)))+1),MAX(0,NETWORKDAYS(MAX(C79,DATE(Einstellungen!$C$3,1,1)),MIN(IF(D79="",DATE(Einstellungen!$C$3,12,31),D79),Einstellungen!$C$9),Einstellungen!$F$13:$F$67)))*F79)</f>
        <v/>
      </c>
    </row>
    <row r="80">
      <c r="A80" s="26" t="n"/>
      <c r="B80" s="23" t="n"/>
      <c r="C80" s="27" t="n"/>
      <c r="D80" s="27" t="n"/>
      <c r="E80" s="28" t="n"/>
      <c r="F80" s="29">
        <f>IF(E80="","",E80/5)</f>
        <v/>
      </c>
      <c r="G80" s="30">
        <f>IF(B80="","",IF(C80&gt;Einstellungen!$C$9,"künftig",IF(AND(D80&lt;&gt;"",D80&lt;Einstellungen!$C$9),"ausgeschieden","aktiv")))</f>
        <v/>
      </c>
      <c r="H80" s="31">
        <f>IF(OR(B80="",E80=""),"",IF(Einstellungen!$C$11="7 Tage",MAX(0,(MIN(IF(D80="",DATE(Einstellungen!$C$3,12,31),D80),Einstellungen!$C$9))-(MAX(C80,DATE(Einstellungen!$C$3,1,1)))+1),MAX(0,NETWORKDAYS(MAX(C80,DATE(Einstellungen!$C$3,1,1)),MIN(IF(D80="",DATE(Einstellungen!$C$3,12,31),D80),Einstellungen!$C$9),Einstellungen!$F$13:$F$67)))*F80)</f>
        <v/>
      </c>
    </row>
    <row r="81">
      <c r="A81" s="26" t="n"/>
      <c r="B81" s="23" t="n"/>
      <c r="C81" s="27" t="n"/>
      <c r="D81" s="27" t="n"/>
      <c r="E81" s="28" t="n"/>
      <c r="F81" s="29">
        <f>IF(E81="","",E81/5)</f>
        <v/>
      </c>
      <c r="G81" s="30">
        <f>IF(B81="","",IF(C81&gt;Einstellungen!$C$9,"künftig",IF(AND(D81&lt;&gt;"",D81&lt;Einstellungen!$C$9),"ausgeschieden","aktiv")))</f>
        <v/>
      </c>
      <c r="H81" s="31">
        <f>IF(OR(B81="",E81=""),"",IF(Einstellungen!$C$11="7 Tage",MAX(0,(MIN(IF(D81="",DATE(Einstellungen!$C$3,12,31),D81),Einstellungen!$C$9))-(MAX(C81,DATE(Einstellungen!$C$3,1,1)))+1),MAX(0,NETWORKDAYS(MAX(C81,DATE(Einstellungen!$C$3,1,1)),MIN(IF(D81="",DATE(Einstellungen!$C$3,12,31),D81),Einstellungen!$C$9),Einstellungen!$F$13:$F$67)))*F81)</f>
        <v/>
      </c>
    </row>
    <row r="82">
      <c r="A82" s="26" t="n"/>
      <c r="B82" s="23" t="n"/>
      <c r="C82" s="27" t="n"/>
      <c r="D82" s="27" t="n"/>
      <c r="E82" s="28" t="n"/>
      <c r="F82" s="29">
        <f>IF(E82="","",E82/5)</f>
        <v/>
      </c>
      <c r="G82" s="30">
        <f>IF(B82="","",IF(C82&gt;Einstellungen!$C$9,"künftig",IF(AND(D82&lt;&gt;"",D82&lt;Einstellungen!$C$9),"ausgeschieden","aktiv")))</f>
        <v/>
      </c>
      <c r="H82" s="31">
        <f>IF(OR(B82="",E82=""),"",IF(Einstellungen!$C$11="7 Tage",MAX(0,(MIN(IF(D82="",DATE(Einstellungen!$C$3,12,31),D82),Einstellungen!$C$9))-(MAX(C82,DATE(Einstellungen!$C$3,1,1)))+1),MAX(0,NETWORKDAYS(MAX(C82,DATE(Einstellungen!$C$3,1,1)),MIN(IF(D82="",DATE(Einstellungen!$C$3,12,31),D82),Einstellungen!$C$9),Einstellungen!$F$13:$F$67)))*F82)</f>
        <v/>
      </c>
    </row>
    <row r="83">
      <c r="A83" s="26" t="n"/>
      <c r="B83" s="23" t="n"/>
      <c r="C83" s="27" t="n"/>
      <c r="D83" s="27" t="n"/>
      <c r="E83" s="28" t="n"/>
      <c r="F83" s="29">
        <f>IF(E83="","",E83/5)</f>
        <v/>
      </c>
      <c r="G83" s="30">
        <f>IF(B83="","",IF(C83&gt;Einstellungen!$C$9,"künftig",IF(AND(D83&lt;&gt;"",D83&lt;Einstellungen!$C$9),"ausgeschieden","aktiv")))</f>
        <v/>
      </c>
      <c r="H83" s="31">
        <f>IF(OR(B83="",E83=""),"",IF(Einstellungen!$C$11="7 Tage",MAX(0,(MIN(IF(D83="",DATE(Einstellungen!$C$3,12,31),D83),Einstellungen!$C$9))-(MAX(C83,DATE(Einstellungen!$C$3,1,1)))+1),MAX(0,NETWORKDAYS(MAX(C83,DATE(Einstellungen!$C$3,1,1)),MIN(IF(D83="",DATE(Einstellungen!$C$3,12,31),D83),Einstellungen!$C$9),Einstellungen!$F$13:$F$67)))*F83)</f>
        <v/>
      </c>
    </row>
    <row r="84">
      <c r="A84" s="26" t="n"/>
      <c r="B84" s="23" t="n"/>
      <c r="C84" s="27" t="n"/>
      <c r="D84" s="27" t="n"/>
      <c r="E84" s="28" t="n"/>
      <c r="F84" s="29">
        <f>IF(E84="","",E84/5)</f>
        <v/>
      </c>
      <c r="G84" s="30">
        <f>IF(B84="","",IF(C84&gt;Einstellungen!$C$9,"künftig",IF(AND(D84&lt;&gt;"",D84&lt;Einstellungen!$C$9),"ausgeschieden","aktiv")))</f>
        <v/>
      </c>
      <c r="H84" s="31">
        <f>IF(OR(B84="",E84=""),"",IF(Einstellungen!$C$11="7 Tage",MAX(0,(MIN(IF(D84="",DATE(Einstellungen!$C$3,12,31),D84),Einstellungen!$C$9))-(MAX(C84,DATE(Einstellungen!$C$3,1,1)))+1),MAX(0,NETWORKDAYS(MAX(C84,DATE(Einstellungen!$C$3,1,1)),MIN(IF(D84="",DATE(Einstellungen!$C$3,12,31),D84),Einstellungen!$C$9),Einstellungen!$F$13:$F$67)))*F84)</f>
        <v/>
      </c>
    </row>
    <row r="85">
      <c r="A85" s="26" t="n"/>
      <c r="B85" s="23" t="n"/>
      <c r="C85" s="27" t="n"/>
      <c r="D85" s="27" t="n"/>
      <c r="E85" s="28" t="n"/>
      <c r="F85" s="29">
        <f>IF(E85="","",E85/5)</f>
        <v/>
      </c>
      <c r="G85" s="30">
        <f>IF(B85="","",IF(C85&gt;Einstellungen!$C$9,"künftig",IF(AND(D85&lt;&gt;"",D85&lt;Einstellungen!$C$9),"ausgeschieden","aktiv")))</f>
        <v/>
      </c>
      <c r="H85" s="31">
        <f>IF(OR(B85="",E85=""),"",IF(Einstellungen!$C$11="7 Tage",MAX(0,(MIN(IF(D85="",DATE(Einstellungen!$C$3,12,31),D85),Einstellungen!$C$9))-(MAX(C85,DATE(Einstellungen!$C$3,1,1)))+1),MAX(0,NETWORKDAYS(MAX(C85,DATE(Einstellungen!$C$3,1,1)),MIN(IF(D85="",DATE(Einstellungen!$C$3,12,31),D85),Einstellungen!$C$9),Einstellungen!$F$13:$F$67)))*F85)</f>
        <v/>
      </c>
    </row>
    <row r="86">
      <c r="A86" s="26" t="n"/>
      <c r="B86" s="23" t="n"/>
      <c r="C86" s="27" t="n"/>
      <c r="D86" s="27" t="n"/>
      <c r="E86" s="28" t="n"/>
      <c r="F86" s="29">
        <f>IF(E86="","",E86/5)</f>
        <v/>
      </c>
      <c r="G86" s="30">
        <f>IF(B86="","",IF(C86&gt;Einstellungen!$C$9,"künftig",IF(AND(D86&lt;&gt;"",D86&lt;Einstellungen!$C$9),"ausgeschieden","aktiv")))</f>
        <v/>
      </c>
      <c r="H86" s="31">
        <f>IF(OR(B86="",E86=""),"",IF(Einstellungen!$C$11="7 Tage",MAX(0,(MIN(IF(D86="",DATE(Einstellungen!$C$3,12,31),D86),Einstellungen!$C$9))-(MAX(C86,DATE(Einstellungen!$C$3,1,1)))+1),MAX(0,NETWORKDAYS(MAX(C86,DATE(Einstellungen!$C$3,1,1)),MIN(IF(D86="",DATE(Einstellungen!$C$3,12,31),D86),Einstellungen!$C$9),Einstellungen!$F$13:$F$67)))*F86)</f>
        <v/>
      </c>
    </row>
    <row r="87">
      <c r="A87" s="26" t="n"/>
      <c r="B87" s="23" t="n"/>
      <c r="C87" s="27" t="n"/>
      <c r="D87" s="27" t="n"/>
      <c r="E87" s="28" t="n"/>
      <c r="F87" s="29">
        <f>IF(E87="","",E87/5)</f>
        <v/>
      </c>
      <c r="G87" s="30">
        <f>IF(B87="","",IF(C87&gt;Einstellungen!$C$9,"künftig",IF(AND(D87&lt;&gt;"",D87&lt;Einstellungen!$C$9),"ausgeschieden","aktiv")))</f>
        <v/>
      </c>
      <c r="H87" s="31">
        <f>IF(OR(B87="",E87=""),"",IF(Einstellungen!$C$11="7 Tage",MAX(0,(MIN(IF(D87="",DATE(Einstellungen!$C$3,12,31),D87),Einstellungen!$C$9))-(MAX(C87,DATE(Einstellungen!$C$3,1,1)))+1),MAX(0,NETWORKDAYS(MAX(C87,DATE(Einstellungen!$C$3,1,1)),MIN(IF(D87="",DATE(Einstellungen!$C$3,12,31),D87),Einstellungen!$C$9),Einstellungen!$F$13:$F$67)))*F87)</f>
        <v/>
      </c>
    </row>
    <row r="88">
      <c r="A88" s="26" t="n"/>
      <c r="B88" s="23" t="n"/>
      <c r="C88" s="27" t="n"/>
      <c r="D88" s="27" t="n"/>
      <c r="E88" s="28" t="n"/>
      <c r="F88" s="29">
        <f>IF(E88="","",E88/5)</f>
        <v/>
      </c>
      <c r="G88" s="30">
        <f>IF(B88="","",IF(C88&gt;Einstellungen!$C$9,"künftig",IF(AND(D88&lt;&gt;"",D88&lt;Einstellungen!$C$9),"ausgeschieden","aktiv")))</f>
        <v/>
      </c>
      <c r="H88" s="31">
        <f>IF(OR(B88="",E88=""),"",IF(Einstellungen!$C$11="7 Tage",MAX(0,(MIN(IF(D88="",DATE(Einstellungen!$C$3,12,31),D88),Einstellungen!$C$9))-(MAX(C88,DATE(Einstellungen!$C$3,1,1)))+1),MAX(0,NETWORKDAYS(MAX(C88,DATE(Einstellungen!$C$3,1,1)),MIN(IF(D88="",DATE(Einstellungen!$C$3,12,31),D88),Einstellungen!$C$9),Einstellungen!$F$13:$F$67)))*F88)</f>
        <v/>
      </c>
    </row>
    <row r="89">
      <c r="A89" s="26" t="n"/>
      <c r="B89" s="23" t="n"/>
      <c r="C89" s="27" t="n"/>
      <c r="D89" s="27" t="n"/>
      <c r="E89" s="28" t="n"/>
      <c r="F89" s="29">
        <f>IF(E89="","",E89/5)</f>
        <v/>
      </c>
      <c r="G89" s="30">
        <f>IF(B89="","",IF(C89&gt;Einstellungen!$C$9,"künftig",IF(AND(D89&lt;&gt;"",D89&lt;Einstellungen!$C$9),"ausgeschieden","aktiv")))</f>
        <v/>
      </c>
      <c r="H89" s="31">
        <f>IF(OR(B89="",E89=""),"",IF(Einstellungen!$C$11="7 Tage",MAX(0,(MIN(IF(D89="",DATE(Einstellungen!$C$3,12,31),D89),Einstellungen!$C$9))-(MAX(C89,DATE(Einstellungen!$C$3,1,1)))+1),MAX(0,NETWORKDAYS(MAX(C89,DATE(Einstellungen!$C$3,1,1)),MIN(IF(D89="",DATE(Einstellungen!$C$3,12,31),D89),Einstellungen!$C$9),Einstellungen!$F$13:$F$67)))*F89)</f>
        <v/>
      </c>
    </row>
    <row r="90">
      <c r="A90" s="26" t="n"/>
      <c r="B90" s="23" t="n"/>
      <c r="C90" s="27" t="n"/>
      <c r="D90" s="27" t="n"/>
      <c r="E90" s="28" t="n"/>
      <c r="F90" s="29">
        <f>IF(E90="","",E90/5)</f>
        <v/>
      </c>
      <c r="G90" s="30">
        <f>IF(B90="","",IF(C90&gt;Einstellungen!$C$9,"künftig",IF(AND(D90&lt;&gt;"",D90&lt;Einstellungen!$C$9),"ausgeschieden","aktiv")))</f>
        <v/>
      </c>
      <c r="H90" s="31">
        <f>IF(OR(B90="",E90=""),"",IF(Einstellungen!$C$11="7 Tage",MAX(0,(MIN(IF(D90="",DATE(Einstellungen!$C$3,12,31),D90),Einstellungen!$C$9))-(MAX(C90,DATE(Einstellungen!$C$3,1,1)))+1),MAX(0,NETWORKDAYS(MAX(C90,DATE(Einstellungen!$C$3,1,1)),MIN(IF(D90="",DATE(Einstellungen!$C$3,12,31),D90),Einstellungen!$C$9),Einstellungen!$F$13:$F$67)))*F90)</f>
        <v/>
      </c>
    </row>
    <row r="91">
      <c r="A91" s="26" t="n"/>
      <c r="B91" s="23" t="n"/>
      <c r="C91" s="27" t="n"/>
      <c r="D91" s="27" t="n"/>
      <c r="E91" s="28" t="n"/>
      <c r="F91" s="29">
        <f>IF(E91="","",E91/5)</f>
        <v/>
      </c>
      <c r="G91" s="30">
        <f>IF(B91="","",IF(C91&gt;Einstellungen!$C$9,"künftig",IF(AND(D91&lt;&gt;"",D91&lt;Einstellungen!$C$9),"ausgeschieden","aktiv")))</f>
        <v/>
      </c>
      <c r="H91" s="31">
        <f>IF(OR(B91="",E91=""),"",IF(Einstellungen!$C$11="7 Tage",MAX(0,(MIN(IF(D91="",DATE(Einstellungen!$C$3,12,31),D91),Einstellungen!$C$9))-(MAX(C91,DATE(Einstellungen!$C$3,1,1)))+1),MAX(0,NETWORKDAYS(MAX(C91,DATE(Einstellungen!$C$3,1,1)),MIN(IF(D91="",DATE(Einstellungen!$C$3,12,31),D91),Einstellungen!$C$9),Einstellungen!$F$13:$F$67)))*F91)</f>
        <v/>
      </c>
    </row>
    <row r="92">
      <c r="A92" s="26" t="n"/>
      <c r="B92" s="23" t="n"/>
      <c r="C92" s="27" t="n"/>
      <c r="D92" s="27" t="n"/>
      <c r="E92" s="28" t="n"/>
      <c r="F92" s="29">
        <f>IF(E92="","",E92/5)</f>
        <v/>
      </c>
      <c r="G92" s="30">
        <f>IF(B92="","",IF(C92&gt;Einstellungen!$C$9,"künftig",IF(AND(D92&lt;&gt;"",D92&lt;Einstellungen!$C$9),"ausgeschieden","aktiv")))</f>
        <v/>
      </c>
      <c r="H92" s="31">
        <f>IF(OR(B92="",E92=""),"",IF(Einstellungen!$C$11="7 Tage",MAX(0,(MIN(IF(D92="",DATE(Einstellungen!$C$3,12,31),D92),Einstellungen!$C$9))-(MAX(C92,DATE(Einstellungen!$C$3,1,1)))+1),MAX(0,NETWORKDAYS(MAX(C92,DATE(Einstellungen!$C$3,1,1)),MIN(IF(D92="",DATE(Einstellungen!$C$3,12,31),D92),Einstellungen!$C$9),Einstellungen!$F$13:$F$67)))*F92)</f>
        <v/>
      </c>
    </row>
    <row r="93">
      <c r="A93" s="26" t="n"/>
      <c r="B93" s="23" t="n"/>
      <c r="C93" s="27" t="n"/>
      <c r="D93" s="27" t="n"/>
      <c r="E93" s="28" t="n"/>
      <c r="F93" s="29">
        <f>IF(E93="","",E93/5)</f>
        <v/>
      </c>
      <c r="G93" s="30">
        <f>IF(B93="","",IF(C93&gt;Einstellungen!$C$9,"künftig",IF(AND(D93&lt;&gt;"",D93&lt;Einstellungen!$C$9),"ausgeschieden","aktiv")))</f>
        <v/>
      </c>
      <c r="H93" s="31">
        <f>IF(OR(B93="",E93=""),"",IF(Einstellungen!$C$11="7 Tage",MAX(0,(MIN(IF(D93="",DATE(Einstellungen!$C$3,12,31),D93),Einstellungen!$C$9))-(MAX(C93,DATE(Einstellungen!$C$3,1,1)))+1),MAX(0,NETWORKDAYS(MAX(C93,DATE(Einstellungen!$C$3,1,1)),MIN(IF(D93="",DATE(Einstellungen!$C$3,12,31),D93),Einstellungen!$C$9),Einstellungen!$F$13:$F$67)))*F93)</f>
        <v/>
      </c>
    </row>
    <row r="94">
      <c r="A94" s="26" t="n"/>
      <c r="B94" s="23" t="n"/>
      <c r="C94" s="27" t="n"/>
      <c r="D94" s="27" t="n"/>
      <c r="E94" s="28" t="n"/>
      <c r="F94" s="29">
        <f>IF(E94="","",E94/5)</f>
        <v/>
      </c>
      <c r="G94" s="30">
        <f>IF(B94="","",IF(C94&gt;Einstellungen!$C$9,"künftig",IF(AND(D94&lt;&gt;"",D94&lt;Einstellungen!$C$9),"ausgeschieden","aktiv")))</f>
        <v/>
      </c>
      <c r="H94" s="31">
        <f>IF(OR(B94="",E94=""),"",IF(Einstellungen!$C$11="7 Tage",MAX(0,(MIN(IF(D94="",DATE(Einstellungen!$C$3,12,31),D94),Einstellungen!$C$9))-(MAX(C94,DATE(Einstellungen!$C$3,1,1)))+1),MAX(0,NETWORKDAYS(MAX(C94,DATE(Einstellungen!$C$3,1,1)),MIN(IF(D94="",DATE(Einstellungen!$C$3,12,31),D94),Einstellungen!$C$9),Einstellungen!$F$13:$F$67)))*F94)</f>
        <v/>
      </c>
    </row>
    <row r="95">
      <c r="A95" s="26" t="n"/>
      <c r="B95" s="23" t="n"/>
      <c r="C95" s="27" t="n"/>
      <c r="D95" s="27" t="n"/>
      <c r="E95" s="28" t="n"/>
      <c r="F95" s="29">
        <f>IF(E95="","",E95/5)</f>
        <v/>
      </c>
      <c r="G95" s="30">
        <f>IF(B95="","",IF(C95&gt;Einstellungen!$C$9,"künftig",IF(AND(D95&lt;&gt;"",D95&lt;Einstellungen!$C$9),"ausgeschieden","aktiv")))</f>
        <v/>
      </c>
      <c r="H95" s="31">
        <f>IF(OR(B95="",E95=""),"",IF(Einstellungen!$C$11="7 Tage",MAX(0,(MIN(IF(D95="",DATE(Einstellungen!$C$3,12,31),D95),Einstellungen!$C$9))-(MAX(C95,DATE(Einstellungen!$C$3,1,1)))+1),MAX(0,NETWORKDAYS(MAX(C95,DATE(Einstellungen!$C$3,1,1)),MIN(IF(D95="",DATE(Einstellungen!$C$3,12,31),D95),Einstellungen!$C$9),Einstellungen!$F$13:$F$67)))*F95)</f>
        <v/>
      </c>
    </row>
    <row r="96">
      <c r="A96" s="26" t="n"/>
      <c r="B96" s="23" t="n"/>
      <c r="C96" s="27" t="n"/>
      <c r="D96" s="27" t="n"/>
      <c r="E96" s="28" t="n"/>
      <c r="F96" s="29">
        <f>IF(E96="","",E96/5)</f>
        <v/>
      </c>
      <c r="G96" s="30">
        <f>IF(B96="","",IF(C96&gt;Einstellungen!$C$9,"künftig",IF(AND(D96&lt;&gt;"",D96&lt;Einstellungen!$C$9),"ausgeschieden","aktiv")))</f>
        <v/>
      </c>
      <c r="H96" s="31">
        <f>IF(OR(B96="",E96=""),"",IF(Einstellungen!$C$11="7 Tage",MAX(0,(MIN(IF(D96="",DATE(Einstellungen!$C$3,12,31),D96),Einstellungen!$C$9))-(MAX(C96,DATE(Einstellungen!$C$3,1,1)))+1),MAX(0,NETWORKDAYS(MAX(C96,DATE(Einstellungen!$C$3,1,1)),MIN(IF(D96="",DATE(Einstellungen!$C$3,12,31),D96),Einstellungen!$C$9),Einstellungen!$F$13:$F$67)))*F96)</f>
        <v/>
      </c>
    </row>
    <row r="97">
      <c r="A97" s="26" t="n"/>
      <c r="B97" s="23" t="n"/>
      <c r="C97" s="27" t="n"/>
      <c r="D97" s="27" t="n"/>
      <c r="E97" s="28" t="n"/>
      <c r="F97" s="29">
        <f>IF(E97="","",E97/5)</f>
        <v/>
      </c>
      <c r="G97" s="30">
        <f>IF(B97="","",IF(C97&gt;Einstellungen!$C$9,"künftig",IF(AND(D97&lt;&gt;"",D97&lt;Einstellungen!$C$9),"ausgeschieden","aktiv")))</f>
        <v/>
      </c>
      <c r="H97" s="31">
        <f>IF(OR(B97="",E97=""),"",IF(Einstellungen!$C$11="7 Tage",MAX(0,(MIN(IF(D97="",DATE(Einstellungen!$C$3,12,31),D97),Einstellungen!$C$9))-(MAX(C97,DATE(Einstellungen!$C$3,1,1)))+1),MAX(0,NETWORKDAYS(MAX(C97,DATE(Einstellungen!$C$3,1,1)),MIN(IF(D97="",DATE(Einstellungen!$C$3,12,31),D97),Einstellungen!$C$9),Einstellungen!$F$13:$F$67)))*F97)</f>
        <v/>
      </c>
    </row>
    <row r="98">
      <c r="A98" s="26" t="n"/>
      <c r="B98" s="23" t="n"/>
      <c r="C98" s="27" t="n"/>
      <c r="D98" s="27" t="n"/>
      <c r="E98" s="28" t="n"/>
      <c r="F98" s="29">
        <f>IF(E98="","",E98/5)</f>
        <v/>
      </c>
      <c r="G98" s="30">
        <f>IF(B98="","",IF(C98&gt;Einstellungen!$C$9,"künftig",IF(AND(D98&lt;&gt;"",D98&lt;Einstellungen!$C$9),"ausgeschieden","aktiv")))</f>
        <v/>
      </c>
      <c r="H98" s="31">
        <f>IF(OR(B98="",E98=""),"",IF(Einstellungen!$C$11="7 Tage",MAX(0,(MIN(IF(D98="",DATE(Einstellungen!$C$3,12,31),D98),Einstellungen!$C$9))-(MAX(C98,DATE(Einstellungen!$C$3,1,1)))+1),MAX(0,NETWORKDAYS(MAX(C98,DATE(Einstellungen!$C$3,1,1)),MIN(IF(D98="",DATE(Einstellungen!$C$3,12,31),D98),Einstellungen!$C$9),Einstellungen!$F$13:$F$67)))*F98)</f>
        <v/>
      </c>
    </row>
    <row r="99">
      <c r="A99" s="26" t="n"/>
      <c r="B99" s="23" t="n"/>
      <c r="C99" s="27" t="n"/>
      <c r="D99" s="27" t="n"/>
      <c r="E99" s="28" t="n"/>
      <c r="F99" s="29">
        <f>IF(E99="","",E99/5)</f>
        <v/>
      </c>
      <c r="G99" s="30">
        <f>IF(B99="","",IF(C99&gt;Einstellungen!$C$9,"künftig",IF(AND(D99&lt;&gt;"",D99&lt;Einstellungen!$C$9),"ausgeschieden","aktiv")))</f>
        <v/>
      </c>
      <c r="H99" s="31">
        <f>IF(OR(B99="",E99=""),"",IF(Einstellungen!$C$11="7 Tage",MAX(0,(MIN(IF(D99="",DATE(Einstellungen!$C$3,12,31),D99),Einstellungen!$C$9))-(MAX(C99,DATE(Einstellungen!$C$3,1,1)))+1),MAX(0,NETWORKDAYS(MAX(C99,DATE(Einstellungen!$C$3,1,1)),MIN(IF(D99="",DATE(Einstellungen!$C$3,12,31),D99),Einstellungen!$C$9),Einstellungen!$F$13:$F$67)))*F99)</f>
        <v/>
      </c>
    </row>
    <row r="100">
      <c r="A100" s="26" t="n"/>
      <c r="B100" s="23" t="n"/>
      <c r="C100" s="27" t="n"/>
      <c r="D100" s="27" t="n"/>
      <c r="E100" s="28" t="n"/>
      <c r="F100" s="29">
        <f>IF(E100="","",E100/5)</f>
        <v/>
      </c>
      <c r="G100" s="30">
        <f>IF(B100="","",IF(C100&gt;Einstellungen!$C$9,"künftig",IF(AND(D100&lt;&gt;"",D100&lt;Einstellungen!$C$9),"ausgeschieden","aktiv")))</f>
        <v/>
      </c>
      <c r="H100" s="31">
        <f>IF(OR(B100="",E100=""),"",IF(Einstellungen!$C$11="7 Tage",MAX(0,(MIN(IF(D100="",DATE(Einstellungen!$C$3,12,31),D100),Einstellungen!$C$9))-(MAX(C100,DATE(Einstellungen!$C$3,1,1)))+1),MAX(0,NETWORKDAYS(MAX(C100,DATE(Einstellungen!$C$3,1,1)),MIN(IF(D100="",DATE(Einstellungen!$C$3,12,31),D100),Einstellungen!$C$9),Einstellungen!$F$13:$F$67)))*F100)</f>
        <v/>
      </c>
    </row>
    <row r="101">
      <c r="A101" s="26" t="n"/>
      <c r="B101" s="23" t="n"/>
      <c r="C101" s="27" t="n"/>
      <c r="D101" s="27" t="n"/>
      <c r="E101" s="28" t="n"/>
      <c r="F101" s="29">
        <f>IF(E101="","",E101/5)</f>
        <v/>
      </c>
      <c r="G101" s="30">
        <f>IF(B101="","",IF(C101&gt;Einstellungen!$C$9,"künftig",IF(AND(D101&lt;&gt;"",D101&lt;Einstellungen!$C$9),"ausgeschieden","aktiv")))</f>
        <v/>
      </c>
      <c r="H101" s="31">
        <f>IF(OR(B101="",E101=""),"",IF(Einstellungen!$C$11="7 Tage",MAX(0,(MIN(IF(D101="",DATE(Einstellungen!$C$3,12,31),D101),Einstellungen!$C$9))-(MAX(C101,DATE(Einstellungen!$C$3,1,1)))+1),MAX(0,NETWORKDAYS(MAX(C101,DATE(Einstellungen!$C$3,1,1)),MIN(IF(D101="",DATE(Einstellungen!$C$3,12,31),D101),Einstellungen!$C$9),Einstellungen!$F$13:$F$67)))*F101)</f>
        <v/>
      </c>
    </row>
    <row r="102">
      <c r="A102" s="26" t="n"/>
      <c r="B102" s="23" t="n"/>
      <c r="C102" s="27" t="n"/>
      <c r="D102" s="27" t="n"/>
      <c r="E102" s="28" t="n"/>
      <c r="F102" s="29">
        <f>IF(E102="","",E102/5)</f>
        <v/>
      </c>
      <c r="G102" s="30">
        <f>IF(B102="","",IF(C102&gt;Einstellungen!$C$9,"künftig",IF(AND(D102&lt;&gt;"",D102&lt;Einstellungen!$C$9),"ausgeschieden","aktiv")))</f>
        <v/>
      </c>
      <c r="H102" s="31">
        <f>IF(OR(B102="",E102=""),"",IF(Einstellungen!$C$11="7 Tage",MAX(0,(MIN(IF(D102="",DATE(Einstellungen!$C$3,12,31),D102),Einstellungen!$C$9))-(MAX(C102,DATE(Einstellungen!$C$3,1,1)))+1),MAX(0,NETWORKDAYS(MAX(C102,DATE(Einstellungen!$C$3,1,1)),MIN(IF(D102="",DATE(Einstellungen!$C$3,12,31),D102),Einstellungen!$C$9),Einstellungen!$F$13:$F$67)))*F102)</f>
        <v/>
      </c>
    </row>
    <row r="103">
      <c r="A103" s="26" t="n"/>
      <c r="B103" s="23" t="n"/>
      <c r="C103" s="27" t="n"/>
      <c r="D103" s="27" t="n"/>
      <c r="E103" s="28" t="n"/>
      <c r="F103" s="29">
        <f>IF(E103="","",E103/5)</f>
        <v/>
      </c>
      <c r="G103" s="30">
        <f>IF(B103="","",IF(C103&gt;Einstellungen!$C$9,"künftig",IF(AND(D103&lt;&gt;"",D103&lt;Einstellungen!$C$9),"ausgeschieden","aktiv")))</f>
        <v/>
      </c>
      <c r="H103" s="31">
        <f>IF(OR(B103="",E103=""),"",IF(Einstellungen!$C$11="7 Tage",MAX(0,(MIN(IF(D103="",DATE(Einstellungen!$C$3,12,31),D103),Einstellungen!$C$9))-(MAX(C103,DATE(Einstellungen!$C$3,1,1)))+1),MAX(0,NETWORKDAYS(MAX(C103,DATE(Einstellungen!$C$3,1,1)),MIN(IF(D103="",DATE(Einstellungen!$C$3,12,31),D103),Einstellungen!$C$9),Einstellungen!$F$13:$F$67)))*F103)</f>
        <v/>
      </c>
    </row>
    <row r="104">
      <c r="A104" s="26" t="n"/>
      <c r="B104" s="23" t="n"/>
      <c r="C104" s="27" t="n"/>
      <c r="D104" s="27" t="n"/>
      <c r="E104" s="28" t="n"/>
      <c r="F104" s="29">
        <f>IF(E104="","",E104/5)</f>
        <v/>
      </c>
      <c r="G104" s="30">
        <f>IF(B104="","",IF(C104&gt;Einstellungen!$C$9,"künftig",IF(AND(D104&lt;&gt;"",D104&lt;Einstellungen!$C$9),"ausgeschieden","aktiv")))</f>
        <v/>
      </c>
      <c r="H104" s="31">
        <f>IF(OR(B104="",E104=""),"",IF(Einstellungen!$C$11="7 Tage",MAX(0,(MIN(IF(D104="",DATE(Einstellungen!$C$3,12,31),D104),Einstellungen!$C$9))-(MAX(C104,DATE(Einstellungen!$C$3,1,1)))+1),MAX(0,NETWORKDAYS(MAX(C104,DATE(Einstellungen!$C$3,1,1)),MIN(IF(D104="",DATE(Einstellungen!$C$3,12,31),D104),Einstellungen!$C$9),Einstellungen!$F$13:$F$67)))*F104)</f>
        <v/>
      </c>
    </row>
    <row r="105">
      <c r="A105" s="26" t="n"/>
      <c r="B105" s="23" t="n"/>
      <c r="C105" s="27" t="n"/>
      <c r="D105" s="27" t="n"/>
      <c r="E105" s="28" t="n"/>
      <c r="F105" s="29">
        <f>IF(E105="","",E105/5)</f>
        <v/>
      </c>
      <c r="G105" s="30">
        <f>IF(B105="","",IF(C105&gt;Einstellungen!$C$9,"künftig",IF(AND(D105&lt;&gt;"",D105&lt;Einstellungen!$C$9),"ausgeschieden","aktiv")))</f>
        <v/>
      </c>
      <c r="H105" s="31">
        <f>IF(OR(B105="",E105=""),"",IF(Einstellungen!$C$11="7 Tage",MAX(0,(MIN(IF(D105="",DATE(Einstellungen!$C$3,12,31),D105),Einstellungen!$C$9))-(MAX(C105,DATE(Einstellungen!$C$3,1,1)))+1),MAX(0,NETWORKDAYS(MAX(C105,DATE(Einstellungen!$C$3,1,1)),MIN(IF(D105="",DATE(Einstellungen!$C$3,12,31),D105),Einstellungen!$C$9),Einstellungen!$F$13:$F$67)))*F105)</f>
        <v/>
      </c>
    </row>
    <row r="106">
      <c r="A106" s="26" t="n"/>
      <c r="B106" s="23" t="n"/>
      <c r="C106" s="27" t="n"/>
      <c r="D106" s="27" t="n"/>
      <c r="E106" s="28" t="n"/>
      <c r="F106" s="29">
        <f>IF(E106="","",E106/5)</f>
        <v/>
      </c>
      <c r="G106" s="30">
        <f>IF(B106="","",IF(C106&gt;Einstellungen!$C$9,"künftig",IF(AND(D106&lt;&gt;"",D106&lt;Einstellungen!$C$9),"ausgeschieden","aktiv")))</f>
        <v/>
      </c>
      <c r="H106" s="31">
        <f>IF(OR(B106="",E106=""),"",IF(Einstellungen!$C$11="7 Tage",MAX(0,(MIN(IF(D106="",DATE(Einstellungen!$C$3,12,31),D106),Einstellungen!$C$9))-(MAX(C106,DATE(Einstellungen!$C$3,1,1)))+1),MAX(0,NETWORKDAYS(MAX(C106,DATE(Einstellungen!$C$3,1,1)),MIN(IF(D106="",DATE(Einstellungen!$C$3,12,31),D106),Einstellungen!$C$9),Einstellungen!$F$13:$F$67)))*F106)</f>
        <v/>
      </c>
    </row>
    <row r="107">
      <c r="A107" s="26" t="n"/>
      <c r="B107" s="23" t="n"/>
      <c r="C107" s="27" t="n"/>
      <c r="D107" s="27" t="n"/>
      <c r="E107" s="28" t="n"/>
      <c r="F107" s="29">
        <f>IF(E107="","",E107/5)</f>
        <v/>
      </c>
      <c r="G107" s="30">
        <f>IF(B107="","",IF(C107&gt;Einstellungen!$C$9,"künftig",IF(AND(D107&lt;&gt;"",D107&lt;Einstellungen!$C$9),"ausgeschieden","aktiv")))</f>
        <v/>
      </c>
      <c r="H107" s="31">
        <f>IF(OR(B107="",E107=""),"",IF(Einstellungen!$C$11="7 Tage",MAX(0,(MIN(IF(D107="",DATE(Einstellungen!$C$3,12,31),D107),Einstellungen!$C$9))-(MAX(C107,DATE(Einstellungen!$C$3,1,1)))+1),MAX(0,NETWORKDAYS(MAX(C107,DATE(Einstellungen!$C$3,1,1)),MIN(IF(D107="",DATE(Einstellungen!$C$3,12,31),D107),Einstellungen!$C$9),Einstellungen!$F$13:$F$67)))*F107)</f>
        <v/>
      </c>
    </row>
    <row r="108">
      <c r="A108" s="26" t="n"/>
      <c r="B108" s="23" t="n"/>
      <c r="C108" s="27" t="n"/>
      <c r="D108" s="27" t="n"/>
      <c r="E108" s="28" t="n"/>
      <c r="F108" s="29">
        <f>IF(E108="","",E108/5)</f>
        <v/>
      </c>
      <c r="G108" s="30">
        <f>IF(B108="","",IF(C108&gt;Einstellungen!$C$9,"künftig",IF(AND(D108&lt;&gt;"",D108&lt;Einstellungen!$C$9),"ausgeschieden","aktiv")))</f>
        <v/>
      </c>
      <c r="H108" s="31">
        <f>IF(OR(B108="",E108=""),"",IF(Einstellungen!$C$11="7 Tage",MAX(0,(MIN(IF(D108="",DATE(Einstellungen!$C$3,12,31),D108),Einstellungen!$C$9))-(MAX(C108,DATE(Einstellungen!$C$3,1,1)))+1),MAX(0,NETWORKDAYS(MAX(C108,DATE(Einstellungen!$C$3,1,1)),MIN(IF(D108="",DATE(Einstellungen!$C$3,12,31),D108),Einstellungen!$C$9),Einstellungen!$F$13:$F$67)))*F108)</f>
        <v/>
      </c>
    </row>
    <row r="109">
      <c r="A109" s="26" t="n"/>
      <c r="B109" s="23" t="n"/>
      <c r="C109" s="27" t="n"/>
      <c r="D109" s="27" t="n"/>
      <c r="E109" s="28" t="n"/>
      <c r="F109" s="29">
        <f>IF(E109="","",E109/5)</f>
        <v/>
      </c>
      <c r="G109" s="30">
        <f>IF(B109="","",IF(C109&gt;Einstellungen!$C$9,"künftig",IF(AND(D109&lt;&gt;"",D109&lt;Einstellungen!$C$9),"ausgeschieden","aktiv")))</f>
        <v/>
      </c>
      <c r="H109" s="31">
        <f>IF(OR(B109="",E109=""),"",IF(Einstellungen!$C$11="7 Tage",MAX(0,(MIN(IF(D109="",DATE(Einstellungen!$C$3,12,31),D109),Einstellungen!$C$9))-(MAX(C109,DATE(Einstellungen!$C$3,1,1)))+1),MAX(0,NETWORKDAYS(MAX(C109,DATE(Einstellungen!$C$3,1,1)),MIN(IF(D109="",DATE(Einstellungen!$C$3,12,31),D109),Einstellungen!$C$9),Einstellungen!$F$13:$F$67)))*F109)</f>
        <v/>
      </c>
    </row>
    <row r="110">
      <c r="A110" s="26" t="n"/>
      <c r="B110" s="23" t="n"/>
      <c r="C110" s="27" t="n"/>
      <c r="D110" s="27" t="n"/>
      <c r="E110" s="28" t="n"/>
      <c r="F110" s="29">
        <f>IF(E110="","",E110/5)</f>
        <v/>
      </c>
      <c r="G110" s="30">
        <f>IF(B110="","",IF(C110&gt;Einstellungen!$C$9,"künftig",IF(AND(D110&lt;&gt;"",D110&lt;Einstellungen!$C$9),"ausgeschieden","aktiv")))</f>
        <v/>
      </c>
      <c r="H110" s="31">
        <f>IF(OR(B110="",E110=""),"",IF(Einstellungen!$C$11="7 Tage",MAX(0,(MIN(IF(D110="",DATE(Einstellungen!$C$3,12,31),D110),Einstellungen!$C$9))-(MAX(C110,DATE(Einstellungen!$C$3,1,1)))+1),MAX(0,NETWORKDAYS(MAX(C110,DATE(Einstellungen!$C$3,1,1)),MIN(IF(D110="",DATE(Einstellungen!$C$3,12,31),D110),Einstellungen!$C$9),Einstellungen!$F$13:$F$67)))*F110)</f>
        <v/>
      </c>
    </row>
    <row r="111">
      <c r="A111" s="26" t="n"/>
      <c r="B111" s="23" t="n"/>
      <c r="C111" s="27" t="n"/>
      <c r="D111" s="27" t="n"/>
      <c r="E111" s="28" t="n"/>
      <c r="F111" s="29">
        <f>IF(E111="","",E111/5)</f>
        <v/>
      </c>
      <c r="G111" s="30">
        <f>IF(B111="","",IF(C111&gt;Einstellungen!$C$9,"künftig",IF(AND(D111&lt;&gt;"",D111&lt;Einstellungen!$C$9),"ausgeschieden","aktiv")))</f>
        <v/>
      </c>
      <c r="H111" s="31">
        <f>IF(OR(B111="",E111=""),"",IF(Einstellungen!$C$11="7 Tage",MAX(0,(MIN(IF(D111="",DATE(Einstellungen!$C$3,12,31),D111),Einstellungen!$C$9))-(MAX(C111,DATE(Einstellungen!$C$3,1,1)))+1),MAX(0,NETWORKDAYS(MAX(C111,DATE(Einstellungen!$C$3,1,1)),MIN(IF(D111="",DATE(Einstellungen!$C$3,12,31),D111),Einstellungen!$C$9),Einstellungen!$F$13:$F$67)))*F111)</f>
        <v/>
      </c>
    </row>
    <row r="112">
      <c r="A112" s="26" t="n"/>
      <c r="B112" s="23" t="n"/>
      <c r="C112" s="27" t="n"/>
      <c r="D112" s="27" t="n"/>
      <c r="E112" s="28" t="n"/>
      <c r="F112" s="29">
        <f>IF(E112="","",E112/5)</f>
        <v/>
      </c>
      <c r="G112" s="30">
        <f>IF(B112="","",IF(C112&gt;Einstellungen!$C$9,"künftig",IF(AND(D112&lt;&gt;"",D112&lt;Einstellungen!$C$9),"ausgeschieden","aktiv")))</f>
        <v/>
      </c>
      <c r="H112" s="31">
        <f>IF(OR(B112="",E112=""),"",IF(Einstellungen!$C$11="7 Tage",MAX(0,(MIN(IF(D112="",DATE(Einstellungen!$C$3,12,31),D112),Einstellungen!$C$9))-(MAX(C112,DATE(Einstellungen!$C$3,1,1)))+1),MAX(0,NETWORKDAYS(MAX(C112,DATE(Einstellungen!$C$3,1,1)),MIN(IF(D112="",DATE(Einstellungen!$C$3,12,31),D112),Einstellungen!$C$9),Einstellungen!$F$13:$F$67)))*F112)</f>
        <v/>
      </c>
    </row>
    <row r="113">
      <c r="A113" s="26" t="n"/>
      <c r="B113" s="23" t="n"/>
      <c r="C113" s="27" t="n"/>
      <c r="D113" s="27" t="n"/>
      <c r="E113" s="28" t="n"/>
      <c r="F113" s="29">
        <f>IF(E113="","",E113/5)</f>
        <v/>
      </c>
      <c r="G113" s="30">
        <f>IF(B113="","",IF(C113&gt;Einstellungen!$C$9,"künftig",IF(AND(D113&lt;&gt;"",D113&lt;Einstellungen!$C$9),"ausgeschieden","aktiv")))</f>
        <v/>
      </c>
      <c r="H113" s="31">
        <f>IF(OR(B113="",E113=""),"",IF(Einstellungen!$C$11="7 Tage",MAX(0,(MIN(IF(D113="",DATE(Einstellungen!$C$3,12,31),D113),Einstellungen!$C$9))-(MAX(C113,DATE(Einstellungen!$C$3,1,1)))+1),MAX(0,NETWORKDAYS(MAX(C113,DATE(Einstellungen!$C$3,1,1)),MIN(IF(D113="",DATE(Einstellungen!$C$3,12,31),D113),Einstellungen!$C$9),Einstellungen!$F$13:$F$67)))*F113)</f>
        <v/>
      </c>
    </row>
    <row r="114">
      <c r="A114" s="26" t="n"/>
      <c r="B114" s="23" t="n"/>
      <c r="C114" s="27" t="n"/>
      <c r="D114" s="27" t="n"/>
      <c r="E114" s="28" t="n"/>
      <c r="F114" s="29">
        <f>IF(E114="","",E114/5)</f>
        <v/>
      </c>
      <c r="G114" s="30">
        <f>IF(B114="","",IF(C114&gt;Einstellungen!$C$9,"künftig",IF(AND(D114&lt;&gt;"",D114&lt;Einstellungen!$C$9),"ausgeschieden","aktiv")))</f>
        <v/>
      </c>
      <c r="H114" s="31">
        <f>IF(OR(B114="",E114=""),"",IF(Einstellungen!$C$11="7 Tage",MAX(0,(MIN(IF(D114="",DATE(Einstellungen!$C$3,12,31),D114),Einstellungen!$C$9))-(MAX(C114,DATE(Einstellungen!$C$3,1,1)))+1),MAX(0,NETWORKDAYS(MAX(C114,DATE(Einstellungen!$C$3,1,1)),MIN(IF(D114="",DATE(Einstellungen!$C$3,12,31),D114),Einstellungen!$C$9),Einstellungen!$F$13:$F$67)))*F114)</f>
        <v/>
      </c>
    </row>
    <row r="115">
      <c r="A115" s="26" t="n"/>
      <c r="B115" s="23" t="n"/>
      <c r="C115" s="27" t="n"/>
      <c r="D115" s="27" t="n"/>
      <c r="E115" s="28" t="n"/>
      <c r="F115" s="29">
        <f>IF(E115="","",E115/5)</f>
        <v/>
      </c>
      <c r="G115" s="30">
        <f>IF(B115="","",IF(C115&gt;Einstellungen!$C$9,"künftig",IF(AND(D115&lt;&gt;"",D115&lt;Einstellungen!$C$9),"ausgeschieden","aktiv")))</f>
        <v/>
      </c>
      <c r="H115" s="31">
        <f>IF(OR(B115="",E115=""),"",IF(Einstellungen!$C$11="7 Tage",MAX(0,(MIN(IF(D115="",DATE(Einstellungen!$C$3,12,31),D115),Einstellungen!$C$9))-(MAX(C115,DATE(Einstellungen!$C$3,1,1)))+1),MAX(0,NETWORKDAYS(MAX(C115,DATE(Einstellungen!$C$3,1,1)),MIN(IF(D115="",DATE(Einstellungen!$C$3,12,31),D115),Einstellungen!$C$9),Einstellungen!$F$13:$F$67)))*F115)</f>
        <v/>
      </c>
    </row>
    <row r="116">
      <c r="A116" s="26" t="n"/>
      <c r="B116" s="23" t="n"/>
      <c r="C116" s="27" t="n"/>
      <c r="D116" s="27" t="n"/>
      <c r="E116" s="28" t="n"/>
      <c r="F116" s="29">
        <f>IF(E116="","",E116/5)</f>
        <v/>
      </c>
      <c r="G116" s="30">
        <f>IF(B116="","",IF(C116&gt;Einstellungen!$C$9,"künftig",IF(AND(D116&lt;&gt;"",D116&lt;Einstellungen!$C$9),"ausgeschieden","aktiv")))</f>
        <v/>
      </c>
      <c r="H116" s="31">
        <f>IF(OR(B116="",E116=""),"",IF(Einstellungen!$C$11="7 Tage",MAX(0,(MIN(IF(D116="",DATE(Einstellungen!$C$3,12,31),D116),Einstellungen!$C$9))-(MAX(C116,DATE(Einstellungen!$C$3,1,1)))+1),MAX(0,NETWORKDAYS(MAX(C116,DATE(Einstellungen!$C$3,1,1)),MIN(IF(D116="",DATE(Einstellungen!$C$3,12,31),D116),Einstellungen!$C$9),Einstellungen!$F$13:$F$67)))*F116)</f>
        <v/>
      </c>
    </row>
    <row r="117">
      <c r="A117" s="26" t="n"/>
      <c r="B117" s="23" t="n"/>
      <c r="C117" s="27" t="n"/>
      <c r="D117" s="27" t="n"/>
      <c r="E117" s="28" t="n"/>
      <c r="F117" s="29">
        <f>IF(E117="","",E117/5)</f>
        <v/>
      </c>
      <c r="G117" s="30">
        <f>IF(B117="","",IF(C117&gt;Einstellungen!$C$9,"künftig",IF(AND(D117&lt;&gt;"",D117&lt;Einstellungen!$C$9),"ausgeschieden","aktiv")))</f>
        <v/>
      </c>
      <c r="H117" s="31">
        <f>IF(OR(B117="",E117=""),"",IF(Einstellungen!$C$11="7 Tage",MAX(0,(MIN(IF(D117="",DATE(Einstellungen!$C$3,12,31),D117),Einstellungen!$C$9))-(MAX(C117,DATE(Einstellungen!$C$3,1,1)))+1),MAX(0,NETWORKDAYS(MAX(C117,DATE(Einstellungen!$C$3,1,1)),MIN(IF(D117="",DATE(Einstellungen!$C$3,12,31),D117),Einstellungen!$C$9),Einstellungen!$F$13:$F$67)))*F117)</f>
        <v/>
      </c>
    </row>
    <row r="118">
      <c r="A118" s="26" t="n"/>
      <c r="B118" s="23" t="n"/>
      <c r="C118" s="27" t="n"/>
      <c r="D118" s="27" t="n"/>
      <c r="E118" s="28" t="n"/>
      <c r="F118" s="29">
        <f>IF(E118="","",E118/5)</f>
        <v/>
      </c>
      <c r="G118" s="30">
        <f>IF(B118="","",IF(C118&gt;Einstellungen!$C$9,"künftig",IF(AND(D118&lt;&gt;"",D118&lt;Einstellungen!$C$9),"ausgeschieden","aktiv")))</f>
        <v/>
      </c>
      <c r="H118" s="31">
        <f>IF(OR(B118="",E118=""),"",IF(Einstellungen!$C$11="7 Tage",MAX(0,(MIN(IF(D118="",DATE(Einstellungen!$C$3,12,31),D118),Einstellungen!$C$9))-(MAX(C118,DATE(Einstellungen!$C$3,1,1)))+1),MAX(0,NETWORKDAYS(MAX(C118,DATE(Einstellungen!$C$3,1,1)),MIN(IF(D118="",DATE(Einstellungen!$C$3,12,31),D118),Einstellungen!$C$9),Einstellungen!$F$13:$F$67)))*F118)</f>
        <v/>
      </c>
    </row>
    <row r="119">
      <c r="A119" s="26" t="n"/>
      <c r="B119" s="23" t="n"/>
      <c r="C119" s="27" t="n"/>
      <c r="D119" s="27" t="n"/>
      <c r="E119" s="28" t="n"/>
      <c r="F119" s="29">
        <f>IF(E119="","",E119/5)</f>
        <v/>
      </c>
      <c r="G119" s="30">
        <f>IF(B119="","",IF(C119&gt;Einstellungen!$C$9,"künftig",IF(AND(D119&lt;&gt;"",D119&lt;Einstellungen!$C$9),"ausgeschieden","aktiv")))</f>
        <v/>
      </c>
      <c r="H119" s="31">
        <f>IF(OR(B119="",E119=""),"",IF(Einstellungen!$C$11="7 Tage",MAX(0,(MIN(IF(D119="",DATE(Einstellungen!$C$3,12,31),D119),Einstellungen!$C$9))-(MAX(C119,DATE(Einstellungen!$C$3,1,1)))+1),MAX(0,NETWORKDAYS(MAX(C119,DATE(Einstellungen!$C$3,1,1)),MIN(IF(D119="",DATE(Einstellungen!$C$3,12,31),D119),Einstellungen!$C$9),Einstellungen!$F$13:$F$67)))*F119)</f>
        <v/>
      </c>
    </row>
    <row r="120">
      <c r="A120" s="26" t="n"/>
      <c r="B120" s="23" t="n"/>
      <c r="C120" s="27" t="n"/>
      <c r="D120" s="27" t="n"/>
      <c r="E120" s="28" t="n"/>
      <c r="F120" s="29">
        <f>IF(E120="","",E120/5)</f>
        <v/>
      </c>
      <c r="G120" s="30">
        <f>IF(B120="","",IF(C120&gt;Einstellungen!$C$9,"künftig",IF(AND(D120&lt;&gt;"",D120&lt;Einstellungen!$C$9),"ausgeschieden","aktiv")))</f>
        <v/>
      </c>
      <c r="H120" s="31">
        <f>IF(OR(B120="",E120=""),"",IF(Einstellungen!$C$11="7 Tage",MAX(0,(MIN(IF(D120="",DATE(Einstellungen!$C$3,12,31),D120),Einstellungen!$C$9))-(MAX(C120,DATE(Einstellungen!$C$3,1,1)))+1),MAX(0,NETWORKDAYS(MAX(C120,DATE(Einstellungen!$C$3,1,1)),MIN(IF(D120="",DATE(Einstellungen!$C$3,12,31),D120),Einstellungen!$C$9),Einstellungen!$F$13:$F$67)))*F120)</f>
        <v/>
      </c>
    </row>
    <row r="121">
      <c r="A121" s="26" t="n"/>
      <c r="B121" s="23" t="n"/>
      <c r="C121" s="27" t="n"/>
      <c r="D121" s="27" t="n"/>
      <c r="E121" s="28" t="n"/>
      <c r="F121" s="29">
        <f>IF(E121="","",E121/5)</f>
        <v/>
      </c>
      <c r="G121" s="30">
        <f>IF(B121="","",IF(C121&gt;Einstellungen!$C$9,"künftig",IF(AND(D121&lt;&gt;"",D121&lt;Einstellungen!$C$9),"ausgeschieden","aktiv")))</f>
        <v/>
      </c>
      <c r="H121" s="31">
        <f>IF(OR(B121="",E121=""),"",IF(Einstellungen!$C$11="7 Tage",MAX(0,(MIN(IF(D121="",DATE(Einstellungen!$C$3,12,31),D121),Einstellungen!$C$9))-(MAX(C121,DATE(Einstellungen!$C$3,1,1)))+1),MAX(0,NETWORKDAYS(MAX(C121,DATE(Einstellungen!$C$3,1,1)),MIN(IF(D121="",DATE(Einstellungen!$C$3,12,31),D121),Einstellungen!$C$9),Einstellungen!$F$13:$F$67)))*F121)</f>
        <v/>
      </c>
    </row>
    <row r="122">
      <c r="A122" s="26" t="n"/>
      <c r="B122" s="23" t="n"/>
      <c r="C122" s="27" t="n"/>
      <c r="D122" s="27" t="n"/>
      <c r="E122" s="28" t="n"/>
      <c r="F122" s="29">
        <f>IF(E122="","",E122/5)</f>
        <v/>
      </c>
      <c r="G122" s="30">
        <f>IF(B122="","",IF(C122&gt;Einstellungen!$C$9,"künftig",IF(AND(D122&lt;&gt;"",D122&lt;Einstellungen!$C$9),"ausgeschieden","aktiv")))</f>
        <v/>
      </c>
      <c r="H122" s="31">
        <f>IF(OR(B122="",E122=""),"",IF(Einstellungen!$C$11="7 Tage",MAX(0,(MIN(IF(D122="",DATE(Einstellungen!$C$3,12,31),D122),Einstellungen!$C$9))-(MAX(C122,DATE(Einstellungen!$C$3,1,1)))+1),MAX(0,NETWORKDAYS(MAX(C122,DATE(Einstellungen!$C$3,1,1)),MIN(IF(D122="",DATE(Einstellungen!$C$3,12,31),D122),Einstellungen!$C$9),Einstellungen!$F$13:$F$67)))*F122)</f>
        <v/>
      </c>
    </row>
    <row r="123">
      <c r="A123" s="26" t="n"/>
      <c r="B123" s="23" t="n"/>
      <c r="C123" s="27" t="n"/>
      <c r="D123" s="27" t="n"/>
      <c r="E123" s="28" t="n"/>
      <c r="F123" s="29">
        <f>IF(E123="","",E123/5)</f>
        <v/>
      </c>
      <c r="G123" s="30">
        <f>IF(B123="","",IF(C123&gt;Einstellungen!$C$9,"künftig",IF(AND(D123&lt;&gt;"",D123&lt;Einstellungen!$C$9),"ausgeschieden","aktiv")))</f>
        <v/>
      </c>
      <c r="H123" s="31">
        <f>IF(OR(B123="",E123=""),"",IF(Einstellungen!$C$11="7 Tage",MAX(0,(MIN(IF(D123="",DATE(Einstellungen!$C$3,12,31),D123),Einstellungen!$C$9))-(MAX(C123,DATE(Einstellungen!$C$3,1,1)))+1),MAX(0,NETWORKDAYS(MAX(C123,DATE(Einstellungen!$C$3,1,1)),MIN(IF(D123="",DATE(Einstellungen!$C$3,12,31),D123),Einstellungen!$C$9),Einstellungen!$F$13:$F$67)))*F123)</f>
        <v/>
      </c>
    </row>
    <row r="124">
      <c r="A124" s="26" t="n"/>
      <c r="B124" s="23" t="n"/>
      <c r="C124" s="27" t="n"/>
      <c r="D124" s="27" t="n"/>
      <c r="E124" s="28" t="n"/>
      <c r="F124" s="29">
        <f>IF(E124="","",E124/5)</f>
        <v/>
      </c>
      <c r="G124" s="30">
        <f>IF(B124="","",IF(C124&gt;Einstellungen!$C$9,"künftig",IF(AND(D124&lt;&gt;"",D124&lt;Einstellungen!$C$9),"ausgeschieden","aktiv")))</f>
        <v/>
      </c>
      <c r="H124" s="31">
        <f>IF(OR(B124="",E124=""),"",IF(Einstellungen!$C$11="7 Tage",MAX(0,(MIN(IF(D124="",DATE(Einstellungen!$C$3,12,31),D124),Einstellungen!$C$9))-(MAX(C124,DATE(Einstellungen!$C$3,1,1)))+1),MAX(0,NETWORKDAYS(MAX(C124,DATE(Einstellungen!$C$3,1,1)),MIN(IF(D124="",DATE(Einstellungen!$C$3,12,31),D124),Einstellungen!$C$9),Einstellungen!$F$13:$F$67)))*F124)</f>
        <v/>
      </c>
    </row>
    <row r="125">
      <c r="A125" s="26" t="n"/>
      <c r="B125" s="23" t="n"/>
      <c r="C125" s="27" t="n"/>
      <c r="D125" s="27" t="n"/>
      <c r="E125" s="28" t="n"/>
      <c r="F125" s="29">
        <f>IF(E125="","",E125/5)</f>
        <v/>
      </c>
      <c r="G125" s="30">
        <f>IF(B125="","",IF(C125&gt;Einstellungen!$C$9,"künftig",IF(AND(D125&lt;&gt;"",D125&lt;Einstellungen!$C$9),"ausgeschieden","aktiv")))</f>
        <v/>
      </c>
      <c r="H125" s="31">
        <f>IF(OR(B125="",E125=""),"",IF(Einstellungen!$C$11="7 Tage",MAX(0,(MIN(IF(D125="",DATE(Einstellungen!$C$3,12,31),D125),Einstellungen!$C$9))-(MAX(C125,DATE(Einstellungen!$C$3,1,1)))+1),MAX(0,NETWORKDAYS(MAX(C125,DATE(Einstellungen!$C$3,1,1)),MIN(IF(D125="",DATE(Einstellungen!$C$3,12,31),D125),Einstellungen!$C$9),Einstellungen!$F$13:$F$67)))*F125)</f>
        <v/>
      </c>
    </row>
    <row r="126">
      <c r="A126" s="26" t="n"/>
      <c r="B126" s="23" t="n"/>
      <c r="C126" s="27" t="n"/>
      <c r="D126" s="27" t="n"/>
      <c r="E126" s="28" t="n"/>
      <c r="F126" s="29">
        <f>IF(E126="","",E126/5)</f>
        <v/>
      </c>
      <c r="G126" s="30">
        <f>IF(B126="","",IF(C126&gt;Einstellungen!$C$9,"künftig",IF(AND(D126&lt;&gt;"",D126&lt;Einstellungen!$C$9),"ausgeschieden","aktiv")))</f>
        <v/>
      </c>
      <c r="H126" s="31">
        <f>IF(OR(B126="",E126=""),"",IF(Einstellungen!$C$11="7 Tage",MAX(0,(MIN(IF(D126="",DATE(Einstellungen!$C$3,12,31),D126),Einstellungen!$C$9))-(MAX(C126,DATE(Einstellungen!$C$3,1,1)))+1),MAX(0,NETWORKDAYS(MAX(C126,DATE(Einstellungen!$C$3,1,1)),MIN(IF(D126="",DATE(Einstellungen!$C$3,12,31),D126),Einstellungen!$C$9),Einstellungen!$F$13:$F$67)))*F126)</f>
        <v/>
      </c>
    </row>
    <row r="127">
      <c r="A127" s="26" t="n"/>
      <c r="B127" s="23" t="n"/>
      <c r="C127" s="27" t="n"/>
      <c r="D127" s="27" t="n"/>
      <c r="E127" s="28" t="n"/>
      <c r="F127" s="29">
        <f>IF(E127="","",E127/5)</f>
        <v/>
      </c>
      <c r="G127" s="30">
        <f>IF(B127="","",IF(C127&gt;Einstellungen!$C$9,"künftig",IF(AND(D127&lt;&gt;"",D127&lt;Einstellungen!$C$9),"ausgeschieden","aktiv")))</f>
        <v/>
      </c>
      <c r="H127" s="31">
        <f>IF(OR(B127="",E127=""),"",IF(Einstellungen!$C$11="7 Tage",MAX(0,(MIN(IF(D127="",DATE(Einstellungen!$C$3,12,31),D127),Einstellungen!$C$9))-(MAX(C127,DATE(Einstellungen!$C$3,1,1)))+1),MAX(0,NETWORKDAYS(MAX(C127,DATE(Einstellungen!$C$3,1,1)),MIN(IF(D127="",DATE(Einstellungen!$C$3,12,31),D127),Einstellungen!$C$9),Einstellungen!$F$13:$F$67)))*F127)</f>
        <v/>
      </c>
    </row>
    <row r="128">
      <c r="A128" s="26" t="n"/>
      <c r="B128" s="23" t="n"/>
      <c r="C128" s="27" t="n"/>
      <c r="D128" s="27" t="n"/>
      <c r="E128" s="28" t="n"/>
      <c r="F128" s="29">
        <f>IF(E128="","",E128/5)</f>
        <v/>
      </c>
      <c r="G128" s="30">
        <f>IF(B128="","",IF(C128&gt;Einstellungen!$C$9,"künftig",IF(AND(D128&lt;&gt;"",D128&lt;Einstellungen!$C$9),"ausgeschieden","aktiv")))</f>
        <v/>
      </c>
      <c r="H128" s="31">
        <f>IF(OR(B128="",E128=""),"",IF(Einstellungen!$C$11="7 Tage",MAX(0,(MIN(IF(D128="",DATE(Einstellungen!$C$3,12,31),D128),Einstellungen!$C$9))-(MAX(C128,DATE(Einstellungen!$C$3,1,1)))+1),MAX(0,NETWORKDAYS(MAX(C128,DATE(Einstellungen!$C$3,1,1)),MIN(IF(D128="",DATE(Einstellungen!$C$3,12,31),D128),Einstellungen!$C$9),Einstellungen!$F$13:$F$67)))*F128)</f>
        <v/>
      </c>
    </row>
    <row r="129">
      <c r="A129" s="26" t="n"/>
      <c r="B129" s="23" t="n"/>
      <c r="C129" s="27" t="n"/>
      <c r="D129" s="27" t="n"/>
      <c r="E129" s="28" t="n"/>
      <c r="F129" s="29">
        <f>IF(E129="","",E129/5)</f>
        <v/>
      </c>
      <c r="G129" s="30">
        <f>IF(B129="","",IF(C129&gt;Einstellungen!$C$9,"künftig",IF(AND(D129&lt;&gt;"",D129&lt;Einstellungen!$C$9),"ausgeschieden","aktiv")))</f>
        <v/>
      </c>
      <c r="H129" s="31">
        <f>IF(OR(B129="",E129=""),"",IF(Einstellungen!$C$11="7 Tage",MAX(0,(MIN(IF(D129="",DATE(Einstellungen!$C$3,12,31),D129),Einstellungen!$C$9))-(MAX(C129,DATE(Einstellungen!$C$3,1,1)))+1),MAX(0,NETWORKDAYS(MAX(C129,DATE(Einstellungen!$C$3,1,1)),MIN(IF(D129="",DATE(Einstellungen!$C$3,12,31),D129),Einstellungen!$C$9),Einstellungen!$F$13:$F$67)))*F129)</f>
        <v/>
      </c>
    </row>
    <row r="130">
      <c r="A130" s="26" t="n"/>
      <c r="B130" s="23" t="n"/>
      <c r="C130" s="27" t="n"/>
      <c r="D130" s="27" t="n"/>
      <c r="E130" s="28" t="n"/>
      <c r="F130" s="29">
        <f>IF(E130="","",E130/5)</f>
        <v/>
      </c>
      <c r="G130" s="30">
        <f>IF(B130="","",IF(C130&gt;Einstellungen!$C$9,"künftig",IF(AND(D130&lt;&gt;"",D130&lt;Einstellungen!$C$9),"ausgeschieden","aktiv")))</f>
        <v/>
      </c>
      <c r="H130" s="31">
        <f>IF(OR(B130="",E130=""),"",IF(Einstellungen!$C$11="7 Tage",MAX(0,(MIN(IF(D130="",DATE(Einstellungen!$C$3,12,31),D130),Einstellungen!$C$9))-(MAX(C130,DATE(Einstellungen!$C$3,1,1)))+1),MAX(0,NETWORKDAYS(MAX(C130,DATE(Einstellungen!$C$3,1,1)),MIN(IF(D130="",DATE(Einstellungen!$C$3,12,31),D130),Einstellungen!$C$9),Einstellungen!$F$13:$F$67)))*F130)</f>
        <v/>
      </c>
    </row>
    <row r="131">
      <c r="A131" s="26" t="n"/>
      <c r="B131" s="23" t="n"/>
      <c r="C131" s="27" t="n"/>
      <c r="D131" s="27" t="n"/>
      <c r="E131" s="28" t="n"/>
      <c r="F131" s="29">
        <f>IF(E131="","",E131/5)</f>
        <v/>
      </c>
      <c r="G131" s="30">
        <f>IF(B131="","",IF(C131&gt;Einstellungen!$C$9,"künftig",IF(AND(D131&lt;&gt;"",D131&lt;Einstellungen!$C$9),"ausgeschieden","aktiv")))</f>
        <v/>
      </c>
      <c r="H131" s="31">
        <f>IF(OR(B131="",E131=""),"",IF(Einstellungen!$C$11="7 Tage",MAX(0,(MIN(IF(D131="",DATE(Einstellungen!$C$3,12,31),D131),Einstellungen!$C$9))-(MAX(C131,DATE(Einstellungen!$C$3,1,1)))+1),MAX(0,NETWORKDAYS(MAX(C131,DATE(Einstellungen!$C$3,1,1)),MIN(IF(D131="",DATE(Einstellungen!$C$3,12,31),D131),Einstellungen!$C$9),Einstellungen!$F$13:$F$67)))*F131)</f>
        <v/>
      </c>
    </row>
    <row r="132">
      <c r="A132" s="26" t="n"/>
      <c r="B132" s="23" t="n"/>
      <c r="C132" s="27" t="n"/>
      <c r="D132" s="27" t="n"/>
      <c r="E132" s="28" t="n"/>
      <c r="F132" s="29">
        <f>IF(E132="","",E132/5)</f>
        <v/>
      </c>
      <c r="G132" s="30">
        <f>IF(B132="","",IF(C132&gt;Einstellungen!$C$9,"künftig",IF(AND(D132&lt;&gt;"",D132&lt;Einstellungen!$C$9),"ausgeschieden","aktiv")))</f>
        <v/>
      </c>
      <c r="H132" s="31">
        <f>IF(OR(B132="",E132=""),"",IF(Einstellungen!$C$11="7 Tage",MAX(0,(MIN(IF(D132="",DATE(Einstellungen!$C$3,12,31),D132),Einstellungen!$C$9))-(MAX(C132,DATE(Einstellungen!$C$3,1,1)))+1),MAX(0,NETWORKDAYS(MAX(C132,DATE(Einstellungen!$C$3,1,1)),MIN(IF(D132="",DATE(Einstellungen!$C$3,12,31),D132),Einstellungen!$C$9),Einstellungen!$F$13:$F$67)))*F132)</f>
        <v/>
      </c>
    </row>
    <row r="133">
      <c r="A133" s="26" t="n"/>
      <c r="B133" s="23" t="n"/>
      <c r="C133" s="27" t="n"/>
      <c r="D133" s="27" t="n"/>
      <c r="E133" s="28" t="n"/>
      <c r="F133" s="29">
        <f>IF(E133="","",E133/5)</f>
        <v/>
      </c>
      <c r="G133" s="30">
        <f>IF(B133="","",IF(C133&gt;Einstellungen!$C$9,"künftig",IF(AND(D133&lt;&gt;"",D133&lt;Einstellungen!$C$9),"ausgeschieden","aktiv")))</f>
        <v/>
      </c>
      <c r="H133" s="31">
        <f>IF(OR(B133="",E133=""),"",IF(Einstellungen!$C$11="7 Tage",MAX(0,(MIN(IF(D133="",DATE(Einstellungen!$C$3,12,31),D133),Einstellungen!$C$9))-(MAX(C133,DATE(Einstellungen!$C$3,1,1)))+1),MAX(0,NETWORKDAYS(MAX(C133,DATE(Einstellungen!$C$3,1,1)),MIN(IF(D133="",DATE(Einstellungen!$C$3,12,31),D133),Einstellungen!$C$9),Einstellungen!$F$13:$F$67)))*F133)</f>
        <v/>
      </c>
    </row>
    <row r="134">
      <c r="A134" s="26" t="n"/>
      <c r="B134" s="23" t="n"/>
      <c r="C134" s="27" t="n"/>
      <c r="D134" s="27" t="n"/>
      <c r="E134" s="28" t="n"/>
      <c r="F134" s="29">
        <f>IF(E134="","",E134/5)</f>
        <v/>
      </c>
      <c r="G134" s="30">
        <f>IF(B134="","",IF(C134&gt;Einstellungen!$C$9,"künftig",IF(AND(D134&lt;&gt;"",D134&lt;Einstellungen!$C$9),"ausgeschieden","aktiv")))</f>
        <v/>
      </c>
      <c r="H134" s="31">
        <f>IF(OR(B134="",E134=""),"",IF(Einstellungen!$C$11="7 Tage",MAX(0,(MIN(IF(D134="",DATE(Einstellungen!$C$3,12,31),D134),Einstellungen!$C$9))-(MAX(C134,DATE(Einstellungen!$C$3,1,1)))+1),MAX(0,NETWORKDAYS(MAX(C134,DATE(Einstellungen!$C$3,1,1)),MIN(IF(D134="",DATE(Einstellungen!$C$3,12,31),D134),Einstellungen!$C$9),Einstellungen!$F$13:$F$67)))*F134)</f>
        <v/>
      </c>
    </row>
    <row r="135">
      <c r="A135" s="26" t="n"/>
      <c r="B135" s="23" t="n"/>
      <c r="C135" s="27" t="n"/>
      <c r="D135" s="27" t="n"/>
      <c r="E135" s="28" t="n"/>
      <c r="F135" s="29">
        <f>IF(E135="","",E135/5)</f>
        <v/>
      </c>
      <c r="G135" s="30">
        <f>IF(B135="","",IF(C135&gt;Einstellungen!$C$9,"künftig",IF(AND(D135&lt;&gt;"",D135&lt;Einstellungen!$C$9),"ausgeschieden","aktiv")))</f>
        <v/>
      </c>
      <c r="H135" s="31">
        <f>IF(OR(B135="",E135=""),"",IF(Einstellungen!$C$11="7 Tage",MAX(0,(MIN(IF(D135="",DATE(Einstellungen!$C$3,12,31),D135),Einstellungen!$C$9))-(MAX(C135,DATE(Einstellungen!$C$3,1,1)))+1),MAX(0,NETWORKDAYS(MAX(C135,DATE(Einstellungen!$C$3,1,1)),MIN(IF(D135="",DATE(Einstellungen!$C$3,12,31),D135),Einstellungen!$C$9),Einstellungen!$F$13:$F$67)))*F135)</f>
        <v/>
      </c>
    </row>
    <row r="136">
      <c r="A136" s="26" t="n"/>
      <c r="B136" s="23" t="n"/>
      <c r="C136" s="27" t="n"/>
      <c r="D136" s="27" t="n"/>
      <c r="E136" s="28" t="n"/>
      <c r="F136" s="29">
        <f>IF(E136="","",E136/5)</f>
        <v/>
      </c>
      <c r="G136" s="30">
        <f>IF(B136="","",IF(C136&gt;Einstellungen!$C$9,"künftig",IF(AND(D136&lt;&gt;"",D136&lt;Einstellungen!$C$9),"ausgeschieden","aktiv")))</f>
        <v/>
      </c>
      <c r="H136" s="31">
        <f>IF(OR(B136="",E136=""),"",IF(Einstellungen!$C$11="7 Tage",MAX(0,(MIN(IF(D136="",DATE(Einstellungen!$C$3,12,31),D136),Einstellungen!$C$9))-(MAX(C136,DATE(Einstellungen!$C$3,1,1)))+1),MAX(0,NETWORKDAYS(MAX(C136,DATE(Einstellungen!$C$3,1,1)),MIN(IF(D136="",DATE(Einstellungen!$C$3,12,31),D136),Einstellungen!$C$9),Einstellungen!$F$13:$F$67)))*F136)</f>
        <v/>
      </c>
    </row>
    <row r="137">
      <c r="A137" s="26" t="n"/>
      <c r="B137" s="23" t="n"/>
      <c r="C137" s="27" t="n"/>
      <c r="D137" s="27" t="n"/>
      <c r="E137" s="28" t="n"/>
      <c r="F137" s="29">
        <f>IF(E137="","",E137/5)</f>
        <v/>
      </c>
      <c r="G137" s="30">
        <f>IF(B137="","",IF(C137&gt;Einstellungen!$C$9,"künftig",IF(AND(D137&lt;&gt;"",D137&lt;Einstellungen!$C$9),"ausgeschieden","aktiv")))</f>
        <v/>
      </c>
      <c r="H137" s="31">
        <f>IF(OR(B137="",E137=""),"",IF(Einstellungen!$C$11="7 Tage",MAX(0,(MIN(IF(D137="",DATE(Einstellungen!$C$3,12,31),D137),Einstellungen!$C$9))-(MAX(C137,DATE(Einstellungen!$C$3,1,1)))+1),MAX(0,NETWORKDAYS(MAX(C137,DATE(Einstellungen!$C$3,1,1)),MIN(IF(D137="",DATE(Einstellungen!$C$3,12,31),D137),Einstellungen!$C$9),Einstellungen!$F$13:$F$67)))*F137)</f>
        <v/>
      </c>
    </row>
    <row r="138">
      <c r="A138" s="26" t="n"/>
      <c r="B138" s="23" t="n"/>
      <c r="C138" s="27" t="n"/>
      <c r="D138" s="27" t="n"/>
      <c r="E138" s="28" t="n"/>
      <c r="F138" s="29">
        <f>IF(E138="","",E138/5)</f>
        <v/>
      </c>
      <c r="G138" s="30">
        <f>IF(B138="","",IF(C138&gt;Einstellungen!$C$9,"künftig",IF(AND(D138&lt;&gt;"",D138&lt;Einstellungen!$C$9),"ausgeschieden","aktiv")))</f>
        <v/>
      </c>
      <c r="H138" s="31">
        <f>IF(OR(B138="",E138=""),"",IF(Einstellungen!$C$11="7 Tage",MAX(0,(MIN(IF(D138="",DATE(Einstellungen!$C$3,12,31),D138),Einstellungen!$C$9))-(MAX(C138,DATE(Einstellungen!$C$3,1,1)))+1),MAX(0,NETWORKDAYS(MAX(C138,DATE(Einstellungen!$C$3,1,1)),MIN(IF(D138="",DATE(Einstellungen!$C$3,12,31),D138),Einstellungen!$C$9),Einstellungen!$F$13:$F$67)))*F138)</f>
        <v/>
      </c>
    </row>
    <row r="139">
      <c r="A139" s="26" t="n"/>
      <c r="B139" s="23" t="n"/>
      <c r="C139" s="27" t="n"/>
      <c r="D139" s="27" t="n"/>
      <c r="E139" s="28" t="n"/>
      <c r="F139" s="29">
        <f>IF(E139="","",E139/5)</f>
        <v/>
      </c>
      <c r="G139" s="30">
        <f>IF(B139="","",IF(C139&gt;Einstellungen!$C$9,"künftig",IF(AND(D139&lt;&gt;"",D139&lt;Einstellungen!$C$9),"ausgeschieden","aktiv")))</f>
        <v/>
      </c>
      <c r="H139" s="31">
        <f>IF(OR(B139="",E139=""),"",IF(Einstellungen!$C$11="7 Tage",MAX(0,(MIN(IF(D139="",DATE(Einstellungen!$C$3,12,31),D139),Einstellungen!$C$9))-(MAX(C139,DATE(Einstellungen!$C$3,1,1)))+1),MAX(0,NETWORKDAYS(MAX(C139,DATE(Einstellungen!$C$3,1,1)),MIN(IF(D139="",DATE(Einstellungen!$C$3,12,31),D139),Einstellungen!$C$9),Einstellungen!$F$13:$F$67)))*F139)</f>
        <v/>
      </c>
    </row>
    <row r="140">
      <c r="A140" s="26" t="n"/>
      <c r="B140" s="23" t="n"/>
      <c r="C140" s="27" t="n"/>
      <c r="D140" s="27" t="n"/>
      <c r="E140" s="28" t="n"/>
      <c r="F140" s="29">
        <f>IF(E140="","",E140/5)</f>
        <v/>
      </c>
      <c r="G140" s="30">
        <f>IF(B140="","",IF(C140&gt;Einstellungen!$C$9,"künftig",IF(AND(D140&lt;&gt;"",D140&lt;Einstellungen!$C$9),"ausgeschieden","aktiv")))</f>
        <v/>
      </c>
      <c r="H140" s="31">
        <f>IF(OR(B140="",E140=""),"",IF(Einstellungen!$C$11="7 Tage",MAX(0,(MIN(IF(D140="",DATE(Einstellungen!$C$3,12,31),D140),Einstellungen!$C$9))-(MAX(C140,DATE(Einstellungen!$C$3,1,1)))+1),MAX(0,NETWORKDAYS(MAX(C140,DATE(Einstellungen!$C$3,1,1)),MIN(IF(D140="",DATE(Einstellungen!$C$3,12,31),D140),Einstellungen!$C$9),Einstellungen!$F$13:$F$67)))*F140)</f>
        <v/>
      </c>
    </row>
    <row r="141">
      <c r="A141" s="26" t="n"/>
      <c r="B141" s="23" t="n"/>
      <c r="C141" s="27" t="n"/>
      <c r="D141" s="27" t="n"/>
      <c r="E141" s="28" t="n"/>
      <c r="F141" s="29">
        <f>IF(E141="","",E141/5)</f>
        <v/>
      </c>
      <c r="G141" s="30">
        <f>IF(B141="","",IF(C141&gt;Einstellungen!$C$9,"künftig",IF(AND(D141&lt;&gt;"",D141&lt;Einstellungen!$C$9),"ausgeschieden","aktiv")))</f>
        <v/>
      </c>
      <c r="H141" s="31">
        <f>IF(OR(B141="",E141=""),"",IF(Einstellungen!$C$11="7 Tage",MAX(0,(MIN(IF(D141="",DATE(Einstellungen!$C$3,12,31),D141),Einstellungen!$C$9))-(MAX(C141,DATE(Einstellungen!$C$3,1,1)))+1),MAX(0,NETWORKDAYS(MAX(C141,DATE(Einstellungen!$C$3,1,1)),MIN(IF(D141="",DATE(Einstellungen!$C$3,12,31),D141),Einstellungen!$C$9),Einstellungen!$F$13:$F$67)))*F141)</f>
        <v/>
      </c>
    </row>
    <row r="142">
      <c r="A142" s="26" t="n"/>
      <c r="B142" s="23" t="n"/>
      <c r="C142" s="27" t="n"/>
      <c r="D142" s="27" t="n"/>
      <c r="E142" s="28" t="n"/>
      <c r="F142" s="29">
        <f>IF(E142="","",E142/5)</f>
        <v/>
      </c>
      <c r="G142" s="30">
        <f>IF(B142="","",IF(C142&gt;Einstellungen!$C$9,"künftig",IF(AND(D142&lt;&gt;"",D142&lt;Einstellungen!$C$9),"ausgeschieden","aktiv")))</f>
        <v/>
      </c>
      <c r="H142" s="31">
        <f>IF(OR(B142="",E142=""),"",IF(Einstellungen!$C$11="7 Tage",MAX(0,(MIN(IF(D142="",DATE(Einstellungen!$C$3,12,31),D142),Einstellungen!$C$9))-(MAX(C142,DATE(Einstellungen!$C$3,1,1)))+1),MAX(0,NETWORKDAYS(MAX(C142,DATE(Einstellungen!$C$3,1,1)),MIN(IF(D142="",DATE(Einstellungen!$C$3,12,31),D142),Einstellungen!$C$9),Einstellungen!$F$13:$F$67)))*F142)</f>
        <v/>
      </c>
    </row>
    <row r="143">
      <c r="A143" s="26" t="n"/>
      <c r="B143" s="23" t="n"/>
      <c r="C143" s="27" t="n"/>
      <c r="D143" s="27" t="n"/>
      <c r="E143" s="28" t="n"/>
      <c r="F143" s="29">
        <f>IF(E143="","",E143/5)</f>
        <v/>
      </c>
      <c r="G143" s="30">
        <f>IF(B143="","",IF(C143&gt;Einstellungen!$C$9,"künftig",IF(AND(D143&lt;&gt;"",D143&lt;Einstellungen!$C$9),"ausgeschieden","aktiv")))</f>
        <v/>
      </c>
      <c r="H143" s="31">
        <f>IF(OR(B143="",E143=""),"",IF(Einstellungen!$C$11="7 Tage",MAX(0,(MIN(IF(D143="",DATE(Einstellungen!$C$3,12,31),D143),Einstellungen!$C$9))-(MAX(C143,DATE(Einstellungen!$C$3,1,1)))+1),MAX(0,NETWORKDAYS(MAX(C143,DATE(Einstellungen!$C$3,1,1)),MIN(IF(D143="",DATE(Einstellungen!$C$3,12,31),D143),Einstellungen!$C$9),Einstellungen!$F$13:$F$67)))*F143)</f>
        <v/>
      </c>
    </row>
    <row r="144">
      <c r="A144" s="26" t="n"/>
      <c r="B144" s="23" t="n"/>
      <c r="C144" s="27" t="n"/>
      <c r="D144" s="27" t="n"/>
      <c r="E144" s="28" t="n"/>
      <c r="F144" s="29">
        <f>IF(E144="","",E144/5)</f>
        <v/>
      </c>
      <c r="G144" s="30">
        <f>IF(B144="","",IF(C144&gt;Einstellungen!$C$9,"künftig",IF(AND(D144&lt;&gt;"",D144&lt;Einstellungen!$C$9),"ausgeschieden","aktiv")))</f>
        <v/>
      </c>
      <c r="H144" s="31">
        <f>IF(OR(B144="",E144=""),"",IF(Einstellungen!$C$11="7 Tage",MAX(0,(MIN(IF(D144="",DATE(Einstellungen!$C$3,12,31),D144),Einstellungen!$C$9))-(MAX(C144,DATE(Einstellungen!$C$3,1,1)))+1),MAX(0,NETWORKDAYS(MAX(C144,DATE(Einstellungen!$C$3,1,1)),MIN(IF(D144="",DATE(Einstellungen!$C$3,12,31),D144),Einstellungen!$C$9),Einstellungen!$F$13:$F$67)))*F144)</f>
        <v/>
      </c>
    </row>
    <row r="145">
      <c r="A145" s="26" t="n"/>
      <c r="B145" s="23" t="n"/>
      <c r="C145" s="27" t="n"/>
      <c r="D145" s="27" t="n"/>
      <c r="E145" s="28" t="n"/>
      <c r="F145" s="29">
        <f>IF(E145="","",E145/5)</f>
        <v/>
      </c>
      <c r="G145" s="30">
        <f>IF(B145="","",IF(C145&gt;Einstellungen!$C$9,"künftig",IF(AND(D145&lt;&gt;"",D145&lt;Einstellungen!$C$9),"ausgeschieden","aktiv")))</f>
        <v/>
      </c>
      <c r="H145" s="31">
        <f>IF(OR(B145="",E145=""),"",IF(Einstellungen!$C$11="7 Tage",MAX(0,(MIN(IF(D145="",DATE(Einstellungen!$C$3,12,31),D145),Einstellungen!$C$9))-(MAX(C145,DATE(Einstellungen!$C$3,1,1)))+1),MAX(0,NETWORKDAYS(MAX(C145,DATE(Einstellungen!$C$3,1,1)),MIN(IF(D145="",DATE(Einstellungen!$C$3,12,31),D145),Einstellungen!$C$9),Einstellungen!$F$13:$F$67)))*F145)</f>
        <v/>
      </c>
    </row>
    <row r="146">
      <c r="A146" s="26" t="n"/>
      <c r="B146" s="23" t="n"/>
      <c r="C146" s="27" t="n"/>
      <c r="D146" s="27" t="n"/>
      <c r="E146" s="28" t="n"/>
      <c r="F146" s="29">
        <f>IF(E146="","",E146/5)</f>
        <v/>
      </c>
      <c r="G146" s="30">
        <f>IF(B146="","",IF(C146&gt;Einstellungen!$C$9,"künftig",IF(AND(D146&lt;&gt;"",D146&lt;Einstellungen!$C$9),"ausgeschieden","aktiv")))</f>
        <v/>
      </c>
      <c r="H146" s="31">
        <f>IF(OR(B146="",E146=""),"",IF(Einstellungen!$C$11="7 Tage",MAX(0,(MIN(IF(D146="",DATE(Einstellungen!$C$3,12,31),D146),Einstellungen!$C$9))-(MAX(C146,DATE(Einstellungen!$C$3,1,1)))+1),MAX(0,NETWORKDAYS(MAX(C146,DATE(Einstellungen!$C$3,1,1)),MIN(IF(D146="",DATE(Einstellungen!$C$3,12,31),D146),Einstellungen!$C$9),Einstellungen!$F$13:$F$67)))*F146)</f>
        <v/>
      </c>
    </row>
    <row r="147">
      <c r="A147" s="26" t="n"/>
      <c r="B147" s="23" t="n"/>
      <c r="C147" s="27" t="n"/>
      <c r="D147" s="27" t="n"/>
      <c r="E147" s="28" t="n"/>
      <c r="F147" s="29">
        <f>IF(E147="","",E147/5)</f>
        <v/>
      </c>
      <c r="G147" s="30">
        <f>IF(B147="","",IF(C147&gt;Einstellungen!$C$9,"künftig",IF(AND(D147&lt;&gt;"",D147&lt;Einstellungen!$C$9),"ausgeschieden","aktiv")))</f>
        <v/>
      </c>
      <c r="H147" s="31">
        <f>IF(OR(B147="",E147=""),"",IF(Einstellungen!$C$11="7 Tage",MAX(0,(MIN(IF(D147="",DATE(Einstellungen!$C$3,12,31),D147),Einstellungen!$C$9))-(MAX(C147,DATE(Einstellungen!$C$3,1,1)))+1),MAX(0,NETWORKDAYS(MAX(C147,DATE(Einstellungen!$C$3,1,1)),MIN(IF(D147="",DATE(Einstellungen!$C$3,12,31),D147),Einstellungen!$C$9),Einstellungen!$F$13:$F$67)))*F147)</f>
        <v/>
      </c>
    </row>
    <row r="148">
      <c r="A148" s="26" t="n"/>
      <c r="B148" s="23" t="n"/>
      <c r="C148" s="27" t="n"/>
      <c r="D148" s="27" t="n"/>
      <c r="E148" s="28" t="n"/>
      <c r="F148" s="29">
        <f>IF(E148="","",E148/5)</f>
        <v/>
      </c>
      <c r="G148" s="30">
        <f>IF(B148="","",IF(C148&gt;Einstellungen!$C$9,"künftig",IF(AND(D148&lt;&gt;"",D148&lt;Einstellungen!$C$9),"ausgeschieden","aktiv")))</f>
        <v/>
      </c>
      <c r="H148" s="31">
        <f>IF(OR(B148="",E148=""),"",IF(Einstellungen!$C$11="7 Tage",MAX(0,(MIN(IF(D148="",DATE(Einstellungen!$C$3,12,31),D148),Einstellungen!$C$9))-(MAX(C148,DATE(Einstellungen!$C$3,1,1)))+1),MAX(0,NETWORKDAYS(MAX(C148,DATE(Einstellungen!$C$3,1,1)),MIN(IF(D148="",DATE(Einstellungen!$C$3,12,31),D148),Einstellungen!$C$9),Einstellungen!$F$13:$F$67)))*F148)</f>
        <v/>
      </c>
    </row>
    <row r="149">
      <c r="A149" s="26" t="n"/>
      <c r="B149" s="23" t="n"/>
      <c r="C149" s="27" t="n"/>
      <c r="D149" s="27" t="n"/>
      <c r="E149" s="28" t="n"/>
      <c r="F149" s="29">
        <f>IF(E149="","",E149/5)</f>
        <v/>
      </c>
      <c r="G149" s="30">
        <f>IF(B149="","",IF(C149&gt;Einstellungen!$C$9,"künftig",IF(AND(D149&lt;&gt;"",D149&lt;Einstellungen!$C$9),"ausgeschieden","aktiv")))</f>
        <v/>
      </c>
      <c r="H149" s="31">
        <f>IF(OR(B149="",E149=""),"",IF(Einstellungen!$C$11="7 Tage",MAX(0,(MIN(IF(D149="",DATE(Einstellungen!$C$3,12,31),D149),Einstellungen!$C$9))-(MAX(C149,DATE(Einstellungen!$C$3,1,1)))+1),MAX(0,NETWORKDAYS(MAX(C149,DATE(Einstellungen!$C$3,1,1)),MIN(IF(D149="",DATE(Einstellungen!$C$3,12,31),D149),Einstellungen!$C$9),Einstellungen!$F$13:$F$67)))*F149)</f>
        <v/>
      </c>
    </row>
    <row r="150">
      <c r="A150" s="26" t="n"/>
      <c r="B150" s="23" t="n"/>
      <c r="C150" s="27" t="n"/>
      <c r="D150" s="27" t="n"/>
      <c r="E150" s="28" t="n"/>
      <c r="F150" s="29">
        <f>IF(E150="","",E150/5)</f>
        <v/>
      </c>
      <c r="G150" s="30">
        <f>IF(B150="","",IF(C150&gt;Einstellungen!$C$9,"künftig",IF(AND(D150&lt;&gt;"",D150&lt;Einstellungen!$C$9),"ausgeschieden","aktiv")))</f>
        <v/>
      </c>
      <c r="H150" s="31">
        <f>IF(OR(B150="",E150=""),"",IF(Einstellungen!$C$11="7 Tage",MAX(0,(MIN(IF(D150="",DATE(Einstellungen!$C$3,12,31),D150),Einstellungen!$C$9))-(MAX(C150,DATE(Einstellungen!$C$3,1,1)))+1),MAX(0,NETWORKDAYS(MAX(C150,DATE(Einstellungen!$C$3,1,1)),MIN(IF(D150="",DATE(Einstellungen!$C$3,12,31),D150),Einstellungen!$C$9),Einstellungen!$F$13:$F$67)))*F150)</f>
        <v/>
      </c>
    </row>
    <row r="151">
      <c r="A151" s="26" t="n"/>
      <c r="B151" s="23" t="n"/>
      <c r="C151" s="27" t="n"/>
      <c r="D151" s="27" t="n"/>
      <c r="E151" s="28" t="n"/>
      <c r="F151" s="29">
        <f>IF(E151="","",E151/5)</f>
        <v/>
      </c>
      <c r="G151" s="30">
        <f>IF(B151="","",IF(C151&gt;Einstellungen!$C$9,"künftig",IF(AND(D151&lt;&gt;"",D151&lt;Einstellungen!$C$9),"ausgeschieden","aktiv")))</f>
        <v/>
      </c>
      <c r="H151" s="31">
        <f>IF(OR(B151="",E151=""),"",IF(Einstellungen!$C$11="7 Tage",MAX(0,(MIN(IF(D151="",DATE(Einstellungen!$C$3,12,31),D151),Einstellungen!$C$9))-(MAX(C151,DATE(Einstellungen!$C$3,1,1)))+1),MAX(0,NETWORKDAYS(MAX(C151,DATE(Einstellungen!$C$3,1,1)),MIN(IF(D151="",DATE(Einstellungen!$C$3,12,31),D151),Einstellungen!$C$9),Einstellungen!$F$13:$F$67)))*F151)</f>
        <v/>
      </c>
    </row>
    <row r="152">
      <c r="A152" s="26" t="n"/>
      <c r="B152" s="23" t="n"/>
      <c r="C152" s="27" t="n"/>
      <c r="D152" s="27" t="n"/>
      <c r="E152" s="28" t="n"/>
      <c r="F152" s="29">
        <f>IF(E152="","",E152/5)</f>
        <v/>
      </c>
      <c r="G152" s="30">
        <f>IF(B152="","",IF(C152&gt;Einstellungen!$C$9,"künftig",IF(AND(D152&lt;&gt;"",D152&lt;Einstellungen!$C$9),"ausgeschieden","aktiv")))</f>
        <v/>
      </c>
      <c r="H152" s="31">
        <f>IF(OR(B152="",E152=""),"",IF(Einstellungen!$C$11="7 Tage",MAX(0,(MIN(IF(D152="",DATE(Einstellungen!$C$3,12,31),D152),Einstellungen!$C$9))-(MAX(C152,DATE(Einstellungen!$C$3,1,1)))+1),MAX(0,NETWORKDAYS(MAX(C152,DATE(Einstellungen!$C$3,1,1)),MIN(IF(D152="",DATE(Einstellungen!$C$3,12,31),D152),Einstellungen!$C$9),Einstellungen!$F$13:$F$67)))*F152)</f>
        <v/>
      </c>
    </row>
    <row r="153">
      <c r="A153" s="26" t="n"/>
      <c r="B153" s="23" t="n"/>
      <c r="C153" s="27" t="n"/>
      <c r="D153" s="27" t="n"/>
      <c r="E153" s="28" t="n"/>
      <c r="F153" s="29">
        <f>IF(E153="","",E153/5)</f>
        <v/>
      </c>
      <c r="G153" s="30">
        <f>IF(B153="","",IF(C153&gt;Einstellungen!$C$9,"künftig",IF(AND(D153&lt;&gt;"",D153&lt;Einstellungen!$C$9),"ausgeschieden","aktiv")))</f>
        <v/>
      </c>
      <c r="H153" s="31">
        <f>IF(OR(B153="",E153=""),"",IF(Einstellungen!$C$11="7 Tage",MAX(0,(MIN(IF(D153="",DATE(Einstellungen!$C$3,12,31),D153),Einstellungen!$C$9))-(MAX(C153,DATE(Einstellungen!$C$3,1,1)))+1),MAX(0,NETWORKDAYS(MAX(C153,DATE(Einstellungen!$C$3,1,1)),MIN(IF(D153="",DATE(Einstellungen!$C$3,12,31),D153),Einstellungen!$C$9),Einstellungen!$F$13:$F$67)))*F153)</f>
        <v/>
      </c>
    </row>
    <row r="154">
      <c r="A154" s="26" t="n"/>
      <c r="B154" s="23" t="n"/>
      <c r="C154" s="27" t="n"/>
      <c r="D154" s="27" t="n"/>
      <c r="E154" s="28" t="n"/>
      <c r="F154" s="29">
        <f>IF(E154="","",E154/5)</f>
        <v/>
      </c>
      <c r="G154" s="30">
        <f>IF(B154="","",IF(C154&gt;Einstellungen!$C$9,"künftig",IF(AND(D154&lt;&gt;"",D154&lt;Einstellungen!$C$9),"ausgeschieden","aktiv")))</f>
        <v/>
      </c>
      <c r="H154" s="31">
        <f>IF(OR(B154="",E154=""),"",IF(Einstellungen!$C$11="7 Tage",MAX(0,(MIN(IF(D154="",DATE(Einstellungen!$C$3,12,31),D154),Einstellungen!$C$9))-(MAX(C154,DATE(Einstellungen!$C$3,1,1)))+1),MAX(0,NETWORKDAYS(MAX(C154,DATE(Einstellungen!$C$3,1,1)),MIN(IF(D154="",DATE(Einstellungen!$C$3,12,31),D154),Einstellungen!$C$9),Einstellungen!$F$13:$F$67)))*F154)</f>
        <v/>
      </c>
    </row>
    <row r="155">
      <c r="A155" s="26" t="n"/>
      <c r="B155" s="23" t="n"/>
      <c r="C155" s="27" t="n"/>
      <c r="D155" s="27" t="n"/>
      <c r="E155" s="28" t="n"/>
      <c r="F155" s="29">
        <f>IF(E155="","",E155/5)</f>
        <v/>
      </c>
      <c r="G155" s="30">
        <f>IF(B155="","",IF(C155&gt;Einstellungen!$C$9,"künftig",IF(AND(D155&lt;&gt;"",D155&lt;Einstellungen!$C$9),"ausgeschieden","aktiv")))</f>
        <v/>
      </c>
      <c r="H155" s="31">
        <f>IF(OR(B155="",E155=""),"",IF(Einstellungen!$C$11="7 Tage",MAX(0,(MIN(IF(D155="",DATE(Einstellungen!$C$3,12,31),D155),Einstellungen!$C$9))-(MAX(C155,DATE(Einstellungen!$C$3,1,1)))+1),MAX(0,NETWORKDAYS(MAX(C155,DATE(Einstellungen!$C$3,1,1)),MIN(IF(D155="",DATE(Einstellungen!$C$3,12,31),D155),Einstellungen!$C$9),Einstellungen!$F$13:$F$67)))*F155)</f>
        <v/>
      </c>
    </row>
    <row r="156">
      <c r="A156" s="26" t="n"/>
      <c r="B156" s="23" t="n"/>
      <c r="C156" s="27" t="n"/>
      <c r="D156" s="27" t="n"/>
      <c r="E156" s="28" t="n"/>
      <c r="F156" s="29">
        <f>IF(E156="","",E156/5)</f>
        <v/>
      </c>
      <c r="G156" s="30">
        <f>IF(B156="","",IF(C156&gt;Einstellungen!$C$9,"künftig",IF(AND(D156&lt;&gt;"",D156&lt;Einstellungen!$C$9),"ausgeschieden","aktiv")))</f>
        <v/>
      </c>
      <c r="H156" s="31">
        <f>IF(OR(B156="",E156=""),"",IF(Einstellungen!$C$11="7 Tage",MAX(0,(MIN(IF(D156="",DATE(Einstellungen!$C$3,12,31),D156),Einstellungen!$C$9))-(MAX(C156,DATE(Einstellungen!$C$3,1,1)))+1),MAX(0,NETWORKDAYS(MAX(C156,DATE(Einstellungen!$C$3,1,1)),MIN(IF(D156="",DATE(Einstellungen!$C$3,12,31),D156),Einstellungen!$C$9),Einstellungen!$F$13:$F$67)))*F156)</f>
        <v/>
      </c>
    </row>
    <row r="157">
      <c r="A157" s="26" t="n"/>
      <c r="B157" s="23" t="n"/>
      <c r="C157" s="27" t="n"/>
      <c r="D157" s="27" t="n"/>
      <c r="E157" s="28" t="n"/>
      <c r="F157" s="29">
        <f>IF(E157="","",E157/5)</f>
        <v/>
      </c>
      <c r="G157" s="30">
        <f>IF(B157="","",IF(C157&gt;Einstellungen!$C$9,"künftig",IF(AND(D157&lt;&gt;"",D157&lt;Einstellungen!$C$9),"ausgeschieden","aktiv")))</f>
        <v/>
      </c>
      <c r="H157" s="31">
        <f>IF(OR(B157="",E157=""),"",IF(Einstellungen!$C$11="7 Tage",MAX(0,(MIN(IF(D157="",DATE(Einstellungen!$C$3,12,31),D157),Einstellungen!$C$9))-(MAX(C157,DATE(Einstellungen!$C$3,1,1)))+1),MAX(0,NETWORKDAYS(MAX(C157,DATE(Einstellungen!$C$3,1,1)),MIN(IF(D157="",DATE(Einstellungen!$C$3,12,31),D157),Einstellungen!$C$9),Einstellungen!$F$13:$F$67)))*F157)</f>
        <v/>
      </c>
    </row>
    <row r="158">
      <c r="A158" s="26" t="n"/>
      <c r="B158" s="23" t="n"/>
      <c r="C158" s="27" t="n"/>
      <c r="D158" s="27" t="n"/>
      <c r="E158" s="28" t="n"/>
      <c r="F158" s="29">
        <f>IF(E158="","",E158/5)</f>
        <v/>
      </c>
      <c r="G158" s="30">
        <f>IF(B158="","",IF(C158&gt;Einstellungen!$C$9,"künftig",IF(AND(D158&lt;&gt;"",D158&lt;Einstellungen!$C$9),"ausgeschieden","aktiv")))</f>
        <v/>
      </c>
      <c r="H158" s="31">
        <f>IF(OR(B158="",E158=""),"",IF(Einstellungen!$C$11="7 Tage",MAX(0,(MIN(IF(D158="",DATE(Einstellungen!$C$3,12,31),D158),Einstellungen!$C$9))-(MAX(C158,DATE(Einstellungen!$C$3,1,1)))+1),MAX(0,NETWORKDAYS(MAX(C158,DATE(Einstellungen!$C$3,1,1)),MIN(IF(D158="",DATE(Einstellungen!$C$3,12,31),D158),Einstellungen!$C$9),Einstellungen!$F$13:$F$67)))*F158)</f>
        <v/>
      </c>
    </row>
    <row r="159">
      <c r="A159" s="26" t="n"/>
      <c r="B159" s="23" t="n"/>
      <c r="C159" s="27" t="n"/>
      <c r="D159" s="27" t="n"/>
      <c r="E159" s="28" t="n"/>
      <c r="F159" s="29">
        <f>IF(E159="","",E159/5)</f>
        <v/>
      </c>
      <c r="G159" s="30">
        <f>IF(B159="","",IF(C159&gt;Einstellungen!$C$9,"künftig",IF(AND(D159&lt;&gt;"",D159&lt;Einstellungen!$C$9),"ausgeschieden","aktiv")))</f>
        <v/>
      </c>
      <c r="H159" s="31">
        <f>IF(OR(B159="",E159=""),"",IF(Einstellungen!$C$11="7 Tage",MAX(0,(MIN(IF(D159="",DATE(Einstellungen!$C$3,12,31),D159),Einstellungen!$C$9))-(MAX(C159,DATE(Einstellungen!$C$3,1,1)))+1),MAX(0,NETWORKDAYS(MAX(C159,DATE(Einstellungen!$C$3,1,1)),MIN(IF(D159="",DATE(Einstellungen!$C$3,12,31),D159),Einstellungen!$C$9),Einstellungen!$F$13:$F$67)))*F159)</f>
        <v/>
      </c>
    </row>
    <row r="160">
      <c r="A160" s="26" t="n"/>
      <c r="B160" s="23" t="n"/>
      <c r="C160" s="27" t="n"/>
      <c r="D160" s="27" t="n"/>
      <c r="E160" s="28" t="n"/>
      <c r="F160" s="29">
        <f>IF(E160="","",E160/5)</f>
        <v/>
      </c>
      <c r="G160" s="30">
        <f>IF(B160="","",IF(C160&gt;Einstellungen!$C$9,"künftig",IF(AND(D160&lt;&gt;"",D160&lt;Einstellungen!$C$9),"ausgeschieden","aktiv")))</f>
        <v/>
      </c>
      <c r="H160" s="31">
        <f>IF(OR(B160="",E160=""),"",IF(Einstellungen!$C$11="7 Tage",MAX(0,(MIN(IF(D160="",DATE(Einstellungen!$C$3,12,31),D160),Einstellungen!$C$9))-(MAX(C160,DATE(Einstellungen!$C$3,1,1)))+1),MAX(0,NETWORKDAYS(MAX(C160,DATE(Einstellungen!$C$3,1,1)),MIN(IF(D160="",DATE(Einstellungen!$C$3,12,31),D160),Einstellungen!$C$9),Einstellungen!$F$13:$F$67)))*F160)</f>
        <v/>
      </c>
    </row>
    <row r="161">
      <c r="A161" s="26" t="n"/>
      <c r="B161" s="23" t="n"/>
      <c r="C161" s="27" t="n"/>
      <c r="D161" s="27" t="n"/>
      <c r="E161" s="28" t="n"/>
      <c r="F161" s="29">
        <f>IF(E161="","",E161/5)</f>
        <v/>
      </c>
      <c r="G161" s="30">
        <f>IF(B161="","",IF(C161&gt;Einstellungen!$C$9,"künftig",IF(AND(D161&lt;&gt;"",D161&lt;Einstellungen!$C$9),"ausgeschieden","aktiv")))</f>
        <v/>
      </c>
      <c r="H161" s="31">
        <f>IF(OR(B161="",E161=""),"",IF(Einstellungen!$C$11="7 Tage",MAX(0,(MIN(IF(D161="",DATE(Einstellungen!$C$3,12,31),D161),Einstellungen!$C$9))-(MAX(C161,DATE(Einstellungen!$C$3,1,1)))+1),MAX(0,NETWORKDAYS(MAX(C161,DATE(Einstellungen!$C$3,1,1)),MIN(IF(D161="",DATE(Einstellungen!$C$3,12,31),D161),Einstellungen!$C$9),Einstellungen!$F$13:$F$67)))*F161)</f>
        <v/>
      </c>
    </row>
    <row r="162">
      <c r="A162" s="26" t="n"/>
      <c r="B162" s="23" t="n"/>
      <c r="C162" s="27" t="n"/>
      <c r="D162" s="27" t="n"/>
      <c r="E162" s="28" t="n"/>
      <c r="F162" s="29">
        <f>IF(E162="","",E162/5)</f>
        <v/>
      </c>
      <c r="G162" s="30">
        <f>IF(B162="","",IF(C162&gt;Einstellungen!$C$9,"künftig",IF(AND(D162&lt;&gt;"",D162&lt;Einstellungen!$C$9),"ausgeschieden","aktiv")))</f>
        <v/>
      </c>
      <c r="H162" s="31">
        <f>IF(OR(B162="",E162=""),"",IF(Einstellungen!$C$11="7 Tage",MAX(0,(MIN(IF(D162="",DATE(Einstellungen!$C$3,12,31),D162),Einstellungen!$C$9))-(MAX(C162,DATE(Einstellungen!$C$3,1,1)))+1),MAX(0,NETWORKDAYS(MAX(C162,DATE(Einstellungen!$C$3,1,1)),MIN(IF(D162="",DATE(Einstellungen!$C$3,12,31),D162),Einstellungen!$C$9),Einstellungen!$F$13:$F$67)))*F162)</f>
        <v/>
      </c>
    </row>
    <row r="163">
      <c r="A163" s="26" t="n"/>
      <c r="B163" s="23" t="n"/>
      <c r="C163" s="27" t="n"/>
      <c r="D163" s="27" t="n"/>
      <c r="E163" s="28" t="n"/>
      <c r="F163" s="29">
        <f>IF(E163="","",E163/5)</f>
        <v/>
      </c>
      <c r="G163" s="30">
        <f>IF(B163="","",IF(C163&gt;Einstellungen!$C$9,"künftig",IF(AND(D163&lt;&gt;"",D163&lt;Einstellungen!$C$9),"ausgeschieden","aktiv")))</f>
        <v/>
      </c>
      <c r="H163" s="31">
        <f>IF(OR(B163="",E163=""),"",IF(Einstellungen!$C$11="7 Tage",MAX(0,(MIN(IF(D163="",DATE(Einstellungen!$C$3,12,31),D163),Einstellungen!$C$9))-(MAX(C163,DATE(Einstellungen!$C$3,1,1)))+1),MAX(0,NETWORKDAYS(MAX(C163,DATE(Einstellungen!$C$3,1,1)),MIN(IF(D163="",DATE(Einstellungen!$C$3,12,31),D163),Einstellungen!$C$9),Einstellungen!$F$13:$F$67)))*F163)</f>
        <v/>
      </c>
    </row>
    <row r="164">
      <c r="A164" s="26" t="n"/>
      <c r="B164" s="23" t="n"/>
      <c r="C164" s="27" t="n"/>
      <c r="D164" s="27" t="n"/>
      <c r="E164" s="28" t="n"/>
      <c r="F164" s="29">
        <f>IF(E164="","",E164/5)</f>
        <v/>
      </c>
      <c r="G164" s="30">
        <f>IF(B164="","",IF(C164&gt;Einstellungen!$C$9,"künftig",IF(AND(D164&lt;&gt;"",D164&lt;Einstellungen!$C$9),"ausgeschieden","aktiv")))</f>
        <v/>
      </c>
      <c r="H164" s="31">
        <f>IF(OR(B164="",E164=""),"",IF(Einstellungen!$C$11="7 Tage",MAX(0,(MIN(IF(D164="",DATE(Einstellungen!$C$3,12,31),D164),Einstellungen!$C$9))-(MAX(C164,DATE(Einstellungen!$C$3,1,1)))+1),MAX(0,NETWORKDAYS(MAX(C164,DATE(Einstellungen!$C$3,1,1)),MIN(IF(D164="",DATE(Einstellungen!$C$3,12,31),D164),Einstellungen!$C$9),Einstellungen!$F$13:$F$67)))*F164)</f>
        <v/>
      </c>
    </row>
    <row r="165">
      <c r="A165" s="26" t="n"/>
      <c r="B165" s="23" t="n"/>
      <c r="C165" s="27" t="n"/>
      <c r="D165" s="27" t="n"/>
      <c r="E165" s="28" t="n"/>
      <c r="F165" s="29">
        <f>IF(E165="","",E165/5)</f>
        <v/>
      </c>
      <c r="G165" s="30">
        <f>IF(B165="","",IF(C165&gt;Einstellungen!$C$9,"künftig",IF(AND(D165&lt;&gt;"",D165&lt;Einstellungen!$C$9),"ausgeschieden","aktiv")))</f>
        <v/>
      </c>
      <c r="H165" s="31">
        <f>IF(OR(B165="",E165=""),"",IF(Einstellungen!$C$11="7 Tage",MAX(0,(MIN(IF(D165="",DATE(Einstellungen!$C$3,12,31),D165),Einstellungen!$C$9))-(MAX(C165,DATE(Einstellungen!$C$3,1,1)))+1),MAX(0,NETWORKDAYS(MAX(C165,DATE(Einstellungen!$C$3,1,1)),MIN(IF(D165="",DATE(Einstellungen!$C$3,12,31),D165),Einstellungen!$C$9),Einstellungen!$F$13:$F$67)))*F165)</f>
        <v/>
      </c>
    </row>
    <row r="166">
      <c r="A166" s="26" t="n"/>
      <c r="B166" s="23" t="n"/>
      <c r="C166" s="27" t="n"/>
      <c r="D166" s="27" t="n"/>
      <c r="E166" s="28" t="n"/>
      <c r="F166" s="29">
        <f>IF(E166="","",E166/5)</f>
        <v/>
      </c>
      <c r="G166" s="30">
        <f>IF(B166="","",IF(C166&gt;Einstellungen!$C$9,"künftig",IF(AND(D166&lt;&gt;"",D166&lt;Einstellungen!$C$9),"ausgeschieden","aktiv")))</f>
        <v/>
      </c>
      <c r="H166" s="31">
        <f>IF(OR(B166="",E166=""),"",IF(Einstellungen!$C$11="7 Tage",MAX(0,(MIN(IF(D166="",DATE(Einstellungen!$C$3,12,31),D166),Einstellungen!$C$9))-(MAX(C166,DATE(Einstellungen!$C$3,1,1)))+1),MAX(0,NETWORKDAYS(MAX(C166,DATE(Einstellungen!$C$3,1,1)),MIN(IF(D166="",DATE(Einstellungen!$C$3,12,31),D166),Einstellungen!$C$9),Einstellungen!$F$13:$F$67)))*F166)</f>
        <v/>
      </c>
    </row>
    <row r="167">
      <c r="A167" s="26" t="n"/>
      <c r="B167" s="23" t="n"/>
      <c r="C167" s="27" t="n"/>
      <c r="D167" s="27" t="n"/>
      <c r="E167" s="28" t="n"/>
      <c r="F167" s="29">
        <f>IF(E167="","",E167/5)</f>
        <v/>
      </c>
      <c r="G167" s="30">
        <f>IF(B167="","",IF(C167&gt;Einstellungen!$C$9,"künftig",IF(AND(D167&lt;&gt;"",D167&lt;Einstellungen!$C$9),"ausgeschieden","aktiv")))</f>
        <v/>
      </c>
      <c r="H167" s="31">
        <f>IF(OR(B167="",E167=""),"",IF(Einstellungen!$C$11="7 Tage",MAX(0,(MIN(IF(D167="",DATE(Einstellungen!$C$3,12,31),D167),Einstellungen!$C$9))-(MAX(C167,DATE(Einstellungen!$C$3,1,1)))+1),MAX(0,NETWORKDAYS(MAX(C167,DATE(Einstellungen!$C$3,1,1)),MIN(IF(D167="",DATE(Einstellungen!$C$3,12,31),D167),Einstellungen!$C$9),Einstellungen!$F$13:$F$67)))*F167)</f>
        <v/>
      </c>
    </row>
    <row r="168">
      <c r="A168" s="26" t="n"/>
      <c r="B168" s="23" t="n"/>
      <c r="C168" s="27" t="n"/>
      <c r="D168" s="27" t="n"/>
      <c r="E168" s="28" t="n"/>
      <c r="F168" s="29">
        <f>IF(E168="","",E168/5)</f>
        <v/>
      </c>
      <c r="G168" s="30">
        <f>IF(B168="","",IF(C168&gt;Einstellungen!$C$9,"künftig",IF(AND(D168&lt;&gt;"",D168&lt;Einstellungen!$C$9),"ausgeschieden","aktiv")))</f>
        <v/>
      </c>
      <c r="H168" s="31">
        <f>IF(OR(B168="",E168=""),"",IF(Einstellungen!$C$11="7 Tage",MAX(0,(MIN(IF(D168="",DATE(Einstellungen!$C$3,12,31),D168),Einstellungen!$C$9))-(MAX(C168,DATE(Einstellungen!$C$3,1,1)))+1),MAX(0,NETWORKDAYS(MAX(C168,DATE(Einstellungen!$C$3,1,1)),MIN(IF(D168="",DATE(Einstellungen!$C$3,12,31),D168),Einstellungen!$C$9),Einstellungen!$F$13:$F$67)))*F168)</f>
        <v/>
      </c>
    </row>
    <row r="169">
      <c r="A169" s="26" t="n"/>
      <c r="B169" s="23" t="n"/>
      <c r="C169" s="27" t="n"/>
      <c r="D169" s="27" t="n"/>
      <c r="E169" s="28" t="n"/>
      <c r="F169" s="29">
        <f>IF(E169="","",E169/5)</f>
        <v/>
      </c>
      <c r="G169" s="30">
        <f>IF(B169="","",IF(C169&gt;Einstellungen!$C$9,"künftig",IF(AND(D169&lt;&gt;"",D169&lt;Einstellungen!$C$9),"ausgeschieden","aktiv")))</f>
        <v/>
      </c>
      <c r="H169" s="31">
        <f>IF(OR(B169="",E169=""),"",IF(Einstellungen!$C$11="7 Tage",MAX(0,(MIN(IF(D169="",DATE(Einstellungen!$C$3,12,31),D169),Einstellungen!$C$9))-(MAX(C169,DATE(Einstellungen!$C$3,1,1)))+1),MAX(0,NETWORKDAYS(MAX(C169,DATE(Einstellungen!$C$3,1,1)),MIN(IF(D169="",DATE(Einstellungen!$C$3,12,31),D169),Einstellungen!$C$9),Einstellungen!$F$13:$F$67)))*F169)</f>
        <v/>
      </c>
    </row>
    <row r="170">
      <c r="A170" s="26" t="n"/>
      <c r="B170" s="23" t="n"/>
      <c r="C170" s="27" t="n"/>
      <c r="D170" s="27" t="n"/>
      <c r="E170" s="28" t="n"/>
      <c r="F170" s="29">
        <f>IF(E170="","",E170/5)</f>
        <v/>
      </c>
      <c r="G170" s="30">
        <f>IF(B170="","",IF(C170&gt;Einstellungen!$C$9,"künftig",IF(AND(D170&lt;&gt;"",D170&lt;Einstellungen!$C$9),"ausgeschieden","aktiv")))</f>
        <v/>
      </c>
      <c r="H170" s="31">
        <f>IF(OR(B170="",E170=""),"",IF(Einstellungen!$C$11="7 Tage",MAX(0,(MIN(IF(D170="",DATE(Einstellungen!$C$3,12,31),D170),Einstellungen!$C$9))-(MAX(C170,DATE(Einstellungen!$C$3,1,1)))+1),MAX(0,NETWORKDAYS(MAX(C170,DATE(Einstellungen!$C$3,1,1)),MIN(IF(D170="",DATE(Einstellungen!$C$3,12,31),D170),Einstellungen!$C$9),Einstellungen!$F$13:$F$67)))*F170)</f>
        <v/>
      </c>
    </row>
    <row r="171">
      <c r="A171" s="26" t="n"/>
      <c r="B171" s="23" t="n"/>
      <c r="C171" s="27" t="n"/>
      <c r="D171" s="27" t="n"/>
      <c r="E171" s="28" t="n"/>
      <c r="F171" s="29">
        <f>IF(E171="","",E171/5)</f>
        <v/>
      </c>
      <c r="G171" s="30">
        <f>IF(B171="","",IF(C171&gt;Einstellungen!$C$9,"künftig",IF(AND(D171&lt;&gt;"",D171&lt;Einstellungen!$C$9),"ausgeschieden","aktiv")))</f>
        <v/>
      </c>
      <c r="H171" s="31">
        <f>IF(OR(B171="",E171=""),"",IF(Einstellungen!$C$11="7 Tage",MAX(0,(MIN(IF(D171="",DATE(Einstellungen!$C$3,12,31),D171),Einstellungen!$C$9))-(MAX(C171,DATE(Einstellungen!$C$3,1,1)))+1),MAX(0,NETWORKDAYS(MAX(C171,DATE(Einstellungen!$C$3,1,1)),MIN(IF(D171="",DATE(Einstellungen!$C$3,12,31),D171),Einstellungen!$C$9),Einstellungen!$F$13:$F$67)))*F171)</f>
        <v/>
      </c>
    </row>
    <row r="172">
      <c r="A172" s="26" t="n"/>
      <c r="B172" s="23" t="n"/>
      <c r="C172" s="27" t="n"/>
      <c r="D172" s="27" t="n"/>
      <c r="E172" s="28" t="n"/>
      <c r="F172" s="29">
        <f>IF(E172="","",E172/5)</f>
        <v/>
      </c>
      <c r="G172" s="30">
        <f>IF(B172="","",IF(C172&gt;Einstellungen!$C$9,"künftig",IF(AND(D172&lt;&gt;"",D172&lt;Einstellungen!$C$9),"ausgeschieden","aktiv")))</f>
        <v/>
      </c>
      <c r="H172" s="31">
        <f>IF(OR(B172="",E172=""),"",IF(Einstellungen!$C$11="7 Tage",MAX(0,(MIN(IF(D172="",DATE(Einstellungen!$C$3,12,31),D172),Einstellungen!$C$9))-(MAX(C172,DATE(Einstellungen!$C$3,1,1)))+1),MAX(0,NETWORKDAYS(MAX(C172,DATE(Einstellungen!$C$3,1,1)),MIN(IF(D172="",DATE(Einstellungen!$C$3,12,31),D172),Einstellungen!$C$9),Einstellungen!$F$13:$F$67)))*F172)</f>
        <v/>
      </c>
    </row>
    <row r="173">
      <c r="A173" s="26" t="n"/>
      <c r="B173" s="23" t="n"/>
      <c r="C173" s="27" t="n"/>
      <c r="D173" s="27" t="n"/>
      <c r="E173" s="28" t="n"/>
      <c r="F173" s="29">
        <f>IF(E173="","",E173/5)</f>
        <v/>
      </c>
      <c r="G173" s="30">
        <f>IF(B173="","",IF(C173&gt;Einstellungen!$C$9,"künftig",IF(AND(D173&lt;&gt;"",D173&lt;Einstellungen!$C$9),"ausgeschieden","aktiv")))</f>
        <v/>
      </c>
      <c r="H173" s="31">
        <f>IF(OR(B173="",E173=""),"",IF(Einstellungen!$C$11="7 Tage",MAX(0,(MIN(IF(D173="",DATE(Einstellungen!$C$3,12,31),D173),Einstellungen!$C$9))-(MAX(C173,DATE(Einstellungen!$C$3,1,1)))+1),MAX(0,NETWORKDAYS(MAX(C173,DATE(Einstellungen!$C$3,1,1)),MIN(IF(D173="",DATE(Einstellungen!$C$3,12,31),D173),Einstellungen!$C$9),Einstellungen!$F$13:$F$67)))*F173)</f>
        <v/>
      </c>
    </row>
    <row r="174">
      <c r="A174" s="26" t="n"/>
      <c r="B174" s="23" t="n"/>
      <c r="C174" s="27" t="n"/>
      <c r="D174" s="27" t="n"/>
      <c r="E174" s="28" t="n"/>
      <c r="F174" s="29">
        <f>IF(E174="","",E174/5)</f>
        <v/>
      </c>
      <c r="G174" s="30">
        <f>IF(B174="","",IF(C174&gt;Einstellungen!$C$9,"künftig",IF(AND(D174&lt;&gt;"",D174&lt;Einstellungen!$C$9),"ausgeschieden","aktiv")))</f>
        <v/>
      </c>
      <c r="H174" s="31">
        <f>IF(OR(B174="",E174=""),"",IF(Einstellungen!$C$11="7 Tage",MAX(0,(MIN(IF(D174="",DATE(Einstellungen!$C$3,12,31),D174),Einstellungen!$C$9))-(MAX(C174,DATE(Einstellungen!$C$3,1,1)))+1),MAX(0,NETWORKDAYS(MAX(C174,DATE(Einstellungen!$C$3,1,1)),MIN(IF(D174="",DATE(Einstellungen!$C$3,12,31),D174),Einstellungen!$C$9),Einstellungen!$F$13:$F$67)))*F174)</f>
        <v/>
      </c>
    </row>
    <row r="175">
      <c r="A175" s="26" t="n"/>
      <c r="B175" s="23" t="n"/>
      <c r="C175" s="27" t="n"/>
      <c r="D175" s="27" t="n"/>
      <c r="E175" s="28" t="n"/>
      <c r="F175" s="29">
        <f>IF(E175="","",E175/5)</f>
        <v/>
      </c>
      <c r="G175" s="30">
        <f>IF(B175="","",IF(C175&gt;Einstellungen!$C$9,"künftig",IF(AND(D175&lt;&gt;"",D175&lt;Einstellungen!$C$9),"ausgeschieden","aktiv")))</f>
        <v/>
      </c>
      <c r="H175" s="31">
        <f>IF(OR(B175="",E175=""),"",IF(Einstellungen!$C$11="7 Tage",MAX(0,(MIN(IF(D175="",DATE(Einstellungen!$C$3,12,31),D175),Einstellungen!$C$9))-(MAX(C175,DATE(Einstellungen!$C$3,1,1)))+1),MAX(0,NETWORKDAYS(MAX(C175,DATE(Einstellungen!$C$3,1,1)),MIN(IF(D175="",DATE(Einstellungen!$C$3,12,31),D175),Einstellungen!$C$9),Einstellungen!$F$13:$F$67)))*F175)</f>
        <v/>
      </c>
    </row>
    <row r="176">
      <c r="A176" s="26" t="n"/>
      <c r="B176" s="23" t="n"/>
      <c r="C176" s="27" t="n"/>
      <c r="D176" s="27" t="n"/>
      <c r="E176" s="28" t="n"/>
      <c r="F176" s="29">
        <f>IF(E176="","",E176/5)</f>
        <v/>
      </c>
      <c r="G176" s="30">
        <f>IF(B176="","",IF(C176&gt;Einstellungen!$C$9,"künftig",IF(AND(D176&lt;&gt;"",D176&lt;Einstellungen!$C$9),"ausgeschieden","aktiv")))</f>
        <v/>
      </c>
      <c r="H176" s="31">
        <f>IF(OR(B176="",E176=""),"",IF(Einstellungen!$C$11="7 Tage",MAX(0,(MIN(IF(D176="",DATE(Einstellungen!$C$3,12,31),D176),Einstellungen!$C$9))-(MAX(C176,DATE(Einstellungen!$C$3,1,1)))+1),MAX(0,NETWORKDAYS(MAX(C176,DATE(Einstellungen!$C$3,1,1)),MIN(IF(D176="",DATE(Einstellungen!$C$3,12,31),D176),Einstellungen!$C$9),Einstellungen!$F$13:$F$67)))*F176)</f>
        <v/>
      </c>
    </row>
    <row r="177">
      <c r="A177" s="26" t="n"/>
      <c r="B177" s="23" t="n"/>
      <c r="C177" s="27" t="n"/>
      <c r="D177" s="27" t="n"/>
      <c r="E177" s="28" t="n"/>
      <c r="F177" s="29">
        <f>IF(E177="","",E177/5)</f>
        <v/>
      </c>
      <c r="G177" s="30">
        <f>IF(B177="","",IF(C177&gt;Einstellungen!$C$9,"künftig",IF(AND(D177&lt;&gt;"",D177&lt;Einstellungen!$C$9),"ausgeschieden","aktiv")))</f>
        <v/>
      </c>
      <c r="H177" s="31">
        <f>IF(OR(B177="",E177=""),"",IF(Einstellungen!$C$11="7 Tage",MAX(0,(MIN(IF(D177="",DATE(Einstellungen!$C$3,12,31),D177),Einstellungen!$C$9))-(MAX(C177,DATE(Einstellungen!$C$3,1,1)))+1),MAX(0,NETWORKDAYS(MAX(C177,DATE(Einstellungen!$C$3,1,1)),MIN(IF(D177="",DATE(Einstellungen!$C$3,12,31),D177),Einstellungen!$C$9),Einstellungen!$F$13:$F$67)))*F177)</f>
        <v/>
      </c>
    </row>
    <row r="178">
      <c r="A178" s="26" t="n"/>
      <c r="B178" s="23" t="n"/>
      <c r="C178" s="27" t="n"/>
      <c r="D178" s="27" t="n"/>
      <c r="E178" s="28" t="n"/>
      <c r="F178" s="29">
        <f>IF(E178="","",E178/5)</f>
        <v/>
      </c>
      <c r="G178" s="30">
        <f>IF(B178="","",IF(C178&gt;Einstellungen!$C$9,"künftig",IF(AND(D178&lt;&gt;"",D178&lt;Einstellungen!$C$9),"ausgeschieden","aktiv")))</f>
        <v/>
      </c>
      <c r="H178" s="31">
        <f>IF(OR(B178="",E178=""),"",IF(Einstellungen!$C$11="7 Tage",MAX(0,(MIN(IF(D178="",DATE(Einstellungen!$C$3,12,31),D178),Einstellungen!$C$9))-(MAX(C178,DATE(Einstellungen!$C$3,1,1)))+1),MAX(0,NETWORKDAYS(MAX(C178,DATE(Einstellungen!$C$3,1,1)),MIN(IF(D178="",DATE(Einstellungen!$C$3,12,31),D178),Einstellungen!$C$9),Einstellungen!$F$13:$F$67)))*F178)</f>
        <v/>
      </c>
    </row>
    <row r="179">
      <c r="A179" s="26" t="n"/>
      <c r="B179" s="23" t="n"/>
      <c r="C179" s="27" t="n"/>
      <c r="D179" s="27" t="n"/>
      <c r="E179" s="28" t="n"/>
      <c r="F179" s="29">
        <f>IF(E179="","",E179/5)</f>
        <v/>
      </c>
      <c r="G179" s="30">
        <f>IF(B179="","",IF(C179&gt;Einstellungen!$C$9,"künftig",IF(AND(D179&lt;&gt;"",D179&lt;Einstellungen!$C$9),"ausgeschieden","aktiv")))</f>
        <v/>
      </c>
      <c r="H179" s="31">
        <f>IF(OR(B179="",E179=""),"",IF(Einstellungen!$C$11="7 Tage",MAX(0,(MIN(IF(D179="",DATE(Einstellungen!$C$3,12,31),D179),Einstellungen!$C$9))-(MAX(C179,DATE(Einstellungen!$C$3,1,1)))+1),MAX(0,NETWORKDAYS(MAX(C179,DATE(Einstellungen!$C$3,1,1)),MIN(IF(D179="",DATE(Einstellungen!$C$3,12,31),D179),Einstellungen!$C$9),Einstellungen!$F$13:$F$67)))*F179)</f>
        <v/>
      </c>
    </row>
    <row r="180">
      <c r="A180" s="26" t="n"/>
      <c r="B180" s="23" t="n"/>
      <c r="C180" s="27" t="n"/>
      <c r="D180" s="27" t="n"/>
      <c r="E180" s="28" t="n"/>
      <c r="F180" s="29">
        <f>IF(E180="","",E180/5)</f>
        <v/>
      </c>
      <c r="G180" s="30">
        <f>IF(B180="","",IF(C180&gt;Einstellungen!$C$9,"künftig",IF(AND(D180&lt;&gt;"",D180&lt;Einstellungen!$C$9),"ausgeschieden","aktiv")))</f>
        <v/>
      </c>
      <c r="H180" s="31">
        <f>IF(OR(B180="",E180=""),"",IF(Einstellungen!$C$11="7 Tage",MAX(0,(MIN(IF(D180="",DATE(Einstellungen!$C$3,12,31),D180),Einstellungen!$C$9))-(MAX(C180,DATE(Einstellungen!$C$3,1,1)))+1),MAX(0,NETWORKDAYS(MAX(C180,DATE(Einstellungen!$C$3,1,1)),MIN(IF(D180="",DATE(Einstellungen!$C$3,12,31),D180),Einstellungen!$C$9),Einstellungen!$F$13:$F$67)))*F180)</f>
        <v/>
      </c>
    </row>
    <row r="181">
      <c r="A181" s="26" t="n"/>
      <c r="B181" s="23" t="n"/>
      <c r="C181" s="27" t="n"/>
      <c r="D181" s="27" t="n"/>
      <c r="E181" s="28" t="n"/>
      <c r="F181" s="29">
        <f>IF(E181="","",E181/5)</f>
        <v/>
      </c>
      <c r="G181" s="30">
        <f>IF(B181="","",IF(C181&gt;Einstellungen!$C$9,"künftig",IF(AND(D181&lt;&gt;"",D181&lt;Einstellungen!$C$9),"ausgeschieden","aktiv")))</f>
        <v/>
      </c>
      <c r="H181" s="31">
        <f>IF(OR(B181="",E181=""),"",IF(Einstellungen!$C$11="7 Tage",MAX(0,(MIN(IF(D181="",DATE(Einstellungen!$C$3,12,31),D181),Einstellungen!$C$9))-(MAX(C181,DATE(Einstellungen!$C$3,1,1)))+1),MAX(0,NETWORKDAYS(MAX(C181,DATE(Einstellungen!$C$3,1,1)),MIN(IF(D181="",DATE(Einstellungen!$C$3,12,31),D181),Einstellungen!$C$9),Einstellungen!$F$13:$F$67)))*F181)</f>
        <v/>
      </c>
    </row>
    <row r="182">
      <c r="A182" s="26" t="n"/>
      <c r="B182" s="23" t="n"/>
      <c r="C182" s="27" t="n"/>
      <c r="D182" s="27" t="n"/>
      <c r="E182" s="28" t="n"/>
      <c r="F182" s="29">
        <f>IF(E182="","",E182/5)</f>
        <v/>
      </c>
      <c r="G182" s="30">
        <f>IF(B182="","",IF(C182&gt;Einstellungen!$C$9,"künftig",IF(AND(D182&lt;&gt;"",D182&lt;Einstellungen!$C$9),"ausgeschieden","aktiv")))</f>
        <v/>
      </c>
      <c r="H182" s="31">
        <f>IF(OR(B182="",E182=""),"",IF(Einstellungen!$C$11="7 Tage",MAX(0,(MIN(IF(D182="",DATE(Einstellungen!$C$3,12,31),D182),Einstellungen!$C$9))-(MAX(C182,DATE(Einstellungen!$C$3,1,1)))+1),MAX(0,NETWORKDAYS(MAX(C182,DATE(Einstellungen!$C$3,1,1)),MIN(IF(D182="",DATE(Einstellungen!$C$3,12,31),D182),Einstellungen!$C$9),Einstellungen!$F$13:$F$67)))*F182)</f>
        <v/>
      </c>
    </row>
    <row r="183">
      <c r="A183" s="26" t="n"/>
      <c r="B183" s="23" t="n"/>
      <c r="C183" s="27" t="n"/>
      <c r="D183" s="27" t="n"/>
      <c r="E183" s="28" t="n"/>
      <c r="F183" s="29">
        <f>IF(E183="","",E183/5)</f>
        <v/>
      </c>
      <c r="G183" s="30">
        <f>IF(B183="","",IF(C183&gt;Einstellungen!$C$9,"künftig",IF(AND(D183&lt;&gt;"",D183&lt;Einstellungen!$C$9),"ausgeschieden","aktiv")))</f>
        <v/>
      </c>
      <c r="H183" s="31">
        <f>IF(OR(B183="",E183=""),"",IF(Einstellungen!$C$11="7 Tage",MAX(0,(MIN(IF(D183="",DATE(Einstellungen!$C$3,12,31),D183),Einstellungen!$C$9))-(MAX(C183,DATE(Einstellungen!$C$3,1,1)))+1),MAX(0,NETWORKDAYS(MAX(C183,DATE(Einstellungen!$C$3,1,1)),MIN(IF(D183="",DATE(Einstellungen!$C$3,12,31),D183),Einstellungen!$C$9),Einstellungen!$F$13:$F$67)))*F183)</f>
        <v/>
      </c>
    </row>
    <row r="184">
      <c r="A184" s="26" t="n"/>
      <c r="B184" s="23" t="n"/>
      <c r="C184" s="27" t="n"/>
      <c r="D184" s="27" t="n"/>
      <c r="E184" s="28" t="n"/>
      <c r="F184" s="29">
        <f>IF(E184="","",E184/5)</f>
        <v/>
      </c>
      <c r="G184" s="30">
        <f>IF(B184="","",IF(C184&gt;Einstellungen!$C$9,"künftig",IF(AND(D184&lt;&gt;"",D184&lt;Einstellungen!$C$9),"ausgeschieden","aktiv")))</f>
        <v/>
      </c>
      <c r="H184" s="31">
        <f>IF(OR(B184="",E184=""),"",IF(Einstellungen!$C$11="7 Tage",MAX(0,(MIN(IF(D184="",DATE(Einstellungen!$C$3,12,31),D184),Einstellungen!$C$9))-(MAX(C184,DATE(Einstellungen!$C$3,1,1)))+1),MAX(0,NETWORKDAYS(MAX(C184,DATE(Einstellungen!$C$3,1,1)),MIN(IF(D184="",DATE(Einstellungen!$C$3,12,31),D184),Einstellungen!$C$9),Einstellungen!$F$13:$F$67)))*F184)</f>
        <v/>
      </c>
    </row>
    <row r="185">
      <c r="A185" s="26" t="n"/>
      <c r="B185" s="23" t="n"/>
      <c r="C185" s="27" t="n"/>
      <c r="D185" s="27" t="n"/>
      <c r="E185" s="28" t="n"/>
      <c r="F185" s="29">
        <f>IF(E185="","",E185/5)</f>
        <v/>
      </c>
      <c r="G185" s="30">
        <f>IF(B185="","",IF(C185&gt;Einstellungen!$C$9,"künftig",IF(AND(D185&lt;&gt;"",D185&lt;Einstellungen!$C$9),"ausgeschieden","aktiv")))</f>
        <v/>
      </c>
      <c r="H185" s="31">
        <f>IF(OR(B185="",E185=""),"",IF(Einstellungen!$C$11="7 Tage",MAX(0,(MIN(IF(D185="",DATE(Einstellungen!$C$3,12,31),D185),Einstellungen!$C$9))-(MAX(C185,DATE(Einstellungen!$C$3,1,1)))+1),MAX(0,NETWORKDAYS(MAX(C185,DATE(Einstellungen!$C$3,1,1)),MIN(IF(D185="",DATE(Einstellungen!$C$3,12,31),D185),Einstellungen!$C$9),Einstellungen!$F$13:$F$67)))*F185)</f>
        <v/>
      </c>
    </row>
    <row r="186">
      <c r="A186" s="26" t="n"/>
      <c r="B186" s="23" t="n"/>
      <c r="C186" s="27" t="n"/>
      <c r="D186" s="27" t="n"/>
      <c r="E186" s="28" t="n"/>
      <c r="F186" s="29">
        <f>IF(E186="","",E186/5)</f>
        <v/>
      </c>
      <c r="G186" s="30">
        <f>IF(B186="","",IF(C186&gt;Einstellungen!$C$9,"künftig",IF(AND(D186&lt;&gt;"",D186&lt;Einstellungen!$C$9),"ausgeschieden","aktiv")))</f>
        <v/>
      </c>
      <c r="H186" s="31">
        <f>IF(OR(B186="",E186=""),"",IF(Einstellungen!$C$11="7 Tage",MAX(0,(MIN(IF(D186="",DATE(Einstellungen!$C$3,12,31),D186),Einstellungen!$C$9))-(MAX(C186,DATE(Einstellungen!$C$3,1,1)))+1),MAX(0,NETWORKDAYS(MAX(C186,DATE(Einstellungen!$C$3,1,1)),MIN(IF(D186="",DATE(Einstellungen!$C$3,12,31),D186),Einstellungen!$C$9),Einstellungen!$F$13:$F$67)))*F186)</f>
        <v/>
      </c>
    </row>
    <row r="187">
      <c r="A187" s="26" t="n"/>
      <c r="B187" s="23" t="n"/>
      <c r="C187" s="27" t="n"/>
      <c r="D187" s="27" t="n"/>
      <c r="E187" s="28" t="n"/>
      <c r="F187" s="29">
        <f>IF(E187="","",E187/5)</f>
        <v/>
      </c>
      <c r="G187" s="30">
        <f>IF(B187="","",IF(C187&gt;Einstellungen!$C$9,"künftig",IF(AND(D187&lt;&gt;"",D187&lt;Einstellungen!$C$9),"ausgeschieden","aktiv")))</f>
        <v/>
      </c>
      <c r="H187" s="31">
        <f>IF(OR(B187="",E187=""),"",IF(Einstellungen!$C$11="7 Tage",MAX(0,(MIN(IF(D187="",DATE(Einstellungen!$C$3,12,31),D187),Einstellungen!$C$9))-(MAX(C187,DATE(Einstellungen!$C$3,1,1)))+1),MAX(0,NETWORKDAYS(MAX(C187,DATE(Einstellungen!$C$3,1,1)),MIN(IF(D187="",DATE(Einstellungen!$C$3,12,31),D187),Einstellungen!$C$9),Einstellungen!$F$13:$F$67)))*F187)</f>
        <v/>
      </c>
    </row>
    <row r="188">
      <c r="A188" s="26" t="n"/>
      <c r="B188" s="23" t="n"/>
      <c r="C188" s="27" t="n"/>
      <c r="D188" s="27" t="n"/>
      <c r="E188" s="28" t="n"/>
      <c r="F188" s="29">
        <f>IF(E188="","",E188/5)</f>
        <v/>
      </c>
      <c r="G188" s="30">
        <f>IF(B188="","",IF(C188&gt;Einstellungen!$C$9,"künftig",IF(AND(D188&lt;&gt;"",D188&lt;Einstellungen!$C$9),"ausgeschieden","aktiv")))</f>
        <v/>
      </c>
      <c r="H188" s="31">
        <f>IF(OR(B188="",E188=""),"",IF(Einstellungen!$C$11="7 Tage",MAX(0,(MIN(IF(D188="",DATE(Einstellungen!$C$3,12,31),D188),Einstellungen!$C$9))-(MAX(C188,DATE(Einstellungen!$C$3,1,1)))+1),MAX(0,NETWORKDAYS(MAX(C188,DATE(Einstellungen!$C$3,1,1)),MIN(IF(D188="",DATE(Einstellungen!$C$3,12,31),D188),Einstellungen!$C$9),Einstellungen!$F$13:$F$67)))*F188)</f>
        <v/>
      </c>
    </row>
    <row r="189">
      <c r="A189" s="26" t="n"/>
      <c r="B189" s="23" t="n"/>
      <c r="C189" s="27" t="n"/>
      <c r="D189" s="27" t="n"/>
      <c r="E189" s="28" t="n"/>
      <c r="F189" s="29">
        <f>IF(E189="","",E189/5)</f>
        <v/>
      </c>
      <c r="G189" s="30">
        <f>IF(B189="","",IF(C189&gt;Einstellungen!$C$9,"künftig",IF(AND(D189&lt;&gt;"",D189&lt;Einstellungen!$C$9),"ausgeschieden","aktiv")))</f>
        <v/>
      </c>
      <c r="H189" s="31">
        <f>IF(OR(B189="",E189=""),"",IF(Einstellungen!$C$11="7 Tage",MAX(0,(MIN(IF(D189="",DATE(Einstellungen!$C$3,12,31),D189),Einstellungen!$C$9))-(MAX(C189,DATE(Einstellungen!$C$3,1,1)))+1),MAX(0,NETWORKDAYS(MAX(C189,DATE(Einstellungen!$C$3,1,1)),MIN(IF(D189="",DATE(Einstellungen!$C$3,12,31),D189),Einstellungen!$C$9),Einstellungen!$F$13:$F$67)))*F189)</f>
        <v/>
      </c>
    </row>
    <row r="190">
      <c r="A190" s="26" t="n"/>
      <c r="B190" s="23" t="n"/>
      <c r="C190" s="27" t="n"/>
      <c r="D190" s="27" t="n"/>
      <c r="E190" s="28" t="n"/>
      <c r="F190" s="29">
        <f>IF(E190="","",E190/5)</f>
        <v/>
      </c>
      <c r="G190" s="30">
        <f>IF(B190="","",IF(C190&gt;Einstellungen!$C$9,"künftig",IF(AND(D190&lt;&gt;"",D190&lt;Einstellungen!$C$9),"ausgeschieden","aktiv")))</f>
        <v/>
      </c>
      <c r="H190" s="31">
        <f>IF(OR(B190="",E190=""),"",IF(Einstellungen!$C$11="7 Tage",MAX(0,(MIN(IF(D190="",DATE(Einstellungen!$C$3,12,31),D190),Einstellungen!$C$9))-(MAX(C190,DATE(Einstellungen!$C$3,1,1)))+1),MAX(0,NETWORKDAYS(MAX(C190,DATE(Einstellungen!$C$3,1,1)),MIN(IF(D190="",DATE(Einstellungen!$C$3,12,31),D190),Einstellungen!$C$9),Einstellungen!$F$13:$F$67)))*F190)</f>
        <v/>
      </c>
    </row>
    <row r="191">
      <c r="A191" s="26" t="n"/>
      <c r="B191" s="23" t="n"/>
      <c r="C191" s="27" t="n"/>
      <c r="D191" s="27" t="n"/>
      <c r="E191" s="28" t="n"/>
      <c r="F191" s="29">
        <f>IF(E191="","",E191/5)</f>
        <v/>
      </c>
      <c r="G191" s="30">
        <f>IF(B191="","",IF(C191&gt;Einstellungen!$C$9,"künftig",IF(AND(D191&lt;&gt;"",D191&lt;Einstellungen!$C$9),"ausgeschieden","aktiv")))</f>
        <v/>
      </c>
      <c r="H191" s="31">
        <f>IF(OR(B191="",E191=""),"",IF(Einstellungen!$C$11="7 Tage",MAX(0,(MIN(IF(D191="",DATE(Einstellungen!$C$3,12,31),D191),Einstellungen!$C$9))-(MAX(C191,DATE(Einstellungen!$C$3,1,1)))+1),MAX(0,NETWORKDAYS(MAX(C191,DATE(Einstellungen!$C$3,1,1)),MIN(IF(D191="",DATE(Einstellungen!$C$3,12,31),D191),Einstellungen!$C$9),Einstellungen!$F$13:$F$67)))*F191)</f>
        <v/>
      </c>
    </row>
    <row r="192">
      <c r="A192" s="26" t="n"/>
      <c r="B192" s="23" t="n"/>
      <c r="C192" s="27" t="n"/>
      <c r="D192" s="27" t="n"/>
      <c r="E192" s="28" t="n"/>
      <c r="F192" s="29">
        <f>IF(E192="","",E192/5)</f>
        <v/>
      </c>
      <c r="G192" s="30">
        <f>IF(B192="","",IF(C192&gt;Einstellungen!$C$9,"künftig",IF(AND(D192&lt;&gt;"",D192&lt;Einstellungen!$C$9),"ausgeschieden","aktiv")))</f>
        <v/>
      </c>
      <c r="H192" s="31">
        <f>IF(OR(B192="",E192=""),"",IF(Einstellungen!$C$11="7 Tage",MAX(0,(MIN(IF(D192="",DATE(Einstellungen!$C$3,12,31),D192),Einstellungen!$C$9))-(MAX(C192,DATE(Einstellungen!$C$3,1,1)))+1),MAX(0,NETWORKDAYS(MAX(C192,DATE(Einstellungen!$C$3,1,1)),MIN(IF(D192="",DATE(Einstellungen!$C$3,12,31),D192),Einstellungen!$C$9),Einstellungen!$F$13:$F$67)))*F192)</f>
        <v/>
      </c>
    </row>
    <row r="193">
      <c r="A193" s="26" t="n"/>
      <c r="B193" s="23" t="n"/>
      <c r="C193" s="27" t="n"/>
      <c r="D193" s="27" t="n"/>
      <c r="E193" s="28" t="n"/>
      <c r="F193" s="29">
        <f>IF(E193="","",E193/5)</f>
        <v/>
      </c>
      <c r="G193" s="30">
        <f>IF(B193="","",IF(C193&gt;Einstellungen!$C$9,"künftig",IF(AND(D193&lt;&gt;"",D193&lt;Einstellungen!$C$9),"ausgeschieden","aktiv")))</f>
        <v/>
      </c>
      <c r="H193" s="31">
        <f>IF(OR(B193="",E193=""),"",IF(Einstellungen!$C$11="7 Tage",MAX(0,(MIN(IF(D193="",DATE(Einstellungen!$C$3,12,31),D193),Einstellungen!$C$9))-(MAX(C193,DATE(Einstellungen!$C$3,1,1)))+1),MAX(0,NETWORKDAYS(MAX(C193,DATE(Einstellungen!$C$3,1,1)),MIN(IF(D193="",DATE(Einstellungen!$C$3,12,31),D193),Einstellungen!$C$9),Einstellungen!$F$13:$F$67)))*F193)</f>
        <v/>
      </c>
    </row>
    <row r="194">
      <c r="A194" s="26" t="n"/>
      <c r="B194" s="23" t="n"/>
      <c r="C194" s="27" t="n"/>
      <c r="D194" s="27" t="n"/>
      <c r="E194" s="28" t="n"/>
      <c r="F194" s="29">
        <f>IF(E194="","",E194/5)</f>
        <v/>
      </c>
      <c r="G194" s="30">
        <f>IF(B194="","",IF(C194&gt;Einstellungen!$C$9,"künftig",IF(AND(D194&lt;&gt;"",D194&lt;Einstellungen!$C$9),"ausgeschieden","aktiv")))</f>
        <v/>
      </c>
      <c r="H194" s="31">
        <f>IF(OR(B194="",E194=""),"",IF(Einstellungen!$C$11="7 Tage",MAX(0,(MIN(IF(D194="",DATE(Einstellungen!$C$3,12,31),D194),Einstellungen!$C$9))-(MAX(C194,DATE(Einstellungen!$C$3,1,1)))+1),MAX(0,NETWORKDAYS(MAX(C194,DATE(Einstellungen!$C$3,1,1)),MIN(IF(D194="",DATE(Einstellungen!$C$3,12,31),D194),Einstellungen!$C$9),Einstellungen!$F$13:$F$67)))*F194)</f>
        <v/>
      </c>
    </row>
    <row r="195">
      <c r="A195" s="26" t="n"/>
      <c r="B195" s="23" t="n"/>
      <c r="C195" s="27" t="n"/>
      <c r="D195" s="27" t="n"/>
      <c r="E195" s="28" t="n"/>
      <c r="F195" s="29">
        <f>IF(E195="","",E195/5)</f>
        <v/>
      </c>
      <c r="G195" s="30">
        <f>IF(B195="","",IF(C195&gt;Einstellungen!$C$9,"künftig",IF(AND(D195&lt;&gt;"",D195&lt;Einstellungen!$C$9),"ausgeschieden","aktiv")))</f>
        <v/>
      </c>
      <c r="H195" s="31">
        <f>IF(OR(B195="",E195=""),"",IF(Einstellungen!$C$11="7 Tage",MAX(0,(MIN(IF(D195="",DATE(Einstellungen!$C$3,12,31),D195),Einstellungen!$C$9))-(MAX(C195,DATE(Einstellungen!$C$3,1,1)))+1),MAX(0,NETWORKDAYS(MAX(C195,DATE(Einstellungen!$C$3,1,1)),MIN(IF(D195="",DATE(Einstellungen!$C$3,12,31),D195),Einstellungen!$C$9),Einstellungen!$F$13:$F$67)))*F195)</f>
        <v/>
      </c>
    </row>
    <row r="196">
      <c r="A196" s="26" t="n"/>
      <c r="B196" s="23" t="n"/>
      <c r="C196" s="27" t="n"/>
      <c r="D196" s="27" t="n"/>
      <c r="E196" s="28" t="n"/>
      <c r="F196" s="29">
        <f>IF(E196="","",E196/5)</f>
        <v/>
      </c>
      <c r="G196" s="30">
        <f>IF(B196="","",IF(C196&gt;Einstellungen!$C$9,"künftig",IF(AND(D196&lt;&gt;"",D196&lt;Einstellungen!$C$9),"ausgeschieden","aktiv")))</f>
        <v/>
      </c>
      <c r="H196" s="31">
        <f>IF(OR(B196="",E196=""),"",IF(Einstellungen!$C$11="7 Tage",MAX(0,(MIN(IF(D196="",DATE(Einstellungen!$C$3,12,31),D196),Einstellungen!$C$9))-(MAX(C196,DATE(Einstellungen!$C$3,1,1)))+1),MAX(0,NETWORKDAYS(MAX(C196,DATE(Einstellungen!$C$3,1,1)),MIN(IF(D196="",DATE(Einstellungen!$C$3,12,31),D196),Einstellungen!$C$9),Einstellungen!$F$13:$F$67)))*F196)</f>
        <v/>
      </c>
    </row>
    <row r="197">
      <c r="A197" s="26" t="n"/>
      <c r="B197" s="23" t="n"/>
      <c r="C197" s="27" t="n"/>
      <c r="D197" s="27" t="n"/>
      <c r="E197" s="28" t="n"/>
      <c r="F197" s="29">
        <f>IF(E197="","",E197/5)</f>
        <v/>
      </c>
      <c r="G197" s="30">
        <f>IF(B197="","",IF(C197&gt;Einstellungen!$C$9,"künftig",IF(AND(D197&lt;&gt;"",D197&lt;Einstellungen!$C$9),"ausgeschieden","aktiv")))</f>
        <v/>
      </c>
      <c r="H197" s="31">
        <f>IF(OR(B197="",E197=""),"",IF(Einstellungen!$C$11="7 Tage",MAX(0,(MIN(IF(D197="",DATE(Einstellungen!$C$3,12,31),D197),Einstellungen!$C$9))-(MAX(C197,DATE(Einstellungen!$C$3,1,1)))+1),MAX(0,NETWORKDAYS(MAX(C197,DATE(Einstellungen!$C$3,1,1)),MIN(IF(D197="",DATE(Einstellungen!$C$3,12,31),D197),Einstellungen!$C$9),Einstellungen!$F$13:$F$67)))*F197)</f>
        <v/>
      </c>
    </row>
    <row r="198">
      <c r="A198" s="26" t="n"/>
      <c r="B198" s="23" t="n"/>
      <c r="C198" s="27" t="n"/>
      <c r="D198" s="27" t="n"/>
      <c r="E198" s="28" t="n"/>
      <c r="F198" s="29">
        <f>IF(E198="","",E198/5)</f>
        <v/>
      </c>
      <c r="G198" s="30">
        <f>IF(B198="","",IF(C198&gt;Einstellungen!$C$9,"künftig",IF(AND(D198&lt;&gt;"",D198&lt;Einstellungen!$C$9),"ausgeschieden","aktiv")))</f>
        <v/>
      </c>
      <c r="H198" s="31">
        <f>IF(OR(B198="",E198=""),"",IF(Einstellungen!$C$11="7 Tage",MAX(0,(MIN(IF(D198="",DATE(Einstellungen!$C$3,12,31),D198),Einstellungen!$C$9))-(MAX(C198,DATE(Einstellungen!$C$3,1,1)))+1),MAX(0,NETWORKDAYS(MAX(C198,DATE(Einstellungen!$C$3,1,1)),MIN(IF(D198="",DATE(Einstellungen!$C$3,12,31),D198),Einstellungen!$C$9),Einstellungen!$F$13:$F$67)))*F198)</f>
        <v/>
      </c>
    </row>
    <row r="199">
      <c r="A199" s="26" t="n"/>
      <c r="B199" s="23" t="n"/>
      <c r="C199" s="27" t="n"/>
      <c r="D199" s="27" t="n"/>
      <c r="E199" s="28" t="n"/>
      <c r="F199" s="29">
        <f>IF(E199="","",E199/5)</f>
        <v/>
      </c>
      <c r="G199" s="30">
        <f>IF(B199="","",IF(C199&gt;Einstellungen!$C$9,"künftig",IF(AND(D199&lt;&gt;"",D199&lt;Einstellungen!$C$9),"ausgeschieden","aktiv")))</f>
        <v/>
      </c>
      <c r="H199" s="31">
        <f>IF(OR(B199="",E199=""),"",IF(Einstellungen!$C$11="7 Tage",MAX(0,(MIN(IF(D199="",DATE(Einstellungen!$C$3,12,31),D199),Einstellungen!$C$9))-(MAX(C199,DATE(Einstellungen!$C$3,1,1)))+1),MAX(0,NETWORKDAYS(MAX(C199,DATE(Einstellungen!$C$3,1,1)),MIN(IF(D199="",DATE(Einstellungen!$C$3,12,31),D199),Einstellungen!$C$9),Einstellungen!$F$13:$F$67)))*F199)</f>
        <v/>
      </c>
    </row>
    <row r="200">
      <c r="A200" s="26" t="n"/>
      <c r="B200" s="23" t="n"/>
      <c r="C200" s="27" t="n"/>
      <c r="D200" s="27" t="n"/>
      <c r="E200" s="28" t="n"/>
      <c r="F200" s="29">
        <f>IF(E200="","",E200/5)</f>
        <v/>
      </c>
      <c r="G200" s="30">
        <f>IF(B200="","",IF(C200&gt;Einstellungen!$C$9,"künftig",IF(AND(D200&lt;&gt;"",D200&lt;Einstellungen!$C$9),"ausgeschieden","aktiv")))</f>
        <v/>
      </c>
      <c r="H200" s="31">
        <f>IF(OR(B200="",E200=""),"",IF(Einstellungen!$C$11="7 Tage",MAX(0,(MIN(IF(D200="",DATE(Einstellungen!$C$3,12,31),D200),Einstellungen!$C$9))-(MAX(C200,DATE(Einstellungen!$C$3,1,1)))+1),MAX(0,NETWORKDAYS(MAX(C200,DATE(Einstellungen!$C$3,1,1)),MIN(IF(D200="",DATE(Einstellungen!$C$3,12,31),D200),Einstellungen!$C$9),Einstellungen!$F$13:$F$67)))*F200)</f>
        <v/>
      </c>
    </row>
    <row r="201">
      <c r="A201" s="26" t="n"/>
      <c r="B201" s="23" t="n"/>
      <c r="C201" s="27" t="n"/>
      <c r="D201" s="27" t="n"/>
      <c r="E201" s="28" t="n"/>
      <c r="F201" s="29">
        <f>IF(E201="","",E201/5)</f>
        <v/>
      </c>
      <c r="G201" s="30">
        <f>IF(B201="","",IF(C201&gt;Einstellungen!$C$9,"künftig",IF(AND(D201&lt;&gt;"",D201&lt;Einstellungen!$C$9),"ausgeschieden","aktiv")))</f>
        <v/>
      </c>
      <c r="H201" s="31">
        <f>IF(OR(B201="",E201=""),"",IF(Einstellungen!$C$11="7 Tage",MAX(0,(MIN(IF(D201="",DATE(Einstellungen!$C$3,12,31),D201),Einstellungen!$C$9))-(MAX(C201,DATE(Einstellungen!$C$3,1,1)))+1),MAX(0,NETWORKDAYS(MAX(C201,DATE(Einstellungen!$C$3,1,1)),MIN(IF(D201="",DATE(Einstellungen!$C$3,12,31),D201),Einstellungen!$C$9),Einstellungen!$F$13:$F$67)))*F201)</f>
        <v/>
      </c>
    </row>
    <row r="202">
      <c r="A202" s="26" t="n"/>
      <c r="B202" s="23" t="n"/>
      <c r="C202" s="27" t="n"/>
      <c r="D202" s="27" t="n"/>
      <c r="E202" s="28" t="n"/>
      <c r="F202" s="29">
        <f>IF(E202="","",E202/5)</f>
        <v/>
      </c>
      <c r="G202" s="30">
        <f>IF(B202="","",IF(C202&gt;Einstellungen!$C$9,"künftig",IF(AND(D202&lt;&gt;"",D202&lt;Einstellungen!$C$9),"ausgeschieden","aktiv")))</f>
        <v/>
      </c>
      <c r="H202" s="31">
        <f>IF(OR(B202="",E202=""),"",IF(Einstellungen!$C$11="7 Tage",MAX(0,(MIN(IF(D202="",DATE(Einstellungen!$C$3,12,31),D202),Einstellungen!$C$9))-(MAX(C202,DATE(Einstellungen!$C$3,1,1)))+1),MAX(0,NETWORKDAYS(MAX(C202,DATE(Einstellungen!$C$3,1,1)),MIN(IF(D202="",DATE(Einstellungen!$C$3,12,31),D202),Einstellungen!$C$9),Einstellungen!$F$13:$F$67)))*F202)</f>
        <v/>
      </c>
    </row>
    <row r="203">
      <c r="A203" s="26" t="n"/>
      <c r="B203" s="23" t="n"/>
      <c r="C203" s="27" t="n"/>
      <c r="D203" s="27" t="n"/>
      <c r="E203" s="28" t="n"/>
      <c r="F203" s="29">
        <f>IF(E203="","",E203/5)</f>
        <v/>
      </c>
      <c r="G203" s="30">
        <f>IF(B203="","",IF(C203&gt;Einstellungen!$C$9,"künftig",IF(AND(D203&lt;&gt;"",D203&lt;Einstellungen!$C$9),"ausgeschieden","aktiv")))</f>
        <v/>
      </c>
      <c r="H203" s="31">
        <f>IF(OR(B203="",E203=""),"",IF(Einstellungen!$C$11="7 Tage",MAX(0,(MIN(IF(D203="",DATE(Einstellungen!$C$3,12,31),D203),Einstellungen!$C$9))-(MAX(C203,DATE(Einstellungen!$C$3,1,1)))+1),MAX(0,NETWORKDAYS(MAX(C203,DATE(Einstellungen!$C$3,1,1)),MIN(IF(D203="",DATE(Einstellungen!$C$3,12,31),D203),Einstellungen!$C$9),Einstellungen!$F$13:$F$67)))*F203)</f>
        <v/>
      </c>
    </row>
    <row r="204">
      <c r="A204" s="26" t="n"/>
      <c r="B204" s="23" t="n"/>
      <c r="C204" s="27" t="n"/>
      <c r="D204" s="27" t="n"/>
      <c r="E204" s="28" t="n"/>
      <c r="F204" s="29">
        <f>IF(E204="","",E204/5)</f>
        <v/>
      </c>
      <c r="G204" s="30">
        <f>IF(B204="","",IF(C204&gt;Einstellungen!$C$9,"künftig",IF(AND(D204&lt;&gt;"",D204&lt;Einstellungen!$C$9),"ausgeschieden","aktiv")))</f>
        <v/>
      </c>
      <c r="H204" s="31">
        <f>IF(OR(B204="",E204=""),"",IF(Einstellungen!$C$11="7 Tage",MAX(0,(MIN(IF(D204="",DATE(Einstellungen!$C$3,12,31),D204),Einstellungen!$C$9))-(MAX(C204,DATE(Einstellungen!$C$3,1,1)))+1),MAX(0,NETWORKDAYS(MAX(C204,DATE(Einstellungen!$C$3,1,1)),MIN(IF(D204="",DATE(Einstellungen!$C$3,12,31),D204),Einstellungen!$C$9),Einstellungen!$F$13:$F$67)))*F204)</f>
        <v/>
      </c>
    </row>
    <row r="205">
      <c r="A205" s="26" t="n"/>
      <c r="B205" s="23" t="n"/>
      <c r="C205" s="27" t="n"/>
      <c r="D205" s="27" t="n"/>
      <c r="E205" s="28" t="n"/>
      <c r="F205" s="29">
        <f>IF(E205="","",E205/5)</f>
        <v/>
      </c>
      <c r="G205" s="30">
        <f>IF(B205="","",IF(C205&gt;Einstellungen!$C$9,"künftig",IF(AND(D205&lt;&gt;"",D205&lt;Einstellungen!$C$9),"ausgeschieden","aktiv")))</f>
        <v/>
      </c>
      <c r="H205" s="31">
        <f>IF(OR(B205="",E205=""),"",IF(Einstellungen!$C$11="7 Tage",MAX(0,(MIN(IF(D205="",DATE(Einstellungen!$C$3,12,31),D205),Einstellungen!$C$9))-(MAX(C205,DATE(Einstellungen!$C$3,1,1)))+1),MAX(0,NETWORKDAYS(MAX(C205,DATE(Einstellungen!$C$3,1,1)),MIN(IF(D205="",DATE(Einstellungen!$C$3,12,31),D205),Einstellungen!$C$9),Einstellungen!$F$13:$F$67)))*F205)</f>
        <v/>
      </c>
    </row>
    <row r="206">
      <c r="A206" s="26" t="n"/>
      <c r="B206" s="23" t="n"/>
      <c r="C206" s="27" t="n"/>
      <c r="D206" s="27" t="n"/>
      <c r="E206" s="28" t="n"/>
      <c r="F206" s="29">
        <f>IF(E206="","",E206/5)</f>
        <v/>
      </c>
      <c r="G206" s="30">
        <f>IF(B206="","",IF(C206&gt;Einstellungen!$C$9,"künftig",IF(AND(D206&lt;&gt;"",D206&lt;Einstellungen!$C$9),"ausgeschieden","aktiv")))</f>
        <v/>
      </c>
      <c r="H206" s="31">
        <f>IF(OR(B206="",E206=""),"",IF(Einstellungen!$C$11="7 Tage",MAX(0,(MIN(IF(D206="",DATE(Einstellungen!$C$3,12,31),D206),Einstellungen!$C$9))-(MAX(C206,DATE(Einstellungen!$C$3,1,1)))+1),MAX(0,NETWORKDAYS(MAX(C206,DATE(Einstellungen!$C$3,1,1)),MIN(IF(D206="",DATE(Einstellungen!$C$3,12,31),D206),Einstellungen!$C$9),Einstellungen!$F$13:$F$67)))*F206)</f>
        <v/>
      </c>
    </row>
    <row r="207">
      <c r="A207" s="26" t="n"/>
      <c r="B207" s="23" t="n"/>
      <c r="C207" s="27" t="n"/>
      <c r="D207" s="27" t="n"/>
      <c r="E207" s="28" t="n"/>
      <c r="F207" s="29">
        <f>IF(E207="","",E207/5)</f>
        <v/>
      </c>
      <c r="G207" s="30">
        <f>IF(B207="","",IF(C207&gt;Einstellungen!$C$9,"künftig",IF(AND(D207&lt;&gt;"",D207&lt;Einstellungen!$C$9),"ausgeschieden","aktiv")))</f>
        <v/>
      </c>
      <c r="H207" s="31">
        <f>IF(OR(B207="",E207=""),"",IF(Einstellungen!$C$11="7 Tage",MAX(0,(MIN(IF(D207="",DATE(Einstellungen!$C$3,12,31),D207),Einstellungen!$C$9))-(MAX(C207,DATE(Einstellungen!$C$3,1,1)))+1),MAX(0,NETWORKDAYS(MAX(C207,DATE(Einstellungen!$C$3,1,1)),MIN(IF(D207="",DATE(Einstellungen!$C$3,12,31),D207),Einstellungen!$C$9),Einstellungen!$F$13:$F$67)))*F207)</f>
        <v/>
      </c>
    </row>
    <row r="208">
      <c r="A208" s="26" t="n"/>
      <c r="B208" s="23" t="n"/>
      <c r="C208" s="27" t="n"/>
      <c r="D208" s="27" t="n"/>
      <c r="E208" s="28" t="n"/>
      <c r="F208" s="29">
        <f>IF(E208="","",E208/5)</f>
        <v/>
      </c>
      <c r="G208" s="30">
        <f>IF(B208="","",IF(C208&gt;Einstellungen!$C$9,"künftig",IF(AND(D208&lt;&gt;"",D208&lt;Einstellungen!$C$9),"ausgeschieden","aktiv")))</f>
        <v/>
      </c>
      <c r="H208" s="31">
        <f>IF(OR(B208="",E208=""),"",IF(Einstellungen!$C$11="7 Tage",MAX(0,(MIN(IF(D208="",DATE(Einstellungen!$C$3,12,31),D208),Einstellungen!$C$9))-(MAX(C208,DATE(Einstellungen!$C$3,1,1)))+1),MAX(0,NETWORKDAYS(MAX(C208,DATE(Einstellungen!$C$3,1,1)),MIN(IF(D208="",DATE(Einstellungen!$C$3,12,31),D208),Einstellungen!$C$9),Einstellungen!$F$13:$F$67)))*F208)</f>
        <v/>
      </c>
    </row>
    <row r="209">
      <c r="A209" s="26" t="n"/>
      <c r="B209" s="23" t="n"/>
      <c r="C209" s="27" t="n"/>
      <c r="D209" s="27" t="n"/>
      <c r="E209" s="28" t="n"/>
      <c r="F209" s="29">
        <f>IF(E209="","",E209/5)</f>
        <v/>
      </c>
      <c r="G209" s="30">
        <f>IF(B209="","",IF(C209&gt;Einstellungen!$C$9,"künftig",IF(AND(D209&lt;&gt;"",D209&lt;Einstellungen!$C$9),"ausgeschieden","aktiv")))</f>
        <v/>
      </c>
      <c r="H209" s="31">
        <f>IF(OR(B209="",E209=""),"",IF(Einstellungen!$C$11="7 Tage",MAX(0,(MIN(IF(D209="",DATE(Einstellungen!$C$3,12,31),D209),Einstellungen!$C$9))-(MAX(C209,DATE(Einstellungen!$C$3,1,1)))+1),MAX(0,NETWORKDAYS(MAX(C209,DATE(Einstellungen!$C$3,1,1)),MIN(IF(D209="",DATE(Einstellungen!$C$3,12,31),D209),Einstellungen!$C$9),Einstellungen!$F$13:$F$67)))*F209)</f>
        <v/>
      </c>
    </row>
    <row r="210">
      <c r="A210" s="26" t="n"/>
      <c r="B210" s="23" t="n"/>
      <c r="C210" s="27" t="n"/>
      <c r="D210" s="27" t="n"/>
      <c r="E210" s="28" t="n"/>
      <c r="F210" s="29">
        <f>IF(E210="","",E210/5)</f>
        <v/>
      </c>
      <c r="G210" s="30">
        <f>IF(B210="","",IF(C210&gt;Einstellungen!$C$9,"künftig",IF(AND(D210&lt;&gt;"",D210&lt;Einstellungen!$C$9),"ausgeschieden","aktiv")))</f>
        <v/>
      </c>
      <c r="H210" s="31">
        <f>IF(OR(B210="",E210=""),"",IF(Einstellungen!$C$11="7 Tage",MAX(0,(MIN(IF(D210="",DATE(Einstellungen!$C$3,12,31),D210),Einstellungen!$C$9))-(MAX(C210,DATE(Einstellungen!$C$3,1,1)))+1),MAX(0,NETWORKDAYS(MAX(C210,DATE(Einstellungen!$C$3,1,1)),MIN(IF(D210="",DATE(Einstellungen!$C$3,12,31),D210),Einstellungen!$C$9),Einstellungen!$F$13:$F$67)))*F210)</f>
        <v/>
      </c>
    </row>
    <row r="211">
      <c r="A211" s="26" t="n"/>
      <c r="B211" s="23" t="n"/>
      <c r="C211" s="27" t="n"/>
      <c r="D211" s="27" t="n"/>
      <c r="E211" s="28" t="n"/>
      <c r="F211" s="29">
        <f>IF(E211="","",E211/5)</f>
        <v/>
      </c>
      <c r="G211" s="30">
        <f>IF(B211="","",IF(C211&gt;Einstellungen!$C$9,"künftig",IF(AND(D211&lt;&gt;"",D211&lt;Einstellungen!$C$9),"ausgeschieden","aktiv")))</f>
        <v/>
      </c>
      <c r="H211" s="31">
        <f>IF(OR(B211="",E211=""),"",IF(Einstellungen!$C$11="7 Tage",MAX(0,(MIN(IF(D211="",DATE(Einstellungen!$C$3,12,31),D211),Einstellungen!$C$9))-(MAX(C211,DATE(Einstellungen!$C$3,1,1)))+1),MAX(0,NETWORKDAYS(MAX(C211,DATE(Einstellungen!$C$3,1,1)),MIN(IF(D211="",DATE(Einstellungen!$C$3,12,31),D211),Einstellungen!$C$9),Einstellungen!$F$13:$F$67)))*F211)</f>
        <v/>
      </c>
    </row>
    <row r="212">
      <c r="A212" s="26" t="n"/>
      <c r="B212" s="23" t="n"/>
      <c r="C212" s="27" t="n"/>
      <c r="D212" s="27" t="n"/>
      <c r="E212" s="28" t="n"/>
      <c r="F212" s="29">
        <f>IF(E212="","",E212/5)</f>
        <v/>
      </c>
      <c r="G212" s="30">
        <f>IF(B212="","",IF(C212&gt;Einstellungen!$C$9,"künftig",IF(AND(D212&lt;&gt;"",D212&lt;Einstellungen!$C$9),"ausgeschieden","aktiv")))</f>
        <v/>
      </c>
      <c r="H212" s="31">
        <f>IF(OR(B212="",E212=""),"",IF(Einstellungen!$C$11="7 Tage",MAX(0,(MIN(IF(D212="",DATE(Einstellungen!$C$3,12,31),D212),Einstellungen!$C$9))-(MAX(C212,DATE(Einstellungen!$C$3,1,1)))+1),MAX(0,NETWORKDAYS(MAX(C212,DATE(Einstellungen!$C$3,1,1)),MIN(IF(D212="",DATE(Einstellungen!$C$3,12,31),D212),Einstellungen!$C$9),Einstellungen!$F$13:$F$67)))*F212)</f>
        <v/>
      </c>
    </row>
    <row r="213">
      <c r="A213" s="26" t="n"/>
      <c r="B213" s="23" t="n"/>
      <c r="C213" s="27" t="n"/>
      <c r="D213" s="27" t="n"/>
      <c r="E213" s="28" t="n"/>
      <c r="F213" s="29">
        <f>IF(E213="","",E213/5)</f>
        <v/>
      </c>
      <c r="G213" s="30">
        <f>IF(B213="","",IF(C213&gt;Einstellungen!$C$9,"künftig",IF(AND(D213&lt;&gt;"",D213&lt;Einstellungen!$C$9),"ausgeschieden","aktiv")))</f>
        <v/>
      </c>
      <c r="H213" s="31">
        <f>IF(OR(B213="",E213=""),"",IF(Einstellungen!$C$11="7 Tage",MAX(0,(MIN(IF(D213="",DATE(Einstellungen!$C$3,12,31),D213),Einstellungen!$C$9))-(MAX(C213,DATE(Einstellungen!$C$3,1,1)))+1),MAX(0,NETWORKDAYS(MAX(C213,DATE(Einstellungen!$C$3,1,1)),MIN(IF(D213="",DATE(Einstellungen!$C$3,12,31),D213),Einstellungen!$C$9),Einstellungen!$F$13:$F$67)))*F213)</f>
        <v/>
      </c>
    </row>
    <row r="214">
      <c r="A214" s="26" t="n"/>
      <c r="B214" s="23" t="n"/>
      <c r="C214" s="27" t="n"/>
      <c r="D214" s="27" t="n"/>
      <c r="E214" s="28" t="n"/>
      <c r="F214" s="29">
        <f>IF(E214="","",E214/5)</f>
        <v/>
      </c>
      <c r="G214" s="30">
        <f>IF(B214="","",IF(C214&gt;Einstellungen!$C$9,"künftig",IF(AND(D214&lt;&gt;"",D214&lt;Einstellungen!$C$9),"ausgeschieden","aktiv")))</f>
        <v/>
      </c>
      <c r="H214" s="31">
        <f>IF(OR(B214="",E214=""),"",IF(Einstellungen!$C$11="7 Tage",MAX(0,(MIN(IF(D214="",DATE(Einstellungen!$C$3,12,31),D214),Einstellungen!$C$9))-(MAX(C214,DATE(Einstellungen!$C$3,1,1)))+1),MAX(0,NETWORKDAYS(MAX(C214,DATE(Einstellungen!$C$3,1,1)),MIN(IF(D214="",DATE(Einstellungen!$C$3,12,31),D214),Einstellungen!$C$9),Einstellungen!$F$13:$F$67)))*F214)</f>
        <v/>
      </c>
    </row>
    <row r="215">
      <c r="A215" s="26" t="n"/>
      <c r="B215" s="23" t="n"/>
      <c r="C215" s="27" t="n"/>
      <c r="D215" s="27" t="n"/>
      <c r="E215" s="28" t="n"/>
      <c r="F215" s="29">
        <f>IF(E215="","",E215/5)</f>
        <v/>
      </c>
      <c r="G215" s="30">
        <f>IF(B215="","",IF(C215&gt;Einstellungen!$C$9,"künftig",IF(AND(D215&lt;&gt;"",D215&lt;Einstellungen!$C$9),"ausgeschieden","aktiv")))</f>
        <v/>
      </c>
      <c r="H215" s="31">
        <f>IF(OR(B215="",E215=""),"",IF(Einstellungen!$C$11="7 Tage",MAX(0,(MIN(IF(D215="",DATE(Einstellungen!$C$3,12,31),D215),Einstellungen!$C$9))-(MAX(C215,DATE(Einstellungen!$C$3,1,1)))+1),MAX(0,NETWORKDAYS(MAX(C215,DATE(Einstellungen!$C$3,1,1)),MIN(IF(D215="",DATE(Einstellungen!$C$3,12,31),D215),Einstellungen!$C$9),Einstellungen!$F$13:$F$67)))*F215)</f>
        <v/>
      </c>
    </row>
    <row r="216">
      <c r="A216" s="26" t="n"/>
      <c r="B216" s="23" t="n"/>
      <c r="C216" s="27" t="n"/>
      <c r="D216" s="27" t="n"/>
      <c r="E216" s="28" t="n"/>
      <c r="F216" s="29">
        <f>IF(E216="","",E216/5)</f>
        <v/>
      </c>
      <c r="G216" s="30">
        <f>IF(B216="","",IF(C216&gt;Einstellungen!$C$9,"künftig",IF(AND(D216&lt;&gt;"",D216&lt;Einstellungen!$C$9),"ausgeschieden","aktiv")))</f>
        <v/>
      </c>
      <c r="H216" s="31">
        <f>IF(OR(B216="",E216=""),"",IF(Einstellungen!$C$11="7 Tage",MAX(0,(MIN(IF(D216="",DATE(Einstellungen!$C$3,12,31),D216),Einstellungen!$C$9))-(MAX(C216,DATE(Einstellungen!$C$3,1,1)))+1),MAX(0,NETWORKDAYS(MAX(C216,DATE(Einstellungen!$C$3,1,1)),MIN(IF(D216="",DATE(Einstellungen!$C$3,12,31),D216),Einstellungen!$C$9),Einstellungen!$F$13:$F$67)))*F216)</f>
        <v/>
      </c>
    </row>
    <row r="217">
      <c r="A217" s="26" t="n"/>
      <c r="B217" s="23" t="n"/>
      <c r="C217" s="27" t="n"/>
      <c r="D217" s="27" t="n"/>
      <c r="E217" s="28" t="n"/>
      <c r="F217" s="29">
        <f>IF(E217="","",E217/5)</f>
        <v/>
      </c>
      <c r="G217" s="30">
        <f>IF(B217="","",IF(C217&gt;Einstellungen!$C$9,"künftig",IF(AND(D217&lt;&gt;"",D217&lt;Einstellungen!$C$9),"ausgeschieden","aktiv")))</f>
        <v/>
      </c>
      <c r="H217" s="31">
        <f>IF(OR(B217="",E217=""),"",IF(Einstellungen!$C$11="7 Tage",MAX(0,(MIN(IF(D217="",DATE(Einstellungen!$C$3,12,31),D217),Einstellungen!$C$9))-(MAX(C217,DATE(Einstellungen!$C$3,1,1)))+1),MAX(0,NETWORKDAYS(MAX(C217,DATE(Einstellungen!$C$3,1,1)),MIN(IF(D217="",DATE(Einstellungen!$C$3,12,31),D217),Einstellungen!$C$9),Einstellungen!$F$13:$F$67)))*F217)</f>
        <v/>
      </c>
    </row>
    <row r="218">
      <c r="A218" s="26" t="n"/>
      <c r="B218" s="23" t="n"/>
      <c r="C218" s="27" t="n"/>
      <c r="D218" s="27" t="n"/>
      <c r="E218" s="28" t="n"/>
      <c r="F218" s="29">
        <f>IF(E218="","",E218/5)</f>
        <v/>
      </c>
      <c r="G218" s="30">
        <f>IF(B218="","",IF(C218&gt;Einstellungen!$C$9,"künftig",IF(AND(D218&lt;&gt;"",D218&lt;Einstellungen!$C$9),"ausgeschieden","aktiv")))</f>
        <v/>
      </c>
      <c r="H218" s="31">
        <f>IF(OR(B218="",E218=""),"",IF(Einstellungen!$C$11="7 Tage",MAX(0,(MIN(IF(D218="",DATE(Einstellungen!$C$3,12,31),D218),Einstellungen!$C$9))-(MAX(C218,DATE(Einstellungen!$C$3,1,1)))+1),MAX(0,NETWORKDAYS(MAX(C218,DATE(Einstellungen!$C$3,1,1)),MIN(IF(D218="",DATE(Einstellungen!$C$3,12,31),D218),Einstellungen!$C$9),Einstellungen!$F$13:$F$67)))*F218)</f>
        <v/>
      </c>
    </row>
    <row r="219">
      <c r="A219" s="26" t="n"/>
      <c r="B219" s="23" t="n"/>
      <c r="C219" s="27" t="n"/>
      <c r="D219" s="27" t="n"/>
      <c r="E219" s="28" t="n"/>
      <c r="F219" s="29">
        <f>IF(E219="","",E219/5)</f>
        <v/>
      </c>
      <c r="G219" s="30">
        <f>IF(B219="","",IF(C219&gt;Einstellungen!$C$9,"künftig",IF(AND(D219&lt;&gt;"",D219&lt;Einstellungen!$C$9),"ausgeschieden","aktiv")))</f>
        <v/>
      </c>
      <c r="H219" s="31">
        <f>IF(OR(B219="",E219=""),"",IF(Einstellungen!$C$11="7 Tage",MAX(0,(MIN(IF(D219="",DATE(Einstellungen!$C$3,12,31),D219),Einstellungen!$C$9))-(MAX(C219,DATE(Einstellungen!$C$3,1,1)))+1),MAX(0,NETWORKDAYS(MAX(C219,DATE(Einstellungen!$C$3,1,1)),MIN(IF(D219="",DATE(Einstellungen!$C$3,12,31),D219),Einstellungen!$C$9),Einstellungen!$F$13:$F$67)))*F219)</f>
        <v/>
      </c>
    </row>
    <row r="220">
      <c r="A220" s="26" t="n"/>
      <c r="B220" s="23" t="n"/>
      <c r="C220" s="27" t="n"/>
      <c r="D220" s="27" t="n"/>
      <c r="E220" s="28" t="n"/>
      <c r="F220" s="29">
        <f>IF(E220="","",E220/5)</f>
        <v/>
      </c>
      <c r="G220" s="30">
        <f>IF(B220="","",IF(C220&gt;Einstellungen!$C$9,"künftig",IF(AND(D220&lt;&gt;"",D220&lt;Einstellungen!$C$9),"ausgeschieden","aktiv")))</f>
        <v/>
      </c>
      <c r="H220" s="31">
        <f>IF(OR(B220="",E220=""),"",IF(Einstellungen!$C$11="7 Tage",MAX(0,(MIN(IF(D220="",DATE(Einstellungen!$C$3,12,31),D220),Einstellungen!$C$9))-(MAX(C220,DATE(Einstellungen!$C$3,1,1)))+1),MAX(0,NETWORKDAYS(MAX(C220,DATE(Einstellungen!$C$3,1,1)),MIN(IF(D220="",DATE(Einstellungen!$C$3,12,31),D220),Einstellungen!$C$9),Einstellungen!$F$13:$F$67)))*F220)</f>
        <v/>
      </c>
    </row>
    <row r="221">
      <c r="A221" s="26" t="n"/>
      <c r="B221" s="23" t="n"/>
      <c r="C221" s="27" t="n"/>
      <c r="D221" s="27" t="n"/>
      <c r="E221" s="28" t="n"/>
      <c r="F221" s="29">
        <f>IF(E221="","",E221/5)</f>
        <v/>
      </c>
      <c r="G221" s="30">
        <f>IF(B221="","",IF(C221&gt;Einstellungen!$C$9,"künftig",IF(AND(D221&lt;&gt;"",D221&lt;Einstellungen!$C$9),"ausgeschieden","aktiv")))</f>
        <v/>
      </c>
      <c r="H221" s="31">
        <f>IF(OR(B221="",E221=""),"",IF(Einstellungen!$C$11="7 Tage",MAX(0,(MIN(IF(D221="",DATE(Einstellungen!$C$3,12,31),D221),Einstellungen!$C$9))-(MAX(C221,DATE(Einstellungen!$C$3,1,1)))+1),MAX(0,NETWORKDAYS(MAX(C221,DATE(Einstellungen!$C$3,1,1)),MIN(IF(D221="",DATE(Einstellungen!$C$3,12,31),D221),Einstellungen!$C$9),Einstellungen!$F$13:$F$67)))*F221)</f>
        <v/>
      </c>
    </row>
    <row r="222">
      <c r="A222" s="26" t="n"/>
      <c r="B222" s="23" t="n"/>
      <c r="C222" s="27" t="n"/>
      <c r="D222" s="27" t="n"/>
      <c r="E222" s="28" t="n"/>
      <c r="F222" s="29">
        <f>IF(E222="","",E222/5)</f>
        <v/>
      </c>
      <c r="G222" s="30">
        <f>IF(B222="","",IF(C222&gt;Einstellungen!$C$9,"künftig",IF(AND(D222&lt;&gt;"",D222&lt;Einstellungen!$C$9),"ausgeschieden","aktiv")))</f>
        <v/>
      </c>
      <c r="H222" s="31">
        <f>IF(OR(B222="",E222=""),"",IF(Einstellungen!$C$11="7 Tage",MAX(0,(MIN(IF(D222="",DATE(Einstellungen!$C$3,12,31),D222),Einstellungen!$C$9))-(MAX(C222,DATE(Einstellungen!$C$3,1,1)))+1),MAX(0,NETWORKDAYS(MAX(C222,DATE(Einstellungen!$C$3,1,1)),MIN(IF(D222="",DATE(Einstellungen!$C$3,12,31),D222),Einstellungen!$C$9),Einstellungen!$F$13:$F$67)))*F222)</f>
        <v/>
      </c>
    </row>
    <row r="223">
      <c r="A223" s="26" t="n"/>
      <c r="B223" s="23" t="n"/>
      <c r="C223" s="27" t="n"/>
      <c r="D223" s="27" t="n"/>
      <c r="E223" s="28" t="n"/>
      <c r="F223" s="29">
        <f>IF(E223="","",E223/5)</f>
        <v/>
      </c>
      <c r="G223" s="30">
        <f>IF(B223="","",IF(C223&gt;Einstellungen!$C$9,"künftig",IF(AND(D223&lt;&gt;"",D223&lt;Einstellungen!$C$9),"ausgeschieden","aktiv")))</f>
        <v/>
      </c>
      <c r="H223" s="31">
        <f>IF(OR(B223="",E223=""),"",IF(Einstellungen!$C$11="7 Tage",MAX(0,(MIN(IF(D223="",DATE(Einstellungen!$C$3,12,31),D223),Einstellungen!$C$9))-(MAX(C223,DATE(Einstellungen!$C$3,1,1)))+1),MAX(0,NETWORKDAYS(MAX(C223,DATE(Einstellungen!$C$3,1,1)),MIN(IF(D223="",DATE(Einstellungen!$C$3,12,31),D223),Einstellungen!$C$9),Einstellungen!$F$13:$F$67)))*F223)</f>
        <v/>
      </c>
    </row>
    <row r="224">
      <c r="A224" s="26" t="n"/>
      <c r="B224" s="23" t="n"/>
      <c r="C224" s="27" t="n"/>
      <c r="D224" s="27" t="n"/>
      <c r="E224" s="28" t="n"/>
      <c r="F224" s="29">
        <f>IF(E224="","",E224/5)</f>
        <v/>
      </c>
      <c r="G224" s="30">
        <f>IF(B224="","",IF(C224&gt;Einstellungen!$C$9,"künftig",IF(AND(D224&lt;&gt;"",D224&lt;Einstellungen!$C$9),"ausgeschieden","aktiv")))</f>
        <v/>
      </c>
      <c r="H224" s="31">
        <f>IF(OR(B224="",E224=""),"",IF(Einstellungen!$C$11="7 Tage",MAX(0,(MIN(IF(D224="",DATE(Einstellungen!$C$3,12,31),D224),Einstellungen!$C$9))-(MAX(C224,DATE(Einstellungen!$C$3,1,1)))+1),MAX(0,NETWORKDAYS(MAX(C224,DATE(Einstellungen!$C$3,1,1)),MIN(IF(D224="",DATE(Einstellungen!$C$3,12,31),D224),Einstellungen!$C$9),Einstellungen!$F$13:$F$67)))*F224)</f>
        <v/>
      </c>
    </row>
    <row r="225">
      <c r="A225" s="26" t="n"/>
      <c r="B225" s="23" t="n"/>
      <c r="C225" s="27" t="n"/>
      <c r="D225" s="27" t="n"/>
      <c r="E225" s="28" t="n"/>
      <c r="F225" s="29">
        <f>IF(E225="","",E225/5)</f>
        <v/>
      </c>
      <c r="G225" s="30">
        <f>IF(B225="","",IF(C225&gt;Einstellungen!$C$9,"künftig",IF(AND(D225&lt;&gt;"",D225&lt;Einstellungen!$C$9),"ausgeschieden","aktiv")))</f>
        <v/>
      </c>
      <c r="H225" s="31">
        <f>IF(OR(B225="",E225=""),"",IF(Einstellungen!$C$11="7 Tage",MAX(0,(MIN(IF(D225="",DATE(Einstellungen!$C$3,12,31),D225),Einstellungen!$C$9))-(MAX(C225,DATE(Einstellungen!$C$3,1,1)))+1),MAX(0,NETWORKDAYS(MAX(C225,DATE(Einstellungen!$C$3,1,1)),MIN(IF(D225="",DATE(Einstellungen!$C$3,12,31),D225),Einstellungen!$C$9),Einstellungen!$F$13:$F$67)))*F225)</f>
        <v/>
      </c>
    </row>
    <row r="226">
      <c r="A226" s="26" t="n"/>
      <c r="B226" s="23" t="n"/>
      <c r="C226" s="27" t="n"/>
      <c r="D226" s="27" t="n"/>
      <c r="E226" s="28" t="n"/>
      <c r="F226" s="29">
        <f>IF(E226="","",E226/5)</f>
        <v/>
      </c>
      <c r="G226" s="30">
        <f>IF(B226="","",IF(C226&gt;Einstellungen!$C$9,"künftig",IF(AND(D226&lt;&gt;"",D226&lt;Einstellungen!$C$9),"ausgeschieden","aktiv")))</f>
        <v/>
      </c>
      <c r="H226" s="31">
        <f>IF(OR(B226="",E226=""),"",IF(Einstellungen!$C$11="7 Tage",MAX(0,(MIN(IF(D226="",DATE(Einstellungen!$C$3,12,31),D226),Einstellungen!$C$9))-(MAX(C226,DATE(Einstellungen!$C$3,1,1)))+1),MAX(0,NETWORKDAYS(MAX(C226,DATE(Einstellungen!$C$3,1,1)),MIN(IF(D226="",DATE(Einstellungen!$C$3,12,31),D226),Einstellungen!$C$9),Einstellungen!$F$13:$F$67)))*F226)</f>
        <v/>
      </c>
    </row>
    <row r="227">
      <c r="A227" s="26" t="n"/>
      <c r="B227" s="23" t="n"/>
      <c r="C227" s="27" t="n"/>
      <c r="D227" s="27" t="n"/>
      <c r="E227" s="28" t="n"/>
      <c r="F227" s="29">
        <f>IF(E227="","",E227/5)</f>
        <v/>
      </c>
      <c r="G227" s="30">
        <f>IF(B227="","",IF(C227&gt;Einstellungen!$C$9,"künftig",IF(AND(D227&lt;&gt;"",D227&lt;Einstellungen!$C$9),"ausgeschieden","aktiv")))</f>
        <v/>
      </c>
      <c r="H227" s="31">
        <f>IF(OR(B227="",E227=""),"",IF(Einstellungen!$C$11="7 Tage",MAX(0,(MIN(IF(D227="",DATE(Einstellungen!$C$3,12,31),D227),Einstellungen!$C$9))-(MAX(C227,DATE(Einstellungen!$C$3,1,1)))+1),MAX(0,NETWORKDAYS(MAX(C227,DATE(Einstellungen!$C$3,1,1)),MIN(IF(D227="",DATE(Einstellungen!$C$3,12,31),D227),Einstellungen!$C$9),Einstellungen!$F$13:$F$67)))*F227)</f>
        <v/>
      </c>
    </row>
    <row r="228">
      <c r="A228" s="26" t="n"/>
      <c r="B228" s="23" t="n"/>
      <c r="C228" s="27" t="n"/>
      <c r="D228" s="27" t="n"/>
      <c r="E228" s="28" t="n"/>
      <c r="F228" s="29">
        <f>IF(E228="","",E228/5)</f>
        <v/>
      </c>
      <c r="G228" s="30">
        <f>IF(B228="","",IF(C228&gt;Einstellungen!$C$9,"künftig",IF(AND(D228&lt;&gt;"",D228&lt;Einstellungen!$C$9),"ausgeschieden","aktiv")))</f>
        <v/>
      </c>
      <c r="H228" s="31">
        <f>IF(OR(B228="",E228=""),"",IF(Einstellungen!$C$11="7 Tage",MAX(0,(MIN(IF(D228="",DATE(Einstellungen!$C$3,12,31),D228),Einstellungen!$C$9))-(MAX(C228,DATE(Einstellungen!$C$3,1,1)))+1),MAX(0,NETWORKDAYS(MAX(C228,DATE(Einstellungen!$C$3,1,1)),MIN(IF(D228="",DATE(Einstellungen!$C$3,12,31),D228),Einstellungen!$C$9),Einstellungen!$F$13:$F$67)))*F228)</f>
        <v/>
      </c>
    </row>
    <row r="229">
      <c r="A229" s="26" t="n"/>
      <c r="B229" s="23" t="n"/>
      <c r="C229" s="27" t="n"/>
      <c r="D229" s="27" t="n"/>
      <c r="E229" s="28" t="n"/>
      <c r="F229" s="29">
        <f>IF(E229="","",E229/5)</f>
        <v/>
      </c>
      <c r="G229" s="30">
        <f>IF(B229="","",IF(C229&gt;Einstellungen!$C$9,"künftig",IF(AND(D229&lt;&gt;"",D229&lt;Einstellungen!$C$9),"ausgeschieden","aktiv")))</f>
        <v/>
      </c>
      <c r="H229" s="31">
        <f>IF(OR(B229="",E229=""),"",IF(Einstellungen!$C$11="7 Tage",MAX(0,(MIN(IF(D229="",DATE(Einstellungen!$C$3,12,31),D229),Einstellungen!$C$9))-(MAX(C229,DATE(Einstellungen!$C$3,1,1)))+1),MAX(0,NETWORKDAYS(MAX(C229,DATE(Einstellungen!$C$3,1,1)),MIN(IF(D229="",DATE(Einstellungen!$C$3,12,31),D229),Einstellungen!$C$9),Einstellungen!$F$13:$F$67)))*F229)</f>
        <v/>
      </c>
    </row>
    <row r="230">
      <c r="A230" s="26" t="n"/>
      <c r="B230" s="23" t="n"/>
      <c r="C230" s="27" t="n"/>
      <c r="D230" s="27" t="n"/>
      <c r="E230" s="28" t="n"/>
      <c r="F230" s="29">
        <f>IF(E230="","",E230/5)</f>
        <v/>
      </c>
      <c r="G230" s="30">
        <f>IF(B230="","",IF(C230&gt;Einstellungen!$C$9,"künftig",IF(AND(D230&lt;&gt;"",D230&lt;Einstellungen!$C$9),"ausgeschieden","aktiv")))</f>
        <v/>
      </c>
      <c r="H230" s="31">
        <f>IF(OR(B230="",E230=""),"",IF(Einstellungen!$C$11="7 Tage",MAX(0,(MIN(IF(D230="",DATE(Einstellungen!$C$3,12,31),D230),Einstellungen!$C$9))-(MAX(C230,DATE(Einstellungen!$C$3,1,1)))+1),MAX(0,NETWORKDAYS(MAX(C230,DATE(Einstellungen!$C$3,1,1)),MIN(IF(D230="",DATE(Einstellungen!$C$3,12,31),D230),Einstellungen!$C$9),Einstellungen!$F$13:$F$67)))*F230)</f>
        <v/>
      </c>
    </row>
    <row r="231">
      <c r="A231" s="26" t="n"/>
      <c r="B231" s="23" t="n"/>
      <c r="C231" s="27" t="n"/>
      <c r="D231" s="27" t="n"/>
      <c r="E231" s="28" t="n"/>
      <c r="F231" s="29">
        <f>IF(E231="","",E231/5)</f>
        <v/>
      </c>
      <c r="G231" s="30">
        <f>IF(B231="","",IF(C231&gt;Einstellungen!$C$9,"künftig",IF(AND(D231&lt;&gt;"",D231&lt;Einstellungen!$C$9),"ausgeschieden","aktiv")))</f>
        <v/>
      </c>
      <c r="H231" s="31">
        <f>IF(OR(B231="",E231=""),"",IF(Einstellungen!$C$11="7 Tage",MAX(0,(MIN(IF(D231="",DATE(Einstellungen!$C$3,12,31),D231),Einstellungen!$C$9))-(MAX(C231,DATE(Einstellungen!$C$3,1,1)))+1),MAX(0,NETWORKDAYS(MAX(C231,DATE(Einstellungen!$C$3,1,1)),MIN(IF(D231="",DATE(Einstellungen!$C$3,12,31),D231),Einstellungen!$C$9),Einstellungen!$F$13:$F$67)))*F231)</f>
        <v/>
      </c>
    </row>
    <row r="232">
      <c r="A232" s="26" t="n"/>
      <c r="B232" s="23" t="n"/>
      <c r="C232" s="27" t="n"/>
      <c r="D232" s="27" t="n"/>
      <c r="E232" s="28" t="n"/>
      <c r="F232" s="29">
        <f>IF(E232="","",E232/5)</f>
        <v/>
      </c>
      <c r="G232" s="30">
        <f>IF(B232="","",IF(C232&gt;Einstellungen!$C$9,"künftig",IF(AND(D232&lt;&gt;"",D232&lt;Einstellungen!$C$9),"ausgeschieden","aktiv")))</f>
        <v/>
      </c>
      <c r="H232" s="31">
        <f>IF(OR(B232="",E232=""),"",IF(Einstellungen!$C$11="7 Tage",MAX(0,(MIN(IF(D232="",DATE(Einstellungen!$C$3,12,31),D232),Einstellungen!$C$9))-(MAX(C232,DATE(Einstellungen!$C$3,1,1)))+1),MAX(0,NETWORKDAYS(MAX(C232,DATE(Einstellungen!$C$3,1,1)),MIN(IF(D232="",DATE(Einstellungen!$C$3,12,31),D232),Einstellungen!$C$9),Einstellungen!$F$13:$F$67)))*F232)</f>
        <v/>
      </c>
    </row>
    <row r="233">
      <c r="A233" s="26" t="n"/>
      <c r="B233" s="23" t="n"/>
      <c r="C233" s="27" t="n"/>
      <c r="D233" s="27" t="n"/>
      <c r="E233" s="28" t="n"/>
      <c r="F233" s="29">
        <f>IF(E233="","",E233/5)</f>
        <v/>
      </c>
      <c r="G233" s="30">
        <f>IF(B233="","",IF(C233&gt;Einstellungen!$C$9,"künftig",IF(AND(D233&lt;&gt;"",D233&lt;Einstellungen!$C$9),"ausgeschieden","aktiv")))</f>
        <v/>
      </c>
      <c r="H233" s="31">
        <f>IF(OR(B233="",E233=""),"",IF(Einstellungen!$C$11="7 Tage",MAX(0,(MIN(IF(D233="",DATE(Einstellungen!$C$3,12,31),D233),Einstellungen!$C$9))-(MAX(C233,DATE(Einstellungen!$C$3,1,1)))+1),MAX(0,NETWORKDAYS(MAX(C233,DATE(Einstellungen!$C$3,1,1)),MIN(IF(D233="",DATE(Einstellungen!$C$3,12,31),D233),Einstellungen!$C$9),Einstellungen!$F$13:$F$67)))*F233)</f>
        <v/>
      </c>
    </row>
    <row r="234">
      <c r="A234" s="26" t="n"/>
      <c r="B234" s="23" t="n"/>
      <c r="C234" s="27" t="n"/>
      <c r="D234" s="27" t="n"/>
      <c r="E234" s="28" t="n"/>
      <c r="F234" s="29">
        <f>IF(E234="","",E234/5)</f>
        <v/>
      </c>
      <c r="G234" s="30">
        <f>IF(B234="","",IF(C234&gt;Einstellungen!$C$9,"künftig",IF(AND(D234&lt;&gt;"",D234&lt;Einstellungen!$C$9),"ausgeschieden","aktiv")))</f>
        <v/>
      </c>
      <c r="H234" s="31">
        <f>IF(OR(B234="",E234=""),"",IF(Einstellungen!$C$11="7 Tage",MAX(0,(MIN(IF(D234="",DATE(Einstellungen!$C$3,12,31),D234),Einstellungen!$C$9))-(MAX(C234,DATE(Einstellungen!$C$3,1,1)))+1),MAX(0,NETWORKDAYS(MAX(C234,DATE(Einstellungen!$C$3,1,1)),MIN(IF(D234="",DATE(Einstellungen!$C$3,12,31),D234),Einstellungen!$C$9),Einstellungen!$F$13:$F$67)))*F234)</f>
        <v/>
      </c>
    </row>
    <row r="235">
      <c r="A235" s="26" t="n"/>
      <c r="B235" s="23" t="n"/>
      <c r="C235" s="27" t="n"/>
      <c r="D235" s="27" t="n"/>
      <c r="E235" s="28" t="n"/>
      <c r="F235" s="29">
        <f>IF(E235="","",E235/5)</f>
        <v/>
      </c>
      <c r="G235" s="30">
        <f>IF(B235="","",IF(C235&gt;Einstellungen!$C$9,"künftig",IF(AND(D235&lt;&gt;"",D235&lt;Einstellungen!$C$9),"ausgeschieden","aktiv")))</f>
        <v/>
      </c>
      <c r="H235" s="31">
        <f>IF(OR(B235="",E235=""),"",IF(Einstellungen!$C$11="7 Tage",MAX(0,(MIN(IF(D235="",DATE(Einstellungen!$C$3,12,31),D235),Einstellungen!$C$9))-(MAX(C235,DATE(Einstellungen!$C$3,1,1)))+1),MAX(0,NETWORKDAYS(MAX(C235,DATE(Einstellungen!$C$3,1,1)),MIN(IF(D235="",DATE(Einstellungen!$C$3,12,31),D235),Einstellungen!$C$9),Einstellungen!$F$13:$F$67)))*F235)</f>
        <v/>
      </c>
    </row>
    <row r="236">
      <c r="A236" s="26" t="n"/>
      <c r="B236" s="23" t="n"/>
      <c r="C236" s="27" t="n"/>
      <c r="D236" s="27" t="n"/>
      <c r="E236" s="28" t="n"/>
      <c r="F236" s="29">
        <f>IF(E236="","",E236/5)</f>
        <v/>
      </c>
      <c r="G236" s="30">
        <f>IF(B236="","",IF(C236&gt;Einstellungen!$C$9,"künftig",IF(AND(D236&lt;&gt;"",D236&lt;Einstellungen!$C$9),"ausgeschieden","aktiv")))</f>
        <v/>
      </c>
      <c r="H236" s="31">
        <f>IF(OR(B236="",E236=""),"",IF(Einstellungen!$C$11="7 Tage",MAX(0,(MIN(IF(D236="",DATE(Einstellungen!$C$3,12,31),D236),Einstellungen!$C$9))-(MAX(C236,DATE(Einstellungen!$C$3,1,1)))+1),MAX(0,NETWORKDAYS(MAX(C236,DATE(Einstellungen!$C$3,1,1)),MIN(IF(D236="",DATE(Einstellungen!$C$3,12,31),D236),Einstellungen!$C$9),Einstellungen!$F$13:$F$67)))*F236)</f>
        <v/>
      </c>
    </row>
    <row r="237">
      <c r="A237" s="26" t="n"/>
      <c r="B237" s="23" t="n"/>
      <c r="C237" s="27" t="n"/>
      <c r="D237" s="27" t="n"/>
      <c r="E237" s="28" t="n"/>
      <c r="F237" s="29">
        <f>IF(E237="","",E237/5)</f>
        <v/>
      </c>
      <c r="G237" s="30">
        <f>IF(B237="","",IF(C237&gt;Einstellungen!$C$9,"künftig",IF(AND(D237&lt;&gt;"",D237&lt;Einstellungen!$C$9),"ausgeschieden","aktiv")))</f>
        <v/>
      </c>
      <c r="H237" s="31">
        <f>IF(OR(B237="",E237=""),"",IF(Einstellungen!$C$11="7 Tage",MAX(0,(MIN(IF(D237="",DATE(Einstellungen!$C$3,12,31),D237),Einstellungen!$C$9))-(MAX(C237,DATE(Einstellungen!$C$3,1,1)))+1),MAX(0,NETWORKDAYS(MAX(C237,DATE(Einstellungen!$C$3,1,1)),MIN(IF(D237="",DATE(Einstellungen!$C$3,12,31),D237),Einstellungen!$C$9),Einstellungen!$F$13:$F$67)))*F237)</f>
        <v/>
      </c>
    </row>
    <row r="238">
      <c r="A238" s="26" t="n"/>
      <c r="B238" s="23" t="n"/>
      <c r="C238" s="27" t="n"/>
      <c r="D238" s="27" t="n"/>
      <c r="E238" s="28" t="n"/>
      <c r="F238" s="29">
        <f>IF(E238="","",E238/5)</f>
        <v/>
      </c>
      <c r="G238" s="30">
        <f>IF(B238="","",IF(C238&gt;Einstellungen!$C$9,"künftig",IF(AND(D238&lt;&gt;"",D238&lt;Einstellungen!$C$9),"ausgeschieden","aktiv")))</f>
        <v/>
      </c>
      <c r="H238" s="31">
        <f>IF(OR(B238="",E238=""),"",IF(Einstellungen!$C$11="7 Tage",MAX(0,(MIN(IF(D238="",DATE(Einstellungen!$C$3,12,31),D238),Einstellungen!$C$9))-(MAX(C238,DATE(Einstellungen!$C$3,1,1)))+1),MAX(0,NETWORKDAYS(MAX(C238,DATE(Einstellungen!$C$3,1,1)),MIN(IF(D238="",DATE(Einstellungen!$C$3,12,31),D238),Einstellungen!$C$9),Einstellungen!$F$13:$F$67)))*F238)</f>
        <v/>
      </c>
    </row>
    <row r="239">
      <c r="A239" s="26" t="n"/>
      <c r="B239" s="23" t="n"/>
      <c r="C239" s="27" t="n"/>
      <c r="D239" s="27" t="n"/>
      <c r="E239" s="28" t="n"/>
      <c r="F239" s="29">
        <f>IF(E239="","",E239/5)</f>
        <v/>
      </c>
      <c r="G239" s="30">
        <f>IF(B239="","",IF(C239&gt;Einstellungen!$C$9,"künftig",IF(AND(D239&lt;&gt;"",D239&lt;Einstellungen!$C$9),"ausgeschieden","aktiv")))</f>
        <v/>
      </c>
      <c r="H239" s="31">
        <f>IF(OR(B239="",E239=""),"",IF(Einstellungen!$C$11="7 Tage",MAX(0,(MIN(IF(D239="",DATE(Einstellungen!$C$3,12,31),D239),Einstellungen!$C$9))-(MAX(C239,DATE(Einstellungen!$C$3,1,1)))+1),MAX(0,NETWORKDAYS(MAX(C239,DATE(Einstellungen!$C$3,1,1)),MIN(IF(D239="",DATE(Einstellungen!$C$3,12,31),D239),Einstellungen!$C$9),Einstellungen!$F$13:$F$67)))*F239)</f>
        <v/>
      </c>
    </row>
    <row r="240">
      <c r="A240" s="26" t="n"/>
      <c r="B240" s="23" t="n"/>
      <c r="C240" s="27" t="n"/>
      <c r="D240" s="27" t="n"/>
      <c r="E240" s="28" t="n"/>
      <c r="F240" s="29">
        <f>IF(E240="","",E240/5)</f>
        <v/>
      </c>
      <c r="G240" s="30">
        <f>IF(B240="","",IF(C240&gt;Einstellungen!$C$9,"künftig",IF(AND(D240&lt;&gt;"",D240&lt;Einstellungen!$C$9),"ausgeschieden","aktiv")))</f>
        <v/>
      </c>
      <c r="H240" s="31">
        <f>IF(OR(B240="",E240=""),"",IF(Einstellungen!$C$11="7 Tage",MAX(0,(MIN(IF(D240="",DATE(Einstellungen!$C$3,12,31),D240),Einstellungen!$C$9))-(MAX(C240,DATE(Einstellungen!$C$3,1,1)))+1),MAX(0,NETWORKDAYS(MAX(C240,DATE(Einstellungen!$C$3,1,1)),MIN(IF(D240="",DATE(Einstellungen!$C$3,12,31),D240),Einstellungen!$C$9),Einstellungen!$F$13:$F$67)))*F240)</f>
        <v/>
      </c>
    </row>
    <row r="241">
      <c r="A241" s="26" t="n"/>
      <c r="B241" s="23" t="n"/>
      <c r="C241" s="27" t="n"/>
      <c r="D241" s="27" t="n"/>
      <c r="E241" s="28" t="n"/>
      <c r="F241" s="29">
        <f>IF(E241="","",E241/5)</f>
        <v/>
      </c>
      <c r="G241" s="30">
        <f>IF(B241="","",IF(C241&gt;Einstellungen!$C$9,"künftig",IF(AND(D241&lt;&gt;"",D241&lt;Einstellungen!$C$9),"ausgeschieden","aktiv")))</f>
        <v/>
      </c>
      <c r="H241" s="31">
        <f>IF(OR(B241="",E241=""),"",IF(Einstellungen!$C$11="7 Tage",MAX(0,(MIN(IF(D241="",DATE(Einstellungen!$C$3,12,31),D241),Einstellungen!$C$9))-(MAX(C241,DATE(Einstellungen!$C$3,1,1)))+1),MAX(0,NETWORKDAYS(MAX(C241,DATE(Einstellungen!$C$3,1,1)),MIN(IF(D241="",DATE(Einstellungen!$C$3,12,31),D241),Einstellungen!$C$9),Einstellungen!$F$13:$F$67)))*F241)</f>
        <v/>
      </c>
    </row>
    <row r="242">
      <c r="A242" s="26" t="n"/>
      <c r="B242" s="23" t="n"/>
      <c r="C242" s="27" t="n"/>
      <c r="D242" s="27" t="n"/>
      <c r="E242" s="28" t="n"/>
      <c r="F242" s="29">
        <f>IF(E242="","",E242/5)</f>
        <v/>
      </c>
      <c r="G242" s="30">
        <f>IF(B242="","",IF(C242&gt;Einstellungen!$C$9,"künftig",IF(AND(D242&lt;&gt;"",D242&lt;Einstellungen!$C$9),"ausgeschieden","aktiv")))</f>
        <v/>
      </c>
      <c r="H242" s="31">
        <f>IF(OR(B242="",E242=""),"",IF(Einstellungen!$C$11="7 Tage",MAX(0,(MIN(IF(D242="",DATE(Einstellungen!$C$3,12,31),D242),Einstellungen!$C$9))-(MAX(C242,DATE(Einstellungen!$C$3,1,1)))+1),MAX(0,NETWORKDAYS(MAX(C242,DATE(Einstellungen!$C$3,1,1)),MIN(IF(D242="",DATE(Einstellungen!$C$3,12,31),D242),Einstellungen!$C$9),Einstellungen!$F$13:$F$67)))*F242)</f>
        <v/>
      </c>
    </row>
    <row r="243">
      <c r="A243" s="26" t="n"/>
      <c r="B243" s="23" t="n"/>
      <c r="C243" s="27" t="n"/>
      <c r="D243" s="27" t="n"/>
      <c r="E243" s="28" t="n"/>
      <c r="F243" s="29">
        <f>IF(E243="","",E243/5)</f>
        <v/>
      </c>
      <c r="G243" s="30">
        <f>IF(B243="","",IF(C243&gt;Einstellungen!$C$9,"künftig",IF(AND(D243&lt;&gt;"",D243&lt;Einstellungen!$C$9),"ausgeschieden","aktiv")))</f>
        <v/>
      </c>
      <c r="H243" s="31">
        <f>IF(OR(B243="",E243=""),"",IF(Einstellungen!$C$11="7 Tage",MAX(0,(MIN(IF(D243="",DATE(Einstellungen!$C$3,12,31),D243),Einstellungen!$C$9))-(MAX(C243,DATE(Einstellungen!$C$3,1,1)))+1),MAX(0,NETWORKDAYS(MAX(C243,DATE(Einstellungen!$C$3,1,1)),MIN(IF(D243="",DATE(Einstellungen!$C$3,12,31),D243),Einstellungen!$C$9),Einstellungen!$F$13:$F$67)))*F243)</f>
        <v/>
      </c>
    </row>
    <row r="244">
      <c r="A244" s="26" t="n"/>
      <c r="B244" s="23" t="n"/>
      <c r="C244" s="27" t="n"/>
      <c r="D244" s="27" t="n"/>
      <c r="E244" s="28" t="n"/>
      <c r="F244" s="29">
        <f>IF(E244="","",E244/5)</f>
        <v/>
      </c>
      <c r="G244" s="30">
        <f>IF(B244="","",IF(C244&gt;Einstellungen!$C$9,"künftig",IF(AND(D244&lt;&gt;"",D244&lt;Einstellungen!$C$9),"ausgeschieden","aktiv")))</f>
        <v/>
      </c>
      <c r="H244" s="31">
        <f>IF(OR(B244="",E244=""),"",IF(Einstellungen!$C$11="7 Tage",MAX(0,(MIN(IF(D244="",DATE(Einstellungen!$C$3,12,31),D244),Einstellungen!$C$9))-(MAX(C244,DATE(Einstellungen!$C$3,1,1)))+1),MAX(0,NETWORKDAYS(MAX(C244,DATE(Einstellungen!$C$3,1,1)),MIN(IF(D244="",DATE(Einstellungen!$C$3,12,31),D244),Einstellungen!$C$9),Einstellungen!$F$13:$F$67)))*F244)</f>
        <v/>
      </c>
    </row>
    <row r="245">
      <c r="A245" s="26" t="n"/>
      <c r="B245" s="23" t="n"/>
      <c r="C245" s="27" t="n"/>
      <c r="D245" s="27" t="n"/>
      <c r="E245" s="28" t="n"/>
      <c r="F245" s="29">
        <f>IF(E245="","",E245/5)</f>
        <v/>
      </c>
      <c r="G245" s="30">
        <f>IF(B245="","",IF(C245&gt;Einstellungen!$C$9,"künftig",IF(AND(D245&lt;&gt;"",D245&lt;Einstellungen!$C$9),"ausgeschieden","aktiv")))</f>
        <v/>
      </c>
      <c r="H245" s="31">
        <f>IF(OR(B245="",E245=""),"",IF(Einstellungen!$C$11="7 Tage",MAX(0,(MIN(IF(D245="",DATE(Einstellungen!$C$3,12,31),D245),Einstellungen!$C$9))-(MAX(C245,DATE(Einstellungen!$C$3,1,1)))+1),MAX(0,NETWORKDAYS(MAX(C245,DATE(Einstellungen!$C$3,1,1)),MIN(IF(D245="",DATE(Einstellungen!$C$3,12,31),D245),Einstellungen!$C$9),Einstellungen!$F$13:$F$67)))*F245)</f>
        <v/>
      </c>
    </row>
    <row r="246">
      <c r="A246" s="26" t="n"/>
      <c r="B246" s="23" t="n"/>
      <c r="C246" s="27" t="n"/>
      <c r="D246" s="27" t="n"/>
      <c r="E246" s="28" t="n"/>
      <c r="F246" s="29">
        <f>IF(E246="","",E246/5)</f>
        <v/>
      </c>
      <c r="G246" s="30">
        <f>IF(B246="","",IF(C246&gt;Einstellungen!$C$9,"künftig",IF(AND(D246&lt;&gt;"",D246&lt;Einstellungen!$C$9),"ausgeschieden","aktiv")))</f>
        <v/>
      </c>
      <c r="H246" s="31">
        <f>IF(OR(B246="",E246=""),"",IF(Einstellungen!$C$11="7 Tage",MAX(0,(MIN(IF(D246="",DATE(Einstellungen!$C$3,12,31),D246),Einstellungen!$C$9))-(MAX(C246,DATE(Einstellungen!$C$3,1,1)))+1),MAX(0,NETWORKDAYS(MAX(C246,DATE(Einstellungen!$C$3,1,1)),MIN(IF(D246="",DATE(Einstellungen!$C$3,12,31),D246),Einstellungen!$C$9),Einstellungen!$F$13:$F$67)))*F246)</f>
        <v/>
      </c>
    </row>
    <row r="247">
      <c r="A247" s="26" t="n"/>
      <c r="B247" s="23" t="n"/>
      <c r="C247" s="27" t="n"/>
      <c r="D247" s="27" t="n"/>
      <c r="E247" s="28" t="n"/>
      <c r="F247" s="29">
        <f>IF(E247="","",E247/5)</f>
        <v/>
      </c>
      <c r="G247" s="30">
        <f>IF(B247="","",IF(C247&gt;Einstellungen!$C$9,"künftig",IF(AND(D247&lt;&gt;"",D247&lt;Einstellungen!$C$9),"ausgeschieden","aktiv")))</f>
        <v/>
      </c>
      <c r="H247" s="31">
        <f>IF(OR(B247="",E247=""),"",IF(Einstellungen!$C$11="7 Tage",MAX(0,(MIN(IF(D247="",DATE(Einstellungen!$C$3,12,31),D247),Einstellungen!$C$9))-(MAX(C247,DATE(Einstellungen!$C$3,1,1)))+1),MAX(0,NETWORKDAYS(MAX(C247,DATE(Einstellungen!$C$3,1,1)),MIN(IF(D247="",DATE(Einstellungen!$C$3,12,31),D247),Einstellungen!$C$9),Einstellungen!$F$13:$F$67)))*F247)</f>
        <v/>
      </c>
    </row>
    <row r="248">
      <c r="A248" s="26" t="n"/>
      <c r="B248" s="23" t="n"/>
      <c r="C248" s="27" t="n"/>
      <c r="D248" s="27" t="n"/>
      <c r="E248" s="28" t="n"/>
      <c r="F248" s="29">
        <f>IF(E248="","",E248/5)</f>
        <v/>
      </c>
      <c r="G248" s="30">
        <f>IF(B248="","",IF(C248&gt;Einstellungen!$C$9,"künftig",IF(AND(D248&lt;&gt;"",D248&lt;Einstellungen!$C$9),"ausgeschieden","aktiv")))</f>
        <v/>
      </c>
      <c r="H248" s="31">
        <f>IF(OR(B248="",E248=""),"",IF(Einstellungen!$C$11="7 Tage",MAX(0,(MIN(IF(D248="",DATE(Einstellungen!$C$3,12,31),D248),Einstellungen!$C$9))-(MAX(C248,DATE(Einstellungen!$C$3,1,1)))+1),MAX(0,NETWORKDAYS(MAX(C248,DATE(Einstellungen!$C$3,1,1)),MIN(IF(D248="",DATE(Einstellungen!$C$3,12,31),D248),Einstellungen!$C$9),Einstellungen!$F$13:$F$67)))*F248)</f>
        <v/>
      </c>
    </row>
    <row r="249">
      <c r="A249" s="26" t="n"/>
      <c r="B249" s="23" t="n"/>
      <c r="C249" s="27" t="n"/>
      <c r="D249" s="27" t="n"/>
      <c r="E249" s="28" t="n"/>
      <c r="F249" s="29">
        <f>IF(E249="","",E249/5)</f>
        <v/>
      </c>
      <c r="G249" s="30">
        <f>IF(B249="","",IF(C249&gt;Einstellungen!$C$9,"künftig",IF(AND(D249&lt;&gt;"",D249&lt;Einstellungen!$C$9),"ausgeschieden","aktiv")))</f>
        <v/>
      </c>
      <c r="H249" s="31">
        <f>IF(OR(B249="",E249=""),"",IF(Einstellungen!$C$11="7 Tage",MAX(0,(MIN(IF(D249="",DATE(Einstellungen!$C$3,12,31),D249),Einstellungen!$C$9))-(MAX(C249,DATE(Einstellungen!$C$3,1,1)))+1),MAX(0,NETWORKDAYS(MAX(C249,DATE(Einstellungen!$C$3,1,1)),MIN(IF(D249="",DATE(Einstellungen!$C$3,12,31),D249),Einstellungen!$C$9),Einstellungen!$F$13:$F$67)))*F249)</f>
        <v/>
      </c>
    </row>
    <row r="250">
      <c r="A250" s="26" t="n"/>
      <c r="B250" s="23" t="n"/>
      <c r="C250" s="27" t="n"/>
      <c r="D250" s="27" t="n"/>
      <c r="E250" s="28" t="n"/>
      <c r="F250" s="29">
        <f>IF(E250="","",E250/5)</f>
        <v/>
      </c>
      <c r="G250" s="30">
        <f>IF(B250="","",IF(C250&gt;Einstellungen!$C$9,"künftig",IF(AND(D250&lt;&gt;"",D250&lt;Einstellungen!$C$9),"ausgeschieden","aktiv")))</f>
        <v/>
      </c>
      <c r="H250" s="31">
        <f>IF(OR(B250="",E250=""),"",IF(Einstellungen!$C$11="7 Tage",MAX(0,(MIN(IF(D250="",DATE(Einstellungen!$C$3,12,31),D250),Einstellungen!$C$9))-(MAX(C250,DATE(Einstellungen!$C$3,1,1)))+1),MAX(0,NETWORKDAYS(MAX(C250,DATE(Einstellungen!$C$3,1,1)),MIN(IF(D250="",DATE(Einstellungen!$C$3,12,31),D250),Einstellungen!$C$9),Einstellungen!$F$13:$F$67)))*F250)</f>
        <v/>
      </c>
    </row>
    <row r="251">
      <c r="A251" s="26" t="n"/>
      <c r="B251" s="23" t="n"/>
      <c r="C251" s="27" t="n"/>
      <c r="D251" s="27" t="n"/>
      <c r="E251" s="28" t="n"/>
      <c r="F251" s="29">
        <f>IF(E251="","",E251/5)</f>
        <v/>
      </c>
      <c r="G251" s="30">
        <f>IF(B251="","",IF(C251&gt;Einstellungen!$C$9,"künftig",IF(AND(D251&lt;&gt;"",D251&lt;Einstellungen!$C$9),"ausgeschieden","aktiv")))</f>
        <v/>
      </c>
      <c r="H251" s="31">
        <f>IF(OR(B251="",E251=""),"",IF(Einstellungen!$C$11="7 Tage",MAX(0,(MIN(IF(D251="",DATE(Einstellungen!$C$3,12,31),D251),Einstellungen!$C$9))-(MAX(C251,DATE(Einstellungen!$C$3,1,1)))+1),MAX(0,NETWORKDAYS(MAX(C251,DATE(Einstellungen!$C$3,1,1)),MIN(IF(D251="",DATE(Einstellungen!$C$3,12,31),D251),Einstellungen!$C$9),Einstellungen!$F$13:$F$67)))*F251)</f>
        <v/>
      </c>
    </row>
    <row r="252">
      <c r="A252" s="26" t="n"/>
      <c r="B252" s="23" t="n"/>
      <c r="C252" s="27" t="n"/>
      <c r="D252" s="27" t="n"/>
      <c r="E252" s="28" t="n"/>
      <c r="F252" s="29">
        <f>IF(E252="","",E252/5)</f>
        <v/>
      </c>
      <c r="G252" s="30">
        <f>IF(B252="","",IF(C252&gt;Einstellungen!$C$9,"künftig",IF(AND(D252&lt;&gt;"",D252&lt;Einstellungen!$C$9),"ausgeschieden","aktiv")))</f>
        <v/>
      </c>
      <c r="H252" s="31">
        <f>IF(OR(B252="",E252=""),"",IF(Einstellungen!$C$11="7 Tage",MAX(0,(MIN(IF(D252="",DATE(Einstellungen!$C$3,12,31),D252),Einstellungen!$C$9))-(MAX(C252,DATE(Einstellungen!$C$3,1,1)))+1),MAX(0,NETWORKDAYS(MAX(C252,DATE(Einstellungen!$C$3,1,1)),MIN(IF(D252="",DATE(Einstellungen!$C$3,12,31),D252),Einstellungen!$C$9),Einstellungen!$F$13:$F$67)))*F252)</f>
        <v/>
      </c>
    </row>
    <row r="253">
      <c r="A253" s="26" t="n"/>
      <c r="B253" s="23" t="n"/>
      <c r="C253" s="27" t="n"/>
      <c r="D253" s="27" t="n"/>
      <c r="E253" s="28" t="n"/>
      <c r="F253" s="29">
        <f>IF(E253="","",E253/5)</f>
        <v/>
      </c>
      <c r="G253" s="30">
        <f>IF(B253="","",IF(C253&gt;Einstellungen!$C$9,"künftig",IF(AND(D253&lt;&gt;"",D253&lt;Einstellungen!$C$9),"ausgeschieden","aktiv")))</f>
        <v/>
      </c>
      <c r="H253" s="31">
        <f>IF(OR(B253="",E253=""),"",IF(Einstellungen!$C$11="7 Tage",MAX(0,(MIN(IF(D253="",DATE(Einstellungen!$C$3,12,31),D253),Einstellungen!$C$9))-(MAX(C253,DATE(Einstellungen!$C$3,1,1)))+1),MAX(0,NETWORKDAYS(MAX(C253,DATE(Einstellungen!$C$3,1,1)),MIN(IF(D253="",DATE(Einstellungen!$C$3,12,31),D253),Einstellungen!$C$9),Einstellungen!$F$13:$F$67)))*F253)</f>
        <v/>
      </c>
    </row>
    <row r="254">
      <c r="A254" s="26" t="n"/>
      <c r="B254" s="23" t="n"/>
      <c r="C254" s="27" t="n"/>
      <c r="D254" s="27" t="n"/>
      <c r="E254" s="28" t="n"/>
      <c r="F254" s="29">
        <f>IF(E254="","",E254/5)</f>
        <v/>
      </c>
      <c r="G254" s="30">
        <f>IF(B254="","",IF(C254&gt;Einstellungen!$C$9,"künftig",IF(AND(D254&lt;&gt;"",D254&lt;Einstellungen!$C$9),"ausgeschieden","aktiv")))</f>
        <v/>
      </c>
      <c r="H254" s="31">
        <f>IF(OR(B254="",E254=""),"",IF(Einstellungen!$C$11="7 Tage",MAX(0,(MIN(IF(D254="",DATE(Einstellungen!$C$3,12,31),D254),Einstellungen!$C$9))-(MAX(C254,DATE(Einstellungen!$C$3,1,1)))+1),MAX(0,NETWORKDAYS(MAX(C254,DATE(Einstellungen!$C$3,1,1)),MIN(IF(D254="",DATE(Einstellungen!$C$3,12,31),D254),Einstellungen!$C$9),Einstellungen!$F$13:$F$67)))*F254)</f>
        <v/>
      </c>
    </row>
    <row r="255">
      <c r="A255" s="26" t="n"/>
      <c r="B255" s="23" t="n"/>
      <c r="C255" s="27" t="n"/>
      <c r="D255" s="27" t="n"/>
      <c r="E255" s="28" t="n"/>
      <c r="F255" s="29">
        <f>IF(E255="","",E255/5)</f>
        <v/>
      </c>
      <c r="G255" s="30">
        <f>IF(B255="","",IF(C255&gt;Einstellungen!$C$9,"künftig",IF(AND(D255&lt;&gt;"",D255&lt;Einstellungen!$C$9),"ausgeschieden","aktiv")))</f>
        <v/>
      </c>
      <c r="H255" s="31">
        <f>IF(OR(B255="",E255=""),"",IF(Einstellungen!$C$11="7 Tage",MAX(0,(MIN(IF(D255="",DATE(Einstellungen!$C$3,12,31),D255),Einstellungen!$C$9))-(MAX(C255,DATE(Einstellungen!$C$3,1,1)))+1),MAX(0,NETWORKDAYS(MAX(C255,DATE(Einstellungen!$C$3,1,1)),MIN(IF(D255="",DATE(Einstellungen!$C$3,12,31),D255),Einstellungen!$C$9),Einstellungen!$F$13:$F$67)))*F255)</f>
        <v/>
      </c>
    </row>
    <row r="256">
      <c r="A256" s="26" t="n"/>
      <c r="B256" s="23" t="n"/>
      <c r="C256" s="27" t="n"/>
      <c r="D256" s="27" t="n"/>
      <c r="E256" s="28" t="n"/>
      <c r="F256" s="29">
        <f>IF(E256="","",E256/5)</f>
        <v/>
      </c>
      <c r="G256" s="30">
        <f>IF(B256="","",IF(C256&gt;Einstellungen!$C$9,"künftig",IF(AND(D256&lt;&gt;"",D256&lt;Einstellungen!$C$9),"ausgeschieden","aktiv")))</f>
        <v/>
      </c>
      <c r="H256" s="31">
        <f>IF(OR(B256="",E256=""),"",IF(Einstellungen!$C$11="7 Tage",MAX(0,(MIN(IF(D256="",DATE(Einstellungen!$C$3,12,31),D256),Einstellungen!$C$9))-(MAX(C256,DATE(Einstellungen!$C$3,1,1)))+1),MAX(0,NETWORKDAYS(MAX(C256,DATE(Einstellungen!$C$3,1,1)),MIN(IF(D256="",DATE(Einstellungen!$C$3,12,31),D256),Einstellungen!$C$9),Einstellungen!$F$13:$F$67)))*F256)</f>
        <v/>
      </c>
    </row>
    <row r="257">
      <c r="A257" s="26" t="n"/>
      <c r="B257" s="23" t="n"/>
      <c r="C257" s="27" t="n"/>
      <c r="D257" s="27" t="n"/>
      <c r="E257" s="28" t="n"/>
      <c r="F257" s="29">
        <f>IF(E257="","",E257/5)</f>
        <v/>
      </c>
      <c r="G257" s="30">
        <f>IF(B257="","",IF(C257&gt;Einstellungen!$C$9,"künftig",IF(AND(D257&lt;&gt;"",D257&lt;Einstellungen!$C$9),"ausgeschieden","aktiv")))</f>
        <v/>
      </c>
      <c r="H257" s="31">
        <f>IF(OR(B257="",E257=""),"",IF(Einstellungen!$C$11="7 Tage",MAX(0,(MIN(IF(D257="",DATE(Einstellungen!$C$3,12,31),D257),Einstellungen!$C$9))-(MAX(C257,DATE(Einstellungen!$C$3,1,1)))+1),MAX(0,NETWORKDAYS(MAX(C257,DATE(Einstellungen!$C$3,1,1)),MIN(IF(D257="",DATE(Einstellungen!$C$3,12,31),D257),Einstellungen!$C$9),Einstellungen!$F$13:$F$67)))*F257)</f>
        <v/>
      </c>
    </row>
    <row r="258">
      <c r="A258" s="26" t="n"/>
      <c r="B258" s="23" t="n"/>
      <c r="C258" s="27" t="n"/>
      <c r="D258" s="27" t="n"/>
      <c r="E258" s="28" t="n"/>
      <c r="F258" s="29">
        <f>IF(E258="","",E258/5)</f>
        <v/>
      </c>
      <c r="G258" s="30">
        <f>IF(B258="","",IF(C258&gt;Einstellungen!$C$9,"künftig",IF(AND(D258&lt;&gt;"",D258&lt;Einstellungen!$C$9),"ausgeschieden","aktiv")))</f>
        <v/>
      </c>
      <c r="H258" s="31">
        <f>IF(OR(B258="",E258=""),"",IF(Einstellungen!$C$11="7 Tage",MAX(0,(MIN(IF(D258="",DATE(Einstellungen!$C$3,12,31),D258),Einstellungen!$C$9))-(MAX(C258,DATE(Einstellungen!$C$3,1,1)))+1),MAX(0,NETWORKDAYS(MAX(C258,DATE(Einstellungen!$C$3,1,1)),MIN(IF(D258="",DATE(Einstellungen!$C$3,12,31),D258),Einstellungen!$C$9),Einstellungen!$F$13:$F$67)))*F258)</f>
        <v/>
      </c>
    </row>
    <row r="259">
      <c r="A259" s="26" t="n"/>
      <c r="B259" s="23" t="n"/>
      <c r="C259" s="27" t="n"/>
      <c r="D259" s="27" t="n"/>
      <c r="E259" s="28" t="n"/>
      <c r="F259" s="29">
        <f>IF(E259="","",E259/5)</f>
        <v/>
      </c>
      <c r="G259" s="30">
        <f>IF(B259="","",IF(C259&gt;Einstellungen!$C$9,"künftig",IF(AND(D259&lt;&gt;"",D259&lt;Einstellungen!$C$9),"ausgeschieden","aktiv")))</f>
        <v/>
      </c>
      <c r="H259" s="31">
        <f>IF(OR(B259="",E259=""),"",IF(Einstellungen!$C$11="7 Tage",MAX(0,(MIN(IF(D259="",DATE(Einstellungen!$C$3,12,31),D259),Einstellungen!$C$9))-(MAX(C259,DATE(Einstellungen!$C$3,1,1)))+1),MAX(0,NETWORKDAYS(MAX(C259,DATE(Einstellungen!$C$3,1,1)),MIN(IF(D259="",DATE(Einstellungen!$C$3,12,31),D259),Einstellungen!$C$9),Einstellungen!$F$13:$F$67)))*F259)</f>
        <v/>
      </c>
    </row>
    <row r="260">
      <c r="A260" s="26" t="n"/>
      <c r="B260" s="23" t="n"/>
      <c r="C260" s="27" t="n"/>
      <c r="D260" s="27" t="n"/>
      <c r="E260" s="28" t="n"/>
      <c r="F260" s="29">
        <f>IF(E260="","",E260/5)</f>
        <v/>
      </c>
      <c r="G260" s="30">
        <f>IF(B260="","",IF(C260&gt;Einstellungen!$C$9,"künftig",IF(AND(D260&lt;&gt;"",D260&lt;Einstellungen!$C$9),"ausgeschieden","aktiv")))</f>
        <v/>
      </c>
      <c r="H260" s="31">
        <f>IF(OR(B260="",E260=""),"",IF(Einstellungen!$C$11="7 Tage",MAX(0,(MIN(IF(D260="",DATE(Einstellungen!$C$3,12,31),D260),Einstellungen!$C$9))-(MAX(C260,DATE(Einstellungen!$C$3,1,1)))+1),MAX(0,NETWORKDAYS(MAX(C260,DATE(Einstellungen!$C$3,1,1)),MIN(IF(D260="",DATE(Einstellungen!$C$3,12,31),D260),Einstellungen!$C$9),Einstellungen!$F$13:$F$67)))*F260)</f>
        <v/>
      </c>
    </row>
    <row r="261">
      <c r="A261" s="26" t="n"/>
      <c r="B261" s="23" t="n"/>
      <c r="C261" s="27" t="n"/>
      <c r="D261" s="27" t="n"/>
      <c r="E261" s="28" t="n"/>
      <c r="F261" s="29">
        <f>IF(E261="","",E261/5)</f>
        <v/>
      </c>
      <c r="G261" s="30">
        <f>IF(B261="","",IF(C261&gt;Einstellungen!$C$9,"künftig",IF(AND(D261&lt;&gt;"",D261&lt;Einstellungen!$C$9),"ausgeschieden","aktiv")))</f>
        <v/>
      </c>
      <c r="H261" s="31">
        <f>IF(OR(B261="",E261=""),"",IF(Einstellungen!$C$11="7 Tage",MAX(0,(MIN(IF(D261="",DATE(Einstellungen!$C$3,12,31),D261),Einstellungen!$C$9))-(MAX(C261,DATE(Einstellungen!$C$3,1,1)))+1),MAX(0,NETWORKDAYS(MAX(C261,DATE(Einstellungen!$C$3,1,1)),MIN(IF(D261="",DATE(Einstellungen!$C$3,12,31),D261),Einstellungen!$C$9),Einstellungen!$F$13:$F$67)))*F261)</f>
        <v/>
      </c>
    </row>
    <row r="262">
      <c r="A262" s="26" t="n"/>
      <c r="B262" s="23" t="n"/>
      <c r="C262" s="27" t="n"/>
      <c r="D262" s="27" t="n"/>
      <c r="E262" s="28" t="n"/>
      <c r="F262" s="29">
        <f>IF(E262="","",E262/5)</f>
        <v/>
      </c>
      <c r="G262" s="30">
        <f>IF(B262="","",IF(C262&gt;Einstellungen!$C$9,"künftig",IF(AND(D262&lt;&gt;"",D262&lt;Einstellungen!$C$9),"ausgeschieden","aktiv")))</f>
        <v/>
      </c>
      <c r="H262" s="31">
        <f>IF(OR(B262="",E262=""),"",IF(Einstellungen!$C$11="7 Tage",MAX(0,(MIN(IF(D262="",DATE(Einstellungen!$C$3,12,31),D262),Einstellungen!$C$9))-(MAX(C262,DATE(Einstellungen!$C$3,1,1)))+1),MAX(0,NETWORKDAYS(MAX(C262,DATE(Einstellungen!$C$3,1,1)),MIN(IF(D262="",DATE(Einstellungen!$C$3,12,31),D262),Einstellungen!$C$9),Einstellungen!$F$13:$F$67)))*F262)</f>
        <v/>
      </c>
    </row>
    <row r="263">
      <c r="A263" s="26" t="n"/>
      <c r="B263" s="23" t="n"/>
      <c r="C263" s="27" t="n"/>
      <c r="D263" s="27" t="n"/>
      <c r="E263" s="28" t="n"/>
      <c r="F263" s="29">
        <f>IF(E263="","",E263/5)</f>
        <v/>
      </c>
      <c r="G263" s="30">
        <f>IF(B263="","",IF(C263&gt;Einstellungen!$C$9,"künftig",IF(AND(D263&lt;&gt;"",D263&lt;Einstellungen!$C$9),"ausgeschieden","aktiv")))</f>
        <v/>
      </c>
      <c r="H263" s="31">
        <f>IF(OR(B263="",E263=""),"",IF(Einstellungen!$C$11="7 Tage",MAX(0,(MIN(IF(D263="",DATE(Einstellungen!$C$3,12,31),D263),Einstellungen!$C$9))-(MAX(C263,DATE(Einstellungen!$C$3,1,1)))+1),MAX(0,NETWORKDAYS(MAX(C263,DATE(Einstellungen!$C$3,1,1)),MIN(IF(D263="",DATE(Einstellungen!$C$3,12,31),D263),Einstellungen!$C$9),Einstellungen!$F$13:$F$67)))*F263)</f>
        <v/>
      </c>
    </row>
    <row r="264">
      <c r="A264" s="26" t="n"/>
      <c r="B264" s="23" t="n"/>
      <c r="C264" s="27" t="n"/>
      <c r="D264" s="27" t="n"/>
      <c r="E264" s="28" t="n"/>
      <c r="F264" s="29">
        <f>IF(E264="","",E264/5)</f>
        <v/>
      </c>
      <c r="G264" s="30">
        <f>IF(B264="","",IF(C264&gt;Einstellungen!$C$9,"künftig",IF(AND(D264&lt;&gt;"",D264&lt;Einstellungen!$C$9),"ausgeschieden","aktiv")))</f>
        <v/>
      </c>
      <c r="H264" s="31">
        <f>IF(OR(B264="",E264=""),"",IF(Einstellungen!$C$11="7 Tage",MAX(0,(MIN(IF(D264="",DATE(Einstellungen!$C$3,12,31),D264),Einstellungen!$C$9))-(MAX(C264,DATE(Einstellungen!$C$3,1,1)))+1),MAX(0,NETWORKDAYS(MAX(C264,DATE(Einstellungen!$C$3,1,1)),MIN(IF(D264="",DATE(Einstellungen!$C$3,12,31),D264),Einstellungen!$C$9),Einstellungen!$F$13:$F$67)))*F264)</f>
        <v/>
      </c>
    </row>
    <row r="265">
      <c r="A265" s="26" t="n"/>
      <c r="B265" s="23" t="n"/>
      <c r="C265" s="27" t="n"/>
      <c r="D265" s="27" t="n"/>
      <c r="E265" s="28" t="n"/>
      <c r="F265" s="29">
        <f>IF(E265="","",E265/5)</f>
        <v/>
      </c>
      <c r="G265" s="30">
        <f>IF(B265="","",IF(C265&gt;Einstellungen!$C$9,"künftig",IF(AND(D265&lt;&gt;"",D265&lt;Einstellungen!$C$9),"ausgeschieden","aktiv")))</f>
        <v/>
      </c>
      <c r="H265" s="31">
        <f>IF(OR(B265="",E265=""),"",IF(Einstellungen!$C$11="7 Tage",MAX(0,(MIN(IF(D265="",DATE(Einstellungen!$C$3,12,31),D265),Einstellungen!$C$9))-(MAX(C265,DATE(Einstellungen!$C$3,1,1)))+1),MAX(0,NETWORKDAYS(MAX(C265,DATE(Einstellungen!$C$3,1,1)),MIN(IF(D265="",DATE(Einstellungen!$C$3,12,31),D265),Einstellungen!$C$9),Einstellungen!$F$13:$F$67)))*F265)</f>
        <v/>
      </c>
    </row>
    <row r="266">
      <c r="A266" s="26" t="n"/>
      <c r="B266" s="23" t="n"/>
      <c r="C266" s="27" t="n"/>
      <c r="D266" s="27" t="n"/>
      <c r="E266" s="28" t="n"/>
      <c r="F266" s="29">
        <f>IF(E266="","",E266/5)</f>
        <v/>
      </c>
      <c r="G266" s="30">
        <f>IF(B266="","",IF(C266&gt;Einstellungen!$C$9,"künftig",IF(AND(D266&lt;&gt;"",D266&lt;Einstellungen!$C$9),"ausgeschieden","aktiv")))</f>
        <v/>
      </c>
      <c r="H266" s="31">
        <f>IF(OR(B266="",E266=""),"",IF(Einstellungen!$C$11="7 Tage",MAX(0,(MIN(IF(D266="",DATE(Einstellungen!$C$3,12,31),D266),Einstellungen!$C$9))-(MAX(C266,DATE(Einstellungen!$C$3,1,1)))+1),MAX(0,NETWORKDAYS(MAX(C266,DATE(Einstellungen!$C$3,1,1)),MIN(IF(D266="",DATE(Einstellungen!$C$3,12,31),D266),Einstellungen!$C$9),Einstellungen!$F$13:$F$67)))*F266)</f>
        <v/>
      </c>
    </row>
    <row r="267">
      <c r="A267" s="26" t="n"/>
      <c r="B267" s="23" t="n"/>
      <c r="C267" s="27" t="n"/>
      <c r="D267" s="27" t="n"/>
      <c r="E267" s="28" t="n"/>
      <c r="F267" s="29">
        <f>IF(E267="","",E267/5)</f>
        <v/>
      </c>
      <c r="G267" s="30">
        <f>IF(B267="","",IF(C267&gt;Einstellungen!$C$9,"künftig",IF(AND(D267&lt;&gt;"",D267&lt;Einstellungen!$C$9),"ausgeschieden","aktiv")))</f>
        <v/>
      </c>
      <c r="H267" s="31">
        <f>IF(OR(B267="",E267=""),"",IF(Einstellungen!$C$11="7 Tage",MAX(0,(MIN(IF(D267="",DATE(Einstellungen!$C$3,12,31),D267),Einstellungen!$C$9))-(MAX(C267,DATE(Einstellungen!$C$3,1,1)))+1),MAX(0,NETWORKDAYS(MAX(C267,DATE(Einstellungen!$C$3,1,1)),MIN(IF(D267="",DATE(Einstellungen!$C$3,12,31),D267),Einstellungen!$C$9),Einstellungen!$F$13:$F$67)))*F267)</f>
        <v/>
      </c>
    </row>
    <row r="268">
      <c r="A268" s="26" t="n"/>
      <c r="B268" s="23" t="n"/>
      <c r="C268" s="27" t="n"/>
      <c r="D268" s="27" t="n"/>
      <c r="E268" s="28" t="n"/>
      <c r="F268" s="29">
        <f>IF(E268="","",E268/5)</f>
        <v/>
      </c>
      <c r="G268" s="30">
        <f>IF(B268="","",IF(C268&gt;Einstellungen!$C$9,"künftig",IF(AND(D268&lt;&gt;"",D268&lt;Einstellungen!$C$9),"ausgeschieden","aktiv")))</f>
        <v/>
      </c>
      <c r="H268" s="31">
        <f>IF(OR(B268="",E268=""),"",IF(Einstellungen!$C$11="7 Tage",MAX(0,(MIN(IF(D268="",DATE(Einstellungen!$C$3,12,31),D268),Einstellungen!$C$9))-(MAX(C268,DATE(Einstellungen!$C$3,1,1)))+1),MAX(0,NETWORKDAYS(MAX(C268,DATE(Einstellungen!$C$3,1,1)),MIN(IF(D268="",DATE(Einstellungen!$C$3,12,31),D268),Einstellungen!$C$9),Einstellungen!$F$13:$F$67)))*F268)</f>
        <v/>
      </c>
    </row>
    <row r="269">
      <c r="A269" s="26" t="n"/>
      <c r="B269" s="23" t="n"/>
      <c r="C269" s="27" t="n"/>
      <c r="D269" s="27" t="n"/>
      <c r="E269" s="28" t="n"/>
      <c r="F269" s="29">
        <f>IF(E269="","",E269/5)</f>
        <v/>
      </c>
      <c r="G269" s="30">
        <f>IF(B269="","",IF(C269&gt;Einstellungen!$C$9,"künftig",IF(AND(D269&lt;&gt;"",D269&lt;Einstellungen!$C$9),"ausgeschieden","aktiv")))</f>
        <v/>
      </c>
      <c r="H269" s="31">
        <f>IF(OR(B269="",E269=""),"",IF(Einstellungen!$C$11="7 Tage",MAX(0,(MIN(IF(D269="",DATE(Einstellungen!$C$3,12,31),D269),Einstellungen!$C$9))-(MAX(C269,DATE(Einstellungen!$C$3,1,1)))+1),MAX(0,NETWORKDAYS(MAX(C269,DATE(Einstellungen!$C$3,1,1)),MIN(IF(D269="",DATE(Einstellungen!$C$3,12,31),D269),Einstellungen!$C$9),Einstellungen!$F$13:$F$67)))*F269)</f>
        <v/>
      </c>
    </row>
    <row r="270">
      <c r="A270" s="26" t="n"/>
      <c r="B270" s="23" t="n"/>
      <c r="C270" s="27" t="n"/>
      <c r="D270" s="27" t="n"/>
      <c r="E270" s="28" t="n"/>
      <c r="F270" s="29">
        <f>IF(E270="","",E270/5)</f>
        <v/>
      </c>
      <c r="G270" s="30">
        <f>IF(B270="","",IF(C270&gt;Einstellungen!$C$9,"künftig",IF(AND(D270&lt;&gt;"",D270&lt;Einstellungen!$C$9),"ausgeschieden","aktiv")))</f>
        <v/>
      </c>
      <c r="H270" s="31">
        <f>IF(OR(B270="",E270=""),"",IF(Einstellungen!$C$11="7 Tage",MAX(0,(MIN(IF(D270="",DATE(Einstellungen!$C$3,12,31),D270),Einstellungen!$C$9))-(MAX(C270,DATE(Einstellungen!$C$3,1,1)))+1),MAX(0,NETWORKDAYS(MAX(C270,DATE(Einstellungen!$C$3,1,1)),MIN(IF(D270="",DATE(Einstellungen!$C$3,12,31),D270),Einstellungen!$C$9),Einstellungen!$F$13:$F$67)))*F270)</f>
        <v/>
      </c>
    </row>
    <row r="271">
      <c r="A271" s="26" t="n"/>
      <c r="B271" s="23" t="n"/>
      <c r="C271" s="27" t="n"/>
      <c r="D271" s="27" t="n"/>
      <c r="E271" s="28" t="n"/>
      <c r="F271" s="29">
        <f>IF(E271="","",E271/5)</f>
        <v/>
      </c>
      <c r="G271" s="30">
        <f>IF(B271="","",IF(C271&gt;Einstellungen!$C$9,"künftig",IF(AND(D271&lt;&gt;"",D271&lt;Einstellungen!$C$9),"ausgeschieden","aktiv")))</f>
        <v/>
      </c>
      <c r="H271" s="31">
        <f>IF(OR(B271="",E271=""),"",IF(Einstellungen!$C$11="7 Tage",MAX(0,(MIN(IF(D271="",DATE(Einstellungen!$C$3,12,31),D271),Einstellungen!$C$9))-(MAX(C271,DATE(Einstellungen!$C$3,1,1)))+1),MAX(0,NETWORKDAYS(MAX(C271,DATE(Einstellungen!$C$3,1,1)),MIN(IF(D271="",DATE(Einstellungen!$C$3,12,31),D271),Einstellungen!$C$9),Einstellungen!$F$13:$F$67)))*F271)</f>
        <v/>
      </c>
    </row>
    <row r="272">
      <c r="A272" s="26" t="n"/>
      <c r="B272" s="23" t="n"/>
      <c r="C272" s="27" t="n"/>
      <c r="D272" s="27" t="n"/>
      <c r="E272" s="28" t="n"/>
      <c r="F272" s="29">
        <f>IF(E272="","",E272/5)</f>
        <v/>
      </c>
      <c r="G272" s="30">
        <f>IF(B272="","",IF(C272&gt;Einstellungen!$C$9,"künftig",IF(AND(D272&lt;&gt;"",D272&lt;Einstellungen!$C$9),"ausgeschieden","aktiv")))</f>
        <v/>
      </c>
      <c r="H272" s="31">
        <f>IF(OR(B272="",E272=""),"",IF(Einstellungen!$C$11="7 Tage",MAX(0,(MIN(IF(D272="",DATE(Einstellungen!$C$3,12,31),D272),Einstellungen!$C$9))-(MAX(C272,DATE(Einstellungen!$C$3,1,1)))+1),MAX(0,NETWORKDAYS(MAX(C272,DATE(Einstellungen!$C$3,1,1)),MIN(IF(D272="",DATE(Einstellungen!$C$3,12,31),D272),Einstellungen!$C$9),Einstellungen!$F$13:$F$67)))*F272)</f>
        <v/>
      </c>
    </row>
    <row r="273">
      <c r="A273" s="26" t="n"/>
      <c r="B273" s="23" t="n"/>
      <c r="C273" s="27" t="n"/>
      <c r="D273" s="27" t="n"/>
      <c r="E273" s="28" t="n"/>
      <c r="F273" s="29">
        <f>IF(E273="","",E273/5)</f>
        <v/>
      </c>
      <c r="G273" s="30">
        <f>IF(B273="","",IF(C273&gt;Einstellungen!$C$9,"künftig",IF(AND(D273&lt;&gt;"",D273&lt;Einstellungen!$C$9),"ausgeschieden","aktiv")))</f>
        <v/>
      </c>
      <c r="H273" s="31">
        <f>IF(OR(B273="",E273=""),"",IF(Einstellungen!$C$11="7 Tage",MAX(0,(MIN(IF(D273="",DATE(Einstellungen!$C$3,12,31),D273),Einstellungen!$C$9))-(MAX(C273,DATE(Einstellungen!$C$3,1,1)))+1),MAX(0,NETWORKDAYS(MAX(C273,DATE(Einstellungen!$C$3,1,1)),MIN(IF(D273="",DATE(Einstellungen!$C$3,12,31),D273),Einstellungen!$C$9),Einstellungen!$F$13:$F$67)))*F273)</f>
        <v/>
      </c>
    </row>
    <row r="274">
      <c r="A274" s="26" t="n"/>
      <c r="B274" s="23" t="n"/>
      <c r="C274" s="27" t="n"/>
      <c r="D274" s="27" t="n"/>
      <c r="E274" s="28" t="n"/>
      <c r="F274" s="29">
        <f>IF(E274="","",E274/5)</f>
        <v/>
      </c>
      <c r="G274" s="30">
        <f>IF(B274="","",IF(C274&gt;Einstellungen!$C$9,"künftig",IF(AND(D274&lt;&gt;"",D274&lt;Einstellungen!$C$9),"ausgeschieden","aktiv")))</f>
        <v/>
      </c>
      <c r="H274" s="31">
        <f>IF(OR(B274="",E274=""),"",IF(Einstellungen!$C$11="7 Tage",MAX(0,(MIN(IF(D274="",DATE(Einstellungen!$C$3,12,31),D274),Einstellungen!$C$9))-(MAX(C274,DATE(Einstellungen!$C$3,1,1)))+1),MAX(0,NETWORKDAYS(MAX(C274,DATE(Einstellungen!$C$3,1,1)),MIN(IF(D274="",DATE(Einstellungen!$C$3,12,31),D274),Einstellungen!$C$9),Einstellungen!$F$13:$F$67)))*F274)</f>
        <v/>
      </c>
    </row>
    <row r="275">
      <c r="A275" s="26" t="n"/>
      <c r="B275" s="23" t="n"/>
      <c r="C275" s="27" t="n"/>
      <c r="D275" s="27" t="n"/>
      <c r="E275" s="28" t="n"/>
      <c r="F275" s="29">
        <f>IF(E275="","",E275/5)</f>
        <v/>
      </c>
      <c r="G275" s="30">
        <f>IF(B275="","",IF(C275&gt;Einstellungen!$C$9,"künftig",IF(AND(D275&lt;&gt;"",D275&lt;Einstellungen!$C$9),"ausgeschieden","aktiv")))</f>
        <v/>
      </c>
      <c r="H275" s="31">
        <f>IF(OR(B275="",E275=""),"",IF(Einstellungen!$C$11="7 Tage",MAX(0,(MIN(IF(D275="",DATE(Einstellungen!$C$3,12,31),D275),Einstellungen!$C$9))-(MAX(C275,DATE(Einstellungen!$C$3,1,1)))+1),MAX(0,NETWORKDAYS(MAX(C275,DATE(Einstellungen!$C$3,1,1)),MIN(IF(D275="",DATE(Einstellungen!$C$3,12,31),D275),Einstellungen!$C$9),Einstellungen!$F$13:$F$67)))*F275)</f>
        <v/>
      </c>
    </row>
    <row r="276">
      <c r="A276" s="26" t="n"/>
      <c r="B276" s="23" t="n"/>
      <c r="C276" s="27" t="n"/>
      <c r="D276" s="27" t="n"/>
      <c r="E276" s="28" t="n"/>
      <c r="F276" s="29">
        <f>IF(E276="","",E276/5)</f>
        <v/>
      </c>
      <c r="G276" s="30">
        <f>IF(B276="","",IF(C276&gt;Einstellungen!$C$9,"künftig",IF(AND(D276&lt;&gt;"",D276&lt;Einstellungen!$C$9),"ausgeschieden","aktiv")))</f>
        <v/>
      </c>
      <c r="H276" s="31">
        <f>IF(OR(B276="",E276=""),"",IF(Einstellungen!$C$11="7 Tage",MAX(0,(MIN(IF(D276="",DATE(Einstellungen!$C$3,12,31),D276),Einstellungen!$C$9))-(MAX(C276,DATE(Einstellungen!$C$3,1,1)))+1),MAX(0,NETWORKDAYS(MAX(C276,DATE(Einstellungen!$C$3,1,1)),MIN(IF(D276="",DATE(Einstellungen!$C$3,12,31),D276),Einstellungen!$C$9),Einstellungen!$F$13:$F$67)))*F276)</f>
        <v/>
      </c>
    </row>
    <row r="277">
      <c r="A277" s="26" t="n"/>
      <c r="B277" s="23" t="n"/>
      <c r="C277" s="27" t="n"/>
      <c r="D277" s="27" t="n"/>
      <c r="E277" s="28" t="n"/>
      <c r="F277" s="29">
        <f>IF(E277="","",E277/5)</f>
        <v/>
      </c>
      <c r="G277" s="30">
        <f>IF(B277="","",IF(C277&gt;Einstellungen!$C$9,"künftig",IF(AND(D277&lt;&gt;"",D277&lt;Einstellungen!$C$9),"ausgeschieden","aktiv")))</f>
        <v/>
      </c>
      <c r="H277" s="31">
        <f>IF(OR(B277="",E277=""),"",IF(Einstellungen!$C$11="7 Tage",MAX(0,(MIN(IF(D277="",DATE(Einstellungen!$C$3,12,31),D277),Einstellungen!$C$9))-(MAX(C277,DATE(Einstellungen!$C$3,1,1)))+1),MAX(0,NETWORKDAYS(MAX(C277,DATE(Einstellungen!$C$3,1,1)),MIN(IF(D277="",DATE(Einstellungen!$C$3,12,31),D277),Einstellungen!$C$9),Einstellungen!$F$13:$F$67)))*F277)</f>
        <v/>
      </c>
    </row>
    <row r="278">
      <c r="A278" s="26" t="n"/>
      <c r="B278" s="23" t="n"/>
      <c r="C278" s="27" t="n"/>
      <c r="D278" s="27" t="n"/>
      <c r="E278" s="28" t="n"/>
      <c r="F278" s="29">
        <f>IF(E278="","",E278/5)</f>
        <v/>
      </c>
      <c r="G278" s="30">
        <f>IF(B278="","",IF(C278&gt;Einstellungen!$C$9,"künftig",IF(AND(D278&lt;&gt;"",D278&lt;Einstellungen!$C$9),"ausgeschieden","aktiv")))</f>
        <v/>
      </c>
      <c r="H278" s="31">
        <f>IF(OR(B278="",E278=""),"",IF(Einstellungen!$C$11="7 Tage",MAX(0,(MIN(IF(D278="",DATE(Einstellungen!$C$3,12,31),D278),Einstellungen!$C$9))-(MAX(C278,DATE(Einstellungen!$C$3,1,1)))+1),MAX(0,NETWORKDAYS(MAX(C278,DATE(Einstellungen!$C$3,1,1)),MIN(IF(D278="",DATE(Einstellungen!$C$3,12,31),D278),Einstellungen!$C$9),Einstellungen!$F$13:$F$67)))*F278)</f>
        <v/>
      </c>
    </row>
    <row r="279">
      <c r="A279" s="26" t="n"/>
      <c r="B279" s="23" t="n"/>
      <c r="C279" s="27" t="n"/>
      <c r="D279" s="27" t="n"/>
      <c r="E279" s="28" t="n"/>
      <c r="F279" s="29">
        <f>IF(E279="","",E279/5)</f>
        <v/>
      </c>
      <c r="G279" s="30">
        <f>IF(B279="","",IF(C279&gt;Einstellungen!$C$9,"künftig",IF(AND(D279&lt;&gt;"",D279&lt;Einstellungen!$C$9),"ausgeschieden","aktiv")))</f>
        <v/>
      </c>
      <c r="H279" s="31">
        <f>IF(OR(B279="",E279=""),"",IF(Einstellungen!$C$11="7 Tage",MAX(0,(MIN(IF(D279="",DATE(Einstellungen!$C$3,12,31),D279),Einstellungen!$C$9))-(MAX(C279,DATE(Einstellungen!$C$3,1,1)))+1),MAX(0,NETWORKDAYS(MAX(C279,DATE(Einstellungen!$C$3,1,1)),MIN(IF(D279="",DATE(Einstellungen!$C$3,12,31),D279),Einstellungen!$C$9),Einstellungen!$F$13:$F$67)))*F279)</f>
        <v/>
      </c>
    </row>
    <row r="280">
      <c r="A280" s="26" t="n"/>
      <c r="B280" s="23" t="n"/>
      <c r="C280" s="27" t="n"/>
      <c r="D280" s="27" t="n"/>
      <c r="E280" s="28" t="n"/>
      <c r="F280" s="29">
        <f>IF(E280="","",E280/5)</f>
        <v/>
      </c>
      <c r="G280" s="30">
        <f>IF(B280="","",IF(C280&gt;Einstellungen!$C$9,"künftig",IF(AND(D280&lt;&gt;"",D280&lt;Einstellungen!$C$9),"ausgeschieden","aktiv")))</f>
        <v/>
      </c>
      <c r="H280" s="31">
        <f>IF(OR(B280="",E280=""),"",IF(Einstellungen!$C$11="7 Tage",MAX(0,(MIN(IF(D280="",DATE(Einstellungen!$C$3,12,31),D280),Einstellungen!$C$9))-(MAX(C280,DATE(Einstellungen!$C$3,1,1)))+1),MAX(0,NETWORKDAYS(MAX(C280,DATE(Einstellungen!$C$3,1,1)),MIN(IF(D280="",DATE(Einstellungen!$C$3,12,31),D280),Einstellungen!$C$9),Einstellungen!$F$13:$F$67)))*F280)</f>
        <v/>
      </c>
    </row>
    <row r="281">
      <c r="A281" s="26" t="n"/>
      <c r="B281" s="23" t="n"/>
      <c r="C281" s="27" t="n"/>
      <c r="D281" s="27" t="n"/>
      <c r="E281" s="28" t="n"/>
      <c r="F281" s="29">
        <f>IF(E281="","",E281/5)</f>
        <v/>
      </c>
      <c r="G281" s="30">
        <f>IF(B281="","",IF(C281&gt;Einstellungen!$C$9,"künftig",IF(AND(D281&lt;&gt;"",D281&lt;Einstellungen!$C$9),"ausgeschieden","aktiv")))</f>
        <v/>
      </c>
      <c r="H281" s="31">
        <f>IF(OR(B281="",E281=""),"",IF(Einstellungen!$C$11="7 Tage",MAX(0,(MIN(IF(D281="",DATE(Einstellungen!$C$3,12,31),D281),Einstellungen!$C$9))-(MAX(C281,DATE(Einstellungen!$C$3,1,1)))+1),MAX(0,NETWORKDAYS(MAX(C281,DATE(Einstellungen!$C$3,1,1)),MIN(IF(D281="",DATE(Einstellungen!$C$3,12,31),D281),Einstellungen!$C$9),Einstellungen!$F$13:$F$67)))*F281)</f>
        <v/>
      </c>
    </row>
    <row r="282">
      <c r="A282" s="26" t="n"/>
      <c r="B282" s="23" t="n"/>
      <c r="C282" s="27" t="n"/>
      <c r="D282" s="27" t="n"/>
      <c r="E282" s="28" t="n"/>
      <c r="F282" s="29">
        <f>IF(E282="","",E282/5)</f>
        <v/>
      </c>
      <c r="G282" s="30">
        <f>IF(B282="","",IF(C282&gt;Einstellungen!$C$9,"künftig",IF(AND(D282&lt;&gt;"",D282&lt;Einstellungen!$C$9),"ausgeschieden","aktiv")))</f>
        <v/>
      </c>
      <c r="H282" s="31">
        <f>IF(OR(B282="",E282=""),"",IF(Einstellungen!$C$11="7 Tage",MAX(0,(MIN(IF(D282="",DATE(Einstellungen!$C$3,12,31),D282),Einstellungen!$C$9))-(MAX(C282,DATE(Einstellungen!$C$3,1,1)))+1),MAX(0,NETWORKDAYS(MAX(C282,DATE(Einstellungen!$C$3,1,1)),MIN(IF(D282="",DATE(Einstellungen!$C$3,12,31),D282),Einstellungen!$C$9),Einstellungen!$F$13:$F$67)))*F282)</f>
        <v/>
      </c>
    </row>
    <row r="283">
      <c r="A283" s="26" t="n"/>
      <c r="B283" s="23" t="n"/>
      <c r="C283" s="27" t="n"/>
      <c r="D283" s="27" t="n"/>
      <c r="E283" s="28" t="n"/>
      <c r="F283" s="29">
        <f>IF(E283="","",E283/5)</f>
        <v/>
      </c>
      <c r="G283" s="30">
        <f>IF(B283="","",IF(C283&gt;Einstellungen!$C$9,"künftig",IF(AND(D283&lt;&gt;"",D283&lt;Einstellungen!$C$9),"ausgeschieden","aktiv")))</f>
        <v/>
      </c>
      <c r="H283" s="31">
        <f>IF(OR(B283="",E283=""),"",IF(Einstellungen!$C$11="7 Tage",MAX(0,(MIN(IF(D283="",DATE(Einstellungen!$C$3,12,31),D283),Einstellungen!$C$9))-(MAX(C283,DATE(Einstellungen!$C$3,1,1)))+1),MAX(0,NETWORKDAYS(MAX(C283,DATE(Einstellungen!$C$3,1,1)),MIN(IF(D283="",DATE(Einstellungen!$C$3,12,31),D283),Einstellungen!$C$9),Einstellungen!$F$13:$F$67)))*F283)</f>
        <v/>
      </c>
    </row>
    <row r="284">
      <c r="A284" s="26" t="n"/>
      <c r="B284" s="23" t="n"/>
      <c r="C284" s="27" t="n"/>
      <c r="D284" s="27" t="n"/>
      <c r="E284" s="28" t="n"/>
      <c r="F284" s="29">
        <f>IF(E284="","",E284/5)</f>
        <v/>
      </c>
      <c r="G284" s="30">
        <f>IF(B284="","",IF(C284&gt;Einstellungen!$C$9,"künftig",IF(AND(D284&lt;&gt;"",D284&lt;Einstellungen!$C$9),"ausgeschieden","aktiv")))</f>
        <v/>
      </c>
      <c r="H284" s="31">
        <f>IF(OR(B284="",E284=""),"",IF(Einstellungen!$C$11="7 Tage",MAX(0,(MIN(IF(D284="",DATE(Einstellungen!$C$3,12,31),D284),Einstellungen!$C$9))-(MAX(C284,DATE(Einstellungen!$C$3,1,1)))+1),MAX(0,NETWORKDAYS(MAX(C284,DATE(Einstellungen!$C$3,1,1)),MIN(IF(D284="",DATE(Einstellungen!$C$3,12,31),D284),Einstellungen!$C$9),Einstellungen!$F$13:$F$67)))*F284)</f>
        <v/>
      </c>
    </row>
    <row r="285">
      <c r="A285" s="26" t="n"/>
      <c r="B285" s="23" t="n"/>
      <c r="C285" s="27" t="n"/>
      <c r="D285" s="27" t="n"/>
      <c r="E285" s="28" t="n"/>
      <c r="F285" s="29">
        <f>IF(E285="","",E285/5)</f>
        <v/>
      </c>
      <c r="G285" s="30">
        <f>IF(B285="","",IF(C285&gt;Einstellungen!$C$9,"künftig",IF(AND(D285&lt;&gt;"",D285&lt;Einstellungen!$C$9),"ausgeschieden","aktiv")))</f>
        <v/>
      </c>
      <c r="H285" s="31">
        <f>IF(OR(B285="",E285=""),"",IF(Einstellungen!$C$11="7 Tage",MAX(0,(MIN(IF(D285="",DATE(Einstellungen!$C$3,12,31),D285),Einstellungen!$C$9))-(MAX(C285,DATE(Einstellungen!$C$3,1,1)))+1),MAX(0,NETWORKDAYS(MAX(C285,DATE(Einstellungen!$C$3,1,1)),MIN(IF(D285="",DATE(Einstellungen!$C$3,12,31),D285),Einstellungen!$C$9),Einstellungen!$F$13:$F$67)))*F285)</f>
        <v/>
      </c>
    </row>
    <row r="286">
      <c r="A286" s="26" t="n"/>
      <c r="B286" s="23" t="n"/>
      <c r="C286" s="27" t="n"/>
      <c r="D286" s="27" t="n"/>
      <c r="E286" s="28" t="n"/>
      <c r="F286" s="29">
        <f>IF(E286="","",E286/5)</f>
        <v/>
      </c>
      <c r="G286" s="30">
        <f>IF(B286="","",IF(C286&gt;Einstellungen!$C$9,"künftig",IF(AND(D286&lt;&gt;"",D286&lt;Einstellungen!$C$9),"ausgeschieden","aktiv")))</f>
        <v/>
      </c>
      <c r="H286" s="31">
        <f>IF(OR(B286="",E286=""),"",IF(Einstellungen!$C$11="7 Tage",MAX(0,(MIN(IF(D286="",DATE(Einstellungen!$C$3,12,31),D286),Einstellungen!$C$9))-(MAX(C286,DATE(Einstellungen!$C$3,1,1)))+1),MAX(0,NETWORKDAYS(MAX(C286,DATE(Einstellungen!$C$3,1,1)),MIN(IF(D286="",DATE(Einstellungen!$C$3,12,31),D286),Einstellungen!$C$9),Einstellungen!$F$13:$F$67)))*F286)</f>
        <v/>
      </c>
    </row>
    <row r="287">
      <c r="A287" s="26" t="n"/>
      <c r="B287" s="23" t="n"/>
      <c r="C287" s="27" t="n"/>
      <c r="D287" s="27" t="n"/>
      <c r="E287" s="28" t="n"/>
      <c r="F287" s="29">
        <f>IF(E287="","",E287/5)</f>
        <v/>
      </c>
      <c r="G287" s="30">
        <f>IF(B287="","",IF(C287&gt;Einstellungen!$C$9,"künftig",IF(AND(D287&lt;&gt;"",D287&lt;Einstellungen!$C$9),"ausgeschieden","aktiv")))</f>
        <v/>
      </c>
      <c r="H287" s="31">
        <f>IF(OR(B287="",E287=""),"",IF(Einstellungen!$C$11="7 Tage",MAX(0,(MIN(IF(D287="",DATE(Einstellungen!$C$3,12,31),D287),Einstellungen!$C$9))-(MAX(C287,DATE(Einstellungen!$C$3,1,1)))+1),MAX(0,NETWORKDAYS(MAX(C287,DATE(Einstellungen!$C$3,1,1)),MIN(IF(D287="",DATE(Einstellungen!$C$3,12,31),D287),Einstellungen!$C$9),Einstellungen!$F$13:$F$67)))*F287)</f>
        <v/>
      </c>
    </row>
    <row r="288">
      <c r="A288" s="26" t="n"/>
      <c r="B288" s="23" t="n"/>
      <c r="C288" s="27" t="n"/>
      <c r="D288" s="27" t="n"/>
      <c r="E288" s="28" t="n"/>
      <c r="F288" s="29">
        <f>IF(E288="","",E288/5)</f>
        <v/>
      </c>
      <c r="G288" s="30">
        <f>IF(B288="","",IF(C288&gt;Einstellungen!$C$9,"künftig",IF(AND(D288&lt;&gt;"",D288&lt;Einstellungen!$C$9),"ausgeschieden","aktiv")))</f>
        <v/>
      </c>
      <c r="H288" s="31">
        <f>IF(OR(B288="",E288=""),"",IF(Einstellungen!$C$11="7 Tage",MAX(0,(MIN(IF(D288="",DATE(Einstellungen!$C$3,12,31),D288),Einstellungen!$C$9))-(MAX(C288,DATE(Einstellungen!$C$3,1,1)))+1),MAX(0,NETWORKDAYS(MAX(C288,DATE(Einstellungen!$C$3,1,1)),MIN(IF(D288="",DATE(Einstellungen!$C$3,12,31),D288),Einstellungen!$C$9),Einstellungen!$F$13:$F$67)))*F288)</f>
        <v/>
      </c>
    </row>
    <row r="289">
      <c r="A289" s="26" t="n"/>
      <c r="B289" s="23" t="n"/>
      <c r="C289" s="27" t="n"/>
      <c r="D289" s="27" t="n"/>
      <c r="E289" s="28" t="n"/>
      <c r="F289" s="29">
        <f>IF(E289="","",E289/5)</f>
        <v/>
      </c>
      <c r="G289" s="30">
        <f>IF(B289="","",IF(C289&gt;Einstellungen!$C$9,"künftig",IF(AND(D289&lt;&gt;"",D289&lt;Einstellungen!$C$9),"ausgeschieden","aktiv")))</f>
        <v/>
      </c>
      <c r="H289" s="31">
        <f>IF(OR(B289="",E289=""),"",IF(Einstellungen!$C$11="7 Tage",MAX(0,(MIN(IF(D289="",DATE(Einstellungen!$C$3,12,31),D289),Einstellungen!$C$9))-(MAX(C289,DATE(Einstellungen!$C$3,1,1)))+1),MAX(0,NETWORKDAYS(MAX(C289,DATE(Einstellungen!$C$3,1,1)),MIN(IF(D289="",DATE(Einstellungen!$C$3,12,31),D289),Einstellungen!$C$9),Einstellungen!$F$13:$F$67)))*F289)</f>
        <v/>
      </c>
    </row>
    <row r="290">
      <c r="A290" s="26" t="n"/>
      <c r="B290" s="23" t="n"/>
      <c r="C290" s="27" t="n"/>
      <c r="D290" s="27" t="n"/>
      <c r="E290" s="28" t="n"/>
      <c r="F290" s="29">
        <f>IF(E290="","",E290/5)</f>
        <v/>
      </c>
      <c r="G290" s="30">
        <f>IF(B290="","",IF(C290&gt;Einstellungen!$C$9,"künftig",IF(AND(D290&lt;&gt;"",D290&lt;Einstellungen!$C$9),"ausgeschieden","aktiv")))</f>
        <v/>
      </c>
      <c r="H290" s="31">
        <f>IF(OR(B290="",E290=""),"",IF(Einstellungen!$C$11="7 Tage",MAX(0,(MIN(IF(D290="",DATE(Einstellungen!$C$3,12,31),D290),Einstellungen!$C$9))-(MAX(C290,DATE(Einstellungen!$C$3,1,1)))+1),MAX(0,NETWORKDAYS(MAX(C290,DATE(Einstellungen!$C$3,1,1)),MIN(IF(D290="",DATE(Einstellungen!$C$3,12,31),D290),Einstellungen!$C$9),Einstellungen!$F$13:$F$67)))*F290)</f>
        <v/>
      </c>
    </row>
    <row r="291">
      <c r="A291" s="26" t="n"/>
      <c r="B291" s="23" t="n"/>
      <c r="C291" s="27" t="n"/>
      <c r="D291" s="27" t="n"/>
      <c r="E291" s="28" t="n"/>
      <c r="F291" s="29">
        <f>IF(E291="","",E291/5)</f>
        <v/>
      </c>
      <c r="G291" s="30">
        <f>IF(B291="","",IF(C291&gt;Einstellungen!$C$9,"künftig",IF(AND(D291&lt;&gt;"",D291&lt;Einstellungen!$C$9),"ausgeschieden","aktiv")))</f>
        <v/>
      </c>
      <c r="H291" s="31">
        <f>IF(OR(B291="",E291=""),"",IF(Einstellungen!$C$11="7 Tage",MAX(0,(MIN(IF(D291="",DATE(Einstellungen!$C$3,12,31),D291),Einstellungen!$C$9))-(MAX(C291,DATE(Einstellungen!$C$3,1,1)))+1),MAX(0,NETWORKDAYS(MAX(C291,DATE(Einstellungen!$C$3,1,1)),MIN(IF(D291="",DATE(Einstellungen!$C$3,12,31),D291),Einstellungen!$C$9),Einstellungen!$F$13:$F$67)))*F291)</f>
        <v/>
      </c>
    </row>
    <row r="292">
      <c r="A292" s="26" t="n"/>
      <c r="B292" s="23" t="n"/>
      <c r="C292" s="27" t="n"/>
      <c r="D292" s="27" t="n"/>
      <c r="E292" s="28" t="n"/>
      <c r="F292" s="29">
        <f>IF(E292="","",E292/5)</f>
        <v/>
      </c>
      <c r="G292" s="30">
        <f>IF(B292="","",IF(C292&gt;Einstellungen!$C$9,"künftig",IF(AND(D292&lt;&gt;"",D292&lt;Einstellungen!$C$9),"ausgeschieden","aktiv")))</f>
        <v/>
      </c>
      <c r="H292" s="31">
        <f>IF(OR(B292="",E292=""),"",IF(Einstellungen!$C$11="7 Tage",MAX(0,(MIN(IF(D292="",DATE(Einstellungen!$C$3,12,31),D292),Einstellungen!$C$9))-(MAX(C292,DATE(Einstellungen!$C$3,1,1)))+1),MAX(0,NETWORKDAYS(MAX(C292,DATE(Einstellungen!$C$3,1,1)),MIN(IF(D292="",DATE(Einstellungen!$C$3,12,31),D292),Einstellungen!$C$9),Einstellungen!$F$13:$F$67)))*F292)</f>
        <v/>
      </c>
    </row>
    <row r="293">
      <c r="A293" s="26" t="n"/>
      <c r="B293" s="23" t="n"/>
      <c r="C293" s="27" t="n"/>
      <c r="D293" s="27" t="n"/>
      <c r="E293" s="28" t="n"/>
      <c r="F293" s="29">
        <f>IF(E293="","",E293/5)</f>
        <v/>
      </c>
      <c r="G293" s="30">
        <f>IF(B293="","",IF(C293&gt;Einstellungen!$C$9,"künftig",IF(AND(D293&lt;&gt;"",D293&lt;Einstellungen!$C$9),"ausgeschieden","aktiv")))</f>
        <v/>
      </c>
      <c r="H293" s="31">
        <f>IF(OR(B293="",E293=""),"",IF(Einstellungen!$C$11="7 Tage",MAX(0,(MIN(IF(D293="",DATE(Einstellungen!$C$3,12,31),D293),Einstellungen!$C$9))-(MAX(C293,DATE(Einstellungen!$C$3,1,1)))+1),MAX(0,NETWORKDAYS(MAX(C293,DATE(Einstellungen!$C$3,1,1)),MIN(IF(D293="",DATE(Einstellungen!$C$3,12,31),D293),Einstellungen!$C$9),Einstellungen!$F$13:$F$67)))*F293)</f>
        <v/>
      </c>
    </row>
    <row r="294">
      <c r="A294" s="26" t="n"/>
      <c r="B294" s="23" t="n"/>
      <c r="C294" s="27" t="n"/>
      <c r="D294" s="27" t="n"/>
      <c r="E294" s="28" t="n"/>
      <c r="F294" s="29">
        <f>IF(E294="","",E294/5)</f>
        <v/>
      </c>
      <c r="G294" s="30">
        <f>IF(B294="","",IF(C294&gt;Einstellungen!$C$9,"künftig",IF(AND(D294&lt;&gt;"",D294&lt;Einstellungen!$C$9),"ausgeschieden","aktiv")))</f>
        <v/>
      </c>
      <c r="H294" s="31">
        <f>IF(OR(B294="",E294=""),"",IF(Einstellungen!$C$11="7 Tage",MAX(0,(MIN(IF(D294="",DATE(Einstellungen!$C$3,12,31),D294),Einstellungen!$C$9))-(MAX(C294,DATE(Einstellungen!$C$3,1,1)))+1),MAX(0,NETWORKDAYS(MAX(C294,DATE(Einstellungen!$C$3,1,1)),MIN(IF(D294="",DATE(Einstellungen!$C$3,12,31),D294),Einstellungen!$C$9),Einstellungen!$F$13:$F$67)))*F294)</f>
        <v/>
      </c>
    </row>
    <row r="295">
      <c r="A295" s="26" t="n"/>
      <c r="B295" s="23" t="n"/>
      <c r="C295" s="27" t="n"/>
      <c r="D295" s="27" t="n"/>
      <c r="E295" s="28" t="n"/>
      <c r="F295" s="29">
        <f>IF(E295="","",E295/5)</f>
        <v/>
      </c>
      <c r="G295" s="30">
        <f>IF(B295="","",IF(C295&gt;Einstellungen!$C$9,"künftig",IF(AND(D295&lt;&gt;"",D295&lt;Einstellungen!$C$9),"ausgeschieden","aktiv")))</f>
        <v/>
      </c>
      <c r="H295" s="31">
        <f>IF(OR(B295="",E295=""),"",IF(Einstellungen!$C$11="7 Tage",MAX(0,(MIN(IF(D295="",DATE(Einstellungen!$C$3,12,31),D295),Einstellungen!$C$9))-(MAX(C295,DATE(Einstellungen!$C$3,1,1)))+1),MAX(0,NETWORKDAYS(MAX(C295,DATE(Einstellungen!$C$3,1,1)),MIN(IF(D295="",DATE(Einstellungen!$C$3,12,31),D295),Einstellungen!$C$9),Einstellungen!$F$13:$F$67)))*F295)</f>
        <v/>
      </c>
    </row>
    <row r="296">
      <c r="A296" s="26" t="n"/>
      <c r="B296" s="23" t="n"/>
      <c r="C296" s="27" t="n"/>
      <c r="D296" s="27" t="n"/>
      <c r="E296" s="28" t="n"/>
      <c r="F296" s="29">
        <f>IF(E296="","",E296/5)</f>
        <v/>
      </c>
      <c r="G296" s="30">
        <f>IF(B296="","",IF(C296&gt;Einstellungen!$C$9,"künftig",IF(AND(D296&lt;&gt;"",D296&lt;Einstellungen!$C$9),"ausgeschieden","aktiv")))</f>
        <v/>
      </c>
      <c r="H296" s="31">
        <f>IF(OR(B296="",E296=""),"",IF(Einstellungen!$C$11="7 Tage",MAX(0,(MIN(IF(D296="",DATE(Einstellungen!$C$3,12,31),D296),Einstellungen!$C$9))-(MAX(C296,DATE(Einstellungen!$C$3,1,1)))+1),MAX(0,NETWORKDAYS(MAX(C296,DATE(Einstellungen!$C$3,1,1)),MIN(IF(D296="",DATE(Einstellungen!$C$3,12,31),D296),Einstellungen!$C$9),Einstellungen!$F$13:$F$67)))*F296)</f>
        <v/>
      </c>
    </row>
    <row r="297">
      <c r="A297" s="26" t="n"/>
      <c r="B297" s="23" t="n"/>
      <c r="C297" s="27" t="n"/>
      <c r="D297" s="27" t="n"/>
      <c r="E297" s="28" t="n"/>
      <c r="F297" s="29">
        <f>IF(E297="","",E297/5)</f>
        <v/>
      </c>
      <c r="G297" s="30">
        <f>IF(B297="","",IF(C297&gt;Einstellungen!$C$9,"künftig",IF(AND(D297&lt;&gt;"",D297&lt;Einstellungen!$C$9),"ausgeschieden","aktiv")))</f>
        <v/>
      </c>
      <c r="H297" s="31">
        <f>IF(OR(B297="",E297=""),"",IF(Einstellungen!$C$11="7 Tage",MAX(0,(MIN(IF(D297="",DATE(Einstellungen!$C$3,12,31),D297),Einstellungen!$C$9))-(MAX(C297,DATE(Einstellungen!$C$3,1,1)))+1),MAX(0,NETWORKDAYS(MAX(C297,DATE(Einstellungen!$C$3,1,1)),MIN(IF(D297="",DATE(Einstellungen!$C$3,12,31),D297),Einstellungen!$C$9),Einstellungen!$F$13:$F$67)))*F297)</f>
        <v/>
      </c>
    </row>
    <row r="298">
      <c r="A298" s="26" t="n"/>
      <c r="B298" s="23" t="n"/>
      <c r="C298" s="27" t="n"/>
      <c r="D298" s="27" t="n"/>
      <c r="E298" s="28" t="n"/>
      <c r="F298" s="29">
        <f>IF(E298="","",E298/5)</f>
        <v/>
      </c>
      <c r="G298" s="30">
        <f>IF(B298="","",IF(C298&gt;Einstellungen!$C$9,"künftig",IF(AND(D298&lt;&gt;"",D298&lt;Einstellungen!$C$9),"ausgeschieden","aktiv")))</f>
        <v/>
      </c>
      <c r="H298" s="31">
        <f>IF(OR(B298="",E298=""),"",IF(Einstellungen!$C$11="7 Tage",MAX(0,(MIN(IF(D298="",DATE(Einstellungen!$C$3,12,31),D298),Einstellungen!$C$9))-(MAX(C298,DATE(Einstellungen!$C$3,1,1)))+1),MAX(0,NETWORKDAYS(MAX(C298,DATE(Einstellungen!$C$3,1,1)),MIN(IF(D298="",DATE(Einstellungen!$C$3,12,31),D298),Einstellungen!$C$9),Einstellungen!$F$13:$F$67)))*F298)</f>
        <v/>
      </c>
    </row>
    <row r="299">
      <c r="A299" s="26" t="n"/>
      <c r="B299" s="23" t="n"/>
      <c r="C299" s="27" t="n"/>
      <c r="D299" s="27" t="n"/>
      <c r="E299" s="28" t="n"/>
      <c r="F299" s="29">
        <f>IF(E299="","",E299/5)</f>
        <v/>
      </c>
      <c r="G299" s="30">
        <f>IF(B299="","",IF(C299&gt;Einstellungen!$C$9,"künftig",IF(AND(D299&lt;&gt;"",D299&lt;Einstellungen!$C$9),"ausgeschieden","aktiv")))</f>
        <v/>
      </c>
      <c r="H299" s="31">
        <f>IF(OR(B299="",E299=""),"",IF(Einstellungen!$C$11="7 Tage",MAX(0,(MIN(IF(D299="",DATE(Einstellungen!$C$3,12,31),D299),Einstellungen!$C$9))-(MAX(C299,DATE(Einstellungen!$C$3,1,1)))+1),MAX(0,NETWORKDAYS(MAX(C299,DATE(Einstellungen!$C$3,1,1)),MIN(IF(D299="",DATE(Einstellungen!$C$3,12,31),D299),Einstellungen!$C$9),Einstellungen!$F$13:$F$67)))*F299)</f>
        <v/>
      </c>
    </row>
    <row r="300">
      <c r="A300" s="26" t="n"/>
      <c r="B300" s="23" t="n"/>
      <c r="C300" s="27" t="n"/>
      <c r="D300" s="27" t="n"/>
      <c r="E300" s="28" t="n"/>
      <c r="F300" s="29">
        <f>IF(E300="","",E300/5)</f>
        <v/>
      </c>
      <c r="G300" s="30">
        <f>IF(B300="","",IF(C300&gt;Einstellungen!$C$9,"künftig",IF(AND(D300&lt;&gt;"",D300&lt;Einstellungen!$C$9),"ausgeschieden","aktiv")))</f>
        <v/>
      </c>
      <c r="H300" s="31">
        <f>IF(OR(B300="",E300=""),"",IF(Einstellungen!$C$11="7 Tage",MAX(0,(MIN(IF(D300="",DATE(Einstellungen!$C$3,12,31),D300),Einstellungen!$C$9))-(MAX(C300,DATE(Einstellungen!$C$3,1,1)))+1),MAX(0,NETWORKDAYS(MAX(C300,DATE(Einstellungen!$C$3,1,1)),MIN(IF(D300="",DATE(Einstellungen!$C$3,12,31),D300),Einstellungen!$C$9),Einstellungen!$F$13:$F$67)))*F300)</f>
        <v/>
      </c>
    </row>
    <row r="301">
      <c r="A301" s="26" t="n"/>
      <c r="B301" s="23" t="n"/>
      <c r="C301" s="27" t="n"/>
      <c r="D301" s="27" t="n"/>
      <c r="E301" s="28" t="n"/>
      <c r="F301" s="29">
        <f>IF(E301="","",E301/5)</f>
        <v/>
      </c>
      <c r="G301" s="30">
        <f>IF(B301="","",IF(C301&gt;Einstellungen!$C$9,"künftig",IF(AND(D301&lt;&gt;"",D301&lt;Einstellungen!$C$9),"ausgeschieden","aktiv")))</f>
        <v/>
      </c>
      <c r="H301" s="31">
        <f>IF(OR(B301="",E301=""),"",IF(Einstellungen!$C$11="7 Tage",MAX(0,(MIN(IF(D301="",DATE(Einstellungen!$C$3,12,31),D301),Einstellungen!$C$9))-(MAX(C301,DATE(Einstellungen!$C$3,1,1)))+1),MAX(0,NETWORKDAYS(MAX(C301,DATE(Einstellungen!$C$3,1,1)),MIN(IF(D301="",DATE(Einstellungen!$C$3,12,31),D301),Einstellungen!$C$9),Einstellungen!$F$13:$F$67)))*F301)</f>
        <v/>
      </c>
    </row>
    <row r="302">
      <c r="A302" s="26" t="n"/>
      <c r="B302" s="23" t="n"/>
      <c r="C302" s="27" t="n"/>
      <c r="D302" s="27" t="n"/>
      <c r="E302" s="28" t="n"/>
      <c r="F302" s="29">
        <f>IF(E302="","",E302/5)</f>
        <v/>
      </c>
      <c r="G302" s="30">
        <f>IF(B302="","",IF(C302&gt;Einstellungen!$C$9,"künftig",IF(AND(D302&lt;&gt;"",D302&lt;Einstellungen!$C$9),"ausgeschieden","aktiv")))</f>
        <v/>
      </c>
      <c r="H302" s="31">
        <f>IF(OR(B302="",E302=""),"",IF(Einstellungen!$C$11="7 Tage",MAX(0,(MIN(IF(D302="",DATE(Einstellungen!$C$3,12,31),D302),Einstellungen!$C$9))-(MAX(C302,DATE(Einstellungen!$C$3,1,1)))+1),MAX(0,NETWORKDAYS(MAX(C302,DATE(Einstellungen!$C$3,1,1)),MIN(IF(D302="",DATE(Einstellungen!$C$3,12,31),D302),Einstellungen!$C$9),Einstellungen!$F$13:$F$67)))*F302)</f>
        <v/>
      </c>
    </row>
    <row r="303">
      <c r="A303" s="26" t="n"/>
      <c r="B303" s="23" t="n"/>
      <c r="C303" s="27" t="n"/>
      <c r="D303" s="27" t="n"/>
      <c r="E303" s="28" t="n"/>
      <c r="F303" s="29">
        <f>IF(E303="","",E303/5)</f>
        <v/>
      </c>
      <c r="G303" s="30">
        <f>IF(B303="","",IF(C303&gt;Einstellungen!$C$9,"künftig",IF(AND(D303&lt;&gt;"",D303&lt;Einstellungen!$C$9),"ausgeschieden","aktiv")))</f>
        <v/>
      </c>
      <c r="H303" s="31">
        <f>IF(OR(B303="",E303=""),"",IF(Einstellungen!$C$11="7 Tage",MAX(0,(MIN(IF(D303="",DATE(Einstellungen!$C$3,12,31),D303),Einstellungen!$C$9))-(MAX(C303,DATE(Einstellungen!$C$3,1,1)))+1),MAX(0,NETWORKDAYS(MAX(C303,DATE(Einstellungen!$C$3,1,1)),MIN(IF(D303="",DATE(Einstellungen!$C$3,12,31),D303),Einstellungen!$C$9),Einstellungen!$F$13:$F$67)))*F303)</f>
        <v/>
      </c>
    </row>
    <row r="304">
      <c r="A304" s="26" t="n"/>
      <c r="B304" s="23" t="n"/>
      <c r="C304" s="27" t="n"/>
      <c r="D304" s="27" t="n"/>
      <c r="E304" s="28" t="n"/>
      <c r="F304" s="29">
        <f>IF(E304="","",E304/5)</f>
        <v/>
      </c>
      <c r="G304" s="30">
        <f>IF(B304="","",IF(C304&gt;Einstellungen!$C$9,"künftig",IF(AND(D304&lt;&gt;"",D304&lt;Einstellungen!$C$9),"ausgeschieden","aktiv")))</f>
        <v/>
      </c>
      <c r="H304" s="31">
        <f>IF(OR(B304="",E304=""),"",IF(Einstellungen!$C$11="7 Tage",MAX(0,(MIN(IF(D304="",DATE(Einstellungen!$C$3,12,31),D304),Einstellungen!$C$9))-(MAX(C304,DATE(Einstellungen!$C$3,1,1)))+1),MAX(0,NETWORKDAYS(MAX(C304,DATE(Einstellungen!$C$3,1,1)),MIN(IF(D304="",DATE(Einstellungen!$C$3,12,31),D304),Einstellungen!$C$9),Einstellungen!$F$13:$F$67)))*F304)</f>
        <v/>
      </c>
    </row>
    <row r="305">
      <c r="A305" s="26" t="n"/>
      <c r="B305" s="23" t="n"/>
      <c r="C305" s="27" t="n"/>
      <c r="D305" s="27" t="n"/>
      <c r="E305" s="28" t="n"/>
      <c r="F305" s="29">
        <f>IF(E305="","",E305/5)</f>
        <v/>
      </c>
      <c r="G305" s="30">
        <f>IF(B305="","",IF(C305&gt;Einstellungen!$C$9,"künftig",IF(AND(D305&lt;&gt;"",D305&lt;Einstellungen!$C$9),"ausgeschieden","aktiv")))</f>
        <v/>
      </c>
      <c r="H305" s="31">
        <f>IF(OR(B305="",E305=""),"",IF(Einstellungen!$C$11="7 Tage",MAX(0,(MIN(IF(D305="",DATE(Einstellungen!$C$3,12,31),D305),Einstellungen!$C$9))-(MAX(C305,DATE(Einstellungen!$C$3,1,1)))+1),MAX(0,NETWORKDAYS(MAX(C305,DATE(Einstellungen!$C$3,1,1)),MIN(IF(D305="",DATE(Einstellungen!$C$3,12,31),D305),Einstellungen!$C$9),Einstellungen!$F$13:$F$67)))*F305)</f>
        <v/>
      </c>
    </row>
  </sheetData>
  <mergeCells count="4">
    <mergeCell ref="J23:L23"/>
    <mergeCell ref="J22:L22"/>
    <mergeCell ref="J21:L21"/>
    <mergeCell ref="A2:N2"/>
  </mergeCells>
  <conditionalFormatting sqref="G6:G305">
    <cfRule type="cellIs" priority="1" operator="equal" dxfId="0">
      <formula>"ausgeschieden"</formula>
    </cfRule>
    <cfRule type="cellIs" priority="2" operator="equal" dxfId="1">
      <formula>"aktiv"</formula>
    </cfRule>
  </conditionalFormatting>
  <conditionalFormatting sqref="A6:A305">
    <cfRule type="expression" priority="3" dxfId="2">
      <formula>AND(A6&lt;&gt;"",COUNTIF($A$6:$A$305,A6)&gt;1)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K1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Gesamtstunden je Objekt und Monat</t>
        </is>
      </c>
      <c r="G1" s="12" t="inlineStr">
        <is>
          <t>→ Erklärung</t>
        </is>
      </c>
    </row>
    <row r="2" ht="28" customHeight="1">
      <c r="A2" s="13" t="inlineStr">
        <is>
          <t>Nur die gelben Felder ausfüllen: Summe aller Stunden des Monats je Objekt. Für jedes Jahr ein eigener Block – ausgewertet wird das Auswertungsjahr aus den Einstellungen.</t>
        </is>
      </c>
    </row>
    <row r="3">
      <c r="A3" s="41" t="n"/>
      <c r="B3" s="21" t="inlineStr">
        <is>
          <t>2026</t>
        </is>
      </c>
      <c r="C3" s="41" t="n"/>
      <c r="D3" s="21" t="inlineStr">
        <is>
          <t>2027</t>
        </is>
      </c>
      <c r="E3" s="41" t="n"/>
      <c r="F3" s="21" t="inlineStr">
        <is>
          <t>2028</t>
        </is>
      </c>
      <c r="G3" s="41" t="n"/>
      <c r="H3" s="21" t="inlineStr">
        <is>
          <t>2029</t>
        </is>
      </c>
      <c r="I3" s="41" t="n"/>
      <c r="J3" s="21" t="inlineStr">
        <is>
          <t>2030</t>
        </is>
      </c>
      <c r="K3" s="41" t="n"/>
    </row>
    <row r="4">
      <c r="A4" s="21" t="inlineStr">
        <is>
          <t>Monat</t>
        </is>
      </c>
      <c r="B4" s="42">
        <f>Einstellungen!$C$4</f>
        <v/>
      </c>
      <c r="C4" s="43">
        <f>Einstellungen!$C$5</f>
        <v/>
      </c>
      <c r="D4" s="42">
        <f>Einstellungen!$C$4</f>
        <v/>
      </c>
      <c r="E4" s="43">
        <f>Einstellungen!$C$5</f>
        <v/>
      </c>
      <c r="F4" s="42">
        <f>Einstellungen!$C$4</f>
        <v/>
      </c>
      <c r="G4" s="43">
        <f>Einstellungen!$C$5</f>
        <v/>
      </c>
      <c r="H4" s="42">
        <f>Einstellungen!$C$4</f>
        <v/>
      </c>
      <c r="I4" s="43">
        <f>Einstellungen!$C$5</f>
        <v/>
      </c>
      <c r="J4" s="42">
        <f>Einstellungen!$C$4</f>
        <v/>
      </c>
      <c r="K4" s="43">
        <f>Einstellungen!$C$5</f>
        <v/>
      </c>
    </row>
    <row r="5">
      <c r="A5" s="20" t="inlineStr">
        <is>
          <t>Januar</t>
        </is>
      </c>
      <c r="B5" s="44" t="n">
        <v>3944</v>
      </c>
      <c r="C5" s="44" t="n">
        <v>4764</v>
      </c>
      <c r="D5" s="44" t="n"/>
      <c r="E5" s="44" t="n"/>
      <c r="F5" s="44" t="n"/>
      <c r="G5" s="44" t="n"/>
      <c r="H5" s="44" t="n"/>
      <c r="I5" s="44" t="n"/>
      <c r="J5" s="44" t="n"/>
      <c r="K5" s="44" t="n"/>
    </row>
    <row r="6">
      <c r="A6" s="20" t="inlineStr">
        <is>
          <t>Februar</t>
        </is>
      </c>
      <c r="B6" s="44" t="n">
        <v>3973</v>
      </c>
      <c r="C6" s="44" t="n">
        <v>4834</v>
      </c>
      <c r="D6" s="44" t="n"/>
      <c r="E6" s="44" t="n"/>
      <c r="F6" s="44" t="n"/>
      <c r="G6" s="44" t="n"/>
      <c r="H6" s="44" t="n"/>
      <c r="I6" s="44" t="n"/>
      <c r="J6" s="44" t="n"/>
      <c r="K6" s="44" t="n"/>
    </row>
    <row r="7">
      <c r="A7" s="20" t="inlineStr">
        <is>
          <t>März</t>
        </is>
      </c>
      <c r="B7" s="44" t="n">
        <v>4264</v>
      </c>
      <c r="C7" s="44" t="n">
        <v>4799</v>
      </c>
      <c r="D7" s="44" t="n"/>
      <c r="E7" s="44" t="n"/>
      <c r="F7" s="44" t="n"/>
      <c r="G7" s="44" t="n"/>
      <c r="H7" s="44" t="n"/>
      <c r="I7" s="44" t="n"/>
      <c r="J7" s="44" t="n"/>
      <c r="K7" s="44" t="n"/>
    </row>
    <row r="8">
      <c r="A8" s="20" t="inlineStr">
        <is>
          <t>April</t>
        </is>
      </c>
      <c r="B8" s="44" t="n">
        <v>4125</v>
      </c>
      <c r="C8" s="44" t="n">
        <v>4790</v>
      </c>
      <c r="D8" s="44" t="n"/>
      <c r="E8" s="44" t="n"/>
      <c r="F8" s="44" t="n"/>
      <c r="G8" s="44" t="n"/>
      <c r="H8" s="44" t="n"/>
      <c r="I8" s="44" t="n"/>
      <c r="J8" s="44" t="n"/>
      <c r="K8" s="44" t="n"/>
    </row>
    <row r="9">
      <c r="A9" s="20" t="inlineStr">
        <is>
          <t>Mai</t>
        </is>
      </c>
      <c r="B9" s="44" t="n">
        <v>4080</v>
      </c>
      <c r="C9" s="44" t="n">
        <v>4598</v>
      </c>
      <c r="D9" s="44" t="n"/>
      <c r="E9" s="44" t="n"/>
      <c r="F9" s="44" t="n"/>
      <c r="G9" s="44" t="n"/>
      <c r="H9" s="44" t="n"/>
      <c r="I9" s="44" t="n"/>
      <c r="J9" s="44" t="n"/>
      <c r="K9" s="44" t="n"/>
    </row>
    <row r="10">
      <c r="A10" s="20" t="inlineStr">
        <is>
          <t>Juni</t>
        </is>
      </c>
      <c r="B10" s="44" t="n">
        <v>4281</v>
      </c>
      <c r="C10" s="44" t="n">
        <v>4713</v>
      </c>
      <c r="D10" s="44" t="n"/>
      <c r="E10" s="44" t="n"/>
      <c r="F10" s="44" t="n"/>
      <c r="G10" s="44" t="n"/>
      <c r="H10" s="44" t="n"/>
      <c r="I10" s="44" t="n"/>
      <c r="J10" s="44" t="n"/>
      <c r="K10" s="44" t="n"/>
    </row>
    <row r="11">
      <c r="A11" s="20" t="inlineStr">
        <is>
          <t>Juli</t>
        </is>
      </c>
      <c r="B11" s="44" t="n">
        <v>3950</v>
      </c>
      <c r="C11" s="44" t="n">
        <v>4415</v>
      </c>
      <c r="D11" s="44" t="n"/>
      <c r="E11" s="44" t="n"/>
      <c r="F11" s="44" t="n"/>
      <c r="G11" s="44" t="n"/>
      <c r="H11" s="44" t="n"/>
      <c r="I11" s="44" t="n"/>
      <c r="J11" s="44" t="n"/>
      <c r="K11" s="44" t="n"/>
    </row>
    <row r="12">
      <c r="A12" s="20" t="inlineStr">
        <is>
          <t>August</t>
        </is>
      </c>
      <c r="B12" s="44" t="n">
        <v>4186</v>
      </c>
      <c r="C12" s="44" t="n">
        <v>4844</v>
      </c>
      <c r="D12" s="44" t="n"/>
      <c r="E12" s="44" t="n"/>
      <c r="F12" s="44" t="n"/>
      <c r="G12" s="44" t="n"/>
      <c r="H12" s="44" t="n"/>
      <c r="I12" s="44" t="n"/>
      <c r="J12" s="44" t="n"/>
      <c r="K12" s="44" t="n"/>
    </row>
    <row r="13">
      <c r="A13" s="20" t="inlineStr">
        <is>
          <t>September</t>
        </is>
      </c>
      <c r="B13" s="44" t="n">
        <v>3983</v>
      </c>
      <c r="C13" s="44" t="n">
        <v>4942</v>
      </c>
      <c r="D13" s="44" t="n"/>
      <c r="E13" s="44" t="n"/>
      <c r="F13" s="44" t="n"/>
      <c r="G13" s="44" t="n"/>
      <c r="H13" s="44" t="n"/>
      <c r="I13" s="44" t="n"/>
      <c r="J13" s="44" t="n"/>
      <c r="K13" s="44" t="n"/>
    </row>
    <row r="14">
      <c r="A14" s="20" t="inlineStr">
        <is>
          <t>Oktober</t>
        </is>
      </c>
      <c r="B14" s="44" t="n"/>
      <c r="C14" s="44" t="n"/>
      <c r="D14" s="44" t="n"/>
      <c r="E14" s="44" t="n"/>
      <c r="F14" s="44" t="n"/>
      <c r="G14" s="44" t="n"/>
      <c r="H14" s="44" t="n"/>
      <c r="I14" s="44" t="n"/>
      <c r="J14" s="44" t="n"/>
      <c r="K14" s="44" t="n"/>
    </row>
    <row r="15">
      <c r="A15" s="20" t="inlineStr">
        <is>
          <t>November</t>
        </is>
      </c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</row>
    <row r="16">
      <c r="A16" s="20" t="inlineStr">
        <is>
          <t>Dezember</t>
        </is>
      </c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</row>
    <row r="17">
      <c r="A17" s="41" t="inlineStr">
        <is>
          <t>Jahr</t>
        </is>
      </c>
      <c r="B17" s="45">
        <f>SUM(B5:B16)</f>
        <v/>
      </c>
      <c r="C17" s="45">
        <f>SUM(C5:C16)</f>
        <v/>
      </c>
      <c r="D17" s="45">
        <f>SUM(D5:D16)</f>
        <v/>
      </c>
      <c r="E17" s="45">
        <f>SUM(E5:E16)</f>
        <v/>
      </c>
      <c r="F17" s="45">
        <f>SUM(F5:F16)</f>
        <v/>
      </c>
      <c r="G17" s="45">
        <f>SUM(G5:G16)</f>
        <v/>
      </c>
      <c r="H17" s="45">
        <f>SUM(H5:H16)</f>
        <v/>
      </c>
      <c r="I17" s="45">
        <f>SUM(I5:I16)</f>
        <v/>
      </c>
      <c r="J17" s="45">
        <f>SUM(J5:J16)</f>
        <v/>
      </c>
      <c r="K17" s="45">
        <f>SUM(K5:K16)</f>
        <v/>
      </c>
    </row>
  </sheetData>
  <mergeCells count="6">
    <mergeCell ref="F3:G3"/>
    <mergeCell ref="J3:K3"/>
    <mergeCell ref="B3:C3"/>
    <mergeCell ref="A2:K2"/>
    <mergeCell ref="D3:E3"/>
    <mergeCell ref="H3:I3"/>
  </mergeCells>
  <dataValidations count="1">
    <dataValidation sqref="B5:K16" showDropDown="0" showInputMessage="0" showErrorMessage="1" allowBlank="0" error="Bitte Stunden als Zahl eingeben" type="decimal" operator="between">
      <formula1>0</formula1>
      <formula2>100000</formula2>
    </dataValidation>
  </dataValidations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DV305"/>
  <sheetViews>
    <sheetView showGridLines="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6" customWidth="1" min="3" max="3"/>
    <col width="9" customWidth="1" min="4" max="4"/>
    <col width="9" customWidth="1" min="5" max="5"/>
    <col width="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outlineLevel="1" width="5.2" customWidth="1" min="31" max="54"/>
    <col width="5.2" customWidth="1" min="32" max="32"/>
    <col width="5.2" customWidth="1" min="33" max="33"/>
    <col width="5.2" customWidth="1" min="34" max="34"/>
    <col width="5.2" customWidth="1" min="35" max="35"/>
    <col width="5.2" customWidth="1" min="36" max="36"/>
    <col width="5.2" customWidth="1" min="37" max="37"/>
    <col width="5.2" customWidth="1" min="38" max="38"/>
    <col width="5.2" customWidth="1" min="39" max="39"/>
    <col width="5.2" customWidth="1" min="40" max="40"/>
    <col width="5.2" customWidth="1" min="41" max="41"/>
    <col width="5.2" customWidth="1" min="42" max="42"/>
    <col width="5.2" customWidth="1" min="43" max="43"/>
    <col width="5.2" customWidth="1" min="44" max="44"/>
    <col width="5.2" customWidth="1" min="45" max="45"/>
    <col width="5.2" customWidth="1" min="46" max="46"/>
    <col width="5.2" customWidth="1" min="47" max="47"/>
    <col width="5.2" customWidth="1" min="48" max="48"/>
    <col width="5.2" customWidth="1" min="49" max="49"/>
    <col width="5.2" customWidth="1" min="50" max="50"/>
    <col width="5.2" customWidth="1" min="51" max="51"/>
    <col width="5.2" customWidth="1" min="52" max="52"/>
    <col width="5.2" customWidth="1" min="53" max="53"/>
    <col width="5.2" customWidth="1" min="54" max="54"/>
    <col outlineLevel="1" width="5.2" customWidth="1" min="55" max="78"/>
    <col width="5.2" customWidth="1" min="56" max="56"/>
    <col width="5.2" customWidth="1" min="57" max="57"/>
    <col width="5.2" customWidth="1" min="58" max="58"/>
    <col width="5.2" customWidth="1" min="59" max="59"/>
    <col width="5.2" customWidth="1" min="60" max="60"/>
    <col width="5.2" customWidth="1" min="61" max="61"/>
    <col width="5.2" customWidth="1" min="62" max="62"/>
    <col width="5.2" customWidth="1" min="63" max="63"/>
    <col width="5.2" customWidth="1" min="64" max="64"/>
    <col width="5.2" customWidth="1" min="65" max="65"/>
    <col width="5.2" customWidth="1" min="66" max="66"/>
    <col width="5.2" customWidth="1" min="67" max="67"/>
    <col width="5.2" customWidth="1" min="68" max="68"/>
    <col width="5.2" customWidth="1" min="69" max="69"/>
    <col width="5.2" customWidth="1" min="70" max="70"/>
    <col width="5.2" customWidth="1" min="71" max="71"/>
    <col width="5.2" customWidth="1" min="72" max="72"/>
    <col width="5.2" customWidth="1" min="73" max="73"/>
    <col width="5.2" customWidth="1" min="74" max="74"/>
    <col width="5.2" customWidth="1" min="75" max="75"/>
    <col width="5.2" customWidth="1" min="76" max="76"/>
    <col width="5.2" customWidth="1" min="77" max="77"/>
    <col width="5.2" customWidth="1" min="78" max="78"/>
    <col outlineLevel="1" width="5.2" customWidth="1" min="79" max="102"/>
    <col width="5.2" customWidth="1" min="80" max="80"/>
    <col width="5.2" customWidth="1" min="81" max="81"/>
    <col width="5.2" customWidth="1" min="82" max="82"/>
    <col width="5.2" customWidth="1" min="83" max="83"/>
    <col width="5.2" customWidth="1" min="84" max="84"/>
    <col width="5.2" customWidth="1" min="85" max="85"/>
    <col width="5.2" customWidth="1" min="86" max="86"/>
    <col width="5.2" customWidth="1" min="87" max="87"/>
    <col width="5.2" customWidth="1" min="88" max="88"/>
    <col width="5.2" customWidth="1" min="89" max="89"/>
    <col width="5.2" customWidth="1" min="90" max="90"/>
    <col width="5.2" customWidth="1" min="91" max="91"/>
    <col width="5.2" customWidth="1" min="92" max="92"/>
    <col width="5.2" customWidth="1" min="93" max="93"/>
    <col width="5.2" customWidth="1" min="94" max="94"/>
    <col width="5.2" customWidth="1" min="95" max="95"/>
    <col width="5.2" customWidth="1" min="96" max="96"/>
    <col width="5.2" customWidth="1" min="97" max="97"/>
    <col width="5.2" customWidth="1" min="98" max="98"/>
    <col width="5.2" customWidth="1" min="99" max="99"/>
    <col width="5.2" customWidth="1" min="100" max="100"/>
    <col width="5.2" customWidth="1" min="101" max="101"/>
    <col width="5.2" customWidth="1" min="102" max="102"/>
    <col outlineLevel="1" width="5.2" customWidth="1" min="103" max="126"/>
    <col width="5.2" customWidth="1" min="104" max="104"/>
    <col width="5.2" customWidth="1" min="105" max="105"/>
    <col width="5.2" customWidth="1" min="106" max="106"/>
    <col width="5.2" customWidth="1" min="107" max="107"/>
    <col width="5.2" customWidth="1" min="108" max="108"/>
    <col width="5.2" customWidth="1" min="109" max="109"/>
    <col width="5.2" customWidth="1" min="110" max="110"/>
    <col width="5.2" customWidth="1" min="111" max="111"/>
    <col width="5.2" customWidth="1" min="112" max="112"/>
    <col width="5.2" customWidth="1" min="113" max="113"/>
    <col width="5.2" customWidth="1" min="114" max="114"/>
    <col width="5.2" customWidth="1" min="115" max="115"/>
    <col width="5.2" customWidth="1" min="116" max="116"/>
    <col width="5.2" customWidth="1" min="117" max="117"/>
    <col width="5.2" customWidth="1" min="118" max="118"/>
    <col width="5.2" customWidth="1" min="119" max="119"/>
    <col width="5.2" customWidth="1" min="120" max="120"/>
    <col width="5.2" customWidth="1" min="121" max="121"/>
    <col width="5.2" customWidth="1" min="122" max="122"/>
    <col width="5.2" customWidth="1" min="123" max="123"/>
    <col width="5.2" customWidth="1" min="124" max="124"/>
    <col width="5.2" customWidth="1" min="125" max="125"/>
    <col width="5.2" customWidth="1" min="126" max="126"/>
  </cols>
  <sheetData>
    <row r="1">
      <c r="A1" s="1" t="inlineStr">
        <is>
          <t>Krankheitstage je Mitarbeiter und Monat</t>
        </is>
      </c>
      <c r="N1" s="12" t="inlineStr">
        <is>
          <t>→ Erklärung</t>
        </is>
      </c>
    </row>
    <row r="2" ht="52" customHeight="1">
      <c r="A2" s="13" t="inlineStr">
        <is>
          <t>Je Jahr ein Block (nach rechts scrollen), darin links Objekt 1, rechts Objekt 2. Nur Krankheitstage eintragen, an denen der MA eingesetzt war. Grau = nicht beschäftigt, Rot = mehr Tage als der Monat hat. Spalte D = Auswertungsjahr, E = alle Jahre seit Eintritt.</t>
        </is>
      </c>
    </row>
    <row r="3">
      <c r="A3" s="41" t="n"/>
      <c r="B3" s="41" t="n"/>
      <c r="C3" s="41" t="n"/>
      <c r="D3" s="41" t="n"/>
      <c r="E3" s="41" t="n"/>
      <c r="F3" s="41" t="n"/>
      <c r="G3" s="46" t="inlineStr">
        <is>
          <t>2026</t>
        </is>
      </c>
      <c r="AE3" s="46" t="inlineStr">
        <is>
          <t>2027</t>
        </is>
      </c>
      <c r="BC3" s="46" t="inlineStr">
        <is>
          <t>2028</t>
        </is>
      </c>
      <c r="CA3" s="46" t="inlineStr">
        <is>
          <t>2029</t>
        </is>
      </c>
      <c r="CY3" s="46" t="inlineStr">
        <is>
          <t>2030</t>
        </is>
      </c>
    </row>
    <row r="4">
      <c r="A4" s="41" t="n"/>
      <c r="B4" s="41" t="n"/>
      <c r="C4" s="41" t="n"/>
      <c r="D4" s="41" t="n"/>
      <c r="E4" s="41" t="n"/>
      <c r="F4" s="41" t="n"/>
      <c r="G4" s="42">
        <f>Einstellungen!$C$4</f>
        <v/>
      </c>
      <c r="S4" s="43">
        <f>Einstellungen!$C$5</f>
        <v/>
      </c>
      <c r="AE4" s="42">
        <f>Einstellungen!$C$4</f>
        <v/>
      </c>
      <c r="AQ4" s="43">
        <f>Einstellungen!$C$5</f>
        <v/>
      </c>
      <c r="BC4" s="42">
        <f>Einstellungen!$C$4</f>
        <v/>
      </c>
      <c r="BO4" s="43">
        <f>Einstellungen!$C$5</f>
        <v/>
      </c>
      <c r="CA4" s="42">
        <f>Einstellungen!$C$4</f>
        <v/>
      </c>
      <c r="CM4" s="43">
        <f>Einstellungen!$C$5</f>
        <v/>
      </c>
      <c r="CY4" s="42">
        <f>Einstellungen!$C$4</f>
        <v/>
      </c>
      <c r="DK4" s="43">
        <f>Einstellungen!$C$5</f>
        <v/>
      </c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Std./
Tag</t>
        </is>
      </c>
      <c r="D5" s="21" t="inlineStr">
        <is>
          <t>Tage
Ausw.-Jahr</t>
        </is>
      </c>
      <c r="E5" s="21" t="inlineStr">
        <is>
          <t>Tage seit
Eintritt</t>
        </is>
      </c>
      <c r="F5" s="21" t="inlineStr"/>
      <c r="G5" s="42" t="inlineStr">
        <is>
          <t>Jan</t>
        </is>
      </c>
      <c r="H5" s="42" t="inlineStr">
        <is>
          <t>Feb</t>
        </is>
      </c>
      <c r="I5" s="42" t="inlineStr">
        <is>
          <t>Mär</t>
        </is>
      </c>
      <c r="J5" s="42" t="inlineStr">
        <is>
          <t>Apr</t>
        </is>
      </c>
      <c r="K5" s="42" t="inlineStr">
        <is>
          <t>Mai</t>
        </is>
      </c>
      <c r="L5" s="42" t="inlineStr">
        <is>
          <t>Jun</t>
        </is>
      </c>
      <c r="M5" s="42" t="inlineStr">
        <is>
          <t>Jul</t>
        </is>
      </c>
      <c r="N5" s="42" t="inlineStr">
        <is>
          <t>Aug</t>
        </is>
      </c>
      <c r="O5" s="42" t="inlineStr">
        <is>
          <t>Sep</t>
        </is>
      </c>
      <c r="P5" s="42" t="inlineStr">
        <is>
          <t>Okt</t>
        </is>
      </c>
      <c r="Q5" s="42" t="inlineStr">
        <is>
          <t>Nov</t>
        </is>
      </c>
      <c r="R5" s="42" t="inlineStr">
        <is>
          <t>Dez</t>
        </is>
      </c>
      <c r="S5" s="43" t="inlineStr">
        <is>
          <t>Jan</t>
        </is>
      </c>
      <c r="T5" s="43" t="inlineStr">
        <is>
          <t>Feb</t>
        </is>
      </c>
      <c r="U5" s="43" t="inlineStr">
        <is>
          <t>Mär</t>
        </is>
      </c>
      <c r="V5" s="43" t="inlineStr">
        <is>
          <t>Apr</t>
        </is>
      </c>
      <c r="W5" s="43" t="inlineStr">
        <is>
          <t>Mai</t>
        </is>
      </c>
      <c r="X5" s="43" t="inlineStr">
        <is>
          <t>Jun</t>
        </is>
      </c>
      <c r="Y5" s="43" t="inlineStr">
        <is>
          <t>Jul</t>
        </is>
      </c>
      <c r="Z5" s="43" t="inlineStr">
        <is>
          <t>Aug</t>
        </is>
      </c>
      <c r="AA5" s="43" t="inlineStr">
        <is>
          <t>Sep</t>
        </is>
      </c>
      <c r="AB5" s="43" t="inlineStr">
        <is>
          <t>Okt</t>
        </is>
      </c>
      <c r="AC5" s="43" t="inlineStr">
        <is>
          <t>Nov</t>
        </is>
      </c>
      <c r="AD5" s="43" t="inlineStr">
        <is>
          <t>Dez</t>
        </is>
      </c>
      <c r="AE5" s="42" t="inlineStr">
        <is>
          <t>Jan</t>
        </is>
      </c>
      <c r="AF5" s="42" t="inlineStr">
        <is>
          <t>Feb</t>
        </is>
      </c>
      <c r="AG5" s="42" t="inlineStr">
        <is>
          <t>Mär</t>
        </is>
      </c>
      <c r="AH5" s="42" t="inlineStr">
        <is>
          <t>Apr</t>
        </is>
      </c>
      <c r="AI5" s="42" t="inlineStr">
        <is>
          <t>Mai</t>
        </is>
      </c>
      <c r="AJ5" s="42" t="inlineStr">
        <is>
          <t>Jun</t>
        </is>
      </c>
      <c r="AK5" s="42" t="inlineStr">
        <is>
          <t>Jul</t>
        </is>
      </c>
      <c r="AL5" s="42" t="inlineStr">
        <is>
          <t>Aug</t>
        </is>
      </c>
      <c r="AM5" s="42" t="inlineStr">
        <is>
          <t>Sep</t>
        </is>
      </c>
      <c r="AN5" s="42" t="inlineStr">
        <is>
          <t>Okt</t>
        </is>
      </c>
      <c r="AO5" s="42" t="inlineStr">
        <is>
          <t>Nov</t>
        </is>
      </c>
      <c r="AP5" s="42" t="inlineStr">
        <is>
          <t>Dez</t>
        </is>
      </c>
      <c r="AQ5" s="43" t="inlineStr">
        <is>
          <t>Jan</t>
        </is>
      </c>
      <c r="AR5" s="43" t="inlineStr">
        <is>
          <t>Feb</t>
        </is>
      </c>
      <c r="AS5" s="43" t="inlineStr">
        <is>
          <t>Mär</t>
        </is>
      </c>
      <c r="AT5" s="43" t="inlineStr">
        <is>
          <t>Apr</t>
        </is>
      </c>
      <c r="AU5" s="43" t="inlineStr">
        <is>
          <t>Mai</t>
        </is>
      </c>
      <c r="AV5" s="43" t="inlineStr">
        <is>
          <t>Jun</t>
        </is>
      </c>
      <c r="AW5" s="43" t="inlineStr">
        <is>
          <t>Jul</t>
        </is>
      </c>
      <c r="AX5" s="43" t="inlineStr">
        <is>
          <t>Aug</t>
        </is>
      </c>
      <c r="AY5" s="43" t="inlineStr">
        <is>
          <t>Sep</t>
        </is>
      </c>
      <c r="AZ5" s="43" t="inlineStr">
        <is>
          <t>Okt</t>
        </is>
      </c>
      <c r="BA5" s="43" t="inlineStr">
        <is>
          <t>Nov</t>
        </is>
      </c>
      <c r="BB5" s="43" t="inlineStr">
        <is>
          <t>Dez</t>
        </is>
      </c>
      <c r="BC5" s="42" t="inlineStr">
        <is>
          <t>Jan</t>
        </is>
      </c>
      <c r="BD5" s="42" t="inlineStr">
        <is>
          <t>Feb</t>
        </is>
      </c>
      <c r="BE5" s="42" t="inlineStr">
        <is>
          <t>Mär</t>
        </is>
      </c>
      <c r="BF5" s="42" t="inlineStr">
        <is>
          <t>Apr</t>
        </is>
      </c>
      <c r="BG5" s="42" t="inlineStr">
        <is>
          <t>Mai</t>
        </is>
      </c>
      <c r="BH5" s="42" t="inlineStr">
        <is>
          <t>Jun</t>
        </is>
      </c>
      <c r="BI5" s="42" t="inlineStr">
        <is>
          <t>Jul</t>
        </is>
      </c>
      <c r="BJ5" s="42" t="inlineStr">
        <is>
          <t>Aug</t>
        </is>
      </c>
      <c r="BK5" s="42" t="inlineStr">
        <is>
          <t>Sep</t>
        </is>
      </c>
      <c r="BL5" s="42" t="inlineStr">
        <is>
          <t>Okt</t>
        </is>
      </c>
      <c r="BM5" s="42" t="inlineStr">
        <is>
          <t>Nov</t>
        </is>
      </c>
      <c r="BN5" s="42" t="inlineStr">
        <is>
          <t>Dez</t>
        </is>
      </c>
      <c r="BO5" s="43" t="inlineStr">
        <is>
          <t>Jan</t>
        </is>
      </c>
      <c r="BP5" s="43" t="inlineStr">
        <is>
          <t>Feb</t>
        </is>
      </c>
      <c r="BQ5" s="43" t="inlineStr">
        <is>
          <t>Mär</t>
        </is>
      </c>
      <c r="BR5" s="43" t="inlineStr">
        <is>
          <t>Apr</t>
        </is>
      </c>
      <c r="BS5" s="43" t="inlineStr">
        <is>
          <t>Mai</t>
        </is>
      </c>
      <c r="BT5" s="43" t="inlineStr">
        <is>
          <t>Jun</t>
        </is>
      </c>
      <c r="BU5" s="43" t="inlineStr">
        <is>
          <t>Jul</t>
        </is>
      </c>
      <c r="BV5" s="43" t="inlineStr">
        <is>
          <t>Aug</t>
        </is>
      </c>
      <c r="BW5" s="43" t="inlineStr">
        <is>
          <t>Sep</t>
        </is>
      </c>
      <c r="BX5" s="43" t="inlineStr">
        <is>
          <t>Okt</t>
        </is>
      </c>
      <c r="BY5" s="43" t="inlineStr">
        <is>
          <t>Nov</t>
        </is>
      </c>
      <c r="BZ5" s="43" t="inlineStr">
        <is>
          <t>Dez</t>
        </is>
      </c>
      <c r="CA5" s="42" t="inlineStr">
        <is>
          <t>Jan</t>
        </is>
      </c>
      <c r="CB5" s="42" t="inlineStr">
        <is>
          <t>Feb</t>
        </is>
      </c>
      <c r="CC5" s="42" t="inlineStr">
        <is>
          <t>Mär</t>
        </is>
      </c>
      <c r="CD5" s="42" t="inlineStr">
        <is>
          <t>Apr</t>
        </is>
      </c>
      <c r="CE5" s="42" t="inlineStr">
        <is>
          <t>Mai</t>
        </is>
      </c>
      <c r="CF5" s="42" t="inlineStr">
        <is>
          <t>Jun</t>
        </is>
      </c>
      <c r="CG5" s="42" t="inlineStr">
        <is>
          <t>Jul</t>
        </is>
      </c>
      <c r="CH5" s="42" t="inlineStr">
        <is>
          <t>Aug</t>
        </is>
      </c>
      <c r="CI5" s="42" t="inlineStr">
        <is>
          <t>Sep</t>
        </is>
      </c>
      <c r="CJ5" s="42" t="inlineStr">
        <is>
          <t>Okt</t>
        </is>
      </c>
      <c r="CK5" s="42" t="inlineStr">
        <is>
          <t>Nov</t>
        </is>
      </c>
      <c r="CL5" s="42" t="inlineStr">
        <is>
          <t>Dez</t>
        </is>
      </c>
      <c r="CM5" s="43" t="inlineStr">
        <is>
          <t>Jan</t>
        </is>
      </c>
      <c r="CN5" s="43" t="inlineStr">
        <is>
          <t>Feb</t>
        </is>
      </c>
      <c r="CO5" s="43" t="inlineStr">
        <is>
          <t>Mär</t>
        </is>
      </c>
      <c r="CP5" s="43" t="inlineStr">
        <is>
          <t>Apr</t>
        </is>
      </c>
      <c r="CQ5" s="43" t="inlineStr">
        <is>
          <t>Mai</t>
        </is>
      </c>
      <c r="CR5" s="43" t="inlineStr">
        <is>
          <t>Jun</t>
        </is>
      </c>
      <c r="CS5" s="43" t="inlineStr">
        <is>
          <t>Jul</t>
        </is>
      </c>
      <c r="CT5" s="43" t="inlineStr">
        <is>
          <t>Aug</t>
        </is>
      </c>
      <c r="CU5" s="43" t="inlineStr">
        <is>
          <t>Sep</t>
        </is>
      </c>
      <c r="CV5" s="43" t="inlineStr">
        <is>
          <t>Okt</t>
        </is>
      </c>
      <c r="CW5" s="43" t="inlineStr">
        <is>
          <t>Nov</t>
        </is>
      </c>
      <c r="CX5" s="43" t="inlineStr">
        <is>
          <t>Dez</t>
        </is>
      </c>
      <c r="CY5" s="42" t="inlineStr">
        <is>
          <t>Jan</t>
        </is>
      </c>
      <c r="CZ5" s="42" t="inlineStr">
        <is>
          <t>Feb</t>
        </is>
      </c>
      <c r="DA5" s="42" t="inlineStr">
        <is>
          <t>Mär</t>
        </is>
      </c>
      <c r="DB5" s="42" t="inlineStr">
        <is>
          <t>Apr</t>
        </is>
      </c>
      <c r="DC5" s="42" t="inlineStr">
        <is>
          <t>Mai</t>
        </is>
      </c>
      <c r="DD5" s="42" t="inlineStr">
        <is>
          <t>Jun</t>
        </is>
      </c>
      <c r="DE5" s="42" t="inlineStr">
        <is>
          <t>Jul</t>
        </is>
      </c>
      <c r="DF5" s="42" t="inlineStr">
        <is>
          <t>Aug</t>
        </is>
      </c>
      <c r="DG5" s="42" t="inlineStr">
        <is>
          <t>Sep</t>
        </is>
      </c>
      <c r="DH5" s="42" t="inlineStr">
        <is>
          <t>Okt</t>
        </is>
      </c>
      <c r="DI5" s="42" t="inlineStr">
        <is>
          <t>Nov</t>
        </is>
      </c>
      <c r="DJ5" s="42" t="inlineStr">
        <is>
          <t>Dez</t>
        </is>
      </c>
      <c r="DK5" s="43" t="inlineStr">
        <is>
          <t>Jan</t>
        </is>
      </c>
      <c r="DL5" s="43" t="inlineStr">
        <is>
          <t>Feb</t>
        </is>
      </c>
      <c r="DM5" s="43" t="inlineStr">
        <is>
          <t>Mär</t>
        </is>
      </c>
      <c r="DN5" s="43" t="inlineStr">
        <is>
          <t>Apr</t>
        </is>
      </c>
      <c r="DO5" s="43" t="inlineStr">
        <is>
          <t>Mai</t>
        </is>
      </c>
      <c r="DP5" s="43" t="inlineStr">
        <is>
          <t>Jun</t>
        </is>
      </c>
      <c r="DQ5" s="43" t="inlineStr">
        <is>
          <t>Jul</t>
        </is>
      </c>
      <c r="DR5" s="43" t="inlineStr">
        <is>
          <t>Aug</t>
        </is>
      </c>
      <c r="DS5" s="43" t="inlineStr">
        <is>
          <t>Sep</t>
        </is>
      </c>
      <c r="DT5" s="43" t="inlineStr">
        <is>
          <t>Okt</t>
        </is>
      </c>
      <c r="DU5" s="43" t="inlineStr">
        <is>
          <t>Nov</t>
        </is>
      </c>
      <c r="DV5" s="43" t="inlineStr">
        <is>
          <t>Dez</t>
        </is>
      </c>
    </row>
    <row r="6">
      <c r="A6" s="47">
        <f>IF(Mitarbeiter!B6="","",Mitarbeiter!A6)</f>
        <v/>
      </c>
      <c r="B6" s="48">
        <f>IF(Mitarbeiter!B6="","",Mitarbeiter!B6)</f>
        <v/>
      </c>
      <c r="C6" s="49">
        <f>IF(Mitarbeiter!B6="","",Mitarbeiter!F6)</f>
        <v/>
      </c>
      <c r="D6" s="25">
        <f>IF(Mitarbeiter!B6="","",Berechnung!AD6)</f>
        <v/>
      </c>
      <c r="E6" s="25">
        <f>IF(Mitarbeiter!B6="","",SUM(G6:DV6))</f>
        <v/>
      </c>
      <c r="G6" s="50" t="n"/>
      <c r="H6" s="50" t="n"/>
      <c r="I6" s="50" t="n"/>
      <c r="J6" s="50" t="n"/>
      <c r="K6" s="50" t="n"/>
      <c r="L6" s="50" t="n">
        <v>7</v>
      </c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0" t="n"/>
      <c r="BO6" s="50" t="n"/>
      <c r="BP6" s="50" t="n"/>
      <c r="BQ6" s="50" t="n"/>
      <c r="BR6" s="50" t="n"/>
      <c r="BS6" s="50" t="n"/>
      <c r="BT6" s="50" t="n"/>
      <c r="BU6" s="50" t="n"/>
      <c r="BV6" s="50" t="n"/>
      <c r="BW6" s="50" t="n"/>
      <c r="BX6" s="50" t="n"/>
      <c r="BY6" s="50" t="n"/>
      <c r="BZ6" s="50" t="n"/>
      <c r="CA6" s="50" t="n"/>
      <c r="CB6" s="50" t="n"/>
      <c r="CC6" s="50" t="n"/>
      <c r="CD6" s="50" t="n"/>
      <c r="CE6" s="50" t="n"/>
      <c r="CF6" s="50" t="n"/>
      <c r="CG6" s="50" t="n"/>
      <c r="CH6" s="50" t="n"/>
      <c r="CI6" s="50" t="n"/>
      <c r="CJ6" s="50" t="n"/>
      <c r="CK6" s="50" t="n"/>
      <c r="CL6" s="50" t="n"/>
      <c r="CM6" s="50" t="n"/>
      <c r="CN6" s="50" t="n"/>
      <c r="CO6" s="50" t="n"/>
      <c r="CP6" s="50" t="n"/>
      <c r="CQ6" s="50" t="n"/>
      <c r="CR6" s="50" t="n"/>
      <c r="CS6" s="50" t="n"/>
      <c r="CT6" s="50" t="n"/>
      <c r="CU6" s="50" t="n"/>
      <c r="CV6" s="50" t="n"/>
      <c r="CW6" s="50" t="n"/>
      <c r="CX6" s="50" t="n"/>
      <c r="CY6" s="50" t="n"/>
      <c r="CZ6" s="50" t="n"/>
      <c r="DA6" s="50" t="n"/>
      <c r="DB6" s="50" t="n"/>
      <c r="DC6" s="50" t="n"/>
      <c r="DD6" s="50" t="n"/>
      <c r="DE6" s="50" t="n"/>
      <c r="DF6" s="50" t="n"/>
      <c r="DG6" s="50" t="n"/>
      <c r="DH6" s="50" t="n"/>
      <c r="DI6" s="50" t="n"/>
      <c r="DJ6" s="50" t="n"/>
      <c r="DK6" s="50" t="n"/>
      <c r="DL6" s="50" t="n"/>
      <c r="DM6" s="50" t="n"/>
      <c r="DN6" s="50" t="n"/>
      <c r="DO6" s="50" t="n"/>
      <c r="DP6" s="50" t="n"/>
      <c r="DQ6" s="50" t="n"/>
      <c r="DR6" s="50" t="n"/>
      <c r="DS6" s="50" t="n"/>
      <c r="DT6" s="50" t="n"/>
      <c r="DU6" s="50" t="n"/>
      <c r="DV6" s="50" t="n"/>
    </row>
    <row r="7">
      <c r="A7" s="47">
        <f>IF(Mitarbeiter!B7="","",Mitarbeiter!A7)</f>
        <v/>
      </c>
      <c r="B7" s="48">
        <f>IF(Mitarbeiter!B7="","",Mitarbeiter!B7)</f>
        <v/>
      </c>
      <c r="C7" s="49">
        <f>IF(Mitarbeiter!B7="","",Mitarbeiter!F7)</f>
        <v/>
      </c>
      <c r="D7" s="25">
        <f>IF(Mitarbeiter!B7="","",Berechnung!AD7)</f>
        <v/>
      </c>
      <c r="E7" s="25">
        <f>IF(Mitarbeiter!B7="","",SUM(G7:DV7))</f>
        <v/>
      </c>
      <c r="G7" s="50" t="n"/>
      <c r="H7" s="50" t="n">
        <v>5</v>
      </c>
      <c r="I7" s="50" t="n"/>
      <c r="J7" s="50" t="n"/>
      <c r="K7" s="50" t="n"/>
      <c r="L7" s="50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>
        <v>3</v>
      </c>
      <c r="Y7" s="50" t="n"/>
      <c r="Z7" s="50" t="n"/>
      <c r="AA7" s="50" t="n"/>
      <c r="AB7" s="50" t="n"/>
      <c r="AC7" s="50" t="n"/>
      <c r="AD7" s="50" t="n"/>
      <c r="AE7" s="50" t="n"/>
      <c r="AF7" s="50" t="n"/>
      <c r="AG7" s="50" t="n"/>
      <c r="AH7" s="50" t="n"/>
      <c r="AI7" s="50" t="n"/>
      <c r="AJ7" s="50" t="n"/>
      <c r="AK7" s="50" t="n"/>
      <c r="AL7" s="50" t="n"/>
      <c r="AM7" s="50" t="n"/>
      <c r="AN7" s="50" t="n"/>
      <c r="AO7" s="50" t="n"/>
      <c r="AP7" s="50" t="n"/>
      <c r="AQ7" s="50" t="n"/>
      <c r="AR7" s="50" t="n"/>
      <c r="AS7" s="50" t="n"/>
      <c r="AT7" s="50" t="n"/>
      <c r="AU7" s="50" t="n"/>
      <c r="AV7" s="50" t="n"/>
      <c r="AW7" s="50" t="n"/>
      <c r="AX7" s="50" t="n"/>
      <c r="AY7" s="50" t="n"/>
      <c r="AZ7" s="50" t="n"/>
      <c r="BA7" s="50" t="n"/>
      <c r="BB7" s="50" t="n"/>
      <c r="BC7" s="50" t="n"/>
      <c r="BD7" s="50" t="n"/>
      <c r="BE7" s="50" t="n"/>
      <c r="BF7" s="50" t="n"/>
      <c r="BG7" s="50" t="n"/>
      <c r="BH7" s="50" t="n"/>
      <c r="BI7" s="50" t="n"/>
      <c r="BJ7" s="50" t="n"/>
      <c r="BK7" s="50" t="n"/>
      <c r="BL7" s="50" t="n"/>
      <c r="BM7" s="50" t="n"/>
      <c r="BN7" s="50" t="n"/>
      <c r="BO7" s="50" t="n"/>
      <c r="BP7" s="50" t="n"/>
      <c r="BQ7" s="50" t="n"/>
      <c r="BR7" s="50" t="n"/>
      <c r="BS7" s="50" t="n"/>
      <c r="BT7" s="50" t="n"/>
      <c r="BU7" s="50" t="n"/>
      <c r="BV7" s="50" t="n"/>
      <c r="BW7" s="50" t="n"/>
      <c r="BX7" s="50" t="n"/>
      <c r="BY7" s="50" t="n"/>
      <c r="BZ7" s="50" t="n"/>
      <c r="CA7" s="50" t="n"/>
      <c r="CB7" s="50" t="n"/>
      <c r="CC7" s="50" t="n"/>
      <c r="CD7" s="50" t="n"/>
      <c r="CE7" s="50" t="n"/>
      <c r="CF7" s="50" t="n"/>
      <c r="CG7" s="50" t="n"/>
      <c r="CH7" s="50" t="n"/>
      <c r="CI7" s="50" t="n"/>
      <c r="CJ7" s="50" t="n"/>
      <c r="CK7" s="50" t="n"/>
      <c r="CL7" s="50" t="n"/>
      <c r="CM7" s="50" t="n"/>
      <c r="CN7" s="50" t="n"/>
      <c r="CO7" s="50" t="n"/>
      <c r="CP7" s="50" t="n"/>
      <c r="CQ7" s="50" t="n"/>
      <c r="CR7" s="50" t="n"/>
      <c r="CS7" s="50" t="n"/>
      <c r="CT7" s="50" t="n"/>
      <c r="CU7" s="50" t="n"/>
      <c r="CV7" s="50" t="n"/>
      <c r="CW7" s="50" t="n"/>
      <c r="CX7" s="50" t="n"/>
      <c r="CY7" s="50" t="n"/>
      <c r="CZ7" s="50" t="n"/>
      <c r="DA7" s="50" t="n"/>
      <c r="DB7" s="50" t="n"/>
      <c r="DC7" s="50" t="n"/>
      <c r="DD7" s="50" t="n"/>
      <c r="DE7" s="50" t="n"/>
      <c r="DF7" s="50" t="n"/>
      <c r="DG7" s="50" t="n"/>
      <c r="DH7" s="50" t="n"/>
      <c r="DI7" s="50" t="n"/>
      <c r="DJ7" s="50" t="n"/>
      <c r="DK7" s="50" t="n"/>
      <c r="DL7" s="50" t="n"/>
      <c r="DM7" s="50" t="n"/>
      <c r="DN7" s="50" t="n"/>
      <c r="DO7" s="50" t="n"/>
      <c r="DP7" s="50" t="n"/>
      <c r="DQ7" s="50" t="n"/>
      <c r="DR7" s="50" t="n"/>
      <c r="DS7" s="50" t="n"/>
      <c r="DT7" s="50" t="n"/>
      <c r="DU7" s="50" t="n"/>
      <c r="DV7" s="50" t="n"/>
    </row>
    <row r="8">
      <c r="A8" s="47">
        <f>IF(Mitarbeiter!B8="","",Mitarbeiter!A8)</f>
        <v/>
      </c>
      <c r="B8" s="48">
        <f>IF(Mitarbeiter!B8="","",Mitarbeiter!B8)</f>
        <v/>
      </c>
      <c r="C8" s="49">
        <f>IF(Mitarbeiter!B8="","",Mitarbeiter!F8)</f>
        <v/>
      </c>
      <c r="D8" s="25">
        <f>IF(Mitarbeiter!B8="","",Berechnung!AD8)</f>
        <v/>
      </c>
      <c r="E8" s="25">
        <f>IF(Mitarbeiter!B8="","",SUM(G8:DV8))</f>
        <v/>
      </c>
      <c r="G8" s="50" t="n"/>
      <c r="H8" s="50" t="n">
        <v>1</v>
      </c>
      <c r="I8" s="50" t="n"/>
      <c r="J8" s="50" t="n">
        <v>5</v>
      </c>
      <c r="K8" s="50" t="n"/>
      <c r="L8" s="50" t="n"/>
      <c r="M8" s="50" t="n"/>
      <c r="N8" s="50" t="n"/>
      <c r="O8" s="50" t="n"/>
      <c r="P8" s="50" t="n"/>
      <c r="Q8" s="50" t="n"/>
      <c r="R8" s="50" t="n"/>
      <c r="S8" s="50" t="n"/>
      <c r="T8" s="50" t="n"/>
      <c r="U8" s="50" t="n">
        <v>12</v>
      </c>
      <c r="V8" s="50" t="n">
        <v>3</v>
      </c>
      <c r="W8" s="50" t="n"/>
      <c r="X8" s="50" t="n"/>
      <c r="Y8" s="50" t="n"/>
      <c r="Z8" s="50" t="n">
        <v>5</v>
      </c>
      <c r="AA8" s="50" t="n"/>
      <c r="AB8" s="50" t="n"/>
      <c r="AC8" s="50" t="n"/>
      <c r="AD8" s="50" t="n"/>
      <c r="AE8" s="50" t="n"/>
      <c r="AF8" s="50" t="n"/>
      <c r="AG8" s="50" t="n"/>
      <c r="AH8" s="50" t="n"/>
      <c r="AI8" s="50" t="n"/>
      <c r="AJ8" s="50" t="n"/>
      <c r="AK8" s="50" t="n"/>
      <c r="AL8" s="50" t="n"/>
      <c r="AM8" s="50" t="n"/>
      <c r="AN8" s="50" t="n"/>
      <c r="AO8" s="50" t="n"/>
      <c r="AP8" s="50" t="n"/>
      <c r="AQ8" s="50" t="n"/>
      <c r="AR8" s="50" t="n"/>
      <c r="AS8" s="50" t="n"/>
      <c r="AT8" s="50" t="n"/>
      <c r="AU8" s="50" t="n"/>
      <c r="AV8" s="50" t="n"/>
      <c r="AW8" s="50" t="n"/>
      <c r="AX8" s="50" t="n"/>
      <c r="AY8" s="50" t="n"/>
      <c r="AZ8" s="50" t="n"/>
      <c r="BA8" s="50" t="n"/>
      <c r="BB8" s="50" t="n"/>
      <c r="BC8" s="50" t="n"/>
      <c r="BD8" s="50" t="n"/>
      <c r="BE8" s="50" t="n"/>
      <c r="BF8" s="50" t="n"/>
      <c r="BG8" s="50" t="n"/>
      <c r="BH8" s="50" t="n"/>
      <c r="BI8" s="50" t="n"/>
      <c r="BJ8" s="50" t="n"/>
      <c r="BK8" s="50" t="n"/>
      <c r="BL8" s="50" t="n"/>
      <c r="BM8" s="50" t="n"/>
      <c r="BN8" s="50" t="n"/>
      <c r="BO8" s="50" t="n"/>
      <c r="BP8" s="50" t="n"/>
      <c r="BQ8" s="50" t="n"/>
      <c r="BR8" s="50" t="n"/>
      <c r="BS8" s="50" t="n"/>
      <c r="BT8" s="50" t="n"/>
      <c r="BU8" s="50" t="n"/>
      <c r="BV8" s="50" t="n"/>
      <c r="BW8" s="50" t="n"/>
      <c r="BX8" s="50" t="n"/>
      <c r="BY8" s="50" t="n"/>
      <c r="BZ8" s="50" t="n"/>
      <c r="CA8" s="50" t="n"/>
      <c r="CB8" s="50" t="n"/>
      <c r="CC8" s="50" t="n"/>
      <c r="CD8" s="50" t="n"/>
      <c r="CE8" s="50" t="n"/>
      <c r="CF8" s="50" t="n"/>
      <c r="CG8" s="50" t="n"/>
      <c r="CH8" s="50" t="n"/>
      <c r="CI8" s="50" t="n"/>
      <c r="CJ8" s="50" t="n"/>
      <c r="CK8" s="50" t="n"/>
      <c r="CL8" s="50" t="n"/>
      <c r="CM8" s="50" t="n"/>
      <c r="CN8" s="50" t="n"/>
      <c r="CO8" s="50" t="n"/>
      <c r="CP8" s="50" t="n"/>
      <c r="CQ8" s="50" t="n"/>
      <c r="CR8" s="50" t="n"/>
      <c r="CS8" s="50" t="n"/>
      <c r="CT8" s="50" t="n"/>
      <c r="CU8" s="50" t="n"/>
      <c r="CV8" s="50" t="n"/>
      <c r="CW8" s="50" t="n"/>
      <c r="CX8" s="50" t="n"/>
      <c r="CY8" s="50" t="n"/>
      <c r="CZ8" s="50" t="n"/>
      <c r="DA8" s="50" t="n"/>
      <c r="DB8" s="50" t="n"/>
      <c r="DC8" s="50" t="n"/>
      <c r="DD8" s="50" t="n"/>
      <c r="DE8" s="50" t="n"/>
      <c r="DF8" s="50" t="n"/>
      <c r="DG8" s="50" t="n"/>
      <c r="DH8" s="50" t="n"/>
      <c r="DI8" s="50" t="n"/>
      <c r="DJ8" s="50" t="n"/>
      <c r="DK8" s="50" t="n"/>
      <c r="DL8" s="50" t="n"/>
      <c r="DM8" s="50" t="n"/>
      <c r="DN8" s="50" t="n"/>
      <c r="DO8" s="50" t="n"/>
      <c r="DP8" s="50" t="n"/>
      <c r="DQ8" s="50" t="n"/>
      <c r="DR8" s="50" t="n"/>
      <c r="DS8" s="50" t="n"/>
      <c r="DT8" s="50" t="n"/>
      <c r="DU8" s="50" t="n"/>
      <c r="DV8" s="50" t="n"/>
    </row>
    <row r="9">
      <c r="A9" s="47">
        <f>IF(Mitarbeiter!B9="","",Mitarbeiter!A9)</f>
        <v/>
      </c>
      <c r="B9" s="48">
        <f>IF(Mitarbeiter!B9="","",Mitarbeiter!B9)</f>
        <v/>
      </c>
      <c r="C9" s="49">
        <f>IF(Mitarbeiter!B9="","",Mitarbeiter!F9)</f>
        <v/>
      </c>
      <c r="D9" s="25">
        <f>IF(Mitarbeiter!B9="","",Berechnung!AD9)</f>
        <v/>
      </c>
      <c r="E9" s="25">
        <f>IF(Mitarbeiter!B9="","",SUM(G9:DV9))</f>
        <v/>
      </c>
      <c r="G9" s="50" t="n">
        <v>12</v>
      </c>
      <c r="H9" s="50" t="n"/>
      <c r="I9" s="50" t="n">
        <v>3</v>
      </c>
      <c r="J9" s="50" t="n"/>
      <c r="K9" s="50" t="n"/>
      <c r="L9" s="50" t="n"/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  <c r="X9" s="50" t="n"/>
      <c r="Y9" s="50" t="n"/>
      <c r="Z9" s="50" t="n">
        <v>3</v>
      </c>
      <c r="AA9" s="50" t="n"/>
      <c r="AB9" s="50" t="n"/>
      <c r="AC9" s="50" t="n"/>
      <c r="AD9" s="50" t="n"/>
      <c r="AE9" s="50" t="n"/>
      <c r="AF9" s="50" t="n"/>
      <c r="AG9" s="50" t="n"/>
      <c r="AH9" s="50" t="n"/>
      <c r="AI9" s="50" t="n"/>
      <c r="AJ9" s="50" t="n"/>
      <c r="AK9" s="50" t="n"/>
      <c r="AL9" s="50" t="n"/>
      <c r="AM9" s="50" t="n"/>
      <c r="AN9" s="50" t="n"/>
      <c r="AO9" s="50" t="n"/>
      <c r="AP9" s="50" t="n"/>
      <c r="AQ9" s="50" t="n"/>
      <c r="AR9" s="50" t="n"/>
      <c r="AS9" s="50" t="n"/>
      <c r="AT9" s="50" t="n"/>
      <c r="AU9" s="50" t="n"/>
      <c r="AV9" s="50" t="n"/>
      <c r="AW9" s="50" t="n"/>
      <c r="AX9" s="50" t="n"/>
      <c r="AY9" s="50" t="n"/>
      <c r="AZ9" s="50" t="n"/>
      <c r="BA9" s="50" t="n"/>
      <c r="BB9" s="50" t="n"/>
      <c r="BC9" s="50" t="n"/>
      <c r="BD9" s="50" t="n"/>
      <c r="BE9" s="50" t="n"/>
      <c r="BF9" s="50" t="n"/>
      <c r="BG9" s="50" t="n"/>
      <c r="BH9" s="50" t="n"/>
      <c r="BI9" s="50" t="n"/>
      <c r="BJ9" s="50" t="n"/>
      <c r="BK9" s="50" t="n"/>
      <c r="BL9" s="50" t="n"/>
      <c r="BM9" s="50" t="n"/>
      <c r="BN9" s="50" t="n"/>
      <c r="BO9" s="50" t="n"/>
      <c r="BP9" s="50" t="n"/>
      <c r="BQ9" s="50" t="n"/>
      <c r="BR9" s="50" t="n"/>
      <c r="BS9" s="50" t="n"/>
      <c r="BT9" s="50" t="n"/>
      <c r="BU9" s="50" t="n"/>
      <c r="BV9" s="50" t="n"/>
      <c r="BW9" s="50" t="n"/>
      <c r="BX9" s="50" t="n"/>
      <c r="BY9" s="50" t="n"/>
      <c r="BZ9" s="50" t="n"/>
      <c r="CA9" s="50" t="n"/>
      <c r="CB9" s="50" t="n"/>
      <c r="CC9" s="50" t="n"/>
      <c r="CD9" s="50" t="n"/>
      <c r="CE9" s="50" t="n"/>
      <c r="CF9" s="50" t="n"/>
      <c r="CG9" s="50" t="n"/>
      <c r="CH9" s="50" t="n"/>
      <c r="CI9" s="50" t="n"/>
      <c r="CJ9" s="50" t="n"/>
      <c r="CK9" s="50" t="n"/>
      <c r="CL9" s="50" t="n"/>
      <c r="CM9" s="50" t="n"/>
      <c r="CN9" s="50" t="n"/>
      <c r="CO9" s="50" t="n"/>
      <c r="CP9" s="50" t="n"/>
      <c r="CQ9" s="50" t="n"/>
      <c r="CR9" s="50" t="n"/>
      <c r="CS9" s="50" t="n"/>
      <c r="CT9" s="50" t="n"/>
      <c r="CU9" s="50" t="n"/>
      <c r="CV9" s="50" t="n"/>
      <c r="CW9" s="50" t="n"/>
      <c r="CX9" s="50" t="n"/>
      <c r="CY9" s="50" t="n"/>
      <c r="CZ9" s="50" t="n"/>
      <c r="DA9" s="50" t="n"/>
      <c r="DB9" s="50" t="n"/>
      <c r="DC9" s="50" t="n"/>
      <c r="DD9" s="50" t="n"/>
      <c r="DE9" s="50" t="n"/>
      <c r="DF9" s="50" t="n"/>
      <c r="DG9" s="50" t="n"/>
      <c r="DH9" s="50" t="n"/>
      <c r="DI9" s="50" t="n"/>
      <c r="DJ9" s="50" t="n"/>
      <c r="DK9" s="50" t="n"/>
      <c r="DL9" s="50" t="n"/>
      <c r="DM9" s="50" t="n"/>
      <c r="DN9" s="50" t="n"/>
      <c r="DO9" s="50" t="n"/>
      <c r="DP9" s="50" t="n"/>
      <c r="DQ9" s="50" t="n"/>
      <c r="DR9" s="50" t="n"/>
      <c r="DS9" s="50" t="n"/>
      <c r="DT9" s="50" t="n"/>
      <c r="DU9" s="50" t="n"/>
      <c r="DV9" s="50" t="n"/>
    </row>
    <row r="10">
      <c r="A10" s="47">
        <f>IF(Mitarbeiter!B10="","",Mitarbeiter!A10)</f>
        <v/>
      </c>
      <c r="B10" s="48">
        <f>IF(Mitarbeiter!B10="","",Mitarbeiter!B10)</f>
        <v/>
      </c>
      <c r="C10" s="49">
        <f>IF(Mitarbeiter!B10="","",Mitarbeiter!F10)</f>
        <v/>
      </c>
      <c r="D10" s="25">
        <f>IF(Mitarbeiter!B10="","",Berechnung!AD10)</f>
        <v/>
      </c>
      <c r="E10" s="25">
        <f>IF(Mitarbeiter!B10="","",SUM(G10:DV10))</f>
        <v/>
      </c>
      <c r="G10" s="50" t="n"/>
      <c r="H10" s="50" t="n"/>
      <c r="I10" s="50" t="n"/>
      <c r="J10" s="50" t="n">
        <v>1</v>
      </c>
      <c r="K10" s="50" t="n"/>
      <c r="L10" s="50" t="n">
        <v>1</v>
      </c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0" t="n"/>
      <c r="X10" s="50" t="n"/>
      <c r="Y10" s="50" t="n"/>
      <c r="Z10" s="50" t="n"/>
      <c r="AA10" s="50" t="n"/>
      <c r="AB10" s="50" t="n"/>
      <c r="AC10" s="50" t="n"/>
      <c r="AD10" s="50" t="n"/>
      <c r="AE10" s="50" t="n"/>
      <c r="AF10" s="50" t="n"/>
      <c r="AG10" s="50" t="n"/>
      <c r="AH10" s="50" t="n"/>
      <c r="AI10" s="50" t="n"/>
      <c r="AJ10" s="50" t="n"/>
      <c r="AK10" s="50" t="n"/>
      <c r="AL10" s="50" t="n"/>
      <c r="AM10" s="50" t="n"/>
      <c r="AN10" s="50" t="n"/>
      <c r="AO10" s="50" t="n"/>
      <c r="AP10" s="50" t="n"/>
      <c r="AQ10" s="50" t="n"/>
      <c r="AR10" s="50" t="n"/>
      <c r="AS10" s="50" t="n"/>
      <c r="AT10" s="50" t="n"/>
      <c r="AU10" s="50" t="n"/>
      <c r="AV10" s="50" t="n"/>
      <c r="AW10" s="50" t="n"/>
      <c r="AX10" s="50" t="n"/>
      <c r="AY10" s="50" t="n"/>
      <c r="AZ10" s="50" t="n"/>
      <c r="BA10" s="50" t="n"/>
      <c r="BB10" s="50" t="n"/>
      <c r="BC10" s="50" t="n"/>
      <c r="BD10" s="50" t="n"/>
      <c r="BE10" s="50" t="n"/>
      <c r="BF10" s="50" t="n"/>
      <c r="BG10" s="50" t="n"/>
      <c r="BH10" s="50" t="n"/>
      <c r="BI10" s="50" t="n"/>
      <c r="BJ10" s="50" t="n"/>
      <c r="BK10" s="50" t="n"/>
      <c r="BL10" s="50" t="n"/>
      <c r="BM10" s="50" t="n"/>
      <c r="BN10" s="50" t="n"/>
      <c r="BO10" s="50" t="n"/>
      <c r="BP10" s="50" t="n"/>
      <c r="BQ10" s="50" t="n"/>
      <c r="BR10" s="50" t="n"/>
      <c r="BS10" s="50" t="n"/>
      <c r="BT10" s="50" t="n"/>
      <c r="BU10" s="50" t="n"/>
      <c r="BV10" s="50" t="n"/>
      <c r="BW10" s="50" t="n"/>
      <c r="BX10" s="50" t="n"/>
      <c r="BY10" s="50" t="n"/>
      <c r="BZ10" s="50" t="n"/>
      <c r="CA10" s="50" t="n"/>
      <c r="CB10" s="50" t="n"/>
      <c r="CC10" s="50" t="n"/>
      <c r="CD10" s="50" t="n"/>
      <c r="CE10" s="50" t="n"/>
      <c r="CF10" s="50" t="n"/>
      <c r="CG10" s="50" t="n"/>
      <c r="CH10" s="50" t="n"/>
      <c r="CI10" s="50" t="n"/>
      <c r="CJ10" s="50" t="n"/>
      <c r="CK10" s="50" t="n"/>
      <c r="CL10" s="50" t="n"/>
      <c r="CM10" s="50" t="n"/>
      <c r="CN10" s="50" t="n"/>
      <c r="CO10" s="50" t="n"/>
      <c r="CP10" s="50" t="n"/>
      <c r="CQ10" s="50" t="n"/>
      <c r="CR10" s="50" t="n"/>
      <c r="CS10" s="50" t="n"/>
      <c r="CT10" s="50" t="n"/>
      <c r="CU10" s="50" t="n"/>
      <c r="CV10" s="50" t="n"/>
      <c r="CW10" s="50" t="n"/>
      <c r="CX10" s="50" t="n"/>
      <c r="CY10" s="50" t="n"/>
      <c r="CZ10" s="50" t="n"/>
      <c r="DA10" s="50" t="n"/>
      <c r="DB10" s="50" t="n"/>
      <c r="DC10" s="50" t="n"/>
      <c r="DD10" s="50" t="n"/>
      <c r="DE10" s="50" t="n"/>
      <c r="DF10" s="50" t="n"/>
      <c r="DG10" s="50" t="n"/>
      <c r="DH10" s="50" t="n"/>
      <c r="DI10" s="50" t="n"/>
      <c r="DJ10" s="50" t="n"/>
      <c r="DK10" s="50" t="n"/>
      <c r="DL10" s="50" t="n"/>
      <c r="DM10" s="50" t="n"/>
      <c r="DN10" s="50" t="n"/>
      <c r="DO10" s="50" t="n"/>
      <c r="DP10" s="50" t="n"/>
      <c r="DQ10" s="50" t="n"/>
      <c r="DR10" s="50" t="n"/>
      <c r="DS10" s="50" t="n"/>
      <c r="DT10" s="50" t="n"/>
      <c r="DU10" s="50" t="n"/>
      <c r="DV10" s="50" t="n"/>
    </row>
    <row r="11">
      <c r="A11" s="47">
        <f>IF(Mitarbeiter!B11="","",Mitarbeiter!A11)</f>
        <v/>
      </c>
      <c r="B11" s="48">
        <f>IF(Mitarbeiter!B11="","",Mitarbeiter!B11)</f>
        <v/>
      </c>
      <c r="C11" s="49">
        <f>IF(Mitarbeiter!B11="","",Mitarbeiter!F11)</f>
        <v/>
      </c>
      <c r="D11" s="25">
        <f>IF(Mitarbeiter!B11="","",Berechnung!AD11)</f>
        <v/>
      </c>
      <c r="E11" s="25">
        <f>IF(Mitarbeiter!B11="","",SUM(G11:DV11))</f>
        <v/>
      </c>
      <c r="G11" s="50" t="n"/>
      <c r="H11" s="50" t="n">
        <v>3</v>
      </c>
      <c r="I11" s="50" t="n"/>
      <c r="J11" s="50" t="n"/>
      <c r="K11" s="50" t="n"/>
      <c r="L11" s="50" t="n"/>
      <c r="M11" s="50" t="n"/>
      <c r="N11" s="50" t="n">
        <v>1</v>
      </c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  <c r="X11" s="50" t="n"/>
      <c r="Y11" s="50" t="n"/>
      <c r="Z11" s="50" t="n">
        <v>5</v>
      </c>
      <c r="AA11" s="50" t="n"/>
      <c r="AB11" s="50" t="n"/>
      <c r="AC11" s="50" t="n"/>
      <c r="AD11" s="50" t="n"/>
      <c r="AE11" s="50" t="n"/>
      <c r="AF11" s="50" t="n"/>
      <c r="AG11" s="50" t="n"/>
      <c r="AH11" s="50" t="n"/>
      <c r="AI11" s="50" t="n"/>
      <c r="AJ11" s="50" t="n"/>
      <c r="AK11" s="50" t="n"/>
      <c r="AL11" s="50" t="n"/>
      <c r="AM11" s="50" t="n"/>
      <c r="AN11" s="50" t="n"/>
      <c r="AO11" s="50" t="n"/>
      <c r="AP11" s="50" t="n"/>
      <c r="AQ11" s="50" t="n"/>
      <c r="AR11" s="50" t="n"/>
      <c r="AS11" s="50" t="n"/>
      <c r="AT11" s="50" t="n"/>
      <c r="AU11" s="50" t="n"/>
      <c r="AV11" s="50" t="n"/>
      <c r="AW11" s="50" t="n"/>
      <c r="AX11" s="50" t="n"/>
      <c r="AY11" s="50" t="n"/>
      <c r="AZ11" s="50" t="n"/>
      <c r="BA11" s="50" t="n"/>
      <c r="BB11" s="50" t="n"/>
      <c r="BC11" s="50" t="n"/>
      <c r="BD11" s="50" t="n"/>
      <c r="BE11" s="50" t="n"/>
      <c r="BF11" s="50" t="n"/>
      <c r="BG11" s="50" t="n"/>
      <c r="BH11" s="50" t="n"/>
      <c r="BI11" s="50" t="n"/>
      <c r="BJ11" s="50" t="n"/>
      <c r="BK11" s="50" t="n"/>
      <c r="BL11" s="50" t="n"/>
      <c r="BM11" s="50" t="n"/>
      <c r="BN11" s="50" t="n"/>
      <c r="BO11" s="50" t="n"/>
      <c r="BP11" s="50" t="n"/>
      <c r="BQ11" s="50" t="n"/>
      <c r="BR11" s="50" t="n"/>
      <c r="BS11" s="50" t="n"/>
      <c r="BT11" s="50" t="n"/>
      <c r="BU11" s="50" t="n"/>
      <c r="BV11" s="50" t="n"/>
      <c r="BW11" s="50" t="n"/>
      <c r="BX11" s="50" t="n"/>
      <c r="BY11" s="50" t="n"/>
      <c r="BZ11" s="50" t="n"/>
      <c r="CA11" s="50" t="n"/>
      <c r="CB11" s="50" t="n"/>
      <c r="CC11" s="50" t="n"/>
      <c r="CD11" s="50" t="n"/>
      <c r="CE11" s="50" t="n"/>
      <c r="CF11" s="50" t="n"/>
      <c r="CG11" s="50" t="n"/>
      <c r="CH11" s="50" t="n"/>
      <c r="CI11" s="50" t="n"/>
      <c r="CJ11" s="50" t="n"/>
      <c r="CK11" s="50" t="n"/>
      <c r="CL11" s="50" t="n"/>
      <c r="CM11" s="50" t="n"/>
      <c r="CN11" s="50" t="n"/>
      <c r="CO11" s="50" t="n"/>
      <c r="CP11" s="50" t="n"/>
      <c r="CQ11" s="50" t="n"/>
      <c r="CR11" s="50" t="n"/>
      <c r="CS11" s="50" t="n"/>
      <c r="CT11" s="50" t="n"/>
      <c r="CU11" s="50" t="n"/>
      <c r="CV11" s="50" t="n"/>
      <c r="CW11" s="50" t="n"/>
      <c r="CX11" s="50" t="n"/>
      <c r="CY11" s="50" t="n"/>
      <c r="CZ11" s="50" t="n"/>
      <c r="DA11" s="50" t="n"/>
      <c r="DB11" s="50" t="n"/>
      <c r="DC11" s="50" t="n"/>
      <c r="DD11" s="50" t="n"/>
      <c r="DE11" s="50" t="n"/>
      <c r="DF11" s="50" t="n"/>
      <c r="DG11" s="50" t="n"/>
      <c r="DH11" s="50" t="n"/>
      <c r="DI11" s="50" t="n"/>
      <c r="DJ11" s="50" t="n"/>
      <c r="DK11" s="50" t="n"/>
      <c r="DL11" s="50" t="n"/>
      <c r="DM11" s="50" t="n"/>
      <c r="DN11" s="50" t="n"/>
      <c r="DO11" s="50" t="n"/>
      <c r="DP11" s="50" t="n"/>
      <c r="DQ11" s="50" t="n"/>
      <c r="DR11" s="50" t="n"/>
      <c r="DS11" s="50" t="n"/>
      <c r="DT11" s="50" t="n"/>
      <c r="DU11" s="50" t="n"/>
      <c r="DV11" s="50" t="n"/>
    </row>
    <row r="12">
      <c r="A12" s="47">
        <f>IF(Mitarbeiter!B12="","",Mitarbeiter!A12)</f>
        <v/>
      </c>
      <c r="B12" s="48">
        <f>IF(Mitarbeiter!B12="","",Mitarbeiter!B12)</f>
        <v/>
      </c>
      <c r="C12" s="49">
        <f>IF(Mitarbeiter!B12="","",Mitarbeiter!F12)</f>
        <v/>
      </c>
      <c r="D12" s="25">
        <f>IF(Mitarbeiter!B12="","",Berechnung!AD12)</f>
        <v/>
      </c>
      <c r="E12" s="25">
        <f>IF(Mitarbeiter!B12="","",SUM(G12:DV12))</f>
        <v/>
      </c>
      <c r="G12" s="50" t="n"/>
      <c r="H12" s="50" t="n">
        <v>19</v>
      </c>
      <c r="I12" s="50" t="n"/>
      <c r="J12" s="50" t="n"/>
      <c r="K12" s="50" t="n"/>
      <c r="L12" s="50" t="n"/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  <c r="V12" s="50" t="n"/>
      <c r="W12" s="50" t="n">
        <v>3</v>
      </c>
      <c r="X12" s="50" t="n"/>
      <c r="Y12" s="50" t="n"/>
      <c r="Z12" s="50" t="n"/>
      <c r="AA12" s="50" t="n"/>
      <c r="AB12" s="50" t="n"/>
      <c r="AC12" s="50" t="n"/>
      <c r="AD12" s="50" t="n"/>
      <c r="AE12" s="50" t="n"/>
      <c r="AF12" s="50" t="n"/>
      <c r="AG12" s="50" t="n"/>
      <c r="AH12" s="50" t="n"/>
      <c r="AI12" s="50" t="n"/>
      <c r="AJ12" s="50" t="n"/>
      <c r="AK12" s="50" t="n"/>
      <c r="AL12" s="50" t="n"/>
      <c r="AM12" s="50" t="n"/>
      <c r="AN12" s="50" t="n"/>
      <c r="AO12" s="50" t="n"/>
      <c r="AP12" s="50" t="n"/>
      <c r="AQ12" s="50" t="n"/>
      <c r="AR12" s="50" t="n"/>
      <c r="AS12" s="50" t="n"/>
      <c r="AT12" s="50" t="n"/>
      <c r="AU12" s="50" t="n"/>
      <c r="AV12" s="50" t="n"/>
      <c r="AW12" s="50" t="n"/>
      <c r="AX12" s="50" t="n"/>
      <c r="AY12" s="50" t="n"/>
      <c r="AZ12" s="50" t="n"/>
      <c r="BA12" s="50" t="n"/>
      <c r="BB12" s="50" t="n"/>
      <c r="BC12" s="50" t="n"/>
      <c r="BD12" s="50" t="n"/>
      <c r="BE12" s="50" t="n"/>
      <c r="BF12" s="50" t="n"/>
      <c r="BG12" s="50" t="n"/>
      <c r="BH12" s="50" t="n"/>
      <c r="BI12" s="50" t="n"/>
      <c r="BJ12" s="50" t="n"/>
      <c r="BK12" s="50" t="n"/>
      <c r="BL12" s="50" t="n"/>
      <c r="BM12" s="50" t="n"/>
      <c r="BN12" s="50" t="n"/>
      <c r="BO12" s="50" t="n"/>
      <c r="BP12" s="50" t="n"/>
      <c r="BQ12" s="50" t="n"/>
      <c r="BR12" s="50" t="n"/>
      <c r="BS12" s="50" t="n"/>
      <c r="BT12" s="50" t="n"/>
      <c r="BU12" s="50" t="n"/>
      <c r="BV12" s="50" t="n"/>
      <c r="BW12" s="50" t="n"/>
      <c r="BX12" s="50" t="n"/>
      <c r="BY12" s="50" t="n"/>
      <c r="BZ12" s="50" t="n"/>
      <c r="CA12" s="50" t="n"/>
      <c r="CB12" s="50" t="n"/>
      <c r="CC12" s="50" t="n"/>
      <c r="CD12" s="50" t="n"/>
      <c r="CE12" s="50" t="n"/>
      <c r="CF12" s="50" t="n"/>
      <c r="CG12" s="50" t="n"/>
      <c r="CH12" s="50" t="n"/>
      <c r="CI12" s="50" t="n"/>
      <c r="CJ12" s="50" t="n"/>
      <c r="CK12" s="50" t="n"/>
      <c r="CL12" s="50" t="n"/>
      <c r="CM12" s="50" t="n"/>
      <c r="CN12" s="50" t="n"/>
      <c r="CO12" s="50" t="n"/>
      <c r="CP12" s="50" t="n"/>
      <c r="CQ12" s="50" t="n"/>
      <c r="CR12" s="50" t="n"/>
      <c r="CS12" s="50" t="n"/>
      <c r="CT12" s="50" t="n"/>
      <c r="CU12" s="50" t="n"/>
      <c r="CV12" s="50" t="n"/>
      <c r="CW12" s="50" t="n"/>
      <c r="CX12" s="50" t="n"/>
      <c r="CY12" s="50" t="n"/>
      <c r="CZ12" s="50" t="n"/>
      <c r="DA12" s="50" t="n"/>
      <c r="DB12" s="50" t="n"/>
      <c r="DC12" s="50" t="n"/>
      <c r="DD12" s="50" t="n"/>
      <c r="DE12" s="50" t="n"/>
      <c r="DF12" s="50" t="n"/>
      <c r="DG12" s="50" t="n"/>
      <c r="DH12" s="50" t="n"/>
      <c r="DI12" s="50" t="n"/>
      <c r="DJ12" s="50" t="n"/>
      <c r="DK12" s="50" t="n"/>
      <c r="DL12" s="50" t="n"/>
      <c r="DM12" s="50" t="n"/>
      <c r="DN12" s="50" t="n"/>
      <c r="DO12" s="50" t="n"/>
      <c r="DP12" s="50" t="n"/>
      <c r="DQ12" s="50" t="n"/>
      <c r="DR12" s="50" t="n"/>
      <c r="DS12" s="50" t="n"/>
      <c r="DT12" s="50" t="n"/>
      <c r="DU12" s="50" t="n"/>
      <c r="DV12" s="50" t="n"/>
    </row>
    <row r="13">
      <c r="A13" s="47">
        <f>IF(Mitarbeiter!B13="","",Mitarbeiter!A13)</f>
        <v/>
      </c>
      <c r="B13" s="48">
        <f>IF(Mitarbeiter!B13="","",Mitarbeiter!B13)</f>
        <v/>
      </c>
      <c r="C13" s="49">
        <f>IF(Mitarbeiter!B13="","",Mitarbeiter!F13)</f>
        <v/>
      </c>
      <c r="D13" s="25">
        <f>IF(Mitarbeiter!B13="","",Berechnung!AD13)</f>
        <v/>
      </c>
      <c r="E13" s="25">
        <f>IF(Mitarbeiter!B13="","",SUM(G13:DV13))</f>
        <v/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>
        <v>3</v>
      </c>
      <c r="P13" s="50" t="n"/>
      <c r="Q13" s="50" t="n"/>
      <c r="R13" s="50" t="n"/>
      <c r="S13" s="50" t="n"/>
      <c r="T13" s="50" t="n"/>
      <c r="U13" s="50" t="n"/>
      <c r="V13" s="50" t="n"/>
      <c r="W13" s="50" t="n"/>
      <c r="X13" s="50" t="n"/>
      <c r="Y13" s="50" t="n"/>
      <c r="Z13" s="50" t="n">
        <v>2</v>
      </c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50" t="n"/>
      <c r="AV13" s="50" t="n"/>
      <c r="AW13" s="50" t="n"/>
      <c r="AX13" s="50" t="n"/>
      <c r="AY13" s="50" t="n"/>
      <c r="AZ13" s="50" t="n"/>
      <c r="BA13" s="50" t="n"/>
      <c r="BB13" s="50" t="n"/>
      <c r="BC13" s="50" t="n"/>
      <c r="BD13" s="50" t="n"/>
      <c r="BE13" s="50" t="n"/>
      <c r="BF13" s="50" t="n"/>
      <c r="BG13" s="50" t="n"/>
      <c r="BH13" s="50" t="n"/>
      <c r="BI13" s="50" t="n"/>
      <c r="BJ13" s="50" t="n"/>
      <c r="BK13" s="50" t="n"/>
      <c r="BL13" s="50" t="n"/>
      <c r="BM13" s="50" t="n"/>
      <c r="BN13" s="50" t="n"/>
      <c r="BO13" s="50" t="n"/>
      <c r="BP13" s="50" t="n"/>
      <c r="BQ13" s="50" t="n"/>
      <c r="BR13" s="50" t="n"/>
      <c r="BS13" s="50" t="n"/>
      <c r="BT13" s="50" t="n"/>
      <c r="BU13" s="50" t="n"/>
      <c r="BV13" s="50" t="n"/>
      <c r="BW13" s="50" t="n"/>
      <c r="BX13" s="50" t="n"/>
      <c r="BY13" s="50" t="n"/>
      <c r="BZ13" s="50" t="n"/>
      <c r="CA13" s="50" t="n"/>
      <c r="CB13" s="50" t="n"/>
      <c r="CC13" s="50" t="n"/>
      <c r="CD13" s="50" t="n"/>
      <c r="CE13" s="50" t="n"/>
      <c r="CF13" s="50" t="n"/>
      <c r="CG13" s="50" t="n"/>
      <c r="CH13" s="50" t="n"/>
      <c r="CI13" s="50" t="n"/>
      <c r="CJ13" s="50" t="n"/>
      <c r="CK13" s="50" t="n"/>
      <c r="CL13" s="50" t="n"/>
      <c r="CM13" s="50" t="n"/>
      <c r="CN13" s="50" t="n"/>
      <c r="CO13" s="50" t="n"/>
      <c r="CP13" s="50" t="n"/>
      <c r="CQ13" s="50" t="n"/>
      <c r="CR13" s="50" t="n"/>
      <c r="CS13" s="50" t="n"/>
      <c r="CT13" s="50" t="n"/>
      <c r="CU13" s="50" t="n"/>
      <c r="CV13" s="50" t="n"/>
      <c r="CW13" s="50" t="n"/>
      <c r="CX13" s="50" t="n"/>
      <c r="CY13" s="50" t="n"/>
      <c r="CZ13" s="50" t="n"/>
      <c r="DA13" s="50" t="n"/>
      <c r="DB13" s="50" t="n"/>
      <c r="DC13" s="50" t="n"/>
      <c r="DD13" s="50" t="n"/>
      <c r="DE13" s="50" t="n"/>
      <c r="DF13" s="50" t="n"/>
      <c r="DG13" s="50" t="n"/>
      <c r="DH13" s="50" t="n"/>
      <c r="DI13" s="50" t="n"/>
      <c r="DJ13" s="50" t="n"/>
      <c r="DK13" s="50" t="n"/>
      <c r="DL13" s="50" t="n"/>
      <c r="DM13" s="50" t="n"/>
      <c r="DN13" s="50" t="n"/>
      <c r="DO13" s="50" t="n"/>
      <c r="DP13" s="50" t="n"/>
      <c r="DQ13" s="50" t="n"/>
      <c r="DR13" s="50" t="n"/>
      <c r="DS13" s="50" t="n"/>
      <c r="DT13" s="50" t="n"/>
      <c r="DU13" s="50" t="n"/>
      <c r="DV13" s="50" t="n"/>
    </row>
    <row r="14">
      <c r="A14" s="47">
        <f>IF(Mitarbeiter!B14="","",Mitarbeiter!A14)</f>
        <v/>
      </c>
      <c r="B14" s="48">
        <f>IF(Mitarbeiter!B14="","",Mitarbeiter!B14)</f>
        <v/>
      </c>
      <c r="C14" s="49">
        <f>IF(Mitarbeiter!B14="","",Mitarbeiter!F14)</f>
        <v/>
      </c>
      <c r="D14" s="25">
        <f>IF(Mitarbeiter!B14="","",Berechnung!AD14)</f>
        <v/>
      </c>
      <c r="E14" s="25">
        <f>IF(Mitarbeiter!B14="","",SUM(G14:DV14))</f>
        <v/>
      </c>
      <c r="G14" s="50" t="n"/>
      <c r="H14" s="50" t="n"/>
      <c r="I14" s="50" t="n"/>
      <c r="J14" s="50" t="n"/>
      <c r="K14" s="50" t="n">
        <v>3</v>
      </c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  <c r="X14" s="50" t="n">
        <v>8</v>
      </c>
      <c r="Y14" s="50" t="n">
        <v>1</v>
      </c>
      <c r="Z14" s="50" t="n"/>
      <c r="AA14" s="50" t="n">
        <v>1</v>
      </c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50" t="n"/>
      <c r="AV14" s="50" t="n"/>
      <c r="AW14" s="50" t="n"/>
      <c r="AX14" s="50" t="n"/>
      <c r="AY14" s="50" t="n"/>
      <c r="AZ14" s="50" t="n"/>
      <c r="BA14" s="50" t="n"/>
      <c r="BB14" s="50" t="n"/>
      <c r="BC14" s="50" t="n"/>
      <c r="BD14" s="50" t="n"/>
      <c r="BE14" s="50" t="n"/>
      <c r="BF14" s="50" t="n"/>
      <c r="BG14" s="50" t="n"/>
      <c r="BH14" s="50" t="n"/>
      <c r="BI14" s="50" t="n"/>
      <c r="BJ14" s="50" t="n"/>
      <c r="BK14" s="50" t="n"/>
      <c r="BL14" s="50" t="n"/>
      <c r="BM14" s="50" t="n"/>
      <c r="BN14" s="50" t="n"/>
      <c r="BO14" s="50" t="n"/>
      <c r="BP14" s="50" t="n"/>
      <c r="BQ14" s="50" t="n"/>
      <c r="BR14" s="50" t="n"/>
      <c r="BS14" s="50" t="n"/>
      <c r="BT14" s="50" t="n"/>
      <c r="BU14" s="50" t="n"/>
      <c r="BV14" s="50" t="n"/>
      <c r="BW14" s="50" t="n"/>
      <c r="BX14" s="50" t="n"/>
      <c r="BY14" s="50" t="n"/>
      <c r="BZ14" s="50" t="n"/>
      <c r="CA14" s="50" t="n"/>
      <c r="CB14" s="50" t="n"/>
      <c r="CC14" s="50" t="n"/>
      <c r="CD14" s="50" t="n"/>
      <c r="CE14" s="50" t="n"/>
      <c r="CF14" s="50" t="n"/>
      <c r="CG14" s="50" t="n"/>
      <c r="CH14" s="50" t="n"/>
      <c r="CI14" s="50" t="n"/>
      <c r="CJ14" s="50" t="n"/>
      <c r="CK14" s="50" t="n"/>
      <c r="CL14" s="50" t="n"/>
      <c r="CM14" s="50" t="n"/>
      <c r="CN14" s="50" t="n"/>
      <c r="CO14" s="50" t="n"/>
      <c r="CP14" s="50" t="n"/>
      <c r="CQ14" s="50" t="n"/>
      <c r="CR14" s="50" t="n"/>
      <c r="CS14" s="50" t="n"/>
      <c r="CT14" s="50" t="n"/>
      <c r="CU14" s="50" t="n"/>
      <c r="CV14" s="50" t="n"/>
      <c r="CW14" s="50" t="n"/>
      <c r="CX14" s="50" t="n"/>
      <c r="CY14" s="50" t="n"/>
      <c r="CZ14" s="50" t="n"/>
      <c r="DA14" s="50" t="n"/>
      <c r="DB14" s="50" t="n"/>
      <c r="DC14" s="50" t="n"/>
      <c r="DD14" s="50" t="n"/>
      <c r="DE14" s="50" t="n"/>
      <c r="DF14" s="50" t="n"/>
      <c r="DG14" s="50" t="n"/>
      <c r="DH14" s="50" t="n"/>
      <c r="DI14" s="50" t="n"/>
      <c r="DJ14" s="50" t="n"/>
      <c r="DK14" s="50" t="n"/>
      <c r="DL14" s="50" t="n"/>
      <c r="DM14" s="50" t="n"/>
      <c r="DN14" s="50" t="n"/>
      <c r="DO14" s="50" t="n"/>
      <c r="DP14" s="50" t="n"/>
      <c r="DQ14" s="50" t="n"/>
      <c r="DR14" s="50" t="n"/>
      <c r="DS14" s="50" t="n"/>
      <c r="DT14" s="50" t="n"/>
      <c r="DU14" s="50" t="n"/>
      <c r="DV14" s="50" t="n"/>
    </row>
    <row r="15">
      <c r="A15" s="47">
        <f>IF(Mitarbeiter!B15="","",Mitarbeiter!A15)</f>
        <v/>
      </c>
      <c r="B15" s="48">
        <f>IF(Mitarbeiter!B15="","",Mitarbeiter!B15)</f>
        <v/>
      </c>
      <c r="C15" s="49">
        <f>IF(Mitarbeiter!B15="","",Mitarbeiter!F15)</f>
        <v/>
      </c>
      <c r="D15" s="25">
        <f>IF(Mitarbeiter!B15="","",Berechnung!AD15)</f>
        <v/>
      </c>
      <c r="E15" s="25">
        <f>IF(Mitarbeiter!B15="","",SUM(G15:DV15))</f>
        <v/>
      </c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  <c r="V15" s="50" t="n"/>
      <c r="W15" s="50" t="n"/>
      <c r="X15" s="50" t="n"/>
      <c r="Y15" s="50" t="n"/>
      <c r="Z15" s="50" t="n"/>
      <c r="AA15" s="50" t="n"/>
      <c r="AB15" s="50" t="n"/>
      <c r="AC15" s="50" t="n"/>
      <c r="AD15" s="50" t="n"/>
      <c r="AE15" s="50" t="n"/>
      <c r="AF15" s="50" t="n"/>
      <c r="AG15" s="50" t="n"/>
      <c r="AH15" s="50" t="n"/>
      <c r="AI15" s="50" t="n"/>
      <c r="AJ15" s="50" t="n"/>
      <c r="AK15" s="50" t="n"/>
      <c r="AL15" s="50" t="n"/>
      <c r="AM15" s="50" t="n"/>
      <c r="AN15" s="50" t="n"/>
      <c r="AO15" s="50" t="n"/>
      <c r="AP15" s="50" t="n"/>
      <c r="AQ15" s="50" t="n"/>
      <c r="AR15" s="50" t="n"/>
      <c r="AS15" s="50" t="n"/>
      <c r="AT15" s="50" t="n"/>
      <c r="AU15" s="50" t="n"/>
      <c r="AV15" s="50" t="n"/>
      <c r="AW15" s="50" t="n"/>
      <c r="AX15" s="50" t="n"/>
      <c r="AY15" s="50" t="n"/>
      <c r="AZ15" s="50" t="n"/>
      <c r="BA15" s="50" t="n"/>
      <c r="BB15" s="50" t="n"/>
      <c r="BC15" s="50" t="n"/>
      <c r="BD15" s="50" t="n"/>
      <c r="BE15" s="50" t="n"/>
      <c r="BF15" s="50" t="n"/>
      <c r="BG15" s="50" t="n"/>
      <c r="BH15" s="50" t="n"/>
      <c r="BI15" s="50" t="n"/>
      <c r="BJ15" s="50" t="n"/>
      <c r="BK15" s="50" t="n"/>
      <c r="BL15" s="50" t="n"/>
      <c r="BM15" s="50" t="n"/>
      <c r="BN15" s="50" t="n"/>
      <c r="BO15" s="50" t="n"/>
      <c r="BP15" s="50" t="n"/>
      <c r="BQ15" s="50" t="n"/>
      <c r="BR15" s="50" t="n"/>
      <c r="BS15" s="50" t="n"/>
      <c r="BT15" s="50" t="n"/>
      <c r="BU15" s="50" t="n"/>
      <c r="BV15" s="50" t="n"/>
      <c r="BW15" s="50" t="n"/>
      <c r="BX15" s="50" t="n"/>
      <c r="BY15" s="50" t="n"/>
      <c r="BZ15" s="50" t="n"/>
      <c r="CA15" s="50" t="n"/>
      <c r="CB15" s="50" t="n"/>
      <c r="CC15" s="50" t="n"/>
      <c r="CD15" s="50" t="n"/>
      <c r="CE15" s="50" t="n"/>
      <c r="CF15" s="50" t="n"/>
      <c r="CG15" s="50" t="n"/>
      <c r="CH15" s="50" t="n"/>
      <c r="CI15" s="50" t="n"/>
      <c r="CJ15" s="50" t="n"/>
      <c r="CK15" s="50" t="n"/>
      <c r="CL15" s="50" t="n"/>
      <c r="CM15" s="50" t="n"/>
      <c r="CN15" s="50" t="n"/>
      <c r="CO15" s="50" t="n"/>
      <c r="CP15" s="50" t="n"/>
      <c r="CQ15" s="50" t="n"/>
      <c r="CR15" s="50" t="n"/>
      <c r="CS15" s="50" t="n"/>
      <c r="CT15" s="50" t="n"/>
      <c r="CU15" s="50" t="n"/>
      <c r="CV15" s="50" t="n"/>
      <c r="CW15" s="50" t="n"/>
      <c r="CX15" s="50" t="n"/>
      <c r="CY15" s="50" t="n"/>
      <c r="CZ15" s="50" t="n"/>
      <c r="DA15" s="50" t="n"/>
      <c r="DB15" s="50" t="n"/>
      <c r="DC15" s="50" t="n"/>
      <c r="DD15" s="50" t="n"/>
      <c r="DE15" s="50" t="n"/>
      <c r="DF15" s="50" t="n"/>
      <c r="DG15" s="50" t="n"/>
      <c r="DH15" s="50" t="n"/>
      <c r="DI15" s="50" t="n"/>
      <c r="DJ15" s="50" t="n"/>
      <c r="DK15" s="50" t="n"/>
      <c r="DL15" s="50" t="n"/>
      <c r="DM15" s="50" t="n"/>
      <c r="DN15" s="50" t="n"/>
      <c r="DO15" s="50" t="n"/>
      <c r="DP15" s="50" t="n"/>
      <c r="DQ15" s="50" t="n"/>
      <c r="DR15" s="50" t="n"/>
      <c r="DS15" s="50" t="n"/>
      <c r="DT15" s="50" t="n"/>
      <c r="DU15" s="50" t="n"/>
      <c r="DV15" s="50" t="n"/>
    </row>
    <row r="16">
      <c r="A16" s="47">
        <f>IF(Mitarbeiter!B16="","",Mitarbeiter!A16)</f>
        <v/>
      </c>
      <c r="B16" s="48">
        <f>IF(Mitarbeiter!B16="","",Mitarbeiter!B16)</f>
        <v/>
      </c>
      <c r="C16" s="49">
        <f>IF(Mitarbeiter!B16="","",Mitarbeiter!F16)</f>
        <v/>
      </c>
      <c r="D16" s="25">
        <f>IF(Mitarbeiter!B16="","",Berechnung!AD16)</f>
        <v/>
      </c>
      <c r="E16" s="25">
        <f>IF(Mitarbeiter!B16="","",SUM(G16:DV16))</f>
        <v/>
      </c>
      <c r="G16" s="50" t="n"/>
      <c r="H16" s="50" t="n"/>
      <c r="I16" s="50" t="n">
        <v>3</v>
      </c>
      <c r="J16" s="50" t="n">
        <v>1</v>
      </c>
      <c r="K16" s="50" t="n"/>
      <c r="L16" s="50" t="n"/>
      <c r="M16" s="50" t="n"/>
      <c r="N16" s="50" t="n">
        <v>5</v>
      </c>
      <c r="O16" s="50" t="n">
        <v>3</v>
      </c>
      <c r="P16" s="50" t="n"/>
      <c r="Q16" s="50" t="n"/>
      <c r="R16" s="50" t="n"/>
      <c r="S16" s="50" t="n">
        <v>5</v>
      </c>
      <c r="T16" s="50" t="n"/>
      <c r="U16" s="50" t="n"/>
      <c r="V16" s="50" t="n"/>
      <c r="W16" s="50" t="n"/>
      <c r="X16" s="50" t="n"/>
      <c r="Y16" s="50" t="n"/>
      <c r="Z16" s="50" t="n"/>
      <c r="AA16" s="50" t="n"/>
      <c r="AB16" s="50" t="n"/>
      <c r="AC16" s="50" t="n"/>
      <c r="AD16" s="50" t="n"/>
      <c r="AE16" s="50" t="n"/>
      <c r="AF16" s="50" t="n"/>
      <c r="AG16" s="50" t="n"/>
      <c r="AH16" s="50" t="n"/>
      <c r="AI16" s="50" t="n"/>
      <c r="AJ16" s="50" t="n"/>
      <c r="AK16" s="50" t="n"/>
      <c r="AL16" s="50" t="n"/>
      <c r="AM16" s="50" t="n"/>
      <c r="AN16" s="50" t="n"/>
      <c r="AO16" s="50" t="n"/>
      <c r="AP16" s="50" t="n"/>
      <c r="AQ16" s="50" t="n"/>
      <c r="AR16" s="50" t="n"/>
      <c r="AS16" s="50" t="n"/>
      <c r="AT16" s="50" t="n"/>
      <c r="AU16" s="50" t="n"/>
      <c r="AV16" s="50" t="n"/>
      <c r="AW16" s="50" t="n"/>
      <c r="AX16" s="50" t="n"/>
      <c r="AY16" s="50" t="n"/>
      <c r="AZ16" s="50" t="n"/>
      <c r="BA16" s="50" t="n"/>
      <c r="BB16" s="50" t="n"/>
      <c r="BC16" s="50" t="n"/>
      <c r="BD16" s="50" t="n"/>
      <c r="BE16" s="50" t="n"/>
      <c r="BF16" s="50" t="n"/>
      <c r="BG16" s="50" t="n"/>
      <c r="BH16" s="50" t="n"/>
      <c r="BI16" s="50" t="n"/>
      <c r="BJ16" s="50" t="n"/>
      <c r="BK16" s="50" t="n"/>
      <c r="BL16" s="50" t="n"/>
      <c r="BM16" s="50" t="n"/>
      <c r="BN16" s="50" t="n"/>
      <c r="BO16" s="50" t="n"/>
      <c r="BP16" s="50" t="n"/>
      <c r="BQ16" s="50" t="n"/>
      <c r="BR16" s="50" t="n"/>
      <c r="BS16" s="50" t="n"/>
      <c r="BT16" s="50" t="n"/>
      <c r="BU16" s="50" t="n"/>
      <c r="BV16" s="50" t="n"/>
      <c r="BW16" s="50" t="n"/>
      <c r="BX16" s="50" t="n"/>
      <c r="BY16" s="50" t="n"/>
      <c r="BZ16" s="50" t="n"/>
      <c r="CA16" s="50" t="n"/>
      <c r="CB16" s="50" t="n"/>
      <c r="CC16" s="50" t="n"/>
      <c r="CD16" s="50" t="n"/>
      <c r="CE16" s="50" t="n"/>
      <c r="CF16" s="50" t="n"/>
      <c r="CG16" s="50" t="n"/>
      <c r="CH16" s="50" t="n"/>
      <c r="CI16" s="50" t="n"/>
      <c r="CJ16" s="50" t="n"/>
      <c r="CK16" s="50" t="n"/>
      <c r="CL16" s="50" t="n"/>
      <c r="CM16" s="50" t="n"/>
      <c r="CN16" s="50" t="n"/>
      <c r="CO16" s="50" t="n"/>
      <c r="CP16" s="50" t="n"/>
      <c r="CQ16" s="50" t="n"/>
      <c r="CR16" s="50" t="n"/>
      <c r="CS16" s="50" t="n"/>
      <c r="CT16" s="50" t="n"/>
      <c r="CU16" s="50" t="n"/>
      <c r="CV16" s="50" t="n"/>
      <c r="CW16" s="50" t="n"/>
      <c r="CX16" s="50" t="n"/>
      <c r="CY16" s="50" t="n"/>
      <c r="CZ16" s="50" t="n"/>
      <c r="DA16" s="50" t="n"/>
      <c r="DB16" s="50" t="n"/>
      <c r="DC16" s="50" t="n"/>
      <c r="DD16" s="50" t="n"/>
      <c r="DE16" s="50" t="n"/>
      <c r="DF16" s="50" t="n"/>
      <c r="DG16" s="50" t="n"/>
      <c r="DH16" s="50" t="n"/>
      <c r="DI16" s="50" t="n"/>
      <c r="DJ16" s="50" t="n"/>
      <c r="DK16" s="50" t="n"/>
      <c r="DL16" s="50" t="n"/>
      <c r="DM16" s="50" t="n"/>
      <c r="DN16" s="50" t="n"/>
      <c r="DO16" s="50" t="n"/>
      <c r="DP16" s="50" t="n"/>
      <c r="DQ16" s="50" t="n"/>
      <c r="DR16" s="50" t="n"/>
      <c r="DS16" s="50" t="n"/>
      <c r="DT16" s="50" t="n"/>
      <c r="DU16" s="50" t="n"/>
      <c r="DV16" s="50" t="n"/>
    </row>
    <row r="17">
      <c r="A17" s="47">
        <f>IF(Mitarbeiter!B17="","",Mitarbeiter!A17)</f>
        <v/>
      </c>
      <c r="B17" s="48">
        <f>IF(Mitarbeiter!B17="","",Mitarbeiter!B17)</f>
        <v/>
      </c>
      <c r="C17" s="49">
        <f>IF(Mitarbeiter!B17="","",Mitarbeiter!F17)</f>
        <v/>
      </c>
      <c r="D17" s="25">
        <f>IF(Mitarbeiter!B17="","",Berechnung!AD17)</f>
        <v/>
      </c>
      <c r="E17" s="25">
        <f>IF(Mitarbeiter!B17="","",SUM(G17:DV17))</f>
        <v/>
      </c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  <c r="V17" s="50" t="n"/>
      <c r="W17" s="50" t="n"/>
      <c r="X17" s="50" t="n"/>
      <c r="Y17" s="50" t="n"/>
      <c r="Z17" s="50" t="n"/>
      <c r="AA17" s="50" t="n"/>
      <c r="AB17" s="50" t="n"/>
      <c r="AC17" s="50" t="n"/>
      <c r="AD17" s="50" t="n"/>
      <c r="AE17" s="50" t="n"/>
      <c r="AF17" s="50" t="n"/>
      <c r="AG17" s="50" t="n"/>
      <c r="AH17" s="50" t="n"/>
      <c r="AI17" s="50" t="n"/>
      <c r="AJ17" s="50" t="n"/>
      <c r="AK17" s="50" t="n"/>
      <c r="AL17" s="50" t="n"/>
      <c r="AM17" s="50" t="n"/>
      <c r="AN17" s="50" t="n"/>
      <c r="AO17" s="50" t="n"/>
      <c r="AP17" s="50" t="n"/>
      <c r="AQ17" s="50" t="n"/>
      <c r="AR17" s="50" t="n"/>
      <c r="AS17" s="50" t="n"/>
      <c r="AT17" s="50" t="n"/>
      <c r="AU17" s="50" t="n"/>
      <c r="AV17" s="50" t="n"/>
      <c r="AW17" s="50" t="n"/>
      <c r="AX17" s="50" t="n"/>
      <c r="AY17" s="50" t="n"/>
      <c r="AZ17" s="50" t="n"/>
      <c r="BA17" s="50" t="n"/>
      <c r="BB17" s="50" t="n"/>
      <c r="BC17" s="50" t="n"/>
      <c r="BD17" s="50" t="n"/>
      <c r="BE17" s="50" t="n"/>
      <c r="BF17" s="50" t="n"/>
      <c r="BG17" s="50" t="n"/>
      <c r="BH17" s="50" t="n"/>
      <c r="BI17" s="50" t="n"/>
      <c r="BJ17" s="50" t="n"/>
      <c r="BK17" s="50" t="n"/>
      <c r="BL17" s="50" t="n"/>
      <c r="BM17" s="50" t="n"/>
      <c r="BN17" s="50" t="n"/>
      <c r="BO17" s="50" t="n"/>
      <c r="BP17" s="50" t="n"/>
      <c r="BQ17" s="50" t="n"/>
      <c r="BR17" s="50" t="n"/>
      <c r="BS17" s="50" t="n"/>
      <c r="BT17" s="50" t="n"/>
      <c r="BU17" s="50" t="n"/>
      <c r="BV17" s="50" t="n"/>
      <c r="BW17" s="50" t="n"/>
      <c r="BX17" s="50" t="n"/>
      <c r="BY17" s="50" t="n"/>
      <c r="BZ17" s="50" t="n"/>
      <c r="CA17" s="50" t="n"/>
      <c r="CB17" s="50" t="n"/>
      <c r="CC17" s="50" t="n"/>
      <c r="CD17" s="50" t="n"/>
      <c r="CE17" s="50" t="n"/>
      <c r="CF17" s="50" t="n"/>
      <c r="CG17" s="50" t="n"/>
      <c r="CH17" s="50" t="n"/>
      <c r="CI17" s="50" t="n"/>
      <c r="CJ17" s="50" t="n"/>
      <c r="CK17" s="50" t="n"/>
      <c r="CL17" s="50" t="n"/>
      <c r="CM17" s="50" t="n"/>
      <c r="CN17" s="50" t="n"/>
      <c r="CO17" s="50" t="n"/>
      <c r="CP17" s="50" t="n"/>
      <c r="CQ17" s="50" t="n"/>
      <c r="CR17" s="50" t="n"/>
      <c r="CS17" s="50" t="n"/>
      <c r="CT17" s="50" t="n"/>
      <c r="CU17" s="50" t="n"/>
      <c r="CV17" s="50" t="n"/>
      <c r="CW17" s="50" t="n"/>
      <c r="CX17" s="50" t="n"/>
      <c r="CY17" s="50" t="n"/>
      <c r="CZ17" s="50" t="n"/>
      <c r="DA17" s="50" t="n"/>
      <c r="DB17" s="50" t="n"/>
      <c r="DC17" s="50" t="n"/>
      <c r="DD17" s="50" t="n"/>
      <c r="DE17" s="50" t="n"/>
      <c r="DF17" s="50" t="n"/>
      <c r="DG17" s="50" t="n"/>
      <c r="DH17" s="50" t="n"/>
      <c r="DI17" s="50" t="n"/>
      <c r="DJ17" s="50" t="n"/>
      <c r="DK17" s="50" t="n"/>
      <c r="DL17" s="50" t="n"/>
      <c r="DM17" s="50" t="n"/>
      <c r="DN17" s="50" t="n"/>
      <c r="DO17" s="50" t="n"/>
      <c r="DP17" s="50" t="n"/>
      <c r="DQ17" s="50" t="n"/>
      <c r="DR17" s="50" t="n"/>
      <c r="DS17" s="50" t="n"/>
      <c r="DT17" s="50" t="n"/>
      <c r="DU17" s="50" t="n"/>
      <c r="DV17" s="50" t="n"/>
    </row>
    <row r="18">
      <c r="A18" s="47">
        <f>IF(Mitarbeiter!B18="","",Mitarbeiter!A18)</f>
        <v/>
      </c>
      <c r="B18" s="48">
        <f>IF(Mitarbeiter!B18="","",Mitarbeiter!B18)</f>
        <v/>
      </c>
      <c r="C18" s="49">
        <f>IF(Mitarbeiter!B18="","",Mitarbeiter!F18)</f>
        <v/>
      </c>
      <c r="D18" s="25">
        <f>IF(Mitarbeiter!B18="","",Berechnung!AD18)</f>
        <v/>
      </c>
      <c r="E18" s="25">
        <f>IF(Mitarbeiter!B18="","",SUM(G18:DV18))</f>
        <v/>
      </c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>
        <v>6</v>
      </c>
      <c r="V18" s="50" t="n"/>
      <c r="W18" s="50" t="n"/>
      <c r="X18" s="50" t="n"/>
      <c r="Y18" s="50" t="n"/>
      <c r="Z18" s="50" t="n"/>
      <c r="AA18" s="50" t="n"/>
      <c r="AB18" s="50" t="n"/>
      <c r="AC18" s="50" t="n"/>
      <c r="AD18" s="50" t="n"/>
      <c r="AE18" s="50" t="n"/>
      <c r="AF18" s="50" t="n"/>
      <c r="AG18" s="50" t="n"/>
      <c r="AH18" s="50" t="n"/>
      <c r="AI18" s="50" t="n"/>
      <c r="AJ18" s="50" t="n"/>
      <c r="AK18" s="50" t="n"/>
      <c r="AL18" s="50" t="n"/>
      <c r="AM18" s="50" t="n"/>
      <c r="AN18" s="50" t="n"/>
      <c r="AO18" s="50" t="n"/>
      <c r="AP18" s="50" t="n"/>
      <c r="AQ18" s="50" t="n"/>
      <c r="AR18" s="50" t="n"/>
      <c r="AS18" s="50" t="n"/>
      <c r="AT18" s="50" t="n"/>
      <c r="AU18" s="50" t="n"/>
      <c r="AV18" s="50" t="n"/>
      <c r="AW18" s="50" t="n"/>
      <c r="AX18" s="50" t="n"/>
      <c r="AY18" s="50" t="n"/>
      <c r="AZ18" s="50" t="n"/>
      <c r="BA18" s="50" t="n"/>
      <c r="BB18" s="50" t="n"/>
      <c r="BC18" s="50" t="n"/>
      <c r="BD18" s="50" t="n"/>
      <c r="BE18" s="50" t="n"/>
      <c r="BF18" s="50" t="n"/>
      <c r="BG18" s="50" t="n"/>
      <c r="BH18" s="50" t="n"/>
      <c r="BI18" s="50" t="n"/>
      <c r="BJ18" s="50" t="n"/>
      <c r="BK18" s="50" t="n"/>
      <c r="BL18" s="50" t="n"/>
      <c r="BM18" s="50" t="n"/>
      <c r="BN18" s="50" t="n"/>
      <c r="BO18" s="50" t="n"/>
      <c r="BP18" s="50" t="n"/>
      <c r="BQ18" s="50" t="n"/>
      <c r="BR18" s="50" t="n"/>
      <c r="BS18" s="50" t="n"/>
      <c r="BT18" s="50" t="n"/>
      <c r="BU18" s="50" t="n"/>
      <c r="BV18" s="50" t="n"/>
      <c r="BW18" s="50" t="n"/>
      <c r="BX18" s="50" t="n"/>
      <c r="BY18" s="50" t="n"/>
      <c r="BZ18" s="50" t="n"/>
      <c r="CA18" s="50" t="n"/>
      <c r="CB18" s="50" t="n"/>
      <c r="CC18" s="50" t="n"/>
      <c r="CD18" s="50" t="n"/>
      <c r="CE18" s="50" t="n"/>
      <c r="CF18" s="50" t="n"/>
      <c r="CG18" s="50" t="n"/>
      <c r="CH18" s="50" t="n"/>
      <c r="CI18" s="50" t="n"/>
      <c r="CJ18" s="50" t="n"/>
      <c r="CK18" s="50" t="n"/>
      <c r="CL18" s="50" t="n"/>
      <c r="CM18" s="50" t="n"/>
      <c r="CN18" s="50" t="n"/>
      <c r="CO18" s="50" t="n"/>
      <c r="CP18" s="50" t="n"/>
      <c r="CQ18" s="50" t="n"/>
      <c r="CR18" s="50" t="n"/>
      <c r="CS18" s="50" t="n"/>
      <c r="CT18" s="50" t="n"/>
      <c r="CU18" s="50" t="n"/>
      <c r="CV18" s="50" t="n"/>
      <c r="CW18" s="50" t="n"/>
      <c r="CX18" s="50" t="n"/>
      <c r="CY18" s="50" t="n"/>
      <c r="CZ18" s="50" t="n"/>
      <c r="DA18" s="50" t="n"/>
      <c r="DB18" s="50" t="n"/>
      <c r="DC18" s="50" t="n"/>
      <c r="DD18" s="50" t="n"/>
      <c r="DE18" s="50" t="n"/>
      <c r="DF18" s="50" t="n"/>
      <c r="DG18" s="50" t="n"/>
      <c r="DH18" s="50" t="n"/>
      <c r="DI18" s="50" t="n"/>
      <c r="DJ18" s="50" t="n"/>
      <c r="DK18" s="50" t="n"/>
      <c r="DL18" s="50" t="n"/>
      <c r="DM18" s="50" t="n"/>
      <c r="DN18" s="50" t="n"/>
      <c r="DO18" s="50" t="n"/>
      <c r="DP18" s="50" t="n"/>
      <c r="DQ18" s="50" t="n"/>
      <c r="DR18" s="50" t="n"/>
      <c r="DS18" s="50" t="n"/>
      <c r="DT18" s="50" t="n"/>
      <c r="DU18" s="50" t="n"/>
      <c r="DV18" s="50" t="n"/>
    </row>
    <row r="19">
      <c r="A19" s="47">
        <f>IF(Mitarbeiter!B19="","",Mitarbeiter!A19)</f>
        <v/>
      </c>
      <c r="B19" s="48">
        <f>IF(Mitarbeiter!B19="","",Mitarbeiter!B19)</f>
        <v/>
      </c>
      <c r="C19" s="49">
        <f>IF(Mitarbeiter!B19="","",Mitarbeiter!F19)</f>
        <v/>
      </c>
      <c r="D19" s="25">
        <f>IF(Mitarbeiter!B19="","",Berechnung!AD19)</f>
        <v/>
      </c>
      <c r="E19" s="25">
        <f>IF(Mitarbeiter!B19="","",SUM(G19:DV19))</f>
        <v/>
      </c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  <c r="V19" s="50" t="n"/>
      <c r="W19" s="50" t="n"/>
      <c r="X19" s="50" t="n"/>
      <c r="Y19" s="50" t="n"/>
      <c r="Z19" s="50" t="n"/>
      <c r="AA19" s="50" t="n"/>
      <c r="AB19" s="50" t="n"/>
      <c r="AC19" s="50" t="n"/>
      <c r="AD19" s="50" t="n"/>
      <c r="AE19" s="50" t="n"/>
      <c r="AF19" s="50" t="n"/>
      <c r="AG19" s="50" t="n"/>
      <c r="AH19" s="50" t="n"/>
      <c r="AI19" s="50" t="n"/>
      <c r="AJ19" s="50" t="n"/>
      <c r="AK19" s="50" t="n"/>
      <c r="AL19" s="50" t="n"/>
      <c r="AM19" s="50" t="n"/>
      <c r="AN19" s="50" t="n"/>
      <c r="AO19" s="50" t="n"/>
      <c r="AP19" s="50" t="n"/>
      <c r="AQ19" s="50" t="n"/>
      <c r="AR19" s="50" t="n"/>
      <c r="AS19" s="50" t="n"/>
      <c r="AT19" s="50" t="n"/>
      <c r="AU19" s="50" t="n"/>
      <c r="AV19" s="50" t="n"/>
      <c r="AW19" s="50" t="n"/>
      <c r="AX19" s="50" t="n"/>
      <c r="AY19" s="50" t="n"/>
      <c r="AZ19" s="50" t="n"/>
      <c r="BA19" s="50" t="n"/>
      <c r="BB19" s="50" t="n"/>
      <c r="BC19" s="50" t="n"/>
      <c r="BD19" s="50" t="n"/>
      <c r="BE19" s="50" t="n"/>
      <c r="BF19" s="50" t="n"/>
      <c r="BG19" s="50" t="n"/>
      <c r="BH19" s="50" t="n"/>
      <c r="BI19" s="50" t="n"/>
      <c r="BJ19" s="50" t="n"/>
      <c r="BK19" s="50" t="n"/>
      <c r="BL19" s="50" t="n"/>
      <c r="BM19" s="50" t="n"/>
      <c r="BN19" s="50" t="n"/>
      <c r="BO19" s="50" t="n"/>
      <c r="BP19" s="50" t="n"/>
      <c r="BQ19" s="50" t="n"/>
      <c r="BR19" s="50" t="n"/>
      <c r="BS19" s="50" t="n"/>
      <c r="BT19" s="50" t="n"/>
      <c r="BU19" s="50" t="n"/>
      <c r="BV19" s="50" t="n"/>
      <c r="BW19" s="50" t="n"/>
      <c r="BX19" s="50" t="n"/>
      <c r="BY19" s="50" t="n"/>
      <c r="BZ19" s="50" t="n"/>
      <c r="CA19" s="50" t="n"/>
      <c r="CB19" s="50" t="n"/>
      <c r="CC19" s="50" t="n"/>
      <c r="CD19" s="50" t="n"/>
      <c r="CE19" s="50" t="n"/>
      <c r="CF19" s="50" t="n"/>
      <c r="CG19" s="50" t="n"/>
      <c r="CH19" s="50" t="n"/>
      <c r="CI19" s="50" t="n"/>
      <c r="CJ19" s="50" t="n"/>
      <c r="CK19" s="50" t="n"/>
      <c r="CL19" s="50" t="n"/>
      <c r="CM19" s="50" t="n"/>
      <c r="CN19" s="50" t="n"/>
      <c r="CO19" s="50" t="n"/>
      <c r="CP19" s="50" t="n"/>
      <c r="CQ19" s="50" t="n"/>
      <c r="CR19" s="50" t="n"/>
      <c r="CS19" s="50" t="n"/>
      <c r="CT19" s="50" t="n"/>
      <c r="CU19" s="50" t="n"/>
      <c r="CV19" s="50" t="n"/>
      <c r="CW19" s="50" t="n"/>
      <c r="CX19" s="50" t="n"/>
      <c r="CY19" s="50" t="n"/>
      <c r="CZ19" s="50" t="n"/>
      <c r="DA19" s="50" t="n"/>
      <c r="DB19" s="50" t="n"/>
      <c r="DC19" s="50" t="n"/>
      <c r="DD19" s="50" t="n"/>
      <c r="DE19" s="50" t="n"/>
      <c r="DF19" s="50" t="n"/>
      <c r="DG19" s="50" t="n"/>
      <c r="DH19" s="50" t="n"/>
      <c r="DI19" s="50" t="n"/>
      <c r="DJ19" s="50" t="n"/>
      <c r="DK19" s="50" t="n"/>
      <c r="DL19" s="50" t="n"/>
      <c r="DM19" s="50" t="n"/>
      <c r="DN19" s="50" t="n"/>
      <c r="DO19" s="50" t="n"/>
      <c r="DP19" s="50" t="n"/>
      <c r="DQ19" s="50" t="n"/>
      <c r="DR19" s="50" t="n"/>
      <c r="DS19" s="50" t="n"/>
      <c r="DT19" s="50" t="n"/>
      <c r="DU19" s="50" t="n"/>
      <c r="DV19" s="50" t="n"/>
    </row>
    <row r="20">
      <c r="A20" s="47">
        <f>IF(Mitarbeiter!B20="","",Mitarbeiter!A20)</f>
        <v/>
      </c>
      <c r="B20" s="48">
        <f>IF(Mitarbeiter!B20="","",Mitarbeiter!B20)</f>
        <v/>
      </c>
      <c r="C20" s="49">
        <f>IF(Mitarbeiter!B20="","",Mitarbeiter!F20)</f>
        <v/>
      </c>
      <c r="D20" s="25">
        <f>IF(Mitarbeiter!B20="","",Berechnung!AD20)</f>
        <v/>
      </c>
      <c r="E20" s="25">
        <f>IF(Mitarbeiter!B20="","",SUM(G20:DV20))</f>
        <v/>
      </c>
      <c r="G20" s="50" t="n"/>
      <c r="H20" s="50" t="n">
        <v>3</v>
      </c>
      <c r="I20" s="50" t="n">
        <v>1</v>
      </c>
      <c r="J20" s="50" t="n"/>
      <c r="K20" s="50" t="n"/>
      <c r="L20" s="50" t="n"/>
      <c r="M20" s="50" t="n"/>
      <c r="N20" s="50" t="n"/>
      <c r="O20" s="50" t="n"/>
      <c r="P20" s="50" t="n"/>
      <c r="Q20" s="50" t="n"/>
      <c r="R20" s="50" t="n"/>
      <c r="S20" s="50" t="n"/>
      <c r="T20" s="50" t="n"/>
      <c r="U20" s="50" t="n"/>
      <c r="V20" s="50" t="n"/>
      <c r="W20" s="50" t="n"/>
      <c r="X20" s="50" t="n"/>
      <c r="Y20" s="50" t="n"/>
      <c r="Z20" s="50" t="n"/>
      <c r="AA20" s="50" t="n"/>
      <c r="AB20" s="50" t="n"/>
      <c r="AC20" s="50" t="n"/>
      <c r="AD20" s="50" t="n"/>
      <c r="AE20" s="50" t="n"/>
      <c r="AF20" s="50" t="n"/>
      <c r="AG20" s="50" t="n"/>
      <c r="AH20" s="50" t="n"/>
      <c r="AI20" s="50" t="n"/>
      <c r="AJ20" s="50" t="n"/>
      <c r="AK20" s="50" t="n"/>
      <c r="AL20" s="50" t="n"/>
      <c r="AM20" s="50" t="n"/>
      <c r="AN20" s="50" t="n"/>
      <c r="AO20" s="50" t="n"/>
      <c r="AP20" s="50" t="n"/>
      <c r="AQ20" s="50" t="n"/>
      <c r="AR20" s="50" t="n"/>
      <c r="AS20" s="50" t="n"/>
      <c r="AT20" s="50" t="n"/>
      <c r="AU20" s="50" t="n"/>
      <c r="AV20" s="50" t="n"/>
      <c r="AW20" s="50" t="n"/>
      <c r="AX20" s="50" t="n"/>
      <c r="AY20" s="50" t="n"/>
      <c r="AZ20" s="50" t="n"/>
      <c r="BA20" s="50" t="n"/>
      <c r="BB20" s="50" t="n"/>
      <c r="BC20" s="50" t="n"/>
      <c r="BD20" s="50" t="n"/>
      <c r="BE20" s="50" t="n"/>
      <c r="BF20" s="50" t="n"/>
      <c r="BG20" s="50" t="n"/>
      <c r="BH20" s="50" t="n"/>
      <c r="BI20" s="50" t="n"/>
      <c r="BJ20" s="50" t="n"/>
      <c r="BK20" s="50" t="n"/>
      <c r="BL20" s="50" t="n"/>
      <c r="BM20" s="50" t="n"/>
      <c r="BN20" s="50" t="n"/>
      <c r="BO20" s="50" t="n"/>
      <c r="BP20" s="50" t="n"/>
      <c r="BQ20" s="50" t="n"/>
      <c r="BR20" s="50" t="n"/>
      <c r="BS20" s="50" t="n"/>
      <c r="BT20" s="50" t="n"/>
      <c r="BU20" s="50" t="n"/>
      <c r="BV20" s="50" t="n"/>
      <c r="BW20" s="50" t="n"/>
      <c r="BX20" s="50" t="n"/>
      <c r="BY20" s="50" t="n"/>
      <c r="BZ20" s="50" t="n"/>
      <c r="CA20" s="50" t="n"/>
      <c r="CB20" s="50" t="n"/>
      <c r="CC20" s="50" t="n"/>
      <c r="CD20" s="50" t="n"/>
      <c r="CE20" s="50" t="n"/>
      <c r="CF20" s="50" t="n"/>
      <c r="CG20" s="50" t="n"/>
      <c r="CH20" s="50" t="n"/>
      <c r="CI20" s="50" t="n"/>
      <c r="CJ20" s="50" t="n"/>
      <c r="CK20" s="50" t="n"/>
      <c r="CL20" s="50" t="n"/>
      <c r="CM20" s="50" t="n"/>
      <c r="CN20" s="50" t="n"/>
      <c r="CO20" s="50" t="n"/>
      <c r="CP20" s="50" t="n"/>
      <c r="CQ20" s="50" t="n"/>
      <c r="CR20" s="50" t="n"/>
      <c r="CS20" s="50" t="n"/>
      <c r="CT20" s="50" t="n"/>
      <c r="CU20" s="50" t="n"/>
      <c r="CV20" s="50" t="n"/>
      <c r="CW20" s="50" t="n"/>
      <c r="CX20" s="50" t="n"/>
      <c r="CY20" s="50" t="n"/>
      <c r="CZ20" s="50" t="n"/>
      <c r="DA20" s="50" t="n"/>
      <c r="DB20" s="50" t="n"/>
      <c r="DC20" s="50" t="n"/>
      <c r="DD20" s="50" t="n"/>
      <c r="DE20" s="50" t="n"/>
      <c r="DF20" s="50" t="n"/>
      <c r="DG20" s="50" t="n"/>
      <c r="DH20" s="50" t="n"/>
      <c r="DI20" s="50" t="n"/>
      <c r="DJ20" s="50" t="n"/>
      <c r="DK20" s="50" t="n"/>
      <c r="DL20" s="50" t="n"/>
      <c r="DM20" s="50" t="n"/>
      <c r="DN20" s="50" t="n"/>
      <c r="DO20" s="50" t="n"/>
      <c r="DP20" s="50" t="n"/>
      <c r="DQ20" s="50" t="n"/>
      <c r="DR20" s="50" t="n"/>
      <c r="DS20" s="50" t="n"/>
      <c r="DT20" s="50" t="n"/>
      <c r="DU20" s="50" t="n"/>
      <c r="DV20" s="50" t="n"/>
    </row>
    <row r="21">
      <c r="A21" s="47">
        <f>IF(Mitarbeiter!B21="","",Mitarbeiter!A21)</f>
        <v/>
      </c>
      <c r="B21" s="48">
        <f>IF(Mitarbeiter!B21="","",Mitarbeiter!B21)</f>
        <v/>
      </c>
      <c r="C21" s="49">
        <f>IF(Mitarbeiter!B21="","",Mitarbeiter!F21)</f>
        <v/>
      </c>
      <c r="D21" s="25">
        <f>IF(Mitarbeiter!B21="","",Berechnung!AD21)</f>
        <v/>
      </c>
      <c r="E21" s="25">
        <f>IF(Mitarbeiter!B21="","",SUM(G21:DV21))</f>
        <v/>
      </c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  <c r="V21" s="50" t="n"/>
      <c r="W21" s="50" t="n"/>
      <c r="X21" s="50" t="n"/>
      <c r="Y21" s="50" t="n"/>
      <c r="Z21" s="50" t="n">
        <v>12</v>
      </c>
      <c r="AA21" s="50" t="n"/>
      <c r="AB21" s="50" t="n"/>
      <c r="AC21" s="50" t="n"/>
      <c r="AD21" s="50" t="n"/>
      <c r="AE21" s="50" t="n"/>
      <c r="AF21" s="50" t="n"/>
      <c r="AG21" s="50" t="n"/>
      <c r="AH21" s="50" t="n"/>
      <c r="AI21" s="50" t="n"/>
      <c r="AJ21" s="50" t="n"/>
      <c r="AK21" s="50" t="n"/>
      <c r="AL21" s="50" t="n"/>
      <c r="AM21" s="50" t="n"/>
      <c r="AN21" s="50" t="n"/>
      <c r="AO21" s="50" t="n"/>
      <c r="AP21" s="50" t="n"/>
      <c r="AQ21" s="50" t="n"/>
      <c r="AR21" s="50" t="n"/>
      <c r="AS21" s="50" t="n"/>
      <c r="AT21" s="50" t="n"/>
      <c r="AU21" s="50" t="n"/>
      <c r="AV21" s="50" t="n"/>
      <c r="AW21" s="50" t="n"/>
      <c r="AX21" s="50" t="n"/>
      <c r="AY21" s="50" t="n"/>
      <c r="AZ21" s="50" t="n"/>
      <c r="BA21" s="50" t="n"/>
      <c r="BB21" s="50" t="n"/>
      <c r="BC21" s="50" t="n"/>
      <c r="BD21" s="50" t="n"/>
      <c r="BE21" s="50" t="n"/>
      <c r="BF21" s="50" t="n"/>
      <c r="BG21" s="50" t="n"/>
      <c r="BH21" s="50" t="n"/>
      <c r="BI21" s="50" t="n"/>
      <c r="BJ21" s="50" t="n"/>
      <c r="BK21" s="50" t="n"/>
      <c r="BL21" s="50" t="n"/>
      <c r="BM21" s="50" t="n"/>
      <c r="BN21" s="50" t="n"/>
      <c r="BO21" s="50" t="n"/>
      <c r="BP21" s="50" t="n"/>
      <c r="BQ21" s="50" t="n"/>
      <c r="BR21" s="50" t="n"/>
      <c r="BS21" s="50" t="n"/>
      <c r="BT21" s="50" t="n"/>
      <c r="BU21" s="50" t="n"/>
      <c r="BV21" s="50" t="n"/>
      <c r="BW21" s="50" t="n"/>
      <c r="BX21" s="50" t="n"/>
      <c r="BY21" s="50" t="n"/>
      <c r="BZ21" s="50" t="n"/>
      <c r="CA21" s="50" t="n"/>
      <c r="CB21" s="50" t="n"/>
      <c r="CC21" s="50" t="n"/>
      <c r="CD21" s="50" t="n"/>
      <c r="CE21" s="50" t="n"/>
      <c r="CF21" s="50" t="n"/>
      <c r="CG21" s="50" t="n"/>
      <c r="CH21" s="50" t="n"/>
      <c r="CI21" s="50" t="n"/>
      <c r="CJ21" s="50" t="n"/>
      <c r="CK21" s="50" t="n"/>
      <c r="CL21" s="50" t="n"/>
      <c r="CM21" s="50" t="n"/>
      <c r="CN21" s="50" t="n"/>
      <c r="CO21" s="50" t="n"/>
      <c r="CP21" s="50" t="n"/>
      <c r="CQ21" s="50" t="n"/>
      <c r="CR21" s="50" t="n"/>
      <c r="CS21" s="50" t="n"/>
      <c r="CT21" s="50" t="n"/>
      <c r="CU21" s="50" t="n"/>
      <c r="CV21" s="50" t="n"/>
      <c r="CW21" s="50" t="n"/>
      <c r="CX21" s="50" t="n"/>
      <c r="CY21" s="50" t="n"/>
      <c r="CZ21" s="50" t="n"/>
      <c r="DA21" s="50" t="n"/>
      <c r="DB21" s="50" t="n"/>
      <c r="DC21" s="50" t="n"/>
      <c r="DD21" s="50" t="n"/>
      <c r="DE21" s="50" t="n"/>
      <c r="DF21" s="50" t="n"/>
      <c r="DG21" s="50" t="n"/>
      <c r="DH21" s="50" t="n"/>
      <c r="DI21" s="50" t="n"/>
      <c r="DJ21" s="50" t="n"/>
      <c r="DK21" s="50" t="n"/>
      <c r="DL21" s="50" t="n"/>
      <c r="DM21" s="50" t="n"/>
      <c r="DN21" s="50" t="n"/>
      <c r="DO21" s="50" t="n"/>
      <c r="DP21" s="50" t="n"/>
      <c r="DQ21" s="50" t="n"/>
      <c r="DR21" s="50" t="n"/>
      <c r="DS21" s="50" t="n"/>
      <c r="DT21" s="50" t="n"/>
      <c r="DU21" s="50" t="n"/>
      <c r="DV21" s="50" t="n"/>
    </row>
    <row r="22">
      <c r="A22" s="47">
        <f>IF(Mitarbeiter!B22="","",Mitarbeiter!A22)</f>
        <v/>
      </c>
      <c r="B22" s="48">
        <f>IF(Mitarbeiter!B22="","",Mitarbeiter!B22)</f>
        <v/>
      </c>
      <c r="C22" s="49">
        <f>IF(Mitarbeiter!B22="","",Mitarbeiter!F22)</f>
        <v/>
      </c>
      <c r="D22" s="25">
        <f>IF(Mitarbeiter!B22="","",Berechnung!AD22)</f>
        <v/>
      </c>
      <c r="E22" s="25">
        <f>IF(Mitarbeiter!B22="","",SUM(G22:DV22))</f>
        <v/>
      </c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  <c r="V22" s="50" t="n"/>
      <c r="W22" s="50" t="n"/>
      <c r="X22" s="50" t="n"/>
      <c r="Y22" s="50" t="n"/>
      <c r="Z22" s="50" t="n"/>
      <c r="AA22" s="50" t="n"/>
      <c r="AB22" s="50" t="n"/>
      <c r="AC22" s="50" t="n"/>
      <c r="AD22" s="50" t="n"/>
      <c r="AE22" s="50" t="n"/>
      <c r="AF22" s="50" t="n"/>
      <c r="AG22" s="50" t="n"/>
      <c r="AH22" s="50" t="n"/>
      <c r="AI22" s="50" t="n"/>
      <c r="AJ22" s="50" t="n"/>
      <c r="AK22" s="50" t="n"/>
      <c r="AL22" s="50" t="n"/>
      <c r="AM22" s="50" t="n"/>
      <c r="AN22" s="50" t="n"/>
      <c r="AO22" s="50" t="n"/>
      <c r="AP22" s="50" t="n"/>
      <c r="AQ22" s="50" t="n"/>
      <c r="AR22" s="50" t="n"/>
      <c r="AS22" s="50" t="n"/>
      <c r="AT22" s="50" t="n"/>
      <c r="AU22" s="50" t="n"/>
      <c r="AV22" s="50" t="n"/>
      <c r="AW22" s="50" t="n"/>
      <c r="AX22" s="50" t="n"/>
      <c r="AY22" s="50" t="n"/>
      <c r="AZ22" s="50" t="n"/>
      <c r="BA22" s="50" t="n"/>
      <c r="BB22" s="50" t="n"/>
      <c r="BC22" s="50" t="n"/>
      <c r="BD22" s="50" t="n"/>
      <c r="BE22" s="50" t="n"/>
      <c r="BF22" s="50" t="n"/>
      <c r="BG22" s="50" t="n"/>
      <c r="BH22" s="50" t="n"/>
      <c r="BI22" s="50" t="n"/>
      <c r="BJ22" s="50" t="n"/>
      <c r="BK22" s="50" t="n"/>
      <c r="BL22" s="50" t="n"/>
      <c r="BM22" s="50" t="n"/>
      <c r="BN22" s="50" t="n"/>
      <c r="BO22" s="50" t="n"/>
      <c r="BP22" s="50" t="n"/>
      <c r="BQ22" s="50" t="n"/>
      <c r="BR22" s="50" t="n"/>
      <c r="BS22" s="50" t="n"/>
      <c r="BT22" s="50" t="n"/>
      <c r="BU22" s="50" t="n"/>
      <c r="BV22" s="50" t="n"/>
      <c r="BW22" s="50" t="n"/>
      <c r="BX22" s="50" t="n"/>
      <c r="BY22" s="50" t="n"/>
      <c r="BZ22" s="50" t="n"/>
      <c r="CA22" s="50" t="n"/>
      <c r="CB22" s="50" t="n"/>
      <c r="CC22" s="50" t="n"/>
      <c r="CD22" s="50" t="n"/>
      <c r="CE22" s="50" t="n"/>
      <c r="CF22" s="50" t="n"/>
      <c r="CG22" s="50" t="n"/>
      <c r="CH22" s="50" t="n"/>
      <c r="CI22" s="50" t="n"/>
      <c r="CJ22" s="50" t="n"/>
      <c r="CK22" s="50" t="n"/>
      <c r="CL22" s="50" t="n"/>
      <c r="CM22" s="50" t="n"/>
      <c r="CN22" s="50" t="n"/>
      <c r="CO22" s="50" t="n"/>
      <c r="CP22" s="50" t="n"/>
      <c r="CQ22" s="50" t="n"/>
      <c r="CR22" s="50" t="n"/>
      <c r="CS22" s="50" t="n"/>
      <c r="CT22" s="50" t="n"/>
      <c r="CU22" s="50" t="n"/>
      <c r="CV22" s="50" t="n"/>
      <c r="CW22" s="50" t="n"/>
      <c r="CX22" s="50" t="n"/>
      <c r="CY22" s="50" t="n"/>
      <c r="CZ22" s="50" t="n"/>
      <c r="DA22" s="50" t="n"/>
      <c r="DB22" s="50" t="n"/>
      <c r="DC22" s="50" t="n"/>
      <c r="DD22" s="50" t="n"/>
      <c r="DE22" s="50" t="n"/>
      <c r="DF22" s="50" t="n"/>
      <c r="DG22" s="50" t="n"/>
      <c r="DH22" s="50" t="n"/>
      <c r="DI22" s="50" t="n"/>
      <c r="DJ22" s="50" t="n"/>
      <c r="DK22" s="50" t="n"/>
      <c r="DL22" s="50" t="n"/>
      <c r="DM22" s="50" t="n"/>
      <c r="DN22" s="50" t="n"/>
      <c r="DO22" s="50" t="n"/>
      <c r="DP22" s="50" t="n"/>
      <c r="DQ22" s="50" t="n"/>
      <c r="DR22" s="50" t="n"/>
      <c r="DS22" s="50" t="n"/>
      <c r="DT22" s="50" t="n"/>
      <c r="DU22" s="50" t="n"/>
      <c r="DV22" s="50" t="n"/>
    </row>
    <row r="23">
      <c r="A23" s="47">
        <f>IF(Mitarbeiter!B23="","",Mitarbeiter!A23)</f>
        <v/>
      </c>
      <c r="B23" s="48">
        <f>IF(Mitarbeiter!B23="","",Mitarbeiter!B23)</f>
        <v/>
      </c>
      <c r="C23" s="49">
        <f>IF(Mitarbeiter!B23="","",Mitarbeiter!F23)</f>
        <v/>
      </c>
      <c r="D23" s="25">
        <f>IF(Mitarbeiter!B23="","",Berechnung!AD23)</f>
        <v/>
      </c>
      <c r="E23" s="25">
        <f>IF(Mitarbeiter!B23="","",SUM(G23:DV23))</f>
        <v/>
      </c>
      <c r="G23" s="50" t="n">
        <v>7</v>
      </c>
      <c r="H23" s="50" t="n"/>
      <c r="I23" s="50" t="n">
        <v>3</v>
      </c>
      <c r="J23" s="50" t="n"/>
      <c r="K23" s="50" t="n"/>
      <c r="L23" s="50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>
        <v>3</v>
      </c>
      <c r="V23" s="50" t="n"/>
      <c r="W23" s="50" t="n"/>
      <c r="X23" s="50" t="n"/>
      <c r="Y23" s="50" t="n"/>
      <c r="Z23" s="50" t="n"/>
      <c r="AA23" s="50" t="n"/>
      <c r="AB23" s="50" t="n"/>
      <c r="AC23" s="50" t="n"/>
      <c r="AD23" s="50" t="n"/>
      <c r="AE23" s="50" t="n"/>
      <c r="AF23" s="50" t="n"/>
      <c r="AG23" s="50" t="n"/>
      <c r="AH23" s="50" t="n"/>
      <c r="AI23" s="50" t="n"/>
      <c r="AJ23" s="50" t="n"/>
      <c r="AK23" s="50" t="n"/>
      <c r="AL23" s="50" t="n"/>
      <c r="AM23" s="50" t="n"/>
      <c r="AN23" s="50" t="n"/>
      <c r="AO23" s="50" t="n"/>
      <c r="AP23" s="50" t="n"/>
      <c r="AQ23" s="50" t="n"/>
      <c r="AR23" s="50" t="n"/>
      <c r="AS23" s="50" t="n"/>
      <c r="AT23" s="50" t="n"/>
      <c r="AU23" s="50" t="n"/>
      <c r="AV23" s="50" t="n"/>
      <c r="AW23" s="50" t="n"/>
      <c r="AX23" s="50" t="n"/>
      <c r="AY23" s="50" t="n"/>
      <c r="AZ23" s="50" t="n"/>
      <c r="BA23" s="50" t="n"/>
      <c r="BB23" s="50" t="n"/>
      <c r="BC23" s="50" t="n"/>
      <c r="BD23" s="50" t="n"/>
      <c r="BE23" s="50" t="n"/>
      <c r="BF23" s="50" t="n"/>
      <c r="BG23" s="50" t="n"/>
      <c r="BH23" s="50" t="n"/>
      <c r="BI23" s="50" t="n"/>
      <c r="BJ23" s="50" t="n"/>
      <c r="BK23" s="50" t="n"/>
      <c r="BL23" s="50" t="n"/>
      <c r="BM23" s="50" t="n"/>
      <c r="BN23" s="50" t="n"/>
      <c r="BO23" s="50" t="n"/>
      <c r="BP23" s="50" t="n"/>
      <c r="BQ23" s="50" t="n"/>
      <c r="BR23" s="50" t="n"/>
      <c r="BS23" s="50" t="n"/>
      <c r="BT23" s="50" t="n"/>
      <c r="BU23" s="50" t="n"/>
      <c r="BV23" s="50" t="n"/>
      <c r="BW23" s="50" t="n"/>
      <c r="BX23" s="50" t="n"/>
      <c r="BY23" s="50" t="n"/>
      <c r="BZ23" s="50" t="n"/>
      <c r="CA23" s="50" t="n"/>
      <c r="CB23" s="50" t="n"/>
      <c r="CC23" s="50" t="n"/>
      <c r="CD23" s="50" t="n"/>
      <c r="CE23" s="50" t="n"/>
      <c r="CF23" s="50" t="n"/>
      <c r="CG23" s="50" t="n"/>
      <c r="CH23" s="50" t="n"/>
      <c r="CI23" s="50" t="n"/>
      <c r="CJ23" s="50" t="n"/>
      <c r="CK23" s="50" t="n"/>
      <c r="CL23" s="50" t="n"/>
      <c r="CM23" s="50" t="n"/>
      <c r="CN23" s="50" t="n"/>
      <c r="CO23" s="50" t="n"/>
      <c r="CP23" s="50" t="n"/>
      <c r="CQ23" s="50" t="n"/>
      <c r="CR23" s="50" t="n"/>
      <c r="CS23" s="50" t="n"/>
      <c r="CT23" s="50" t="n"/>
      <c r="CU23" s="50" t="n"/>
      <c r="CV23" s="50" t="n"/>
      <c r="CW23" s="50" t="n"/>
      <c r="CX23" s="50" t="n"/>
      <c r="CY23" s="50" t="n"/>
      <c r="CZ23" s="50" t="n"/>
      <c r="DA23" s="50" t="n"/>
      <c r="DB23" s="50" t="n"/>
      <c r="DC23" s="50" t="n"/>
      <c r="DD23" s="50" t="n"/>
      <c r="DE23" s="50" t="n"/>
      <c r="DF23" s="50" t="n"/>
      <c r="DG23" s="50" t="n"/>
      <c r="DH23" s="50" t="n"/>
      <c r="DI23" s="50" t="n"/>
      <c r="DJ23" s="50" t="n"/>
      <c r="DK23" s="50" t="n"/>
      <c r="DL23" s="50" t="n"/>
      <c r="DM23" s="50" t="n"/>
      <c r="DN23" s="50" t="n"/>
      <c r="DO23" s="50" t="n"/>
      <c r="DP23" s="50" t="n"/>
      <c r="DQ23" s="50" t="n"/>
      <c r="DR23" s="50" t="n"/>
      <c r="DS23" s="50" t="n"/>
      <c r="DT23" s="50" t="n"/>
      <c r="DU23" s="50" t="n"/>
      <c r="DV23" s="50" t="n"/>
    </row>
    <row r="24">
      <c r="A24" s="47">
        <f>IF(Mitarbeiter!B24="","",Mitarbeiter!A24)</f>
        <v/>
      </c>
      <c r="B24" s="48">
        <f>IF(Mitarbeiter!B24="","",Mitarbeiter!B24)</f>
        <v/>
      </c>
      <c r="C24" s="49">
        <f>IF(Mitarbeiter!B24="","",Mitarbeiter!F24)</f>
        <v/>
      </c>
      <c r="D24" s="25">
        <f>IF(Mitarbeiter!B24="","",Berechnung!AD24)</f>
        <v/>
      </c>
      <c r="E24" s="25">
        <f>IF(Mitarbeiter!B24="","",SUM(G24:DV24))</f>
        <v/>
      </c>
      <c r="G24" s="50" t="n"/>
      <c r="H24" s="50" t="n"/>
      <c r="I24" s="50" t="n"/>
      <c r="J24" s="50" t="n"/>
      <c r="K24" s="50" t="n"/>
      <c r="L24" s="50" t="n"/>
      <c r="M24" s="50" t="n"/>
      <c r="N24" s="50" t="n">
        <v>3</v>
      </c>
      <c r="O24" s="50" t="n"/>
      <c r="P24" s="50" t="n"/>
      <c r="Q24" s="50" t="n"/>
      <c r="R24" s="50" t="n"/>
      <c r="S24" s="50" t="n"/>
      <c r="T24" s="50" t="n"/>
      <c r="U24" s="50" t="n"/>
      <c r="V24" s="50" t="n"/>
      <c r="W24" s="50" t="n"/>
      <c r="X24" s="50" t="n"/>
      <c r="Y24" s="50" t="n"/>
      <c r="Z24" s="50" t="n">
        <v>2</v>
      </c>
      <c r="AA24" s="50" t="n">
        <v>3</v>
      </c>
      <c r="AB24" s="50" t="n"/>
      <c r="AC24" s="50" t="n"/>
      <c r="AD24" s="50" t="n"/>
      <c r="AE24" s="50" t="n"/>
      <c r="AF24" s="50" t="n"/>
      <c r="AG24" s="50" t="n"/>
      <c r="AH24" s="50" t="n"/>
      <c r="AI24" s="50" t="n"/>
      <c r="AJ24" s="50" t="n"/>
      <c r="AK24" s="50" t="n"/>
      <c r="AL24" s="50" t="n"/>
      <c r="AM24" s="50" t="n"/>
      <c r="AN24" s="50" t="n"/>
      <c r="AO24" s="50" t="n"/>
      <c r="AP24" s="50" t="n"/>
      <c r="AQ24" s="50" t="n"/>
      <c r="AR24" s="50" t="n"/>
      <c r="AS24" s="50" t="n"/>
      <c r="AT24" s="50" t="n"/>
      <c r="AU24" s="50" t="n"/>
      <c r="AV24" s="50" t="n"/>
      <c r="AW24" s="50" t="n"/>
      <c r="AX24" s="50" t="n"/>
      <c r="AY24" s="50" t="n"/>
      <c r="AZ24" s="50" t="n"/>
      <c r="BA24" s="50" t="n"/>
      <c r="BB24" s="50" t="n"/>
      <c r="BC24" s="50" t="n"/>
      <c r="BD24" s="50" t="n"/>
      <c r="BE24" s="50" t="n"/>
      <c r="BF24" s="50" t="n"/>
      <c r="BG24" s="50" t="n"/>
      <c r="BH24" s="50" t="n"/>
      <c r="BI24" s="50" t="n"/>
      <c r="BJ24" s="50" t="n"/>
      <c r="BK24" s="50" t="n"/>
      <c r="BL24" s="50" t="n"/>
      <c r="BM24" s="50" t="n"/>
      <c r="BN24" s="50" t="n"/>
      <c r="BO24" s="50" t="n"/>
      <c r="BP24" s="50" t="n"/>
      <c r="BQ24" s="50" t="n"/>
      <c r="BR24" s="50" t="n"/>
      <c r="BS24" s="50" t="n"/>
      <c r="BT24" s="50" t="n"/>
      <c r="BU24" s="50" t="n"/>
      <c r="BV24" s="50" t="n"/>
      <c r="BW24" s="50" t="n"/>
      <c r="BX24" s="50" t="n"/>
      <c r="BY24" s="50" t="n"/>
      <c r="BZ24" s="50" t="n"/>
      <c r="CA24" s="50" t="n"/>
      <c r="CB24" s="50" t="n"/>
      <c r="CC24" s="50" t="n"/>
      <c r="CD24" s="50" t="n"/>
      <c r="CE24" s="50" t="n"/>
      <c r="CF24" s="50" t="n"/>
      <c r="CG24" s="50" t="n"/>
      <c r="CH24" s="50" t="n"/>
      <c r="CI24" s="50" t="n"/>
      <c r="CJ24" s="50" t="n"/>
      <c r="CK24" s="50" t="n"/>
      <c r="CL24" s="50" t="n"/>
      <c r="CM24" s="50" t="n"/>
      <c r="CN24" s="50" t="n"/>
      <c r="CO24" s="50" t="n"/>
      <c r="CP24" s="50" t="n"/>
      <c r="CQ24" s="50" t="n"/>
      <c r="CR24" s="50" t="n"/>
      <c r="CS24" s="50" t="n"/>
      <c r="CT24" s="50" t="n"/>
      <c r="CU24" s="50" t="n"/>
      <c r="CV24" s="50" t="n"/>
      <c r="CW24" s="50" t="n"/>
      <c r="CX24" s="50" t="n"/>
      <c r="CY24" s="50" t="n"/>
      <c r="CZ24" s="50" t="n"/>
      <c r="DA24" s="50" t="n"/>
      <c r="DB24" s="50" t="n"/>
      <c r="DC24" s="50" t="n"/>
      <c r="DD24" s="50" t="n"/>
      <c r="DE24" s="50" t="n"/>
      <c r="DF24" s="50" t="n"/>
      <c r="DG24" s="50" t="n"/>
      <c r="DH24" s="50" t="n"/>
      <c r="DI24" s="50" t="n"/>
      <c r="DJ24" s="50" t="n"/>
      <c r="DK24" s="50" t="n"/>
      <c r="DL24" s="50" t="n"/>
      <c r="DM24" s="50" t="n"/>
      <c r="DN24" s="50" t="n"/>
      <c r="DO24" s="50" t="n"/>
      <c r="DP24" s="50" t="n"/>
      <c r="DQ24" s="50" t="n"/>
      <c r="DR24" s="50" t="n"/>
      <c r="DS24" s="50" t="n"/>
      <c r="DT24" s="50" t="n"/>
      <c r="DU24" s="50" t="n"/>
      <c r="DV24" s="50" t="n"/>
    </row>
    <row r="25">
      <c r="A25" s="47">
        <f>IF(Mitarbeiter!B25="","",Mitarbeiter!A25)</f>
        <v/>
      </c>
      <c r="B25" s="48">
        <f>IF(Mitarbeiter!B25="","",Mitarbeiter!B25)</f>
        <v/>
      </c>
      <c r="C25" s="49">
        <f>IF(Mitarbeiter!B25="","",Mitarbeiter!F25)</f>
        <v/>
      </c>
      <c r="D25" s="25">
        <f>IF(Mitarbeiter!B25="","",Berechnung!AD25)</f>
        <v/>
      </c>
      <c r="E25" s="25">
        <f>IF(Mitarbeiter!B25="","",SUM(G25:DV25))</f>
        <v/>
      </c>
      <c r="G25" s="50" t="n">
        <v>3</v>
      </c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>
        <v>12</v>
      </c>
      <c r="V25" s="50" t="n"/>
      <c r="W25" s="50" t="n"/>
      <c r="X25" s="50" t="n"/>
      <c r="Y25" s="50" t="n"/>
      <c r="Z25" s="50" t="n"/>
      <c r="AA25" s="50" t="n">
        <v>3</v>
      </c>
      <c r="AB25" s="50" t="n"/>
      <c r="AC25" s="50" t="n"/>
      <c r="AD25" s="50" t="n"/>
      <c r="AE25" s="50" t="n"/>
      <c r="AF25" s="50" t="n"/>
      <c r="AG25" s="50" t="n"/>
      <c r="AH25" s="50" t="n"/>
      <c r="AI25" s="50" t="n"/>
      <c r="AJ25" s="50" t="n"/>
      <c r="AK25" s="50" t="n"/>
      <c r="AL25" s="50" t="n"/>
      <c r="AM25" s="50" t="n"/>
      <c r="AN25" s="50" t="n"/>
      <c r="AO25" s="50" t="n"/>
      <c r="AP25" s="50" t="n"/>
      <c r="AQ25" s="50" t="n"/>
      <c r="AR25" s="50" t="n"/>
      <c r="AS25" s="50" t="n"/>
      <c r="AT25" s="50" t="n"/>
      <c r="AU25" s="50" t="n"/>
      <c r="AV25" s="50" t="n"/>
      <c r="AW25" s="50" t="n"/>
      <c r="AX25" s="50" t="n"/>
      <c r="AY25" s="50" t="n"/>
      <c r="AZ25" s="50" t="n"/>
      <c r="BA25" s="50" t="n"/>
      <c r="BB25" s="50" t="n"/>
      <c r="BC25" s="50" t="n"/>
      <c r="BD25" s="50" t="n"/>
      <c r="BE25" s="50" t="n"/>
      <c r="BF25" s="50" t="n"/>
      <c r="BG25" s="50" t="n"/>
      <c r="BH25" s="50" t="n"/>
      <c r="BI25" s="50" t="n"/>
      <c r="BJ25" s="50" t="n"/>
      <c r="BK25" s="50" t="n"/>
      <c r="BL25" s="50" t="n"/>
      <c r="BM25" s="50" t="n"/>
      <c r="BN25" s="50" t="n"/>
      <c r="BO25" s="50" t="n"/>
      <c r="BP25" s="50" t="n"/>
      <c r="BQ25" s="50" t="n"/>
      <c r="BR25" s="50" t="n"/>
      <c r="BS25" s="50" t="n"/>
      <c r="BT25" s="50" t="n"/>
      <c r="BU25" s="50" t="n"/>
      <c r="BV25" s="50" t="n"/>
      <c r="BW25" s="50" t="n"/>
      <c r="BX25" s="50" t="n"/>
      <c r="BY25" s="50" t="n"/>
      <c r="BZ25" s="50" t="n"/>
      <c r="CA25" s="50" t="n"/>
      <c r="CB25" s="50" t="n"/>
      <c r="CC25" s="50" t="n"/>
      <c r="CD25" s="50" t="n"/>
      <c r="CE25" s="50" t="n"/>
      <c r="CF25" s="50" t="n"/>
      <c r="CG25" s="50" t="n"/>
      <c r="CH25" s="50" t="n"/>
      <c r="CI25" s="50" t="n"/>
      <c r="CJ25" s="50" t="n"/>
      <c r="CK25" s="50" t="n"/>
      <c r="CL25" s="50" t="n"/>
      <c r="CM25" s="50" t="n"/>
      <c r="CN25" s="50" t="n"/>
      <c r="CO25" s="50" t="n"/>
      <c r="CP25" s="50" t="n"/>
      <c r="CQ25" s="50" t="n"/>
      <c r="CR25" s="50" t="n"/>
      <c r="CS25" s="50" t="n"/>
      <c r="CT25" s="50" t="n"/>
      <c r="CU25" s="50" t="n"/>
      <c r="CV25" s="50" t="n"/>
      <c r="CW25" s="50" t="n"/>
      <c r="CX25" s="50" t="n"/>
      <c r="CY25" s="50" t="n"/>
      <c r="CZ25" s="50" t="n"/>
      <c r="DA25" s="50" t="n"/>
      <c r="DB25" s="50" t="n"/>
      <c r="DC25" s="50" t="n"/>
      <c r="DD25" s="50" t="n"/>
      <c r="DE25" s="50" t="n"/>
      <c r="DF25" s="50" t="n"/>
      <c r="DG25" s="50" t="n"/>
      <c r="DH25" s="50" t="n"/>
      <c r="DI25" s="50" t="n"/>
      <c r="DJ25" s="50" t="n"/>
      <c r="DK25" s="50" t="n"/>
      <c r="DL25" s="50" t="n"/>
      <c r="DM25" s="50" t="n"/>
      <c r="DN25" s="50" t="n"/>
      <c r="DO25" s="50" t="n"/>
      <c r="DP25" s="50" t="n"/>
      <c r="DQ25" s="50" t="n"/>
      <c r="DR25" s="50" t="n"/>
      <c r="DS25" s="50" t="n"/>
      <c r="DT25" s="50" t="n"/>
      <c r="DU25" s="50" t="n"/>
      <c r="DV25" s="50" t="n"/>
    </row>
    <row r="26">
      <c r="A26" s="47">
        <f>IF(Mitarbeiter!B26="","",Mitarbeiter!A26)</f>
        <v/>
      </c>
      <c r="B26" s="48">
        <f>IF(Mitarbeiter!B26="","",Mitarbeiter!B26)</f>
        <v/>
      </c>
      <c r="C26" s="49">
        <f>IF(Mitarbeiter!B26="","",Mitarbeiter!F26)</f>
        <v/>
      </c>
      <c r="D26" s="25">
        <f>IF(Mitarbeiter!B26="","",Berechnung!AD26)</f>
        <v/>
      </c>
      <c r="E26" s="25">
        <f>IF(Mitarbeiter!B26="","",SUM(G26:DV26))</f>
        <v/>
      </c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50" t="n"/>
      <c r="R26" s="50" t="n"/>
      <c r="S26" s="50" t="n">
        <v>12</v>
      </c>
      <c r="T26" s="50" t="n"/>
      <c r="U26" s="50" t="n">
        <v>1</v>
      </c>
      <c r="V26" s="50" t="n"/>
      <c r="W26" s="50" t="n"/>
      <c r="X26" s="50" t="n"/>
      <c r="Y26" s="50" t="n">
        <v>3</v>
      </c>
      <c r="Z26" s="50" t="n">
        <v>7</v>
      </c>
      <c r="AA26" s="50" t="n"/>
      <c r="AB26" s="50" t="n"/>
      <c r="AC26" s="50" t="n"/>
      <c r="AD26" s="50" t="n"/>
      <c r="AE26" s="50" t="n"/>
      <c r="AF26" s="50" t="n"/>
      <c r="AG26" s="50" t="n"/>
      <c r="AH26" s="50" t="n"/>
      <c r="AI26" s="50" t="n"/>
      <c r="AJ26" s="50" t="n"/>
      <c r="AK26" s="50" t="n"/>
      <c r="AL26" s="50" t="n"/>
      <c r="AM26" s="50" t="n"/>
      <c r="AN26" s="50" t="n"/>
      <c r="AO26" s="50" t="n"/>
      <c r="AP26" s="50" t="n"/>
      <c r="AQ26" s="50" t="n"/>
      <c r="AR26" s="50" t="n"/>
      <c r="AS26" s="50" t="n"/>
      <c r="AT26" s="50" t="n"/>
      <c r="AU26" s="50" t="n"/>
      <c r="AV26" s="50" t="n"/>
      <c r="AW26" s="50" t="n"/>
      <c r="AX26" s="50" t="n"/>
      <c r="AY26" s="50" t="n"/>
      <c r="AZ26" s="50" t="n"/>
      <c r="BA26" s="50" t="n"/>
      <c r="BB26" s="50" t="n"/>
      <c r="BC26" s="50" t="n"/>
      <c r="BD26" s="50" t="n"/>
      <c r="BE26" s="50" t="n"/>
      <c r="BF26" s="50" t="n"/>
      <c r="BG26" s="50" t="n"/>
      <c r="BH26" s="50" t="n"/>
      <c r="BI26" s="50" t="n"/>
      <c r="BJ26" s="50" t="n"/>
      <c r="BK26" s="50" t="n"/>
      <c r="BL26" s="50" t="n"/>
      <c r="BM26" s="50" t="n"/>
      <c r="BN26" s="50" t="n"/>
      <c r="BO26" s="50" t="n"/>
      <c r="BP26" s="50" t="n"/>
      <c r="BQ26" s="50" t="n"/>
      <c r="BR26" s="50" t="n"/>
      <c r="BS26" s="50" t="n"/>
      <c r="BT26" s="50" t="n"/>
      <c r="BU26" s="50" t="n"/>
      <c r="BV26" s="50" t="n"/>
      <c r="BW26" s="50" t="n"/>
      <c r="BX26" s="50" t="n"/>
      <c r="BY26" s="50" t="n"/>
      <c r="BZ26" s="50" t="n"/>
      <c r="CA26" s="50" t="n"/>
      <c r="CB26" s="50" t="n"/>
      <c r="CC26" s="50" t="n"/>
      <c r="CD26" s="50" t="n"/>
      <c r="CE26" s="50" t="n"/>
      <c r="CF26" s="50" t="n"/>
      <c r="CG26" s="50" t="n"/>
      <c r="CH26" s="50" t="n"/>
      <c r="CI26" s="50" t="n"/>
      <c r="CJ26" s="50" t="n"/>
      <c r="CK26" s="50" t="n"/>
      <c r="CL26" s="50" t="n"/>
      <c r="CM26" s="50" t="n"/>
      <c r="CN26" s="50" t="n"/>
      <c r="CO26" s="50" t="n"/>
      <c r="CP26" s="50" t="n"/>
      <c r="CQ26" s="50" t="n"/>
      <c r="CR26" s="50" t="n"/>
      <c r="CS26" s="50" t="n"/>
      <c r="CT26" s="50" t="n"/>
      <c r="CU26" s="50" t="n"/>
      <c r="CV26" s="50" t="n"/>
      <c r="CW26" s="50" t="n"/>
      <c r="CX26" s="50" t="n"/>
      <c r="CY26" s="50" t="n"/>
      <c r="CZ26" s="50" t="n"/>
      <c r="DA26" s="50" t="n"/>
      <c r="DB26" s="50" t="n"/>
      <c r="DC26" s="50" t="n"/>
      <c r="DD26" s="50" t="n"/>
      <c r="DE26" s="50" t="n"/>
      <c r="DF26" s="50" t="n"/>
      <c r="DG26" s="50" t="n"/>
      <c r="DH26" s="50" t="n"/>
      <c r="DI26" s="50" t="n"/>
      <c r="DJ26" s="50" t="n"/>
      <c r="DK26" s="50" t="n"/>
      <c r="DL26" s="50" t="n"/>
      <c r="DM26" s="50" t="n"/>
      <c r="DN26" s="50" t="n"/>
      <c r="DO26" s="50" t="n"/>
      <c r="DP26" s="50" t="n"/>
      <c r="DQ26" s="50" t="n"/>
      <c r="DR26" s="50" t="n"/>
      <c r="DS26" s="50" t="n"/>
      <c r="DT26" s="50" t="n"/>
      <c r="DU26" s="50" t="n"/>
      <c r="DV26" s="50" t="n"/>
    </row>
    <row r="27">
      <c r="A27" s="47">
        <f>IF(Mitarbeiter!B27="","",Mitarbeiter!A27)</f>
        <v/>
      </c>
      <c r="B27" s="48">
        <f>IF(Mitarbeiter!B27="","",Mitarbeiter!B27)</f>
        <v/>
      </c>
      <c r="C27" s="49">
        <f>IF(Mitarbeiter!B27="","",Mitarbeiter!F27)</f>
        <v/>
      </c>
      <c r="D27" s="25">
        <f>IF(Mitarbeiter!B27="","",Berechnung!AD27)</f>
        <v/>
      </c>
      <c r="E27" s="25">
        <f>IF(Mitarbeiter!B27="","",SUM(G27:DV27))</f>
        <v/>
      </c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  <c r="V27" s="50" t="n"/>
      <c r="W27" s="50" t="n"/>
      <c r="X27" s="50" t="n"/>
      <c r="Y27" s="50" t="n"/>
      <c r="Z27" s="50" t="n"/>
      <c r="AA27" s="50" t="n">
        <v>1</v>
      </c>
      <c r="AB27" s="50" t="n"/>
      <c r="AC27" s="50" t="n"/>
      <c r="AD27" s="50" t="n"/>
      <c r="AE27" s="50" t="n"/>
      <c r="AF27" s="50" t="n"/>
      <c r="AG27" s="50" t="n"/>
      <c r="AH27" s="50" t="n"/>
      <c r="AI27" s="50" t="n"/>
      <c r="AJ27" s="50" t="n"/>
      <c r="AK27" s="50" t="n"/>
      <c r="AL27" s="50" t="n"/>
      <c r="AM27" s="50" t="n"/>
      <c r="AN27" s="50" t="n"/>
      <c r="AO27" s="50" t="n"/>
      <c r="AP27" s="50" t="n"/>
      <c r="AQ27" s="50" t="n"/>
      <c r="AR27" s="50" t="n"/>
      <c r="AS27" s="50" t="n"/>
      <c r="AT27" s="50" t="n"/>
      <c r="AU27" s="50" t="n"/>
      <c r="AV27" s="50" t="n"/>
      <c r="AW27" s="50" t="n"/>
      <c r="AX27" s="50" t="n"/>
      <c r="AY27" s="50" t="n"/>
      <c r="AZ27" s="50" t="n"/>
      <c r="BA27" s="50" t="n"/>
      <c r="BB27" s="50" t="n"/>
      <c r="BC27" s="50" t="n"/>
      <c r="BD27" s="50" t="n"/>
      <c r="BE27" s="50" t="n"/>
      <c r="BF27" s="50" t="n"/>
      <c r="BG27" s="50" t="n"/>
      <c r="BH27" s="50" t="n"/>
      <c r="BI27" s="50" t="n"/>
      <c r="BJ27" s="50" t="n"/>
      <c r="BK27" s="50" t="n"/>
      <c r="BL27" s="50" t="n"/>
      <c r="BM27" s="50" t="n"/>
      <c r="BN27" s="50" t="n"/>
      <c r="BO27" s="50" t="n"/>
      <c r="BP27" s="50" t="n"/>
      <c r="BQ27" s="50" t="n"/>
      <c r="BR27" s="50" t="n"/>
      <c r="BS27" s="50" t="n"/>
      <c r="BT27" s="50" t="n"/>
      <c r="BU27" s="50" t="n"/>
      <c r="BV27" s="50" t="n"/>
      <c r="BW27" s="50" t="n"/>
      <c r="BX27" s="50" t="n"/>
      <c r="BY27" s="50" t="n"/>
      <c r="BZ27" s="50" t="n"/>
      <c r="CA27" s="50" t="n"/>
      <c r="CB27" s="50" t="n"/>
      <c r="CC27" s="50" t="n"/>
      <c r="CD27" s="50" t="n"/>
      <c r="CE27" s="50" t="n"/>
      <c r="CF27" s="50" t="n"/>
      <c r="CG27" s="50" t="n"/>
      <c r="CH27" s="50" t="n"/>
      <c r="CI27" s="50" t="n"/>
      <c r="CJ27" s="50" t="n"/>
      <c r="CK27" s="50" t="n"/>
      <c r="CL27" s="50" t="n"/>
      <c r="CM27" s="50" t="n"/>
      <c r="CN27" s="50" t="n"/>
      <c r="CO27" s="50" t="n"/>
      <c r="CP27" s="50" t="n"/>
      <c r="CQ27" s="50" t="n"/>
      <c r="CR27" s="50" t="n"/>
      <c r="CS27" s="50" t="n"/>
      <c r="CT27" s="50" t="n"/>
      <c r="CU27" s="50" t="n"/>
      <c r="CV27" s="50" t="n"/>
      <c r="CW27" s="50" t="n"/>
      <c r="CX27" s="50" t="n"/>
      <c r="CY27" s="50" t="n"/>
      <c r="CZ27" s="50" t="n"/>
      <c r="DA27" s="50" t="n"/>
      <c r="DB27" s="50" t="n"/>
      <c r="DC27" s="50" t="n"/>
      <c r="DD27" s="50" t="n"/>
      <c r="DE27" s="50" t="n"/>
      <c r="DF27" s="50" t="n"/>
      <c r="DG27" s="50" t="n"/>
      <c r="DH27" s="50" t="n"/>
      <c r="DI27" s="50" t="n"/>
      <c r="DJ27" s="50" t="n"/>
      <c r="DK27" s="50" t="n"/>
      <c r="DL27" s="50" t="n"/>
      <c r="DM27" s="50" t="n"/>
      <c r="DN27" s="50" t="n"/>
      <c r="DO27" s="50" t="n"/>
      <c r="DP27" s="50" t="n"/>
      <c r="DQ27" s="50" t="n"/>
      <c r="DR27" s="50" t="n"/>
      <c r="DS27" s="50" t="n"/>
      <c r="DT27" s="50" t="n"/>
      <c r="DU27" s="50" t="n"/>
      <c r="DV27" s="50" t="n"/>
    </row>
    <row r="28">
      <c r="A28" s="47">
        <f>IF(Mitarbeiter!B28="","",Mitarbeiter!A28)</f>
        <v/>
      </c>
      <c r="B28" s="48">
        <f>IF(Mitarbeiter!B28="","",Mitarbeiter!B28)</f>
        <v/>
      </c>
      <c r="C28" s="49">
        <f>IF(Mitarbeiter!B28="","",Mitarbeiter!F28)</f>
        <v/>
      </c>
      <c r="D28" s="25">
        <f>IF(Mitarbeiter!B28="","",Berechnung!AD28)</f>
        <v/>
      </c>
      <c r="E28" s="25">
        <f>IF(Mitarbeiter!B28="","",SUM(G28:DV28))</f>
        <v/>
      </c>
      <c r="G28" s="50" t="n"/>
      <c r="H28" s="50" t="n"/>
      <c r="I28" s="50" t="n">
        <v>12</v>
      </c>
      <c r="J28" s="50" t="n"/>
      <c r="K28" s="50" t="n"/>
      <c r="L28" s="50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>
        <v>5</v>
      </c>
      <c r="V28" s="50" t="n">
        <v>5</v>
      </c>
      <c r="W28" s="50" t="n">
        <v>7</v>
      </c>
      <c r="X28" s="50" t="n">
        <v>3</v>
      </c>
      <c r="Y28" s="50" t="n"/>
      <c r="Z28" s="50" t="n"/>
      <c r="AA28" s="50" t="n"/>
      <c r="AB28" s="50" t="n"/>
      <c r="AC28" s="50" t="n"/>
      <c r="AD28" s="50" t="n"/>
      <c r="AE28" s="50" t="n"/>
      <c r="AF28" s="50" t="n"/>
      <c r="AG28" s="50" t="n"/>
      <c r="AH28" s="50" t="n"/>
      <c r="AI28" s="50" t="n"/>
      <c r="AJ28" s="50" t="n"/>
      <c r="AK28" s="50" t="n"/>
      <c r="AL28" s="50" t="n"/>
      <c r="AM28" s="50" t="n"/>
      <c r="AN28" s="50" t="n"/>
      <c r="AO28" s="50" t="n"/>
      <c r="AP28" s="50" t="n"/>
      <c r="AQ28" s="50" t="n"/>
      <c r="AR28" s="50" t="n"/>
      <c r="AS28" s="50" t="n"/>
      <c r="AT28" s="50" t="n"/>
      <c r="AU28" s="50" t="n"/>
      <c r="AV28" s="50" t="n"/>
      <c r="AW28" s="50" t="n"/>
      <c r="AX28" s="50" t="n"/>
      <c r="AY28" s="50" t="n"/>
      <c r="AZ28" s="50" t="n"/>
      <c r="BA28" s="50" t="n"/>
      <c r="BB28" s="50" t="n"/>
      <c r="BC28" s="50" t="n"/>
      <c r="BD28" s="50" t="n"/>
      <c r="BE28" s="50" t="n"/>
      <c r="BF28" s="50" t="n"/>
      <c r="BG28" s="50" t="n"/>
      <c r="BH28" s="50" t="n"/>
      <c r="BI28" s="50" t="n"/>
      <c r="BJ28" s="50" t="n"/>
      <c r="BK28" s="50" t="n"/>
      <c r="BL28" s="50" t="n"/>
      <c r="BM28" s="50" t="n"/>
      <c r="BN28" s="50" t="n"/>
      <c r="BO28" s="50" t="n"/>
      <c r="BP28" s="50" t="n"/>
      <c r="BQ28" s="50" t="n"/>
      <c r="BR28" s="50" t="n"/>
      <c r="BS28" s="50" t="n"/>
      <c r="BT28" s="50" t="n"/>
      <c r="BU28" s="50" t="n"/>
      <c r="BV28" s="50" t="n"/>
      <c r="BW28" s="50" t="n"/>
      <c r="BX28" s="50" t="n"/>
      <c r="BY28" s="50" t="n"/>
      <c r="BZ28" s="50" t="n"/>
      <c r="CA28" s="50" t="n"/>
      <c r="CB28" s="50" t="n"/>
      <c r="CC28" s="50" t="n"/>
      <c r="CD28" s="50" t="n"/>
      <c r="CE28" s="50" t="n"/>
      <c r="CF28" s="50" t="n"/>
      <c r="CG28" s="50" t="n"/>
      <c r="CH28" s="50" t="n"/>
      <c r="CI28" s="50" t="n"/>
      <c r="CJ28" s="50" t="n"/>
      <c r="CK28" s="50" t="n"/>
      <c r="CL28" s="50" t="n"/>
      <c r="CM28" s="50" t="n"/>
      <c r="CN28" s="50" t="n"/>
      <c r="CO28" s="50" t="n"/>
      <c r="CP28" s="50" t="n"/>
      <c r="CQ28" s="50" t="n"/>
      <c r="CR28" s="50" t="n"/>
      <c r="CS28" s="50" t="n"/>
      <c r="CT28" s="50" t="n"/>
      <c r="CU28" s="50" t="n"/>
      <c r="CV28" s="50" t="n"/>
      <c r="CW28" s="50" t="n"/>
      <c r="CX28" s="50" t="n"/>
      <c r="CY28" s="50" t="n"/>
      <c r="CZ28" s="50" t="n"/>
      <c r="DA28" s="50" t="n"/>
      <c r="DB28" s="50" t="n"/>
      <c r="DC28" s="50" t="n"/>
      <c r="DD28" s="50" t="n"/>
      <c r="DE28" s="50" t="n"/>
      <c r="DF28" s="50" t="n"/>
      <c r="DG28" s="50" t="n"/>
      <c r="DH28" s="50" t="n"/>
      <c r="DI28" s="50" t="n"/>
      <c r="DJ28" s="50" t="n"/>
      <c r="DK28" s="50" t="n"/>
      <c r="DL28" s="50" t="n"/>
      <c r="DM28" s="50" t="n"/>
      <c r="DN28" s="50" t="n"/>
      <c r="DO28" s="50" t="n"/>
      <c r="DP28" s="50" t="n"/>
      <c r="DQ28" s="50" t="n"/>
      <c r="DR28" s="50" t="n"/>
      <c r="DS28" s="50" t="n"/>
      <c r="DT28" s="50" t="n"/>
      <c r="DU28" s="50" t="n"/>
      <c r="DV28" s="50" t="n"/>
    </row>
    <row r="29">
      <c r="A29" s="47">
        <f>IF(Mitarbeiter!B29="","",Mitarbeiter!A29)</f>
        <v/>
      </c>
      <c r="B29" s="48">
        <f>IF(Mitarbeiter!B29="","",Mitarbeiter!B29)</f>
        <v/>
      </c>
      <c r="C29" s="49">
        <f>IF(Mitarbeiter!B29="","",Mitarbeiter!F29)</f>
        <v/>
      </c>
      <c r="D29" s="25">
        <f>IF(Mitarbeiter!B29="","",Berechnung!AD29)</f>
        <v/>
      </c>
      <c r="E29" s="25">
        <f>IF(Mitarbeiter!B29="","",SUM(G29:DV29))</f>
        <v/>
      </c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>
        <v>2</v>
      </c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  <c r="AV29" s="50" t="n"/>
      <c r="AW29" s="50" t="n"/>
      <c r="AX29" s="50" t="n"/>
      <c r="AY29" s="50" t="n"/>
      <c r="AZ29" s="50" t="n"/>
      <c r="BA29" s="50" t="n"/>
      <c r="BB29" s="50" t="n"/>
      <c r="BC29" s="50" t="n"/>
      <c r="BD29" s="50" t="n"/>
      <c r="BE29" s="50" t="n"/>
      <c r="BF29" s="50" t="n"/>
      <c r="BG29" s="50" t="n"/>
      <c r="BH29" s="50" t="n"/>
      <c r="BI29" s="50" t="n"/>
      <c r="BJ29" s="50" t="n"/>
      <c r="BK29" s="50" t="n"/>
      <c r="BL29" s="50" t="n"/>
      <c r="BM29" s="50" t="n"/>
      <c r="BN29" s="50" t="n"/>
      <c r="BO29" s="50" t="n"/>
      <c r="BP29" s="50" t="n"/>
      <c r="BQ29" s="50" t="n"/>
      <c r="BR29" s="50" t="n"/>
      <c r="BS29" s="50" t="n"/>
      <c r="BT29" s="50" t="n"/>
      <c r="BU29" s="50" t="n"/>
      <c r="BV29" s="50" t="n"/>
      <c r="BW29" s="50" t="n"/>
      <c r="BX29" s="50" t="n"/>
      <c r="BY29" s="50" t="n"/>
      <c r="BZ29" s="50" t="n"/>
      <c r="CA29" s="50" t="n"/>
      <c r="CB29" s="50" t="n"/>
      <c r="CC29" s="50" t="n"/>
      <c r="CD29" s="50" t="n"/>
      <c r="CE29" s="50" t="n"/>
      <c r="CF29" s="50" t="n"/>
      <c r="CG29" s="50" t="n"/>
      <c r="CH29" s="50" t="n"/>
      <c r="CI29" s="50" t="n"/>
      <c r="CJ29" s="50" t="n"/>
      <c r="CK29" s="50" t="n"/>
      <c r="CL29" s="50" t="n"/>
      <c r="CM29" s="50" t="n"/>
      <c r="CN29" s="50" t="n"/>
      <c r="CO29" s="50" t="n"/>
      <c r="CP29" s="50" t="n"/>
      <c r="CQ29" s="50" t="n"/>
      <c r="CR29" s="50" t="n"/>
      <c r="CS29" s="50" t="n"/>
      <c r="CT29" s="50" t="n"/>
      <c r="CU29" s="50" t="n"/>
      <c r="CV29" s="50" t="n"/>
      <c r="CW29" s="50" t="n"/>
      <c r="CX29" s="50" t="n"/>
      <c r="CY29" s="50" t="n"/>
      <c r="CZ29" s="50" t="n"/>
      <c r="DA29" s="50" t="n"/>
      <c r="DB29" s="50" t="n"/>
      <c r="DC29" s="50" t="n"/>
      <c r="DD29" s="50" t="n"/>
      <c r="DE29" s="50" t="n"/>
      <c r="DF29" s="50" t="n"/>
      <c r="DG29" s="50" t="n"/>
      <c r="DH29" s="50" t="n"/>
      <c r="DI29" s="50" t="n"/>
      <c r="DJ29" s="50" t="n"/>
      <c r="DK29" s="50" t="n"/>
      <c r="DL29" s="50" t="n"/>
      <c r="DM29" s="50" t="n"/>
      <c r="DN29" s="50" t="n"/>
      <c r="DO29" s="50" t="n"/>
      <c r="DP29" s="50" t="n"/>
      <c r="DQ29" s="50" t="n"/>
      <c r="DR29" s="50" t="n"/>
      <c r="DS29" s="50" t="n"/>
      <c r="DT29" s="50" t="n"/>
      <c r="DU29" s="50" t="n"/>
      <c r="DV29" s="50" t="n"/>
    </row>
    <row r="30">
      <c r="A30" s="47">
        <f>IF(Mitarbeiter!B30="","",Mitarbeiter!A30)</f>
        <v/>
      </c>
      <c r="B30" s="48">
        <f>IF(Mitarbeiter!B30="","",Mitarbeiter!B30)</f>
        <v/>
      </c>
      <c r="C30" s="49">
        <f>IF(Mitarbeiter!B30="","",Mitarbeiter!F30)</f>
        <v/>
      </c>
      <c r="D30" s="25">
        <f>IF(Mitarbeiter!B30="","",Berechnung!AD30)</f>
        <v/>
      </c>
      <c r="E30" s="25">
        <f>IF(Mitarbeiter!B30="","",SUM(G30:DV30))</f>
        <v/>
      </c>
      <c r="G30" s="50" t="n"/>
      <c r="H30" s="50" t="n">
        <v>2</v>
      </c>
      <c r="I30" s="50" t="n"/>
      <c r="J30" s="50" t="n"/>
      <c r="K30" s="50" t="n"/>
      <c r="L30" s="50" t="n"/>
      <c r="M30" s="50" t="n"/>
      <c r="N30" s="50" t="n">
        <v>2</v>
      </c>
      <c r="O30" s="50" t="n"/>
      <c r="P30" s="50" t="n"/>
      <c r="Q30" s="50" t="n"/>
      <c r="R30" s="50" t="n"/>
      <c r="S30" s="50" t="n"/>
      <c r="T30" s="50" t="n">
        <v>5</v>
      </c>
      <c r="U30" s="50" t="n"/>
      <c r="V30" s="50" t="n"/>
      <c r="W30" s="50" t="n"/>
      <c r="X30" s="50" t="n"/>
      <c r="Y30" s="50" t="n"/>
      <c r="Z30" s="50" t="n"/>
      <c r="AA30" s="50" t="n"/>
      <c r="AB30" s="50" t="n"/>
      <c r="AC30" s="50" t="n"/>
      <c r="AD30" s="50" t="n"/>
      <c r="AE30" s="50" t="n"/>
      <c r="AF30" s="50" t="n"/>
      <c r="AG30" s="50" t="n"/>
      <c r="AH30" s="50" t="n"/>
      <c r="AI30" s="50" t="n"/>
      <c r="AJ30" s="50" t="n"/>
      <c r="AK30" s="50" t="n"/>
      <c r="AL30" s="50" t="n"/>
      <c r="AM30" s="50" t="n"/>
      <c r="AN30" s="50" t="n"/>
      <c r="AO30" s="50" t="n"/>
      <c r="AP30" s="50" t="n"/>
      <c r="AQ30" s="50" t="n"/>
      <c r="AR30" s="50" t="n"/>
      <c r="AS30" s="50" t="n"/>
      <c r="AT30" s="50" t="n"/>
      <c r="AU30" s="50" t="n"/>
      <c r="AV30" s="50" t="n"/>
      <c r="AW30" s="50" t="n"/>
      <c r="AX30" s="50" t="n"/>
      <c r="AY30" s="50" t="n"/>
      <c r="AZ30" s="50" t="n"/>
      <c r="BA30" s="50" t="n"/>
      <c r="BB30" s="50" t="n"/>
      <c r="BC30" s="50" t="n"/>
      <c r="BD30" s="50" t="n"/>
      <c r="BE30" s="50" t="n"/>
      <c r="BF30" s="50" t="n"/>
      <c r="BG30" s="50" t="n"/>
      <c r="BH30" s="50" t="n"/>
      <c r="BI30" s="50" t="n"/>
      <c r="BJ30" s="50" t="n"/>
      <c r="BK30" s="50" t="n"/>
      <c r="BL30" s="50" t="n"/>
      <c r="BM30" s="50" t="n"/>
      <c r="BN30" s="50" t="n"/>
      <c r="BO30" s="50" t="n"/>
      <c r="BP30" s="50" t="n"/>
      <c r="BQ30" s="50" t="n"/>
      <c r="BR30" s="50" t="n"/>
      <c r="BS30" s="50" t="n"/>
      <c r="BT30" s="50" t="n"/>
      <c r="BU30" s="50" t="n"/>
      <c r="BV30" s="50" t="n"/>
      <c r="BW30" s="50" t="n"/>
      <c r="BX30" s="50" t="n"/>
      <c r="BY30" s="50" t="n"/>
      <c r="BZ30" s="50" t="n"/>
      <c r="CA30" s="50" t="n"/>
      <c r="CB30" s="50" t="n"/>
      <c r="CC30" s="50" t="n"/>
      <c r="CD30" s="50" t="n"/>
      <c r="CE30" s="50" t="n"/>
      <c r="CF30" s="50" t="n"/>
      <c r="CG30" s="50" t="n"/>
      <c r="CH30" s="50" t="n"/>
      <c r="CI30" s="50" t="n"/>
      <c r="CJ30" s="50" t="n"/>
      <c r="CK30" s="50" t="n"/>
      <c r="CL30" s="50" t="n"/>
      <c r="CM30" s="50" t="n"/>
      <c r="CN30" s="50" t="n"/>
      <c r="CO30" s="50" t="n"/>
      <c r="CP30" s="50" t="n"/>
      <c r="CQ30" s="50" t="n"/>
      <c r="CR30" s="50" t="n"/>
      <c r="CS30" s="50" t="n"/>
      <c r="CT30" s="50" t="n"/>
      <c r="CU30" s="50" t="n"/>
      <c r="CV30" s="50" t="n"/>
      <c r="CW30" s="50" t="n"/>
      <c r="CX30" s="50" t="n"/>
      <c r="CY30" s="50" t="n"/>
      <c r="CZ30" s="50" t="n"/>
      <c r="DA30" s="50" t="n"/>
      <c r="DB30" s="50" t="n"/>
      <c r="DC30" s="50" t="n"/>
      <c r="DD30" s="50" t="n"/>
      <c r="DE30" s="50" t="n"/>
      <c r="DF30" s="50" t="n"/>
      <c r="DG30" s="50" t="n"/>
      <c r="DH30" s="50" t="n"/>
      <c r="DI30" s="50" t="n"/>
      <c r="DJ30" s="50" t="n"/>
      <c r="DK30" s="50" t="n"/>
      <c r="DL30" s="50" t="n"/>
      <c r="DM30" s="50" t="n"/>
      <c r="DN30" s="50" t="n"/>
      <c r="DO30" s="50" t="n"/>
      <c r="DP30" s="50" t="n"/>
      <c r="DQ30" s="50" t="n"/>
      <c r="DR30" s="50" t="n"/>
      <c r="DS30" s="50" t="n"/>
      <c r="DT30" s="50" t="n"/>
      <c r="DU30" s="50" t="n"/>
      <c r="DV30" s="50" t="n"/>
    </row>
    <row r="31">
      <c r="A31" s="47">
        <f>IF(Mitarbeiter!B31="","",Mitarbeiter!A31)</f>
        <v/>
      </c>
      <c r="B31" s="48">
        <f>IF(Mitarbeiter!B31="","",Mitarbeiter!B31)</f>
        <v/>
      </c>
      <c r="C31" s="49">
        <f>IF(Mitarbeiter!B31="","",Mitarbeiter!F31)</f>
        <v/>
      </c>
      <c r="D31" s="25">
        <f>IF(Mitarbeiter!B31="","",Berechnung!AD31)</f>
        <v/>
      </c>
      <c r="E31" s="25">
        <f>IF(Mitarbeiter!B31="","",SUM(G31:DV31))</f>
        <v/>
      </c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>
        <v>5</v>
      </c>
      <c r="W31" s="50" t="n"/>
      <c r="X31" s="50" t="n"/>
      <c r="Y31" s="50" t="n"/>
      <c r="Z31" s="50" t="n">
        <v>4</v>
      </c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  <c r="AV31" s="50" t="n"/>
      <c r="AW31" s="50" t="n"/>
      <c r="AX31" s="50" t="n"/>
      <c r="AY31" s="50" t="n"/>
      <c r="AZ31" s="50" t="n"/>
      <c r="BA31" s="50" t="n"/>
      <c r="BB31" s="50" t="n"/>
      <c r="BC31" s="50" t="n"/>
      <c r="BD31" s="50" t="n"/>
      <c r="BE31" s="50" t="n"/>
      <c r="BF31" s="50" t="n"/>
      <c r="BG31" s="50" t="n"/>
      <c r="BH31" s="50" t="n"/>
      <c r="BI31" s="50" t="n"/>
      <c r="BJ31" s="50" t="n"/>
      <c r="BK31" s="50" t="n"/>
      <c r="BL31" s="50" t="n"/>
      <c r="BM31" s="50" t="n"/>
      <c r="BN31" s="50" t="n"/>
      <c r="BO31" s="50" t="n"/>
      <c r="BP31" s="50" t="n"/>
      <c r="BQ31" s="50" t="n"/>
      <c r="BR31" s="50" t="n"/>
      <c r="BS31" s="50" t="n"/>
      <c r="BT31" s="50" t="n"/>
      <c r="BU31" s="50" t="n"/>
      <c r="BV31" s="50" t="n"/>
      <c r="BW31" s="50" t="n"/>
      <c r="BX31" s="50" t="n"/>
      <c r="BY31" s="50" t="n"/>
      <c r="BZ31" s="50" t="n"/>
      <c r="CA31" s="50" t="n"/>
      <c r="CB31" s="50" t="n"/>
      <c r="CC31" s="50" t="n"/>
      <c r="CD31" s="50" t="n"/>
      <c r="CE31" s="50" t="n"/>
      <c r="CF31" s="50" t="n"/>
      <c r="CG31" s="50" t="n"/>
      <c r="CH31" s="50" t="n"/>
      <c r="CI31" s="50" t="n"/>
      <c r="CJ31" s="50" t="n"/>
      <c r="CK31" s="50" t="n"/>
      <c r="CL31" s="50" t="n"/>
      <c r="CM31" s="50" t="n"/>
      <c r="CN31" s="50" t="n"/>
      <c r="CO31" s="50" t="n"/>
      <c r="CP31" s="50" t="n"/>
      <c r="CQ31" s="50" t="n"/>
      <c r="CR31" s="50" t="n"/>
      <c r="CS31" s="50" t="n"/>
      <c r="CT31" s="50" t="n"/>
      <c r="CU31" s="50" t="n"/>
      <c r="CV31" s="50" t="n"/>
      <c r="CW31" s="50" t="n"/>
      <c r="CX31" s="50" t="n"/>
      <c r="CY31" s="50" t="n"/>
      <c r="CZ31" s="50" t="n"/>
      <c r="DA31" s="50" t="n"/>
      <c r="DB31" s="50" t="n"/>
      <c r="DC31" s="50" t="n"/>
      <c r="DD31" s="50" t="n"/>
      <c r="DE31" s="50" t="n"/>
      <c r="DF31" s="50" t="n"/>
      <c r="DG31" s="50" t="n"/>
      <c r="DH31" s="50" t="n"/>
      <c r="DI31" s="50" t="n"/>
      <c r="DJ31" s="50" t="n"/>
      <c r="DK31" s="50" t="n"/>
      <c r="DL31" s="50" t="n"/>
      <c r="DM31" s="50" t="n"/>
      <c r="DN31" s="50" t="n"/>
      <c r="DO31" s="50" t="n"/>
      <c r="DP31" s="50" t="n"/>
      <c r="DQ31" s="50" t="n"/>
      <c r="DR31" s="50" t="n"/>
      <c r="DS31" s="50" t="n"/>
      <c r="DT31" s="50" t="n"/>
      <c r="DU31" s="50" t="n"/>
      <c r="DV31" s="50" t="n"/>
    </row>
    <row r="32">
      <c r="A32" s="47">
        <f>IF(Mitarbeiter!B32="","",Mitarbeiter!A32)</f>
        <v/>
      </c>
      <c r="B32" s="48">
        <f>IF(Mitarbeiter!B32="","",Mitarbeiter!B32)</f>
        <v/>
      </c>
      <c r="C32" s="49">
        <f>IF(Mitarbeiter!B32="","",Mitarbeiter!F32)</f>
        <v/>
      </c>
      <c r="D32" s="25">
        <f>IF(Mitarbeiter!B32="","",Berechnung!AD32)</f>
        <v/>
      </c>
      <c r="E32" s="25">
        <f>IF(Mitarbeiter!B32="","",SUM(G32:DV32))</f>
        <v/>
      </c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0" t="n"/>
      <c r="X32" s="50" t="n"/>
      <c r="Y32" s="50" t="n"/>
      <c r="Z32" s="50" t="n"/>
      <c r="AA32" s="50" t="n"/>
      <c r="AB32" s="50" t="n"/>
      <c r="AC32" s="50" t="n"/>
      <c r="AD32" s="50" t="n"/>
      <c r="AE32" s="50" t="n"/>
      <c r="AF32" s="50" t="n"/>
      <c r="AG32" s="50" t="n"/>
      <c r="AH32" s="50" t="n"/>
      <c r="AI32" s="50" t="n"/>
      <c r="AJ32" s="50" t="n"/>
      <c r="AK32" s="50" t="n"/>
      <c r="AL32" s="50" t="n"/>
      <c r="AM32" s="50" t="n"/>
      <c r="AN32" s="50" t="n"/>
      <c r="AO32" s="50" t="n"/>
      <c r="AP32" s="50" t="n"/>
      <c r="AQ32" s="50" t="n"/>
      <c r="AR32" s="50" t="n"/>
      <c r="AS32" s="50" t="n"/>
      <c r="AT32" s="50" t="n"/>
      <c r="AU32" s="50" t="n"/>
      <c r="AV32" s="50" t="n"/>
      <c r="AW32" s="50" t="n"/>
      <c r="AX32" s="50" t="n"/>
      <c r="AY32" s="50" t="n"/>
      <c r="AZ32" s="50" t="n"/>
      <c r="BA32" s="50" t="n"/>
      <c r="BB32" s="50" t="n"/>
      <c r="BC32" s="50" t="n"/>
      <c r="BD32" s="50" t="n"/>
      <c r="BE32" s="50" t="n"/>
      <c r="BF32" s="50" t="n"/>
      <c r="BG32" s="50" t="n"/>
      <c r="BH32" s="50" t="n"/>
      <c r="BI32" s="50" t="n"/>
      <c r="BJ32" s="50" t="n"/>
      <c r="BK32" s="50" t="n"/>
      <c r="BL32" s="50" t="n"/>
      <c r="BM32" s="50" t="n"/>
      <c r="BN32" s="50" t="n"/>
      <c r="BO32" s="50" t="n"/>
      <c r="BP32" s="50" t="n"/>
      <c r="BQ32" s="50" t="n"/>
      <c r="BR32" s="50" t="n"/>
      <c r="BS32" s="50" t="n"/>
      <c r="BT32" s="50" t="n"/>
      <c r="BU32" s="50" t="n"/>
      <c r="BV32" s="50" t="n"/>
      <c r="BW32" s="50" t="n"/>
      <c r="BX32" s="50" t="n"/>
      <c r="BY32" s="50" t="n"/>
      <c r="BZ32" s="50" t="n"/>
      <c r="CA32" s="50" t="n"/>
      <c r="CB32" s="50" t="n"/>
      <c r="CC32" s="50" t="n"/>
      <c r="CD32" s="50" t="n"/>
      <c r="CE32" s="50" t="n"/>
      <c r="CF32" s="50" t="n"/>
      <c r="CG32" s="50" t="n"/>
      <c r="CH32" s="50" t="n"/>
      <c r="CI32" s="50" t="n"/>
      <c r="CJ32" s="50" t="n"/>
      <c r="CK32" s="50" t="n"/>
      <c r="CL32" s="50" t="n"/>
      <c r="CM32" s="50" t="n"/>
      <c r="CN32" s="50" t="n"/>
      <c r="CO32" s="50" t="n"/>
      <c r="CP32" s="50" t="n"/>
      <c r="CQ32" s="50" t="n"/>
      <c r="CR32" s="50" t="n"/>
      <c r="CS32" s="50" t="n"/>
      <c r="CT32" s="50" t="n"/>
      <c r="CU32" s="50" t="n"/>
      <c r="CV32" s="50" t="n"/>
      <c r="CW32" s="50" t="n"/>
      <c r="CX32" s="50" t="n"/>
      <c r="CY32" s="50" t="n"/>
      <c r="CZ32" s="50" t="n"/>
      <c r="DA32" s="50" t="n"/>
      <c r="DB32" s="50" t="n"/>
      <c r="DC32" s="50" t="n"/>
      <c r="DD32" s="50" t="n"/>
      <c r="DE32" s="50" t="n"/>
      <c r="DF32" s="50" t="n"/>
      <c r="DG32" s="50" t="n"/>
      <c r="DH32" s="50" t="n"/>
      <c r="DI32" s="50" t="n"/>
      <c r="DJ32" s="50" t="n"/>
      <c r="DK32" s="50" t="n"/>
      <c r="DL32" s="50" t="n"/>
      <c r="DM32" s="50" t="n"/>
      <c r="DN32" s="50" t="n"/>
      <c r="DO32" s="50" t="n"/>
      <c r="DP32" s="50" t="n"/>
      <c r="DQ32" s="50" t="n"/>
      <c r="DR32" s="50" t="n"/>
      <c r="DS32" s="50" t="n"/>
      <c r="DT32" s="50" t="n"/>
      <c r="DU32" s="50" t="n"/>
      <c r="DV32" s="50" t="n"/>
    </row>
    <row r="33">
      <c r="A33" s="47">
        <f>IF(Mitarbeiter!B33="","",Mitarbeiter!A33)</f>
        <v/>
      </c>
      <c r="B33" s="48">
        <f>IF(Mitarbeiter!B33="","",Mitarbeiter!B33)</f>
        <v/>
      </c>
      <c r="C33" s="49">
        <f>IF(Mitarbeiter!B33="","",Mitarbeiter!F33)</f>
        <v/>
      </c>
      <c r="D33" s="25">
        <f>IF(Mitarbeiter!B33="","",Berechnung!AD33)</f>
        <v/>
      </c>
      <c r="E33" s="25">
        <f>IF(Mitarbeiter!B33="","",SUM(G33:DV33))</f>
        <v/>
      </c>
      <c r="G33" s="50" t="n"/>
      <c r="H33" s="50" t="n"/>
      <c r="I33" s="50" t="n"/>
      <c r="J33" s="50" t="n"/>
      <c r="K33" s="50" t="n">
        <v>7</v>
      </c>
      <c r="L33" s="50" t="n"/>
      <c r="M33" s="50" t="n">
        <v>13</v>
      </c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>
        <v>7</v>
      </c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  <c r="AV33" s="50" t="n"/>
      <c r="AW33" s="50" t="n"/>
      <c r="AX33" s="50" t="n"/>
      <c r="AY33" s="50" t="n"/>
      <c r="AZ33" s="50" t="n"/>
      <c r="BA33" s="50" t="n"/>
      <c r="BB33" s="50" t="n"/>
      <c r="BC33" s="50" t="n"/>
      <c r="BD33" s="50" t="n"/>
      <c r="BE33" s="50" t="n"/>
      <c r="BF33" s="50" t="n"/>
      <c r="BG33" s="50" t="n"/>
      <c r="BH33" s="50" t="n"/>
      <c r="BI33" s="50" t="n"/>
      <c r="BJ33" s="50" t="n"/>
      <c r="BK33" s="50" t="n"/>
      <c r="BL33" s="50" t="n"/>
      <c r="BM33" s="50" t="n"/>
      <c r="BN33" s="50" t="n"/>
      <c r="BO33" s="50" t="n"/>
      <c r="BP33" s="50" t="n"/>
      <c r="BQ33" s="50" t="n"/>
      <c r="BR33" s="50" t="n"/>
      <c r="BS33" s="50" t="n"/>
      <c r="BT33" s="50" t="n"/>
      <c r="BU33" s="50" t="n"/>
      <c r="BV33" s="50" t="n"/>
      <c r="BW33" s="50" t="n"/>
      <c r="BX33" s="50" t="n"/>
      <c r="BY33" s="50" t="n"/>
      <c r="BZ33" s="50" t="n"/>
      <c r="CA33" s="50" t="n"/>
      <c r="CB33" s="50" t="n"/>
      <c r="CC33" s="50" t="n"/>
      <c r="CD33" s="50" t="n"/>
      <c r="CE33" s="50" t="n"/>
      <c r="CF33" s="50" t="n"/>
      <c r="CG33" s="50" t="n"/>
      <c r="CH33" s="50" t="n"/>
      <c r="CI33" s="50" t="n"/>
      <c r="CJ33" s="50" t="n"/>
      <c r="CK33" s="50" t="n"/>
      <c r="CL33" s="50" t="n"/>
      <c r="CM33" s="50" t="n"/>
      <c r="CN33" s="50" t="n"/>
      <c r="CO33" s="50" t="n"/>
      <c r="CP33" s="50" t="n"/>
      <c r="CQ33" s="50" t="n"/>
      <c r="CR33" s="50" t="n"/>
      <c r="CS33" s="50" t="n"/>
      <c r="CT33" s="50" t="n"/>
      <c r="CU33" s="50" t="n"/>
      <c r="CV33" s="50" t="n"/>
      <c r="CW33" s="50" t="n"/>
      <c r="CX33" s="50" t="n"/>
      <c r="CY33" s="50" t="n"/>
      <c r="CZ33" s="50" t="n"/>
      <c r="DA33" s="50" t="n"/>
      <c r="DB33" s="50" t="n"/>
      <c r="DC33" s="50" t="n"/>
      <c r="DD33" s="50" t="n"/>
      <c r="DE33" s="50" t="n"/>
      <c r="DF33" s="50" t="n"/>
      <c r="DG33" s="50" t="n"/>
      <c r="DH33" s="50" t="n"/>
      <c r="DI33" s="50" t="n"/>
      <c r="DJ33" s="50" t="n"/>
      <c r="DK33" s="50" t="n"/>
      <c r="DL33" s="50" t="n"/>
      <c r="DM33" s="50" t="n"/>
      <c r="DN33" s="50" t="n"/>
      <c r="DO33" s="50" t="n"/>
      <c r="DP33" s="50" t="n"/>
      <c r="DQ33" s="50" t="n"/>
      <c r="DR33" s="50" t="n"/>
      <c r="DS33" s="50" t="n"/>
      <c r="DT33" s="50" t="n"/>
      <c r="DU33" s="50" t="n"/>
      <c r="DV33" s="50" t="n"/>
    </row>
    <row r="34">
      <c r="A34" s="47">
        <f>IF(Mitarbeiter!B34="","",Mitarbeiter!A34)</f>
        <v/>
      </c>
      <c r="B34" s="48">
        <f>IF(Mitarbeiter!B34="","",Mitarbeiter!B34)</f>
        <v/>
      </c>
      <c r="C34" s="49">
        <f>IF(Mitarbeiter!B34="","",Mitarbeiter!F34)</f>
        <v/>
      </c>
      <c r="D34" s="25">
        <f>IF(Mitarbeiter!B34="","",Berechnung!AD34)</f>
        <v/>
      </c>
      <c r="E34" s="25">
        <f>IF(Mitarbeiter!B34="","",SUM(G34:DV34))</f>
        <v/>
      </c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0" t="n"/>
      <c r="X34" s="50" t="n"/>
      <c r="Y34" s="50" t="n"/>
      <c r="Z34" s="50" t="n"/>
      <c r="AA34" s="50" t="n"/>
      <c r="AB34" s="50" t="n"/>
      <c r="AC34" s="50" t="n"/>
      <c r="AD34" s="50" t="n"/>
      <c r="AE34" s="50" t="n"/>
      <c r="AF34" s="50" t="n"/>
      <c r="AG34" s="50" t="n"/>
      <c r="AH34" s="50" t="n"/>
      <c r="AI34" s="50" t="n"/>
      <c r="AJ34" s="50" t="n"/>
      <c r="AK34" s="50" t="n"/>
      <c r="AL34" s="50" t="n"/>
      <c r="AM34" s="50" t="n"/>
      <c r="AN34" s="50" t="n"/>
      <c r="AO34" s="50" t="n"/>
      <c r="AP34" s="50" t="n"/>
      <c r="AQ34" s="50" t="n"/>
      <c r="AR34" s="50" t="n"/>
      <c r="AS34" s="50" t="n"/>
      <c r="AT34" s="50" t="n"/>
      <c r="AU34" s="50" t="n"/>
      <c r="AV34" s="50" t="n"/>
      <c r="AW34" s="50" t="n"/>
      <c r="AX34" s="50" t="n"/>
      <c r="AY34" s="50" t="n"/>
      <c r="AZ34" s="50" t="n"/>
      <c r="BA34" s="50" t="n"/>
      <c r="BB34" s="50" t="n"/>
      <c r="BC34" s="50" t="n"/>
      <c r="BD34" s="50" t="n"/>
      <c r="BE34" s="50" t="n"/>
      <c r="BF34" s="50" t="n"/>
      <c r="BG34" s="50" t="n"/>
      <c r="BH34" s="50" t="n"/>
      <c r="BI34" s="50" t="n"/>
      <c r="BJ34" s="50" t="n"/>
      <c r="BK34" s="50" t="n"/>
      <c r="BL34" s="50" t="n"/>
      <c r="BM34" s="50" t="n"/>
      <c r="BN34" s="50" t="n"/>
      <c r="BO34" s="50" t="n"/>
      <c r="BP34" s="50" t="n"/>
      <c r="BQ34" s="50" t="n"/>
      <c r="BR34" s="50" t="n"/>
      <c r="BS34" s="50" t="n"/>
      <c r="BT34" s="50" t="n"/>
      <c r="BU34" s="50" t="n"/>
      <c r="BV34" s="50" t="n"/>
      <c r="BW34" s="50" t="n"/>
      <c r="BX34" s="50" t="n"/>
      <c r="BY34" s="50" t="n"/>
      <c r="BZ34" s="50" t="n"/>
      <c r="CA34" s="50" t="n"/>
      <c r="CB34" s="50" t="n"/>
      <c r="CC34" s="50" t="n"/>
      <c r="CD34" s="50" t="n"/>
      <c r="CE34" s="50" t="n"/>
      <c r="CF34" s="50" t="n"/>
      <c r="CG34" s="50" t="n"/>
      <c r="CH34" s="50" t="n"/>
      <c r="CI34" s="50" t="n"/>
      <c r="CJ34" s="50" t="n"/>
      <c r="CK34" s="50" t="n"/>
      <c r="CL34" s="50" t="n"/>
      <c r="CM34" s="50" t="n"/>
      <c r="CN34" s="50" t="n"/>
      <c r="CO34" s="50" t="n"/>
      <c r="CP34" s="50" t="n"/>
      <c r="CQ34" s="50" t="n"/>
      <c r="CR34" s="50" t="n"/>
      <c r="CS34" s="50" t="n"/>
      <c r="CT34" s="50" t="n"/>
      <c r="CU34" s="50" t="n"/>
      <c r="CV34" s="50" t="n"/>
      <c r="CW34" s="50" t="n"/>
      <c r="CX34" s="50" t="n"/>
      <c r="CY34" s="50" t="n"/>
      <c r="CZ34" s="50" t="n"/>
      <c r="DA34" s="50" t="n"/>
      <c r="DB34" s="50" t="n"/>
      <c r="DC34" s="50" t="n"/>
      <c r="DD34" s="50" t="n"/>
      <c r="DE34" s="50" t="n"/>
      <c r="DF34" s="50" t="n"/>
      <c r="DG34" s="50" t="n"/>
      <c r="DH34" s="50" t="n"/>
      <c r="DI34" s="50" t="n"/>
      <c r="DJ34" s="50" t="n"/>
      <c r="DK34" s="50" t="n"/>
      <c r="DL34" s="50" t="n"/>
      <c r="DM34" s="50" t="n"/>
      <c r="DN34" s="50" t="n"/>
      <c r="DO34" s="50" t="n"/>
      <c r="DP34" s="50" t="n"/>
      <c r="DQ34" s="50" t="n"/>
      <c r="DR34" s="50" t="n"/>
      <c r="DS34" s="50" t="n"/>
      <c r="DT34" s="50" t="n"/>
      <c r="DU34" s="50" t="n"/>
      <c r="DV34" s="50" t="n"/>
    </row>
    <row r="35">
      <c r="A35" s="47">
        <f>IF(Mitarbeiter!B35="","",Mitarbeiter!A35)</f>
        <v/>
      </c>
      <c r="B35" s="48">
        <f>IF(Mitarbeiter!B35="","",Mitarbeiter!B35)</f>
        <v/>
      </c>
      <c r="C35" s="49">
        <f>IF(Mitarbeiter!B35="","",Mitarbeiter!F35)</f>
        <v/>
      </c>
      <c r="D35" s="25">
        <f>IF(Mitarbeiter!B35="","",Berechnung!AD35)</f>
        <v/>
      </c>
      <c r="E35" s="25">
        <f>IF(Mitarbeiter!B35="","",SUM(G35:DV35))</f>
        <v/>
      </c>
      <c r="G35" s="50" t="n">
        <v>7</v>
      </c>
      <c r="H35" s="50" t="n"/>
      <c r="I35" s="50" t="n">
        <v>12</v>
      </c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>
        <v>5</v>
      </c>
      <c r="X35" s="50" t="n">
        <v>12</v>
      </c>
      <c r="Y35" s="50" t="n">
        <v>1</v>
      </c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  <c r="AV35" s="50" t="n"/>
      <c r="AW35" s="50" t="n"/>
      <c r="AX35" s="50" t="n"/>
      <c r="AY35" s="50" t="n"/>
      <c r="AZ35" s="50" t="n"/>
      <c r="BA35" s="50" t="n"/>
      <c r="BB35" s="50" t="n"/>
      <c r="BC35" s="50" t="n"/>
      <c r="BD35" s="50" t="n"/>
      <c r="BE35" s="50" t="n"/>
      <c r="BF35" s="50" t="n"/>
      <c r="BG35" s="50" t="n"/>
      <c r="BH35" s="50" t="n"/>
      <c r="BI35" s="50" t="n"/>
      <c r="BJ35" s="50" t="n"/>
      <c r="BK35" s="50" t="n"/>
      <c r="BL35" s="50" t="n"/>
      <c r="BM35" s="50" t="n"/>
      <c r="BN35" s="50" t="n"/>
      <c r="BO35" s="50" t="n"/>
      <c r="BP35" s="50" t="n"/>
      <c r="BQ35" s="50" t="n"/>
      <c r="BR35" s="50" t="n"/>
      <c r="BS35" s="50" t="n"/>
      <c r="BT35" s="50" t="n"/>
      <c r="BU35" s="50" t="n"/>
      <c r="BV35" s="50" t="n"/>
      <c r="BW35" s="50" t="n"/>
      <c r="BX35" s="50" t="n"/>
      <c r="BY35" s="50" t="n"/>
      <c r="BZ35" s="50" t="n"/>
      <c r="CA35" s="50" t="n"/>
      <c r="CB35" s="50" t="n"/>
      <c r="CC35" s="50" t="n"/>
      <c r="CD35" s="50" t="n"/>
      <c r="CE35" s="50" t="n"/>
      <c r="CF35" s="50" t="n"/>
      <c r="CG35" s="50" t="n"/>
      <c r="CH35" s="50" t="n"/>
      <c r="CI35" s="50" t="n"/>
      <c r="CJ35" s="50" t="n"/>
      <c r="CK35" s="50" t="n"/>
      <c r="CL35" s="50" t="n"/>
      <c r="CM35" s="50" t="n"/>
      <c r="CN35" s="50" t="n"/>
      <c r="CO35" s="50" t="n"/>
      <c r="CP35" s="50" t="n"/>
      <c r="CQ35" s="50" t="n"/>
      <c r="CR35" s="50" t="n"/>
      <c r="CS35" s="50" t="n"/>
      <c r="CT35" s="50" t="n"/>
      <c r="CU35" s="50" t="n"/>
      <c r="CV35" s="50" t="n"/>
      <c r="CW35" s="50" t="n"/>
      <c r="CX35" s="50" t="n"/>
      <c r="CY35" s="50" t="n"/>
      <c r="CZ35" s="50" t="n"/>
      <c r="DA35" s="50" t="n"/>
      <c r="DB35" s="50" t="n"/>
      <c r="DC35" s="50" t="n"/>
      <c r="DD35" s="50" t="n"/>
      <c r="DE35" s="50" t="n"/>
      <c r="DF35" s="50" t="n"/>
      <c r="DG35" s="50" t="n"/>
      <c r="DH35" s="50" t="n"/>
      <c r="DI35" s="50" t="n"/>
      <c r="DJ35" s="50" t="n"/>
      <c r="DK35" s="50" t="n"/>
      <c r="DL35" s="50" t="n"/>
      <c r="DM35" s="50" t="n"/>
      <c r="DN35" s="50" t="n"/>
      <c r="DO35" s="50" t="n"/>
      <c r="DP35" s="50" t="n"/>
      <c r="DQ35" s="50" t="n"/>
      <c r="DR35" s="50" t="n"/>
      <c r="DS35" s="50" t="n"/>
      <c r="DT35" s="50" t="n"/>
      <c r="DU35" s="50" t="n"/>
      <c r="DV35" s="50" t="n"/>
    </row>
    <row r="36">
      <c r="A36" s="47">
        <f>IF(Mitarbeiter!B36="","",Mitarbeiter!A36)</f>
        <v/>
      </c>
      <c r="B36" s="48">
        <f>IF(Mitarbeiter!B36="","",Mitarbeiter!B36)</f>
        <v/>
      </c>
      <c r="C36" s="49">
        <f>IF(Mitarbeiter!B36="","",Mitarbeiter!F36)</f>
        <v/>
      </c>
      <c r="D36" s="25">
        <f>IF(Mitarbeiter!B36="","",Berechnung!AD36)</f>
        <v/>
      </c>
      <c r="E36" s="25">
        <f>IF(Mitarbeiter!B36="","",SUM(G36:DV36))</f>
        <v/>
      </c>
      <c r="G36" s="50" t="n"/>
      <c r="H36" s="50" t="n"/>
      <c r="I36" s="50" t="n">
        <v>5</v>
      </c>
      <c r="J36" s="50" t="n"/>
      <c r="K36" s="50" t="n"/>
      <c r="L36" s="50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  <c r="V36" s="50" t="n"/>
      <c r="W36" s="50" t="n">
        <v>7</v>
      </c>
      <c r="X36" s="50" t="n">
        <v>3</v>
      </c>
      <c r="Y36" s="50" t="n"/>
      <c r="Z36" s="50" t="n"/>
      <c r="AA36" s="50" t="n">
        <v>3</v>
      </c>
      <c r="AB36" s="50" t="n"/>
      <c r="AC36" s="50" t="n"/>
      <c r="AD36" s="50" t="n"/>
      <c r="AE36" s="50" t="n"/>
      <c r="AF36" s="50" t="n"/>
      <c r="AG36" s="50" t="n"/>
      <c r="AH36" s="50" t="n"/>
      <c r="AI36" s="50" t="n"/>
      <c r="AJ36" s="50" t="n"/>
      <c r="AK36" s="50" t="n"/>
      <c r="AL36" s="50" t="n"/>
      <c r="AM36" s="50" t="n"/>
      <c r="AN36" s="50" t="n"/>
      <c r="AO36" s="50" t="n"/>
      <c r="AP36" s="50" t="n"/>
      <c r="AQ36" s="50" t="n"/>
      <c r="AR36" s="50" t="n"/>
      <c r="AS36" s="50" t="n"/>
      <c r="AT36" s="50" t="n"/>
      <c r="AU36" s="50" t="n"/>
      <c r="AV36" s="50" t="n"/>
      <c r="AW36" s="50" t="n"/>
      <c r="AX36" s="50" t="n"/>
      <c r="AY36" s="50" t="n"/>
      <c r="AZ36" s="50" t="n"/>
      <c r="BA36" s="50" t="n"/>
      <c r="BB36" s="50" t="n"/>
      <c r="BC36" s="50" t="n"/>
      <c r="BD36" s="50" t="n"/>
      <c r="BE36" s="50" t="n"/>
      <c r="BF36" s="50" t="n"/>
      <c r="BG36" s="50" t="n"/>
      <c r="BH36" s="50" t="n"/>
      <c r="BI36" s="50" t="n"/>
      <c r="BJ36" s="50" t="n"/>
      <c r="BK36" s="50" t="n"/>
      <c r="BL36" s="50" t="n"/>
      <c r="BM36" s="50" t="n"/>
      <c r="BN36" s="50" t="n"/>
      <c r="BO36" s="50" t="n"/>
      <c r="BP36" s="50" t="n"/>
      <c r="BQ36" s="50" t="n"/>
      <c r="BR36" s="50" t="n"/>
      <c r="BS36" s="50" t="n"/>
      <c r="BT36" s="50" t="n"/>
      <c r="BU36" s="50" t="n"/>
      <c r="BV36" s="50" t="n"/>
      <c r="BW36" s="50" t="n"/>
      <c r="BX36" s="50" t="n"/>
      <c r="BY36" s="50" t="n"/>
      <c r="BZ36" s="50" t="n"/>
      <c r="CA36" s="50" t="n"/>
      <c r="CB36" s="50" t="n"/>
      <c r="CC36" s="50" t="n"/>
      <c r="CD36" s="50" t="n"/>
      <c r="CE36" s="50" t="n"/>
      <c r="CF36" s="50" t="n"/>
      <c r="CG36" s="50" t="n"/>
      <c r="CH36" s="50" t="n"/>
      <c r="CI36" s="50" t="n"/>
      <c r="CJ36" s="50" t="n"/>
      <c r="CK36" s="50" t="n"/>
      <c r="CL36" s="50" t="n"/>
      <c r="CM36" s="50" t="n"/>
      <c r="CN36" s="50" t="n"/>
      <c r="CO36" s="50" t="n"/>
      <c r="CP36" s="50" t="n"/>
      <c r="CQ36" s="50" t="n"/>
      <c r="CR36" s="50" t="n"/>
      <c r="CS36" s="50" t="n"/>
      <c r="CT36" s="50" t="n"/>
      <c r="CU36" s="50" t="n"/>
      <c r="CV36" s="50" t="n"/>
      <c r="CW36" s="50" t="n"/>
      <c r="CX36" s="50" t="n"/>
      <c r="CY36" s="50" t="n"/>
      <c r="CZ36" s="50" t="n"/>
      <c r="DA36" s="50" t="n"/>
      <c r="DB36" s="50" t="n"/>
      <c r="DC36" s="50" t="n"/>
      <c r="DD36" s="50" t="n"/>
      <c r="DE36" s="50" t="n"/>
      <c r="DF36" s="50" t="n"/>
      <c r="DG36" s="50" t="n"/>
      <c r="DH36" s="50" t="n"/>
      <c r="DI36" s="50" t="n"/>
      <c r="DJ36" s="50" t="n"/>
      <c r="DK36" s="50" t="n"/>
      <c r="DL36" s="50" t="n"/>
      <c r="DM36" s="50" t="n"/>
      <c r="DN36" s="50" t="n"/>
      <c r="DO36" s="50" t="n"/>
      <c r="DP36" s="50" t="n"/>
      <c r="DQ36" s="50" t="n"/>
      <c r="DR36" s="50" t="n"/>
      <c r="DS36" s="50" t="n"/>
      <c r="DT36" s="50" t="n"/>
      <c r="DU36" s="50" t="n"/>
      <c r="DV36" s="50" t="n"/>
    </row>
    <row r="37">
      <c r="A37" s="47">
        <f>IF(Mitarbeiter!B37="","",Mitarbeiter!A37)</f>
        <v/>
      </c>
      <c r="B37" s="48">
        <f>IF(Mitarbeiter!B37="","",Mitarbeiter!B37)</f>
        <v/>
      </c>
      <c r="C37" s="49">
        <f>IF(Mitarbeiter!B37="","",Mitarbeiter!F37)</f>
        <v/>
      </c>
      <c r="D37" s="25">
        <f>IF(Mitarbeiter!B37="","",Berechnung!AD37)</f>
        <v/>
      </c>
      <c r="E37" s="25">
        <f>IF(Mitarbeiter!B37="","",SUM(G37:DV37))</f>
        <v/>
      </c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  <c r="AV37" s="50" t="n"/>
      <c r="AW37" s="50" t="n"/>
      <c r="AX37" s="50" t="n"/>
      <c r="AY37" s="50" t="n"/>
      <c r="AZ37" s="50" t="n"/>
      <c r="BA37" s="50" t="n"/>
      <c r="BB37" s="50" t="n"/>
      <c r="BC37" s="50" t="n"/>
      <c r="BD37" s="50" t="n"/>
      <c r="BE37" s="50" t="n"/>
      <c r="BF37" s="50" t="n"/>
      <c r="BG37" s="50" t="n"/>
      <c r="BH37" s="50" t="n"/>
      <c r="BI37" s="50" t="n"/>
      <c r="BJ37" s="50" t="n"/>
      <c r="BK37" s="50" t="n"/>
      <c r="BL37" s="50" t="n"/>
      <c r="BM37" s="50" t="n"/>
      <c r="BN37" s="50" t="n"/>
      <c r="BO37" s="50" t="n"/>
      <c r="BP37" s="50" t="n"/>
      <c r="BQ37" s="50" t="n"/>
      <c r="BR37" s="50" t="n"/>
      <c r="BS37" s="50" t="n"/>
      <c r="BT37" s="50" t="n"/>
      <c r="BU37" s="50" t="n"/>
      <c r="BV37" s="50" t="n"/>
      <c r="BW37" s="50" t="n"/>
      <c r="BX37" s="50" t="n"/>
      <c r="BY37" s="50" t="n"/>
      <c r="BZ37" s="50" t="n"/>
      <c r="CA37" s="50" t="n"/>
      <c r="CB37" s="50" t="n"/>
      <c r="CC37" s="50" t="n"/>
      <c r="CD37" s="50" t="n"/>
      <c r="CE37" s="50" t="n"/>
      <c r="CF37" s="50" t="n"/>
      <c r="CG37" s="50" t="n"/>
      <c r="CH37" s="50" t="n"/>
      <c r="CI37" s="50" t="n"/>
      <c r="CJ37" s="50" t="n"/>
      <c r="CK37" s="50" t="n"/>
      <c r="CL37" s="50" t="n"/>
      <c r="CM37" s="50" t="n"/>
      <c r="CN37" s="50" t="n"/>
      <c r="CO37" s="50" t="n"/>
      <c r="CP37" s="50" t="n"/>
      <c r="CQ37" s="50" t="n"/>
      <c r="CR37" s="50" t="n"/>
      <c r="CS37" s="50" t="n"/>
      <c r="CT37" s="50" t="n"/>
      <c r="CU37" s="50" t="n"/>
      <c r="CV37" s="50" t="n"/>
      <c r="CW37" s="50" t="n"/>
      <c r="CX37" s="50" t="n"/>
      <c r="CY37" s="50" t="n"/>
      <c r="CZ37" s="50" t="n"/>
      <c r="DA37" s="50" t="n"/>
      <c r="DB37" s="50" t="n"/>
      <c r="DC37" s="50" t="n"/>
      <c r="DD37" s="50" t="n"/>
      <c r="DE37" s="50" t="n"/>
      <c r="DF37" s="50" t="n"/>
      <c r="DG37" s="50" t="n"/>
      <c r="DH37" s="50" t="n"/>
      <c r="DI37" s="50" t="n"/>
      <c r="DJ37" s="50" t="n"/>
      <c r="DK37" s="50" t="n"/>
      <c r="DL37" s="50" t="n"/>
      <c r="DM37" s="50" t="n"/>
      <c r="DN37" s="50" t="n"/>
      <c r="DO37" s="50" t="n"/>
      <c r="DP37" s="50" t="n"/>
      <c r="DQ37" s="50" t="n"/>
      <c r="DR37" s="50" t="n"/>
      <c r="DS37" s="50" t="n"/>
      <c r="DT37" s="50" t="n"/>
      <c r="DU37" s="50" t="n"/>
      <c r="DV37" s="50" t="n"/>
    </row>
    <row r="38">
      <c r="A38" s="47">
        <f>IF(Mitarbeiter!B38="","",Mitarbeiter!A38)</f>
        <v/>
      </c>
      <c r="B38" s="48">
        <f>IF(Mitarbeiter!B38="","",Mitarbeiter!B38)</f>
        <v/>
      </c>
      <c r="C38" s="49">
        <f>IF(Mitarbeiter!B38="","",Mitarbeiter!F38)</f>
        <v/>
      </c>
      <c r="D38" s="25">
        <f>IF(Mitarbeiter!B38="","",Berechnung!AD38)</f>
        <v/>
      </c>
      <c r="E38" s="25">
        <f>IF(Mitarbeiter!B38="","",SUM(G38:DV38))</f>
        <v/>
      </c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  <c r="V38" s="50" t="n"/>
      <c r="W38" s="50" t="n"/>
      <c r="X38" s="50" t="n"/>
      <c r="Y38" s="50" t="n"/>
      <c r="Z38" s="50" t="n"/>
      <c r="AA38" s="50" t="n"/>
      <c r="AB38" s="50" t="n"/>
      <c r="AC38" s="50" t="n"/>
      <c r="AD38" s="50" t="n"/>
      <c r="AE38" s="50" t="n"/>
      <c r="AF38" s="50" t="n"/>
      <c r="AG38" s="50" t="n"/>
      <c r="AH38" s="50" t="n"/>
      <c r="AI38" s="50" t="n"/>
      <c r="AJ38" s="50" t="n"/>
      <c r="AK38" s="50" t="n"/>
      <c r="AL38" s="50" t="n"/>
      <c r="AM38" s="50" t="n"/>
      <c r="AN38" s="50" t="n"/>
      <c r="AO38" s="50" t="n"/>
      <c r="AP38" s="50" t="n"/>
      <c r="AQ38" s="50" t="n"/>
      <c r="AR38" s="50" t="n"/>
      <c r="AS38" s="50" t="n"/>
      <c r="AT38" s="50" t="n"/>
      <c r="AU38" s="50" t="n"/>
      <c r="AV38" s="50" t="n"/>
      <c r="AW38" s="50" t="n"/>
      <c r="AX38" s="50" t="n"/>
      <c r="AY38" s="50" t="n"/>
      <c r="AZ38" s="50" t="n"/>
      <c r="BA38" s="50" t="n"/>
      <c r="BB38" s="50" t="n"/>
      <c r="BC38" s="50" t="n"/>
      <c r="BD38" s="50" t="n"/>
      <c r="BE38" s="50" t="n"/>
      <c r="BF38" s="50" t="n"/>
      <c r="BG38" s="50" t="n"/>
      <c r="BH38" s="50" t="n"/>
      <c r="BI38" s="50" t="n"/>
      <c r="BJ38" s="50" t="n"/>
      <c r="BK38" s="50" t="n"/>
      <c r="BL38" s="50" t="n"/>
      <c r="BM38" s="50" t="n"/>
      <c r="BN38" s="50" t="n"/>
      <c r="BO38" s="50" t="n"/>
      <c r="BP38" s="50" t="n"/>
      <c r="BQ38" s="50" t="n"/>
      <c r="BR38" s="50" t="n"/>
      <c r="BS38" s="50" t="n"/>
      <c r="BT38" s="50" t="n"/>
      <c r="BU38" s="50" t="n"/>
      <c r="BV38" s="50" t="n"/>
      <c r="BW38" s="50" t="n"/>
      <c r="BX38" s="50" t="n"/>
      <c r="BY38" s="50" t="n"/>
      <c r="BZ38" s="50" t="n"/>
      <c r="CA38" s="50" t="n"/>
      <c r="CB38" s="50" t="n"/>
      <c r="CC38" s="50" t="n"/>
      <c r="CD38" s="50" t="n"/>
      <c r="CE38" s="50" t="n"/>
      <c r="CF38" s="50" t="n"/>
      <c r="CG38" s="50" t="n"/>
      <c r="CH38" s="50" t="n"/>
      <c r="CI38" s="50" t="n"/>
      <c r="CJ38" s="50" t="n"/>
      <c r="CK38" s="50" t="n"/>
      <c r="CL38" s="50" t="n"/>
      <c r="CM38" s="50" t="n"/>
      <c r="CN38" s="50" t="n"/>
      <c r="CO38" s="50" t="n"/>
      <c r="CP38" s="50" t="n"/>
      <c r="CQ38" s="50" t="n"/>
      <c r="CR38" s="50" t="n"/>
      <c r="CS38" s="50" t="n"/>
      <c r="CT38" s="50" t="n"/>
      <c r="CU38" s="50" t="n"/>
      <c r="CV38" s="50" t="n"/>
      <c r="CW38" s="50" t="n"/>
      <c r="CX38" s="50" t="n"/>
      <c r="CY38" s="50" t="n"/>
      <c r="CZ38" s="50" t="n"/>
      <c r="DA38" s="50" t="n"/>
      <c r="DB38" s="50" t="n"/>
      <c r="DC38" s="50" t="n"/>
      <c r="DD38" s="50" t="n"/>
      <c r="DE38" s="50" t="n"/>
      <c r="DF38" s="50" t="n"/>
      <c r="DG38" s="50" t="n"/>
      <c r="DH38" s="50" t="n"/>
      <c r="DI38" s="50" t="n"/>
      <c r="DJ38" s="50" t="n"/>
      <c r="DK38" s="50" t="n"/>
      <c r="DL38" s="50" t="n"/>
      <c r="DM38" s="50" t="n"/>
      <c r="DN38" s="50" t="n"/>
      <c r="DO38" s="50" t="n"/>
      <c r="DP38" s="50" t="n"/>
      <c r="DQ38" s="50" t="n"/>
      <c r="DR38" s="50" t="n"/>
      <c r="DS38" s="50" t="n"/>
      <c r="DT38" s="50" t="n"/>
      <c r="DU38" s="50" t="n"/>
      <c r="DV38" s="50" t="n"/>
    </row>
    <row r="39">
      <c r="A39" s="47">
        <f>IF(Mitarbeiter!B39="","",Mitarbeiter!A39)</f>
        <v/>
      </c>
      <c r="B39" s="48">
        <f>IF(Mitarbeiter!B39="","",Mitarbeiter!B39)</f>
        <v/>
      </c>
      <c r="C39" s="49">
        <f>IF(Mitarbeiter!B39="","",Mitarbeiter!F39)</f>
        <v/>
      </c>
      <c r="D39" s="25">
        <f>IF(Mitarbeiter!B39="","",Berechnung!AD39)</f>
        <v/>
      </c>
      <c r="E39" s="25">
        <f>IF(Mitarbeiter!B39="","",SUM(G39:DV39))</f>
        <v/>
      </c>
      <c r="G39" s="50" t="n"/>
      <c r="H39" s="50" t="n"/>
      <c r="I39" s="50" t="n">
        <v>12</v>
      </c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>
        <v>5</v>
      </c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  <c r="AV39" s="50" t="n"/>
      <c r="AW39" s="50" t="n"/>
      <c r="AX39" s="50" t="n"/>
      <c r="AY39" s="50" t="n"/>
      <c r="AZ39" s="50" t="n"/>
      <c r="BA39" s="50" t="n"/>
      <c r="BB39" s="50" t="n"/>
      <c r="BC39" s="50" t="n"/>
      <c r="BD39" s="50" t="n"/>
      <c r="BE39" s="50" t="n"/>
      <c r="BF39" s="50" t="n"/>
      <c r="BG39" s="50" t="n"/>
      <c r="BH39" s="50" t="n"/>
      <c r="BI39" s="50" t="n"/>
      <c r="BJ39" s="50" t="n"/>
      <c r="BK39" s="50" t="n"/>
      <c r="BL39" s="50" t="n"/>
      <c r="BM39" s="50" t="n"/>
      <c r="BN39" s="50" t="n"/>
      <c r="BO39" s="50" t="n"/>
      <c r="BP39" s="50" t="n"/>
      <c r="BQ39" s="50" t="n"/>
      <c r="BR39" s="50" t="n"/>
      <c r="BS39" s="50" t="n"/>
      <c r="BT39" s="50" t="n"/>
      <c r="BU39" s="50" t="n"/>
      <c r="BV39" s="50" t="n"/>
      <c r="BW39" s="50" t="n"/>
      <c r="BX39" s="50" t="n"/>
      <c r="BY39" s="50" t="n"/>
      <c r="BZ39" s="50" t="n"/>
      <c r="CA39" s="50" t="n"/>
      <c r="CB39" s="50" t="n"/>
      <c r="CC39" s="50" t="n"/>
      <c r="CD39" s="50" t="n"/>
      <c r="CE39" s="50" t="n"/>
      <c r="CF39" s="50" t="n"/>
      <c r="CG39" s="50" t="n"/>
      <c r="CH39" s="50" t="n"/>
      <c r="CI39" s="50" t="n"/>
      <c r="CJ39" s="50" t="n"/>
      <c r="CK39" s="50" t="n"/>
      <c r="CL39" s="50" t="n"/>
      <c r="CM39" s="50" t="n"/>
      <c r="CN39" s="50" t="n"/>
      <c r="CO39" s="50" t="n"/>
      <c r="CP39" s="50" t="n"/>
      <c r="CQ39" s="50" t="n"/>
      <c r="CR39" s="50" t="n"/>
      <c r="CS39" s="50" t="n"/>
      <c r="CT39" s="50" t="n"/>
      <c r="CU39" s="50" t="n"/>
      <c r="CV39" s="50" t="n"/>
      <c r="CW39" s="50" t="n"/>
      <c r="CX39" s="50" t="n"/>
      <c r="CY39" s="50" t="n"/>
      <c r="CZ39" s="50" t="n"/>
      <c r="DA39" s="50" t="n"/>
      <c r="DB39" s="50" t="n"/>
      <c r="DC39" s="50" t="n"/>
      <c r="DD39" s="50" t="n"/>
      <c r="DE39" s="50" t="n"/>
      <c r="DF39" s="50" t="n"/>
      <c r="DG39" s="50" t="n"/>
      <c r="DH39" s="50" t="n"/>
      <c r="DI39" s="50" t="n"/>
      <c r="DJ39" s="50" t="n"/>
      <c r="DK39" s="50" t="n"/>
      <c r="DL39" s="50" t="n"/>
      <c r="DM39" s="50" t="n"/>
      <c r="DN39" s="50" t="n"/>
      <c r="DO39" s="50" t="n"/>
      <c r="DP39" s="50" t="n"/>
      <c r="DQ39" s="50" t="n"/>
      <c r="DR39" s="50" t="n"/>
      <c r="DS39" s="50" t="n"/>
      <c r="DT39" s="50" t="n"/>
      <c r="DU39" s="50" t="n"/>
      <c r="DV39" s="50" t="n"/>
    </row>
    <row r="40">
      <c r="A40" s="47">
        <f>IF(Mitarbeiter!B40="","",Mitarbeiter!A40)</f>
        <v/>
      </c>
      <c r="B40" s="48">
        <f>IF(Mitarbeiter!B40="","",Mitarbeiter!B40)</f>
        <v/>
      </c>
      <c r="C40" s="49">
        <f>IF(Mitarbeiter!B40="","",Mitarbeiter!F40)</f>
        <v/>
      </c>
      <c r="D40" s="25">
        <f>IF(Mitarbeiter!B40="","",Berechnung!AD40)</f>
        <v/>
      </c>
      <c r="E40" s="25">
        <f>IF(Mitarbeiter!B40="","",SUM(G40:DV40))</f>
        <v/>
      </c>
      <c r="G40" s="50" t="n"/>
      <c r="H40" s="50" t="n"/>
      <c r="I40" s="50" t="n"/>
      <c r="J40" s="50" t="n"/>
      <c r="K40" s="50" t="n"/>
      <c r="L40" s="50" t="n"/>
      <c r="M40" s="50" t="n"/>
      <c r="N40" s="50" t="n">
        <v>1</v>
      </c>
      <c r="O40" s="50" t="n"/>
      <c r="P40" s="50" t="n"/>
      <c r="Q40" s="50" t="n"/>
      <c r="R40" s="50" t="n"/>
      <c r="S40" s="50" t="n"/>
      <c r="T40" s="50" t="n"/>
      <c r="U40" s="50" t="n">
        <v>3</v>
      </c>
      <c r="V40" s="50" t="n"/>
      <c r="W40" s="50" t="n"/>
      <c r="X40" s="50" t="n"/>
      <c r="Y40" s="50" t="n"/>
      <c r="Z40" s="50" t="n"/>
      <c r="AA40" s="50" t="n"/>
      <c r="AB40" s="50" t="n"/>
      <c r="AC40" s="50" t="n"/>
      <c r="AD40" s="50" t="n"/>
      <c r="AE40" s="50" t="n"/>
      <c r="AF40" s="50" t="n"/>
      <c r="AG40" s="50" t="n"/>
      <c r="AH40" s="50" t="n"/>
      <c r="AI40" s="50" t="n"/>
      <c r="AJ40" s="50" t="n"/>
      <c r="AK40" s="50" t="n"/>
      <c r="AL40" s="50" t="n"/>
      <c r="AM40" s="50" t="n"/>
      <c r="AN40" s="50" t="n"/>
      <c r="AO40" s="50" t="n"/>
      <c r="AP40" s="50" t="n"/>
      <c r="AQ40" s="50" t="n"/>
      <c r="AR40" s="50" t="n"/>
      <c r="AS40" s="50" t="n"/>
      <c r="AT40" s="50" t="n"/>
      <c r="AU40" s="50" t="n"/>
      <c r="AV40" s="50" t="n"/>
      <c r="AW40" s="50" t="n"/>
      <c r="AX40" s="50" t="n"/>
      <c r="AY40" s="50" t="n"/>
      <c r="AZ40" s="50" t="n"/>
      <c r="BA40" s="50" t="n"/>
      <c r="BB40" s="50" t="n"/>
      <c r="BC40" s="50" t="n"/>
      <c r="BD40" s="50" t="n"/>
      <c r="BE40" s="50" t="n"/>
      <c r="BF40" s="50" t="n"/>
      <c r="BG40" s="50" t="n"/>
      <c r="BH40" s="50" t="n"/>
      <c r="BI40" s="50" t="n"/>
      <c r="BJ40" s="50" t="n"/>
      <c r="BK40" s="50" t="n"/>
      <c r="BL40" s="50" t="n"/>
      <c r="BM40" s="50" t="n"/>
      <c r="BN40" s="50" t="n"/>
      <c r="BO40" s="50" t="n"/>
      <c r="BP40" s="50" t="n"/>
      <c r="BQ40" s="50" t="n"/>
      <c r="BR40" s="50" t="n"/>
      <c r="BS40" s="50" t="n"/>
      <c r="BT40" s="50" t="n"/>
      <c r="BU40" s="50" t="n"/>
      <c r="BV40" s="50" t="n"/>
      <c r="BW40" s="50" t="n"/>
      <c r="BX40" s="50" t="n"/>
      <c r="BY40" s="50" t="n"/>
      <c r="BZ40" s="50" t="n"/>
      <c r="CA40" s="50" t="n"/>
      <c r="CB40" s="50" t="n"/>
      <c r="CC40" s="50" t="n"/>
      <c r="CD40" s="50" t="n"/>
      <c r="CE40" s="50" t="n"/>
      <c r="CF40" s="50" t="n"/>
      <c r="CG40" s="50" t="n"/>
      <c r="CH40" s="50" t="n"/>
      <c r="CI40" s="50" t="n"/>
      <c r="CJ40" s="50" t="n"/>
      <c r="CK40" s="50" t="n"/>
      <c r="CL40" s="50" t="n"/>
      <c r="CM40" s="50" t="n"/>
      <c r="CN40" s="50" t="n"/>
      <c r="CO40" s="50" t="n"/>
      <c r="CP40" s="50" t="n"/>
      <c r="CQ40" s="50" t="n"/>
      <c r="CR40" s="50" t="n"/>
      <c r="CS40" s="50" t="n"/>
      <c r="CT40" s="50" t="n"/>
      <c r="CU40" s="50" t="n"/>
      <c r="CV40" s="50" t="n"/>
      <c r="CW40" s="50" t="n"/>
      <c r="CX40" s="50" t="n"/>
      <c r="CY40" s="50" t="n"/>
      <c r="CZ40" s="50" t="n"/>
      <c r="DA40" s="50" t="n"/>
      <c r="DB40" s="50" t="n"/>
      <c r="DC40" s="50" t="n"/>
      <c r="DD40" s="50" t="n"/>
      <c r="DE40" s="50" t="n"/>
      <c r="DF40" s="50" t="n"/>
      <c r="DG40" s="50" t="n"/>
      <c r="DH40" s="50" t="n"/>
      <c r="DI40" s="50" t="n"/>
      <c r="DJ40" s="50" t="n"/>
      <c r="DK40" s="50" t="n"/>
      <c r="DL40" s="50" t="n"/>
      <c r="DM40" s="50" t="n"/>
      <c r="DN40" s="50" t="n"/>
      <c r="DO40" s="50" t="n"/>
      <c r="DP40" s="50" t="n"/>
      <c r="DQ40" s="50" t="n"/>
      <c r="DR40" s="50" t="n"/>
      <c r="DS40" s="50" t="n"/>
      <c r="DT40" s="50" t="n"/>
      <c r="DU40" s="50" t="n"/>
      <c r="DV40" s="50" t="n"/>
    </row>
    <row r="41">
      <c r="A41" s="47">
        <f>IF(Mitarbeiter!B41="","",Mitarbeiter!A41)</f>
        <v/>
      </c>
      <c r="B41" s="48">
        <f>IF(Mitarbeiter!B41="","",Mitarbeiter!B41)</f>
        <v/>
      </c>
      <c r="C41" s="49">
        <f>IF(Mitarbeiter!B41="","",Mitarbeiter!F41)</f>
        <v/>
      </c>
      <c r="D41" s="25">
        <f>IF(Mitarbeiter!B41="","",Berechnung!AD41)</f>
        <v/>
      </c>
      <c r="E41" s="25">
        <f>IF(Mitarbeiter!B41="","",SUM(G41:DV41))</f>
        <v/>
      </c>
      <c r="G41" s="50" t="n"/>
      <c r="H41" s="50" t="n"/>
      <c r="I41" s="50" t="n"/>
      <c r="J41" s="50" t="n">
        <v>3</v>
      </c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>
        <v>2</v>
      </c>
      <c r="U41" s="50" t="n">
        <v>2</v>
      </c>
      <c r="V41" s="50" t="n"/>
      <c r="W41" s="50" t="n"/>
      <c r="X41" s="50" t="n"/>
      <c r="Y41" s="50" t="n"/>
      <c r="Z41" s="50" t="n"/>
      <c r="AA41" s="50" t="n">
        <v>1</v>
      </c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  <c r="AV41" s="50" t="n"/>
      <c r="AW41" s="50" t="n"/>
      <c r="AX41" s="50" t="n"/>
      <c r="AY41" s="50" t="n"/>
      <c r="AZ41" s="50" t="n"/>
      <c r="BA41" s="50" t="n"/>
      <c r="BB41" s="50" t="n"/>
      <c r="BC41" s="50" t="n"/>
      <c r="BD41" s="50" t="n"/>
      <c r="BE41" s="50" t="n"/>
      <c r="BF41" s="50" t="n"/>
      <c r="BG41" s="50" t="n"/>
      <c r="BH41" s="50" t="n"/>
      <c r="BI41" s="50" t="n"/>
      <c r="BJ41" s="50" t="n"/>
      <c r="BK41" s="50" t="n"/>
      <c r="BL41" s="50" t="n"/>
      <c r="BM41" s="50" t="n"/>
      <c r="BN41" s="50" t="n"/>
      <c r="BO41" s="50" t="n"/>
      <c r="BP41" s="50" t="n"/>
      <c r="BQ41" s="50" t="n"/>
      <c r="BR41" s="50" t="n"/>
      <c r="BS41" s="50" t="n"/>
      <c r="BT41" s="50" t="n"/>
      <c r="BU41" s="50" t="n"/>
      <c r="BV41" s="50" t="n"/>
      <c r="BW41" s="50" t="n"/>
      <c r="BX41" s="50" t="n"/>
      <c r="BY41" s="50" t="n"/>
      <c r="BZ41" s="50" t="n"/>
      <c r="CA41" s="50" t="n"/>
      <c r="CB41" s="50" t="n"/>
      <c r="CC41" s="50" t="n"/>
      <c r="CD41" s="50" t="n"/>
      <c r="CE41" s="50" t="n"/>
      <c r="CF41" s="50" t="n"/>
      <c r="CG41" s="50" t="n"/>
      <c r="CH41" s="50" t="n"/>
      <c r="CI41" s="50" t="n"/>
      <c r="CJ41" s="50" t="n"/>
      <c r="CK41" s="50" t="n"/>
      <c r="CL41" s="50" t="n"/>
      <c r="CM41" s="50" t="n"/>
      <c r="CN41" s="50" t="n"/>
      <c r="CO41" s="50" t="n"/>
      <c r="CP41" s="50" t="n"/>
      <c r="CQ41" s="50" t="n"/>
      <c r="CR41" s="50" t="n"/>
      <c r="CS41" s="50" t="n"/>
      <c r="CT41" s="50" t="n"/>
      <c r="CU41" s="50" t="n"/>
      <c r="CV41" s="50" t="n"/>
      <c r="CW41" s="50" t="n"/>
      <c r="CX41" s="50" t="n"/>
      <c r="CY41" s="50" t="n"/>
      <c r="CZ41" s="50" t="n"/>
      <c r="DA41" s="50" t="n"/>
      <c r="DB41" s="50" t="n"/>
      <c r="DC41" s="50" t="n"/>
      <c r="DD41" s="50" t="n"/>
      <c r="DE41" s="50" t="n"/>
      <c r="DF41" s="50" t="n"/>
      <c r="DG41" s="50" t="n"/>
      <c r="DH41" s="50" t="n"/>
      <c r="DI41" s="50" t="n"/>
      <c r="DJ41" s="50" t="n"/>
      <c r="DK41" s="50" t="n"/>
      <c r="DL41" s="50" t="n"/>
      <c r="DM41" s="50" t="n"/>
      <c r="DN41" s="50" t="n"/>
      <c r="DO41" s="50" t="n"/>
      <c r="DP41" s="50" t="n"/>
      <c r="DQ41" s="50" t="n"/>
      <c r="DR41" s="50" t="n"/>
      <c r="DS41" s="50" t="n"/>
      <c r="DT41" s="50" t="n"/>
      <c r="DU41" s="50" t="n"/>
      <c r="DV41" s="50" t="n"/>
    </row>
    <row r="42">
      <c r="A42" s="47">
        <f>IF(Mitarbeiter!B42="","",Mitarbeiter!A42)</f>
        <v/>
      </c>
      <c r="B42" s="48">
        <f>IF(Mitarbeiter!B42="","",Mitarbeiter!B42)</f>
        <v/>
      </c>
      <c r="C42" s="49">
        <f>IF(Mitarbeiter!B42="","",Mitarbeiter!F42)</f>
        <v/>
      </c>
      <c r="D42" s="25">
        <f>IF(Mitarbeiter!B42="","",Berechnung!AD42)</f>
        <v/>
      </c>
      <c r="E42" s="25">
        <f>IF(Mitarbeiter!B42="","",SUM(G42:DV42))</f>
        <v/>
      </c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50" t="n"/>
      <c r="R42" s="50" t="n"/>
      <c r="S42" s="50" t="n">
        <v>1</v>
      </c>
      <c r="T42" s="50" t="n"/>
      <c r="U42" s="50" t="n"/>
      <c r="V42" s="50" t="n"/>
      <c r="W42" s="50" t="n"/>
      <c r="X42" s="50" t="n"/>
      <c r="Y42" s="50" t="n"/>
      <c r="Z42" s="50" t="n"/>
      <c r="AA42" s="50" t="n"/>
      <c r="AB42" s="50" t="n"/>
      <c r="AC42" s="50" t="n"/>
      <c r="AD42" s="50" t="n"/>
      <c r="AE42" s="50" t="n"/>
      <c r="AF42" s="50" t="n"/>
      <c r="AG42" s="50" t="n"/>
      <c r="AH42" s="50" t="n"/>
      <c r="AI42" s="50" t="n"/>
      <c r="AJ42" s="50" t="n"/>
      <c r="AK42" s="50" t="n"/>
      <c r="AL42" s="50" t="n"/>
      <c r="AM42" s="50" t="n"/>
      <c r="AN42" s="50" t="n"/>
      <c r="AO42" s="50" t="n"/>
      <c r="AP42" s="50" t="n"/>
      <c r="AQ42" s="50" t="n"/>
      <c r="AR42" s="50" t="n"/>
      <c r="AS42" s="50" t="n"/>
      <c r="AT42" s="50" t="n"/>
      <c r="AU42" s="50" t="n"/>
      <c r="AV42" s="50" t="n"/>
      <c r="AW42" s="50" t="n"/>
      <c r="AX42" s="50" t="n"/>
      <c r="AY42" s="50" t="n"/>
      <c r="AZ42" s="50" t="n"/>
      <c r="BA42" s="50" t="n"/>
      <c r="BB42" s="50" t="n"/>
      <c r="BC42" s="50" t="n"/>
      <c r="BD42" s="50" t="n"/>
      <c r="BE42" s="50" t="n"/>
      <c r="BF42" s="50" t="n"/>
      <c r="BG42" s="50" t="n"/>
      <c r="BH42" s="50" t="n"/>
      <c r="BI42" s="50" t="n"/>
      <c r="BJ42" s="50" t="n"/>
      <c r="BK42" s="50" t="n"/>
      <c r="BL42" s="50" t="n"/>
      <c r="BM42" s="50" t="n"/>
      <c r="BN42" s="50" t="n"/>
      <c r="BO42" s="50" t="n"/>
      <c r="BP42" s="50" t="n"/>
      <c r="BQ42" s="50" t="n"/>
      <c r="BR42" s="50" t="n"/>
      <c r="BS42" s="50" t="n"/>
      <c r="BT42" s="50" t="n"/>
      <c r="BU42" s="50" t="n"/>
      <c r="BV42" s="50" t="n"/>
      <c r="BW42" s="50" t="n"/>
      <c r="BX42" s="50" t="n"/>
      <c r="BY42" s="50" t="n"/>
      <c r="BZ42" s="50" t="n"/>
      <c r="CA42" s="50" t="n"/>
      <c r="CB42" s="50" t="n"/>
      <c r="CC42" s="50" t="n"/>
      <c r="CD42" s="50" t="n"/>
      <c r="CE42" s="50" t="n"/>
      <c r="CF42" s="50" t="n"/>
      <c r="CG42" s="50" t="n"/>
      <c r="CH42" s="50" t="n"/>
      <c r="CI42" s="50" t="n"/>
      <c r="CJ42" s="50" t="n"/>
      <c r="CK42" s="50" t="n"/>
      <c r="CL42" s="50" t="n"/>
      <c r="CM42" s="50" t="n"/>
      <c r="CN42" s="50" t="n"/>
      <c r="CO42" s="50" t="n"/>
      <c r="CP42" s="50" t="n"/>
      <c r="CQ42" s="50" t="n"/>
      <c r="CR42" s="50" t="n"/>
      <c r="CS42" s="50" t="n"/>
      <c r="CT42" s="50" t="n"/>
      <c r="CU42" s="50" t="n"/>
      <c r="CV42" s="50" t="n"/>
      <c r="CW42" s="50" t="n"/>
      <c r="CX42" s="50" t="n"/>
      <c r="CY42" s="50" t="n"/>
      <c r="CZ42" s="50" t="n"/>
      <c r="DA42" s="50" t="n"/>
      <c r="DB42" s="50" t="n"/>
      <c r="DC42" s="50" t="n"/>
      <c r="DD42" s="50" t="n"/>
      <c r="DE42" s="50" t="n"/>
      <c r="DF42" s="50" t="n"/>
      <c r="DG42" s="50" t="n"/>
      <c r="DH42" s="50" t="n"/>
      <c r="DI42" s="50" t="n"/>
      <c r="DJ42" s="50" t="n"/>
      <c r="DK42" s="50" t="n"/>
      <c r="DL42" s="50" t="n"/>
      <c r="DM42" s="50" t="n"/>
      <c r="DN42" s="50" t="n"/>
      <c r="DO42" s="50" t="n"/>
      <c r="DP42" s="50" t="n"/>
      <c r="DQ42" s="50" t="n"/>
      <c r="DR42" s="50" t="n"/>
      <c r="DS42" s="50" t="n"/>
      <c r="DT42" s="50" t="n"/>
      <c r="DU42" s="50" t="n"/>
      <c r="DV42" s="50" t="n"/>
    </row>
    <row r="43">
      <c r="A43" s="47">
        <f>IF(Mitarbeiter!B43="","",Mitarbeiter!A43)</f>
        <v/>
      </c>
      <c r="B43" s="48">
        <f>IF(Mitarbeiter!B43="","",Mitarbeiter!B43)</f>
        <v/>
      </c>
      <c r="C43" s="49">
        <f>IF(Mitarbeiter!B43="","",Mitarbeiter!F43)</f>
        <v/>
      </c>
      <c r="D43" s="25">
        <f>IF(Mitarbeiter!B43="","",Berechnung!AD43)</f>
        <v/>
      </c>
      <c r="E43" s="25">
        <f>IF(Mitarbeiter!B43="","",SUM(G43:DV43))</f>
        <v/>
      </c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  <c r="AV43" s="50" t="n"/>
      <c r="AW43" s="50" t="n"/>
      <c r="AX43" s="50" t="n"/>
      <c r="AY43" s="50" t="n"/>
      <c r="AZ43" s="50" t="n"/>
      <c r="BA43" s="50" t="n"/>
      <c r="BB43" s="50" t="n"/>
      <c r="BC43" s="50" t="n"/>
      <c r="BD43" s="50" t="n"/>
      <c r="BE43" s="50" t="n"/>
      <c r="BF43" s="50" t="n"/>
      <c r="BG43" s="50" t="n"/>
      <c r="BH43" s="50" t="n"/>
      <c r="BI43" s="50" t="n"/>
      <c r="BJ43" s="50" t="n"/>
      <c r="BK43" s="50" t="n"/>
      <c r="BL43" s="50" t="n"/>
      <c r="BM43" s="50" t="n"/>
      <c r="BN43" s="50" t="n"/>
      <c r="BO43" s="50" t="n"/>
      <c r="BP43" s="50" t="n"/>
      <c r="BQ43" s="50" t="n"/>
      <c r="BR43" s="50" t="n"/>
      <c r="BS43" s="50" t="n"/>
      <c r="BT43" s="50" t="n"/>
      <c r="BU43" s="50" t="n"/>
      <c r="BV43" s="50" t="n"/>
      <c r="BW43" s="50" t="n"/>
      <c r="BX43" s="50" t="n"/>
      <c r="BY43" s="50" t="n"/>
      <c r="BZ43" s="50" t="n"/>
      <c r="CA43" s="50" t="n"/>
      <c r="CB43" s="50" t="n"/>
      <c r="CC43" s="50" t="n"/>
      <c r="CD43" s="50" t="n"/>
      <c r="CE43" s="50" t="n"/>
      <c r="CF43" s="50" t="n"/>
      <c r="CG43" s="50" t="n"/>
      <c r="CH43" s="50" t="n"/>
      <c r="CI43" s="50" t="n"/>
      <c r="CJ43" s="50" t="n"/>
      <c r="CK43" s="50" t="n"/>
      <c r="CL43" s="50" t="n"/>
      <c r="CM43" s="50" t="n"/>
      <c r="CN43" s="50" t="n"/>
      <c r="CO43" s="50" t="n"/>
      <c r="CP43" s="50" t="n"/>
      <c r="CQ43" s="50" t="n"/>
      <c r="CR43" s="50" t="n"/>
      <c r="CS43" s="50" t="n"/>
      <c r="CT43" s="50" t="n"/>
      <c r="CU43" s="50" t="n"/>
      <c r="CV43" s="50" t="n"/>
      <c r="CW43" s="50" t="n"/>
      <c r="CX43" s="50" t="n"/>
      <c r="CY43" s="50" t="n"/>
      <c r="CZ43" s="50" t="n"/>
      <c r="DA43" s="50" t="n"/>
      <c r="DB43" s="50" t="n"/>
      <c r="DC43" s="50" t="n"/>
      <c r="DD43" s="50" t="n"/>
      <c r="DE43" s="50" t="n"/>
      <c r="DF43" s="50" t="n"/>
      <c r="DG43" s="50" t="n"/>
      <c r="DH43" s="50" t="n"/>
      <c r="DI43" s="50" t="n"/>
      <c r="DJ43" s="50" t="n"/>
      <c r="DK43" s="50" t="n"/>
      <c r="DL43" s="50" t="n"/>
      <c r="DM43" s="50" t="n"/>
      <c r="DN43" s="50" t="n"/>
      <c r="DO43" s="50" t="n"/>
      <c r="DP43" s="50" t="n"/>
      <c r="DQ43" s="50" t="n"/>
      <c r="DR43" s="50" t="n"/>
      <c r="DS43" s="50" t="n"/>
      <c r="DT43" s="50" t="n"/>
      <c r="DU43" s="50" t="n"/>
      <c r="DV43" s="50" t="n"/>
    </row>
    <row r="44">
      <c r="A44" s="47">
        <f>IF(Mitarbeiter!B44="","",Mitarbeiter!A44)</f>
        <v/>
      </c>
      <c r="B44" s="48">
        <f>IF(Mitarbeiter!B44="","",Mitarbeiter!B44)</f>
        <v/>
      </c>
      <c r="C44" s="49">
        <f>IF(Mitarbeiter!B44="","",Mitarbeiter!F44)</f>
        <v/>
      </c>
      <c r="D44" s="25">
        <f>IF(Mitarbeiter!B44="","",Berechnung!AD44)</f>
        <v/>
      </c>
      <c r="E44" s="25">
        <f>IF(Mitarbeiter!B44="","",SUM(G44:DV44))</f>
        <v/>
      </c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  <c r="V44" s="50" t="n"/>
      <c r="W44" s="50" t="n"/>
      <c r="X44" s="50" t="n"/>
      <c r="Y44" s="50" t="n"/>
      <c r="Z44" s="50" t="n"/>
      <c r="AA44" s="50" t="n"/>
      <c r="AB44" s="50" t="n"/>
      <c r="AC44" s="50" t="n"/>
      <c r="AD44" s="50" t="n"/>
      <c r="AE44" s="50" t="n"/>
      <c r="AF44" s="50" t="n"/>
      <c r="AG44" s="50" t="n"/>
      <c r="AH44" s="50" t="n"/>
      <c r="AI44" s="50" t="n"/>
      <c r="AJ44" s="50" t="n"/>
      <c r="AK44" s="50" t="n"/>
      <c r="AL44" s="50" t="n"/>
      <c r="AM44" s="50" t="n"/>
      <c r="AN44" s="50" t="n"/>
      <c r="AO44" s="50" t="n"/>
      <c r="AP44" s="50" t="n"/>
      <c r="AQ44" s="50" t="n"/>
      <c r="AR44" s="50" t="n"/>
      <c r="AS44" s="50" t="n"/>
      <c r="AT44" s="50" t="n"/>
      <c r="AU44" s="50" t="n"/>
      <c r="AV44" s="50" t="n"/>
      <c r="AW44" s="50" t="n"/>
      <c r="AX44" s="50" t="n"/>
      <c r="AY44" s="50" t="n"/>
      <c r="AZ44" s="50" t="n"/>
      <c r="BA44" s="50" t="n"/>
      <c r="BB44" s="50" t="n"/>
      <c r="BC44" s="50" t="n"/>
      <c r="BD44" s="50" t="n"/>
      <c r="BE44" s="50" t="n"/>
      <c r="BF44" s="50" t="n"/>
      <c r="BG44" s="50" t="n"/>
      <c r="BH44" s="50" t="n"/>
      <c r="BI44" s="50" t="n"/>
      <c r="BJ44" s="50" t="n"/>
      <c r="BK44" s="50" t="n"/>
      <c r="BL44" s="50" t="n"/>
      <c r="BM44" s="50" t="n"/>
      <c r="BN44" s="50" t="n"/>
      <c r="BO44" s="50" t="n"/>
      <c r="BP44" s="50" t="n"/>
      <c r="BQ44" s="50" t="n"/>
      <c r="BR44" s="50" t="n"/>
      <c r="BS44" s="50" t="n"/>
      <c r="BT44" s="50" t="n"/>
      <c r="BU44" s="50" t="n"/>
      <c r="BV44" s="50" t="n"/>
      <c r="BW44" s="50" t="n"/>
      <c r="BX44" s="50" t="n"/>
      <c r="BY44" s="50" t="n"/>
      <c r="BZ44" s="50" t="n"/>
      <c r="CA44" s="50" t="n"/>
      <c r="CB44" s="50" t="n"/>
      <c r="CC44" s="50" t="n"/>
      <c r="CD44" s="50" t="n"/>
      <c r="CE44" s="50" t="n"/>
      <c r="CF44" s="50" t="n"/>
      <c r="CG44" s="50" t="n"/>
      <c r="CH44" s="50" t="n"/>
      <c r="CI44" s="50" t="n"/>
      <c r="CJ44" s="50" t="n"/>
      <c r="CK44" s="50" t="n"/>
      <c r="CL44" s="50" t="n"/>
      <c r="CM44" s="50" t="n"/>
      <c r="CN44" s="50" t="n"/>
      <c r="CO44" s="50" t="n"/>
      <c r="CP44" s="50" t="n"/>
      <c r="CQ44" s="50" t="n"/>
      <c r="CR44" s="50" t="n"/>
      <c r="CS44" s="50" t="n"/>
      <c r="CT44" s="50" t="n"/>
      <c r="CU44" s="50" t="n"/>
      <c r="CV44" s="50" t="n"/>
      <c r="CW44" s="50" t="n"/>
      <c r="CX44" s="50" t="n"/>
      <c r="CY44" s="50" t="n"/>
      <c r="CZ44" s="50" t="n"/>
      <c r="DA44" s="50" t="n"/>
      <c r="DB44" s="50" t="n"/>
      <c r="DC44" s="50" t="n"/>
      <c r="DD44" s="50" t="n"/>
      <c r="DE44" s="50" t="n"/>
      <c r="DF44" s="50" t="n"/>
      <c r="DG44" s="50" t="n"/>
      <c r="DH44" s="50" t="n"/>
      <c r="DI44" s="50" t="n"/>
      <c r="DJ44" s="50" t="n"/>
      <c r="DK44" s="50" t="n"/>
      <c r="DL44" s="50" t="n"/>
      <c r="DM44" s="50" t="n"/>
      <c r="DN44" s="50" t="n"/>
      <c r="DO44" s="50" t="n"/>
      <c r="DP44" s="50" t="n"/>
      <c r="DQ44" s="50" t="n"/>
      <c r="DR44" s="50" t="n"/>
      <c r="DS44" s="50" t="n"/>
      <c r="DT44" s="50" t="n"/>
      <c r="DU44" s="50" t="n"/>
      <c r="DV44" s="50" t="n"/>
    </row>
    <row r="45">
      <c r="A45" s="47">
        <f>IF(Mitarbeiter!B45="","",Mitarbeiter!A45)</f>
        <v/>
      </c>
      <c r="B45" s="48">
        <f>IF(Mitarbeiter!B45="","",Mitarbeiter!B45)</f>
        <v/>
      </c>
      <c r="C45" s="49">
        <f>IF(Mitarbeiter!B45="","",Mitarbeiter!F45)</f>
        <v/>
      </c>
      <c r="D45" s="25">
        <f>IF(Mitarbeiter!B45="","",Berechnung!AD45)</f>
        <v/>
      </c>
      <c r="E45" s="25">
        <f>IF(Mitarbeiter!B45="","",SUM(G45:DV45))</f>
        <v/>
      </c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>
        <v>3</v>
      </c>
      <c r="P45" s="50" t="n"/>
      <c r="Q45" s="50" t="n"/>
      <c r="R45" s="50" t="n"/>
      <c r="S45" s="50" t="n">
        <v>12</v>
      </c>
      <c r="T45" s="50" t="n"/>
      <c r="U45" s="50" t="n">
        <v>5</v>
      </c>
      <c r="V45" s="50" t="n"/>
      <c r="W45" s="50" t="n"/>
      <c r="X45" s="50" t="n"/>
      <c r="Y45" s="50" t="n">
        <v>1</v>
      </c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  <c r="AV45" s="50" t="n"/>
      <c r="AW45" s="50" t="n"/>
      <c r="AX45" s="50" t="n"/>
      <c r="AY45" s="50" t="n"/>
      <c r="AZ45" s="50" t="n"/>
      <c r="BA45" s="50" t="n"/>
      <c r="BB45" s="50" t="n"/>
      <c r="BC45" s="50" t="n"/>
      <c r="BD45" s="50" t="n"/>
      <c r="BE45" s="50" t="n"/>
      <c r="BF45" s="50" t="n"/>
      <c r="BG45" s="50" t="n"/>
      <c r="BH45" s="50" t="n"/>
      <c r="BI45" s="50" t="n"/>
      <c r="BJ45" s="50" t="n"/>
      <c r="BK45" s="50" t="n"/>
      <c r="BL45" s="50" t="n"/>
      <c r="BM45" s="50" t="n"/>
      <c r="BN45" s="50" t="n"/>
      <c r="BO45" s="50" t="n"/>
      <c r="BP45" s="50" t="n"/>
      <c r="BQ45" s="50" t="n"/>
      <c r="BR45" s="50" t="n"/>
      <c r="BS45" s="50" t="n"/>
      <c r="BT45" s="50" t="n"/>
      <c r="BU45" s="50" t="n"/>
      <c r="BV45" s="50" t="n"/>
      <c r="BW45" s="50" t="n"/>
      <c r="BX45" s="50" t="n"/>
      <c r="BY45" s="50" t="n"/>
      <c r="BZ45" s="50" t="n"/>
      <c r="CA45" s="50" t="n"/>
      <c r="CB45" s="50" t="n"/>
      <c r="CC45" s="50" t="n"/>
      <c r="CD45" s="50" t="n"/>
      <c r="CE45" s="50" t="n"/>
      <c r="CF45" s="50" t="n"/>
      <c r="CG45" s="50" t="n"/>
      <c r="CH45" s="50" t="n"/>
      <c r="CI45" s="50" t="n"/>
      <c r="CJ45" s="50" t="n"/>
      <c r="CK45" s="50" t="n"/>
      <c r="CL45" s="50" t="n"/>
      <c r="CM45" s="50" t="n"/>
      <c r="CN45" s="50" t="n"/>
      <c r="CO45" s="50" t="n"/>
      <c r="CP45" s="50" t="n"/>
      <c r="CQ45" s="50" t="n"/>
      <c r="CR45" s="50" t="n"/>
      <c r="CS45" s="50" t="n"/>
      <c r="CT45" s="50" t="n"/>
      <c r="CU45" s="50" t="n"/>
      <c r="CV45" s="50" t="n"/>
      <c r="CW45" s="50" t="n"/>
      <c r="CX45" s="50" t="n"/>
      <c r="CY45" s="50" t="n"/>
      <c r="CZ45" s="50" t="n"/>
      <c r="DA45" s="50" t="n"/>
      <c r="DB45" s="50" t="n"/>
      <c r="DC45" s="50" t="n"/>
      <c r="DD45" s="50" t="n"/>
      <c r="DE45" s="50" t="n"/>
      <c r="DF45" s="50" t="n"/>
      <c r="DG45" s="50" t="n"/>
      <c r="DH45" s="50" t="n"/>
      <c r="DI45" s="50" t="n"/>
      <c r="DJ45" s="50" t="n"/>
      <c r="DK45" s="50" t="n"/>
      <c r="DL45" s="50" t="n"/>
      <c r="DM45" s="50" t="n"/>
      <c r="DN45" s="50" t="n"/>
      <c r="DO45" s="50" t="n"/>
      <c r="DP45" s="50" t="n"/>
      <c r="DQ45" s="50" t="n"/>
      <c r="DR45" s="50" t="n"/>
      <c r="DS45" s="50" t="n"/>
      <c r="DT45" s="50" t="n"/>
      <c r="DU45" s="50" t="n"/>
      <c r="DV45" s="50" t="n"/>
    </row>
    <row r="46">
      <c r="A46" s="47">
        <f>IF(Mitarbeiter!B46="","",Mitarbeiter!A46)</f>
        <v/>
      </c>
      <c r="B46" s="48">
        <f>IF(Mitarbeiter!B46="","",Mitarbeiter!B46)</f>
        <v/>
      </c>
      <c r="C46" s="49">
        <f>IF(Mitarbeiter!B46="","",Mitarbeiter!F46)</f>
        <v/>
      </c>
      <c r="D46" s="25">
        <f>IF(Mitarbeiter!B46="","",Berechnung!AD46)</f>
        <v/>
      </c>
      <c r="E46" s="25">
        <f>IF(Mitarbeiter!B46="","",SUM(G46:DV46))</f>
        <v/>
      </c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  <c r="V46" s="50" t="n"/>
      <c r="W46" s="50" t="n"/>
      <c r="X46" s="50" t="n"/>
      <c r="Y46" s="50" t="n"/>
      <c r="Z46" s="50" t="n"/>
      <c r="AA46" s="50" t="n"/>
      <c r="AB46" s="50" t="n"/>
      <c r="AC46" s="50" t="n"/>
      <c r="AD46" s="50" t="n"/>
      <c r="AE46" s="50" t="n"/>
      <c r="AF46" s="50" t="n"/>
      <c r="AG46" s="50" t="n"/>
      <c r="AH46" s="50" t="n"/>
      <c r="AI46" s="50" t="n"/>
      <c r="AJ46" s="50" t="n"/>
      <c r="AK46" s="50" t="n"/>
      <c r="AL46" s="50" t="n"/>
      <c r="AM46" s="50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50" t="n"/>
      <c r="AY46" s="50" t="n"/>
      <c r="AZ46" s="50" t="n"/>
      <c r="BA46" s="50" t="n"/>
      <c r="BB46" s="50" t="n"/>
      <c r="BC46" s="50" t="n"/>
      <c r="BD46" s="50" t="n"/>
      <c r="BE46" s="50" t="n"/>
      <c r="BF46" s="50" t="n"/>
      <c r="BG46" s="50" t="n"/>
      <c r="BH46" s="50" t="n"/>
      <c r="BI46" s="50" t="n"/>
      <c r="BJ46" s="50" t="n"/>
      <c r="BK46" s="50" t="n"/>
      <c r="BL46" s="50" t="n"/>
      <c r="BM46" s="50" t="n"/>
      <c r="BN46" s="50" t="n"/>
      <c r="BO46" s="50" t="n"/>
      <c r="BP46" s="50" t="n"/>
      <c r="BQ46" s="50" t="n"/>
      <c r="BR46" s="50" t="n"/>
      <c r="BS46" s="50" t="n"/>
      <c r="BT46" s="50" t="n"/>
      <c r="BU46" s="50" t="n"/>
      <c r="BV46" s="50" t="n"/>
      <c r="BW46" s="50" t="n"/>
      <c r="BX46" s="50" t="n"/>
      <c r="BY46" s="50" t="n"/>
      <c r="BZ46" s="50" t="n"/>
      <c r="CA46" s="50" t="n"/>
      <c r="CB46" s="50" t="n"/>
      <c r="CC46" s="50" t="n"/>
      <c r="CD46" s="50" t="n"/>
      <c r="CE46" s="50" t="n"/>
      <c r="CF46" s="50" t="n"/>
      <c r="CG46" s="50" t="n"/>
      <c r="CH46" s="50" t="n"/>
      <c r="CI46" s="50" t="n"/>
      <c r="CJ46" s="50" t="n"/>
      <c r="CK46" s="50" t="n"/>
      <c r="CL46" s="50" t="n"/>
      <c r="CM46" s="50" t="n"/>
      <c r="CN46" s="50" t="n"/>
      <c r="CO46" s="50" t="n"/>
      <c r="CP46" s="50" t="n"/>
      <c r="CQ46" s="50" t="n"/>
      <c r="CR46" s="50" t="n"/>
      <c r="CS46" s="50" t="n"/>
      <c r="CT46" s="50" t="n"/>
      <c r="CU46" s="50" t="n"/>
      <c r="CV46" s="50" t="n"/>
      <c r="CW46" s="50" t="n"/>
      <c r="CX46" s="50" t="n"/>
      <c r="CY46" s="50" t="n"/>
      <c r="CZ46" s="50" t="n"/>
      <c r="DA46" s="50" t="n"/>
      <c r="DB46" s="50" t="n"/>
      <c r="DC46" s="50" t="n"/>
      <c r="DD46" s="50" t="n"/>
      <c r="DE46" s="50" t="n"/>
      <c r="DF46" s="50" t="n"/>
      <c r="DG46" s="50" t="n"/>
      <c r="DH46" s="50" t="n"/>
      <c r="DI46" s="50" t="n"/>
      <c r="DJ46" s="50" t="n"/>
      <c r="DK46" s="50" t="n"/>
      <c r="DL46" s="50" t="n"/>
      <c r="DM46" s="50" t="n"/>
      <c r="DN46" s="50" t="n"/>
      <c r="DO46" s="50" t="n"/>
      <c r="DP46" s="50" t="n"/>
      <c r="DQ46" s="50" t="n"/>
      <c r="DR46" s="50" t="n"/>
      <c r="DS46" s="50" t="n"/>
      <c r="DT46" s="50" t="n"/>
      <c r="DU46" s="50" t="n"/>
      <c r="DV46" s="50" t="n"/>
    </row>
    <row r="47">
      <c r="A47" s="47">
        <f>IF(Mitarbeiter!B47="","",Mitarbeiter!A47)</f>
        <v/>
      </c>
      <c r="B47" s="48">
        <f>IF(Mitarbeiter!B47="","",Mitarbeiter!B47)</f>
        <v/>
      </c>
      <c r="C47" s="49">
        <f>IF(Mitarbeiter!B47="","",Mitarbeiter!F47)</f>
        <v/>
      </c>
      <c r="D47" s="25">
        <f>IF(Mitarbeiter!B47="","",Berechnung!AD47)</f>
        <v/>
      </c>
      <c r="E47" s="25">
        <f>IF(Mitarbeiter!B47="","",SUM(G47:DV47))</f>
        <v/>
      </c>
      <c r="G47" s="50" t="n"/>
      <c r="H47" s="50" t="n">
        <v>3</v>
      </c>
      <c r="I47" s="50" t="n"/>
      <c r="J47" s="50" t="n"/>
      <c r="K47" s="50" t="n"/>
      <c r="L47" s="50" t="n">
        <v>1</v>
      </c>
      <c r="M47" s="50" t="n">
        <v>1</v>
      </c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50" t="n"/>
      <c r="AY47" s="50" t="n"/>
      <c r="AZ47" s="50" t="n"/>
      <c r="BA47" s="50" t="n"/>
      <c r="BB47" s="50" t="n"/>
      <c r="BC47" s="50" t="n"/>
      <c r="BD47" s="50" t="n"/>
      <c r="BE47" s="50" t="n"/>
      <c r="BF47" s="50" t="n"/>
      <c r="BG47" s="50" t="n"/>
      <c r="BH47" s="50" t="n"/>
      <c r="BI47" s="50" t="n"/>
      <c r="BJ47" s="50" t="n"/>
      <c r="BK47" s="50" t="n"/>
      <c r="BL47" s="50" t="n"/>
      <c r="BM47" s="50" t="n"/>
      <c r="BN47" s="50" t="n"/>
      <c r="BO47" s="50" t="n"/>
      <c r="BP47" s="50" t="n"/>
      <c r="BQ47" s="50" t="n"/>
      <c r="BR47" s="50" t="n"/>
      <c r="BS47" s="50" t="n"/>
      <c r="BT47" s="50" t="n"/>
      <c r="BU47" s="50" t="n"/>
      <c r="BV47" s="50" t="n"/>
      <c r="BW47" s="50" t="n"/>
      <c r="BX47" s="50" t="n"/>
      <c r="BY47" s="50" t="n"/>
      <c r="BZ47" s="50" t="n"/>
      <c r="CA47" s="50" t="n"/>
      <c r="CB47" s="50" t="n"/>
      <c r="CC47" s="50" t="n"/>
      <c r="CD47" s="50" t="n"/>
      <c r="CE47" s="50" t="n"/>
      <c r="CF47" s="50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  <c r="CZ47" s="50" t="n"/>
      <c r="DA47" s="50" t="n"/>
      <c r="DB47" s="50" t="n"/>
      <c r="DC47" s="50" t="n"/>
      <c r="DD47" s="50" t="n"/>
      <c r="DE47" s="50" t="n"/>
      <c r="DF47" s="50" t="n"/>
      <c r="DG47" s="50" t="n"/>
      <c r="DH47" s="50" t="n"/>
      <c r="DI47" s="50" t="n"/>
      <c r="DJ47" s="50" t="n"/>
      <c r="DK47" s="50" t="n"/>
      <c r="DL47" s="50" t="n"/>
      <c r="DM47" s="50" t="n"/>
      <c r="DN47" s="50" t="n"/>
      <c r="DO47" s="50" t="n"/>
      <c r="DP47" s="50" t="n"/>
      <c r="DQ47" s="50" t="n"/>
      <c r="DR47" s="50" t="n"/>
      <c r="DS47" s="50" t="n"/>
      <c r="DT47" s="50" t="n"/>
      <c r="DU47" s="50" t="n"/>
      <c r="DV47" s="50" t="n"/>
    </row>
    <row r="48">
      <c r="A48" s="47">
        <f>IF(Mitarbeiter!B48="","",Mitarbeiter!A48)</f>
        <v/>
      </c>
      <c r="B48" s="48">
        <f>IF(Mitarbeiter!B48="","",Mitarbeiter!B48)</f>
        <v/>
      </c>
      <c r="C48" s="49">
        <f>IF(Mitarbeiter!B48="","",Mitarbeiter!F48)</f>
        <v/>
      </c>
      <c r="D48" s="25">
        <f>IF(Mitarbeiter!B48="","",Berechnung!AD48)</f>
        <v/>
      </c>
      <c r="E48" s="25">
        <f>IF(Mitarbeiter!B48="","",SUM(G48:DV48))</f>
        <v/>
      </c>
      <c r="G48" s="50" t="n">
        <v>1</v>
      </c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>
        <v>5</v>
      </c>
      <c r="U48" s="50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50" t="n"/>
      <c r="BB48" s="50" t="n"/>
      <c r="BC48" s="50" t="n"/>
      <c r="BD48" s="50" t="n"/>
      <c r="BE48" s="50" t="n"/>
      <c r="BF48" s="50" t="n"/>
      <c r="BG48" s="50" t="n"/>
      <c r="BH48" s="50" t="n"/>
      <c r="BI48" s="50" t="n"/>
      <c r="BJ48" s="50" t="n"/>
      <c r="BK48" s="50" t="n"/>
      <c r="BL48" s="50" t="n"/>
      <c r="BM48" s="50" t="n"/>
      <c r="BN48" s="50" t="n"/>
      <c r="BO48" s="50" t="n"/>
      <c r="BP48" s="50" t="n"/>
      <c r="BQ48" s="50" t="n"/>
      <c r="BR48" s="50" t="n"/>
      <c r="BS48" s="50" t="n"/>
      <c r="BT48" s="50" t="n"/>
      <c r="BU48" s="50" t="n"/>
      <c r="BV48" s="50" t="n"/>
      <c r="BW48" s="50" t="n"/>
      <c r="BX48" s="50" t="n"/>
      <c r="BY48" s="50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  <c r="CZ48" s="50" t="n"/>
      <c r="DA48" s="50" t="n"/>
      <c r="DB48" s="50" t="n"/>
      <c r="DC48" s="50" t="n"/>
      <c r="DD48" s="50" t="n"/>
      <c r="DE48" s="50" t="n"/>
      <c r="DF48" s="50" t="n"/>
      <c r="DG48" s="50" t="n"/>
      <c r="DH48" s="50" t="n"/>
      <c r="DI48" s="50" t="n"/>
      <c r="DJ48" s="50" t="n"/>
      <c r="DK48" s="50" t="n"/>
      <c r="DL48" s="50" t="n"/>
      <c r="DM48" s="50" t="n"/>
      <c r="DN48" s="50" t="n"/>
      <c r="DO48" s="50" t="n"/>
      <c r="DP48" s="50" t="n"/>
      <c r="DQ48" s="50" t="n"/>
      <c r="DR48" s="50" t="n"/>
      <c r="DS48" s="50" t="n"/>
      <c r="DT48" s="50" t="n"/>
      <c r="DU48" s="50" t="n"/>
      <c r="DV48" s="50" t="n"/>
    </row>
    <row r="49">
      <c r="A49" s="47">
        <f>IF(Mitarbeiter!B49="","",Mitarbeiter!A49)</f>
        <v/>
      </c>
      <c r="B49" s="48">
        <f>IF(Mitarbeiter!B49="","",Mitarbeiter!B49)</f>
        <v/>
      </c>
      <c r="C49" s="49">
        <f>IF(Mitarbeiter!B49="","",Mitarbeiter!F49)</f>
        <v/>
      </c>
      <c r="D49" s="25">
        <f>IF(Mitarbeiter!B49="","",Berechnung!AD49)</f>
        <v/>
      </c>
      <c r="E49" s="25">
        <f>IF(Mitarbeiter!B49="","",SUM(G49:DV49))</f>
        <v/>
      </c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>
        <v>1</v>
      </c>
      <c r="U49" s="50" t="n">
        <v>12</v>
      </c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50" t="n"/>
      <c r="AY49" s="50" t="n"/>
      <c r="AZ49" s="50" t="n"/>
      <c r="BA49" s="50" t="n"/>
      <c r="BB49" s="50" t="n"/>
      <c r="BC49" s="50" t="n"/>
      <c r="BD49" s="50" t="n"/>
      <c r="BE49" s="50" t="n"/>
      <c r="BF49" s="50" t="n"/>
      <c r="BG49" s="50" t="n"/>
      <c r="BH49" s="50" t="n"/>
      <c r="BI49" s="50" t="n"/>
      <c r="BJ49" s="50" t="n"/>
      <c r="BK49" s="50" t="n"/>
      <c r="BL49" s="50" t="n"/>
      <c r="BM49" s="50" t="n"/>
      <c r="BN49" s="50" t="n"/>
      <c r="BO49" s="50" t="n"/>
      <c r="BP49" s="50" t="n"/>
      <c r="BQ49" s="50" t="n"/>
      <c r="BR49" s="50" t="n"/>
      <c r="BS49" s="50" t="n"/>
      <c r="BT49" s="50" t="n"/>
      <c r="BU49" s="50" t="n"/>
      <c r="BV49" s="50" t="n"/>
      <c r="BW49" s="50" t="n"/>
      <c r="BX49" s="50" t="n"/>
      <c r="BY49" s="50" t="n"/>
      <c r="BZ49" s="50" t="n"/>
      <c r="CA49" s="50" t="n"/>
      <c r="CB49" s="50" t="n"/>
      <c r="CC49" s="50" t="n"/>
      <c r="CD49" s="50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  <c r="CZ49" s="50" t="n"/>
      <c r="DA49" s="50" t="n"/>
      <c r="DB49" s="50" t="n"/>
      <c r="DC49" s="50" t="n"/>
      <c r="DD49" s="50" t="n"/>
      <c r="DE49" s="50" t="n"/>
      <c r="DF49" s="50" t="n"/>
      <c r="DG49" s="50" t="n"/>
      <c r="DH49" s="50" t="n"/>
      <c r="DI49" s="50" t="n"/>
      <c r="DJ49" s="50" t="n"/>
      <c r="DK49" s="50" t="n"/>
      <c r="DL49" s="50" t="n"/>
      <c r="DM49" s="50" t="n"/>
      <c r="DN49" s="50" t="n"/>
      <c r="DO49" s="50" t="n"/>
      <c r="DP49" s="50" t="n"/>
      <c r="DQ49" s="50" t="n"/>
      <c r="DR49" s="50" t="n"/>
      <c r="DS49" s="50" t="n"/>
      <c r="DT49" s="50" t="n"/>
      <c r="DU49" s="50" t="n"/>
      <c r="DV49" s="50" t="n"/>
    </row>
    <row r="50">
      <c r="A50" s="47">
        <f>IF(Mitarbeiter!B50="","",Mitarbeiter!A50)</f>
        <v/>
      </c>
      <c r="B50" s="48">
        <f>IF(Mitarbeiter!B50="","",Mitarbeiter!B50)</f>
        <v/>
      </c>
      <c r="C50" s="49">
        <f>IF(Mitarbeiter!B50="","",Mitarbeiter!F50)</f>
        <v/>
      </c>
      <c r="D50" s="25">
        <f>IF(Mitarbeiter!B50="","",Berechnung!AD50)</f>
        <v/>
      </c>
      <c r="E50" s="25">
        <f>IF(Mitarbeiter!B50="","",SUM(G50:DV50))</f>
        <v/>
      </c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50" t="n"/>
      <c r="AY50" s="50" t="n"/>
      <c r="AZ50" s="50" t="n"/>
      <c r="BA50" s="50" t="n"/>
      <c r="BB50" s="50" t="n"/>
      <c r="BC50" s="50" t="n"/>
      <c r="BD50" s="50" t="n"/>
      <c r="BE50" s="50" t="n"/>
      <c r="BF50" s="50" t="n"/>
      <c r="BG50" s="50" t="n"/>
      <c r="BH50" s="50" t="n"/>
      <c r="BI50" s="50" t="n"/>
      <c r="BJ50" s="50" t="n"/>
      <c r="BK50" s="50" t="n"/>
      <c r="BL50" s="50" t="n"/>
      <c r="BM50" s="50" t="n"/>
      <c r="BN50" s="50" t="n"/>
      <c r="BO50" s="50" t="n"/>
      <c r="BP50" s="50" t="n"/>
      <c r="BQ50" s="50" t="n"/>
      <c r="BR50" s="50" t="n"/>
      <c r="BS50" s="50" t="n"/>
      <c r="BT50" s="50" t="n"/>
      <c r="BU50" s="50" t="n"/>
      <c r="BV50" s="50" t="n"/>
      <c r="BW50" s="50" t="n"/>
      <c r="BX50" s="50" t="n"/>
      <c r="BY50" s="50" t="n"/>
      <c r="BZ50" s="50" t="n"/>
      <c r="CA50" s="50" t="n"/>
      <c r="CB50" s="50" t="n"/>
      <c r="CC50" s="50" t="n"/>
      <c r="CD50" s="50" t="n"/>
      <c r="CE50" s="50" t="n"/>
      <c r="CF50" s="50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  <c r="CZ50" s="50" t="n"/>
      <c r="DA50" s="50" t="n"/>
      <c r="DB50" s="50" t="n"/>
      <c r="DC50" s="50" t="n"/>
      <c r="DD50" s="50" t="n"/>
      <c r="DE50" s="50" t="n"/>
      <c r="DF50" s="50" t="n"/>
      <c r="DG50" s="50" t="n"/>
      <c r="DH50" s="50" t="n"/>
      <c r="DI50" s="50" t="n"/>
      <c r="DJ50" s="50" t="n"/>
      <c r="DK50" s="50" t="n"/>
      <c r="DL50" s="50" t="n"/>
      <c r="DM50" s="50" t="n"/>
      <c r="DN50" s="50" t="n"/>
      <c r="DO50" s="50" t="n"/>
      <c r="DP50" s="50" t="n"/>
      <c r="DQ50" s="50" t="n"/>
      <c r="DR50" s="50" t="n"/>
      <c r="DS50" s="50" t="n"/>
      <c r="DT50" s="50" t="n"/>
      <c r="DU50" s="50" t="n"/>
      <c r="DV50" s="50" t="n"/>
    </row>
    <row r="51">
      <c r="A51" s="47">
        <f>IF(Mitarbeiter!B51="","",Mitarbeiter!A51)</f>
        <v/>
      </c>
      <c r="B51" s="48">
        <f>IF(Mitarbeiter!B51="","",Mitarbeiter!B51)</f>
        <v/>
      </c>
      <c r="C51" s="49">
        <f>IF(Mitarbeiter!B51="","",Mitarbeiter!F51)</f>
        <v/>
      </c>
      <c r="D51" s="25">
        <f>IF(Mitarbeiter!B51="","",Berechnung!AD51)</f>
        <v/>
      </c>
      <c r="E51" s="25">
        <f>IF(Mitarbeiter!B51="","",SUM(G51:DV51))</f>
        <v/>
      </c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50" t="n"/>
      <c r="AY51" s="50" t="n"/>
      <c r="AZ51" s="50" t="n"/>
      <c r="BA51" s="50" t="n"/>
      <c r="BB51" s="50" t="n"/>
      <c r="BC51" s="50" t="n"/>
      <c r="BD51" s="50" t="n"/>
      <c r="BE51" s="50" t="n"/>
      <c r="BF51" s="50" t="n"/>
      <c r="BG51" s="50" t="n"/>
      <c r="BH51" s="50" t="n"/>
      <c r="BI51" s="50" t="n"/>
      <c r="BJ51" s="50" t="n"/>
      <c r="BK51" s="50" t="n"/>
      <c r="BL51" s="50" t="n"/>
      <c r="BM51" s="50" t="n"/>
      <c r="BN51" s="50" t="n"/>
      <c r="BO51" s="50" t="n"/>
      <c r="BP51" s="50" t="n"/>
      <c r="BQ51" s="50" t="n"/>
      <c r="BR51" s="50" t="n"/>
      <c r="BS51" s="50" t="n"/>
      <c r="BT51" s="50" t="n"/>
      <c r="BU51" s="50" t="n"/>
      <c r="BV51" s="50" t="n"/>
      <c r="BW51" s="50" t="n"/>
      <c r="BX51" s="50" t="n"/>
      <c r="BY51" s="50" t="n"/>
      <c r="BZ51" s="50" t="n"/>
      <c r="CA51" s="50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  <c r="CZ51" s="50" t="n"/>
      <c r="DA51" s="50" t="n"/>
      <c r="DB51" s="50" t="n"/>
      <c r="DC51" s="50" t="n"/>
      <c r="DD51" s="50" t="n"/>
      <c r="DE51" s="50" t="n"/>
      <c r="DF51" s="50" t="n"/>
      <c r="DG51" s="50" t="n"/>
      <c r="DH51" s="50" t="n"/>
      <c r="DI51" s="50" t="n"/>
      <c r="DJ51" s="50" t="n"/>
      <c r="DK51" s="50" t="n"/>
      <c r="DL51" s="50" t="n"/>
      <c r="DM51" s="50" t="n"/>
      <c r="DN51" s="50" t="n"/>
      <c r="DO51" s="50" t="n"/>
      <c r="DP51" s="50" t="n"/>
      <c r="DQ51" s="50" t="n"/>
      <c r="DR51" s="50" t="n"/>
      <c r="DS51" s="50" t="n"/>
      <c r="DT51" s="50" t="n"/>
      <c r="DU51" s="50" t="n"/>
      <c r="DV51" s="50" t="n"/>
    </row>
    <row r="52">
      <c r="A52" s="47">
        <f>IF(Mitarbeiter!B52="","",Mitarbeiter!A52)</f>
        <v/>
      </c>
      <c r="B52" s="48">
        <f>IF(Mitarbeiter!B52="","",Mitarbeiter!B52)</f>
        <v/>
      </c>
      <c r="C52" s="49">
        <f>IF(Mitarbeiter!B52="","",Mitarbeiter!F52)</f>
        <v/>
      </c>
      <c r="D52" s="25">
        <f>IF(Mitarbeiter!B52="","",Berechnung!AD52)</f>
        <v/>
      </c>
      <c r="E52" s="25">
        <f>IF(Mitarbeiter!B52="","",SUM(G52:DV52))</f>
        <v/>
      </c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  <c r="Z52" s="50" t="n"/>
      <c r="AA52" s="50" t="n">
        <v>5</v>
      </c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50" t="n"/>
      <c r="BE52" s="50" t="n"/>
      <c r="BF52" s="50" t="n"/>
      <c r="BG52" s="50" t="n"/>
      <c r="BH52" s="50" t="n"/>
      <c r="BI52" s="50" t="n"/>
      <c r="BJ52" s="50" t="n"/>
      <c r="BK52" s="50" t="n"/>
      <c r="BL52" s="50" t="n"/>
      <c r="BM52" s="50" t="n"/>
      <c r="BN52" s="50" t="n"/>
      <c r="BO52" s="50" t="n"/>
      <c r="BP52" s="50" t="n"/>
      <c r="BQ52" s="50" t="n"/>
      <c r="BR52" s="50" t="n"/>
      <c r="BS52" s="50" t="n"/>
      <c r="BT52" s="50" t="n"/>
      <c r="BU52" s="50" t="n"/>
      <c r="BV52" s="50" t="n"/>
      <c r="BW52" s="50" t="n"/>
      <c r="BX52" s="50" t="n"/>
      <c r="BY52" s="50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  <c r="CZ52" s="50" t="n"/>
      <c r="DA52" s="50" t="n"/>
      <c r="DB52" s="50" t="n"/>
      <c r="DC52" s="50" t="n"/>
      <c r="DD52" s="50" t="n"/>
      <c r="DE52" s="50" t="n"/>
      <c r="DF52" s="50" t="n"/>
      <c r="DG52" s="50" t="n"/>
      <c r="DH52" s="50" t="n"/>
      <c r="DI52" s="50" t="n"/>
      <c r="DJ52" s="50" t="n"/>
      <c r="DK52" s="50" t="n"/>
      <c r="DL52" s="50" t="n"/>
      <c r="DM52" s="50" t="n"/>
      <c r="DN52" s="50" t="n"/>
      <c r="DO52" s="50" t="n"/>
      <c r="DP52" s="50" t="n"/>
      <c r="DQ52" s="50" t="n"/>
      <c r="DR52" s="50" t="n"/>
      <c r="DS52" s="50" t="n"/>
      <c r="DT52" s="50" t="n"/>
      <c r="DU52" s="50" t="n"/>
      <c r="DV52" s="50" t="n"/>
    </row>
    <row r="53">
      <c r="A53" s="47">
        <f>IF(Mitarbeiter!B53="","",Mitarbeiter!A53)</f>
        <v/>
      </c>
      <c r="B53" s="48">
        <f>IF(Mitarbeiter!B53="","",Mitarbeiter!B53)</f>
        <v/>
      </c>
      <c r="C53" s="49">
        <f>IF(Mitarbeiter!B53="","",Mitarbeiter!F53)</f>
        <v/>
      </c>
      <c r="D53" s="25">
        <f>IF(Mitarbeiter!B53="","",Berechnung!AD53)</f>
        <v/>
      </c>
      <c r="E53" s="25">
        <f>IF(Mitarbeiter!B53="","",SUM(G53:DV53))</f>
        <v/>
      </c>
      <c r="G53" s="50" t="n"/>
      <c r="H53" s="50" t="n">
        <v>12</v>
      </c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>
        <v>1</v>
      </c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50" t="n"/>
      <c r="BB53" s="50" t="n"/>
      <c r="BC53" s="50" t="n"/>
      <c r="BD53" s="50" t="n"/>
      <c r="BE53" s="50" t="n"/>
      <c r="BF53" s="50" t="n"/>
      <c r="BG53" s="50" t="n"/>
      <c r="BH53" s="50" t="n"/>
      <c r="BI53" s="50" t="n"/>
      <c r="BJ53" s="50" t="n"/>
      <c r="BK53" s="50" t="n"/>
      <c r="BL53" s="50" t="n"/>
      <c r="BM53" s="50" t="n"/>
      <c r="BN53" s="50" t="n"/>
      <c r="BO53" s="50" t="n"/>
      <c r="BP53" s="50" t="n"/>
      <c r="BQ53" s="50" t="n"/>
      <c r="BR53" s="50" t="n"/>
      <c r="BS53" s="50" t="n"/>
      <c r="BT53" s="50" t="n"/>
      <c r="BU53" s="50" t="n"/>
      <c r="BV53" s="50" t="n"/>
      <c r="BW53" s="50" t="n"/>
      <c r="BX53" s="50" t="n"/>
      <c r="BY53" s="50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  <c r="CZ53" s="50" t="n"/>
      <c r="DA53" s="50" t="n"/>
      <c r="DB53" s="50" t="n"/>
      <c r="DC53" s="50" t="n"/>
      <c r="DD53" s="50" t="n"/>
      <c r="DE53" s="50" t="n"/>
      <c r="DF53" s="50" t="n"/>
      <c r="DG53" s="50" t="n"/>
      <c r="DH53" s="50" t="n"/>
      <c r="DI53" s="50" t="n"/>
      <c r="DJ53" s="50" t="n"/>
      <c r="DK53" s="50" t="n"/>
      <c r="DL53" s="50" t="n"/>
      <c r="DM53" s="50" t="n"/>
      <c r="DN53" s="50" t="n"/>
      <c r="DO53" s="50" t="n"/>
      <c r="DP53" s="50" t="n"/>
      <c r="DQ53" s="50" t="n"/>
      <c r="DR53" s="50" t="n"/>
      <c r="DS53" s="50" t="n"/>
      <c r="DT53" s="50" t="n"/>
      <c r="DU53" s="50" t="n"/>
      <c r="DV53" s="50" t="n"/>
    </row>
    <row r="54">
      <c r="A54" s="47">
        <f>IF(Mitarbeiter!B54="","",Mitarbeiter!A54)</f>
        <v/>
      </c>
      <c r="B54" s="48">
        <f>IF(Mitarbeiter!B54="","",Mitarbeiter!B54)</f>
        <v/>
      </c>
      <c r="C54" s="49">
        <f>IF(Mitarbeiter!B54="","",Mitarbeiter!F54)</f>
        <v/>
      </c>
      <c r="D54" s="25">
        <f>IF(Mitarbeiter!B54="","",Berechnung!AD54)</f>
        <v/>
      </c>
      <c r="E54" s="25">
        <f>IF(Mitarbeiter!B54="","",SUM(G54:DV54))</f>
        <v/>
      </c>
      <c r="G54" s="50" t="n"/>
      <c r="H54" s="50" t="n"/>
      <c r="I54" s="50" t="n"/>
      <c r="J54" s="50" t="n"/>
      <c r="K54" s="50" t="n">
        <v>3</v>
      </c>
      <c r="L54" s="50" t="n"/>
      <c r="M54" s="50" t="n"/>
      <c r="N54" s="50" t="n"/>
      <c r="O54" s="50" t="n">
        <v>2</v>
      </c>
      <c r="P54" s="50" t="n"/>
      <c r="Q54" s="50" t="n"/>
      <c r="R54" s="50" t="n"/>
      <c r="S54" s="50" t="n"/>
      <c r="T54" s="50" t="n"/>
      <c r="U54" s="50" t="n"/>
      <c r="V54" s="50" t="n"/>
      <c r="W54" s="50" t="n">
        <v>3</v>
      </c>
      <c r="X54" s="50" t="n"/>
      <c r="Y54" s="50" t="n">
        <v>5</v>
      </c>
      <c r="Z54" s="50" t="n"/>
      <c r="AA54" s="50" t="n"/>
      <c r="AB54" s="50" t="n"/>
      <c r="AC54" s="50" t="n"/>
      <c r="AD54" s="50" t="n"/>
      <c r="AE54" s="50" t="n"/>
      <c r="AF54" s="50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50" t="n"/>
      <c r="AY54" s="50" t="n"/>
      <c r="AZ54" s="50" t="n"/>
      <c r="BA54" s="50" t="n"/>
      <c r="BB54" s="50" t="n"/>
      <c r="BC54" s="50" t="n"/>
      <c r="BD54" s="50" t="n"/>
      <c r="BE54" s="50" t="n"/>
      <c r="BF54" s="50" t="n"/>
      <c r="BG54" s="50" t="n"/>
      <c r="BH54" s="50" t="n"/>
      <c r="BI54" s="50" t="n"/>
      <c r="BJ54" s="50" t="n"/>
      <c r="BK54" s="50" t="n"/>
      <c r="BL54" s="50" t="n"/>
      <c r="BM54" s="50" t="n"/>
      <c r="BN54" s="50" t="n"/>
      <c r="BO54" s="50" t="n"/>
      <c r="BP54" s="50" t="n"/>
      <c r="BQ54" s="50" t="n"/>
      <c r="BR54" s="50" t="n"/>
      <c r="BS54" s="50" t="n"/>
      <c r="BT54" s="50" t="n"/>
      <c r="BU54" s="50" t="n"/>
      <c r="BV54" s="50" t="n"/>
      <c r="BW54" s="50" t="n"/>
      <c r="BX54" s="50" t="n"/>
      <c r="BY54" s="50" t="n"/>
      <c r="BZ54" s="50" t="n"/>
      <c r="CA54" s="50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  <c r="CZ54" s="50" t="n"/>
      <c r="DA54" s="50" t="n"/>
      <c r="DB54" s="50" t="n"/>
      <c r="DC54" s="50" t="n"/>
      <c r="DD54" s="50" t="n"/>
      <c r="DE54" s="50" t="n"/>
      <c r="DF54" s="50" t="n"/>
      <c r="DG54" s="50" t="n"/>
      <c r="DH54" s="50" t="n"/>
      <c r="DI54" s="50" t="n"/>
      <c r="DJ54" s="50" t="n"/>
      <c r="DK54" s="50" t="n"/>
      <c r="DL54" s="50" t="n"/>
      <c r="DM54" s="50" t="n"/>
      <c r="DN54" s="50" t="n"/>
      <c r="DO54" s="50" t="n"/>
      <c r="DP54" s="50" t="n"/>
      <c r="DQ54" s="50" t="n"/>
      <c r="DR54" s="50" t="n"/>
      <c r="DS54" s="50" t="n"/>
      <c r="DT54" s="50" t="n"/>
      <c r="DU54" s="50" t="n"/>
      <c r="DV54" s="50" t="n"/>
    </row>
    <row r="55">
      <c r="A55" s="47">
        <f>IF(Mitarbeiter!B55="","",Mitarbeiter!A55)</f>
        <v/>
      </c>
      <c r="B55" s="48">
        <f>IF(Mitarbeiter!B55="","",Mitarbeiter!B55)</f>
        <v/>
      </c>
      <c r="C55" s="49">
        <f>IF(Mitarbeiter!B55="","",Mitarbeiter!F55)</f>
        <v/>
      </c>
      <c r="D55" s="25">
        <f>IF(Mitarbeiter!B55="","",Berechnung!AD55)</f>
        <v/>
      </c>
      <c r="E55" s="25">
        <f>IF(Mitarbeiter!B55="","",SUM(G55:DV55))</f>
        <v/>
      </c>
      <c r="G55" s="50" t="n"/>
      <c r="H55" s="50" t="n"/>
      <c r="I55" s="50" t="n"/>
      <c r="J55" s="50" t="n"/>
      <c r="K55" s="50" t="n">
        <v>1</v>
      </c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>
        <v>2</v>
      </c>
      <c r="X55" s="50" t="n"/>
      <c r="Y55" s="50" t="n">
        <v>12</v>
      </c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50" t="n"/>
      <c r="BB55" s="50" t="n"/>
      <c r="BC55" s="50" t="n"/>
      <c r="BD55" s="50" t="n"/>
      <c r="BE55" s="50" t="n"/>
      <c r="BF55" s="50" t="n"/>
      <c r="BG55" s="50" t="n"/>
      <c r="BH55" s="50" t="n"/>
      <c r="BI55" s="50" t="n"/>
      <c r="BJ55" s="50" t="n"/>
      <c r="BK55" s="50" t="n"/>
      <c r="BL55" s="50" t="n"/>
      <c r="BM55" s="50" t="n"/>
      <c r="BN55" s="50" t="n"/>
      <c r="BO55" s="50" t="n"/>
      <c r="BP55" s="50" t="n"/>
      <c r="BQ55" s="50" t="n"/>
      <c r="BR55" s="50" t="n"/>
      <c r="BS55" s="50" t="n"/>
      <c r="BT55" s="50" t="n"/>
      <c r="BU55" s="50" t="n"/>
      <c r="BV55" s="50" t="n"/>
      <c r="BW55" s="50" t="n"/>
      <c r="BX55" s="50" t="n"/>
      <c r="BY55" s="50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  <c r="CZ55" s="50" t="n"/>
      <c r="DA55" s="50" t="n"/>
      <c r="DB55" s="50" t="n"/>
      <c r="DC55" s="50" t="n"/>
      <c r="DD55" s="50" t="n"/>
      <c r="DE55" s="50" t="n"/>
      <c r="DF55" s="50" t="n"/>
      <c r="DG55" s="50" t="n"/>
      <c r="DH55" s="50" t="n"/>
      <c r="DI55" s="50" t="n"/>
      <c r="DJ55" s="50" t="n"/>
      <c r="DK55" s="50" t="n"/>
      <c r="DL55" s="50" t="n"/>
      <c r="DM55" s="50" t="n"/>
      <c r="DN55" s="50" t="n"/>
      <c r="DO55" s="50" t="n"/>
      <c r="DP55" s="50" t="n"/>
      <c r="DQ55" s="50" t="n"/>
      <c r="DR55" s="50" t="n"/>
      <c r="DS55" s="50" t="n"/>
      <c r="DT55" s="50" t="n"/>
      <c r="DU55" s="50" t="n"/>
      <c r="DV55" s="50" t="n"/>
    </row>
    <row r="56">
      <c r="A56" s="47">
        <f>IF(Mitarbeiter!B56="","",Mitarbeiter!A56)</f>
        <v/>
      </c>
      <c r="B56" s="48">
        <f>IF(Mitarbeiter!B56="","",Mitarbeiter!B56)</f>
        <v/>
      </c>
      <c r="C56" s="49">
        <f>IF(Mitarbeiter!B56="","",Mitarbeiter!F56)</f>
        <v/>
      </c>
      <c r="D56" s="25">
        <f>IF(Mitarbeiter!B56="","",Berechnung!AD56)</f>
        <v/>
      </c>
      <c r="E56" s="25">
        <f>IF(Mitarbeiter!B56="","",SUM(G56:DV56))</f>
        <v/>
      </c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  <c r="Z56" s="50" t="n"/>
      <c r="AA56" s="50" t="n">
        <v>7</v>
      </c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50" t="n"/>
      <c r="BE56" s="50" t="n"/>
      <c r="BF56" s="50" t="n"/>
      <c r="BG56" s="50" t="n"/>
      <c r="BH56" s="50" t="n"/>
      <c r="BI56" s="50" t="n"/>
      <c r="BJ56" s="50" t="n"/>
      <c r="BK56" s="50" t="n"/>
      <c r="BL56" s="50" t="n"/>
      <c r="BM56" s="50" t="n"/>
      <c r="BN56" s="50" t="n"/>
      <c r="BO56" s="50" t="n"/>
      <c r="BP56" s="50" t="n"/>
      <c r="BQ56" s="50" t="n"/>
      <c r="BR56" s="50" t="n"/>
      <c r="BS56" s="50" t="n"/>
      <c r="BT56" s="50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  <c r="CZ56" s="50" t="n"/>
      <c r="DA56" s="50" t="n"/>
      <c r="DB56" s="50" t="n"/>
      <c r="DC56" s="50" t="n"/>
      <c r="DD56" s="50" t="n"/>
      <c r="DE56" s="50" t="n"/>
      <c r="DF56" s="50" t="n"/>
      <c r="DG56" s="50" t="n"/>
      <c r="DH56" s="50" t="n"/>
      <c r="DI56" s="50" t="n"/>
      <c r="DJ56" s="50" t="n"/>
      <c r="DK56" s="50" t="n"/>
      <c r="DL56" s="50" t="n"/>
      <c r="DM56" s="50" t="n"/>
      <c r="DN56" s="50" t="n"/>
      <c r="DO56" s="50" t="n"/>
      <c r="DP56" s="50" t="n"/>
      <c r="DQ56" s="50" t="n"/>
      <c r="DR56" s="50" t="n"/>
      <c r="DS56" s="50" t="n"/>
      <c r="DT56" s="50" t="n"/>
      <c r="DU56" s="50" t="n"/>
      <c r="DV56" s="50" t="n"/>
    </row>
    <row r="57">
      <c r="A57" s="47">
        <f>IF(Mitarbeiter!B57="","",Mitarbeiter!A57)</f>
        <v/>
      </c>
      <c r="B57" s="48">
        <f>IF(Mitarbeiter!B57="","",Mitarbeiter!B57)</f>
        <v/>
      </c>
      <c r="C57" s="49">
        <f>IF(Mitarbeiter!B57="","",Mitarbeiter!F57)</f>
        <v/>
      </c>
      <c r="D57" s="25">
        <f>IF(Mitarbeiter!B57="","",Berechnung!AD57)</f>
        <v/>
      </c>
      <c r="E57" s="25">
        <f>IF(Mitarbeiter!B57="","",SUM(G57:DV57))</f>
        <v/>
      </c>
      <c r="G57" s="50" t="n"/>
      <c r="H57" s="50" t="n"/>
      <c r="I57" s="50" t="n">
        <v>1</v>
      </c>
      <c r="J57" s="50" t="n"/>
      <c r="K57" s="50" t="n"/>
      <c r="L57" s="50" t="n"/>
      <c r="M57" s="50" t="n">
        <v>3</v>
      </c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50" t="n"/>
      <c r="BB57" s="50" t="n"/>
      <c r="BC57" s="50" t="n"/>
      <c r="BD57" s="50" t="n"/>
      <c r="BE57" s="50" t="n"/>
      <c r="BF57" s="50" t="n"/>
      <c r="BG57" s="50" t="n"/>
      <c r="BH57" s="50" t="n"/>
      <c r="BI57" s="50" t="n"/>
      <c r="BJ57" s="50" t="n"/>
      <c r="BK57" s="50" t="n"/>
      <c r="BL57" s="50" t="n"/>
      <c r="BM57" s="50" t="n"/>
      <c r="BN57" s="50" t="n"/>
      <c r="BO57" s="50" t="n"/>
      <c r="BP57" s="50" t="n"/>
      <c r="BQ57" s="50" t="n"/>
      <c r="BR57" s="50" t="n"/>
      <c r="BS57" s="50" t="n"/>
      <c r="BT57" s="50" t="n"/>
      <c r="BU57" s="50" t="n"/>
      <c r="BV57" s="50" t="n"/>
      <c r="BW57" s="50" t="n"/>
      <c r="BX57" s="50" t="n"/>
      <c r="BY57" s="50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  <c r="CZ57" s="50" t="n"/>
      <c r="DA57" s="50" t="n"/>
      <c r="DB57" s="50" t="n"/>
      <c r="DC57" s="50" t="n"/>
      <c r="DD57" s="50" t="n"/>
      <c r="DE57" s="50" t="n"/>
      <c r="DF57" s="50" t="n"/>
      <c r="DG57" s="50" t="n"/>
      <c r="DH57" s="50" t="n"/>
      <c r="DI57" s="50" t="n"/>
      <c r="DJ57" s="50" t="n"/>
      <c r="DK57" s="50" t="n"/>
      <c r="DL57" s="50" t="n"/>
      <c r="DM57" s="50" t="n"/>
      <c r="DN57" s="50" t="n"/>
      <c r="DO57" s="50" t="n"/>
      <c r="DP57" s="50" t="n"/>
      <c r="DQ57" s="50" t="n"/>
      <c r="DR57" s="50" t="n"/>
      <c r="DS57" s="50" t="n"/>
      <c r="DT57" s="50" t="n"/>
      <c r="DU57" s="50" t="n"/>
      <c r="DV57" s="50" t="n"/>
    </row>
    <row r="58">
      <c r="A58" s="47">
        <f>IF(Mitarbeiter!B58="","",Mitarbeiter!A58)</f>
        <v/>
      </c>
      <c r="B58" s="48">
        <f>IF(Mitarbeiter!B58="","",Mitarbeiter!B58)</f>
        <v/>
      </c>
      <c r="C58" s="49">
        <f>IF(Mitarbeiter!B58="","",Mitarbeiter!F58)</f>
        <v/>
      </c>
      <c r="D58" s="25">
        <f>IF(Mitarbeiter!B58="","",Berechnung!AD58)</f>
        <v/>
      </c>
      <c r="E58" s="25">
        <f>IF(Mitarbeiter!B58="","",SUM(G58:DV58))</f>
        <v/>
      </c>
      <c r="G58" s="50" t="n"/>
      <c r="H58" s="50" t="n"/>
      <c r="I58" s="50" t="n"/>
      <c r="J58" s="50" t="n">
        <v>7</v>
      </c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>
        <v>3</v>
      </c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  <c r="CZ58" s="50" t="n"/>
      <c r="DA58" s="50" t="n"/>
      <c r="DB58" s="50" t="n"/>
      <c r="DC58" s="50" t="n"/>
      <c r="DD58" s="50" t="n"/>
      <c r="DE58" s="50" t="n"/>
      <c r="DF58" s="50" t="n"/>
      <c r="DG58" s="50" t="n"/>
      <c r="DH58" s="50" t="n"/>
      <c r="DI58" s="50" t="n"/>
      <c r="DJ58" s="50" t="n"/>
      <c r="DK58" s="50" t="n"/>
      <c r="DL58" s="50" t="n"/>
      <c r="DM58" s="50" t="n"/>
      <c r="DN58" s="50" t="n"/>
      <c r="DO58" s="50" t="n"/>
      <c r="DP58" s="50" t="n"/>
      <c r="DQ58" s="50" t="n"/>
      <c r="DR58" s="50" t="n"/>
      <c r="DS58" s="50" t="n"/>
      <c r="DT58" s="50" t="n"/>
      <c r="DU58" s="50" t="n"/>
      <c r="DV58" s="50" t="n"/>
    </row>
    <row r="59">
      <c r="A59" s="47">
        <f>IF(Mitarbeiter!B59="","",Mitarbeiter!A59)</f>
        <v/>
      </c>
      <c r="B59" s="48">
        <f>IF(Mitarbeiter!B59="","",Mitarbeiter!B59)</f>
        <v/>
      </c>
      <c r="C59" s="49">
        <f>IF(Mitarbeiter!B59="","",Mitarbeiter!F59)</f>
        <v/>
      </c>
      <c r="D59" s="25">
        <f>IF(Mitarbeiter!B59="","",Berechnung!AD59)</f>
        <v/>
      </c>
      <c r="E59" s="25">
        <f>IF(Mitarbeiter!B59="","",SUM(G59:DV59))</f>
        <v/>
      </c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  <c r="CZ59" s="50" t="n"/>
      <c r="DA59" s="50" t="n"/>
      <c r="DB59" s="50" t="n"/>
      <c r="DC59" s="50" t="n"/>
      <c r="DD59" s="50" t="n"/>
      <c r="DE59" s="50" t="n"/>
      <c r="DF59" s="50" t="n"/>
      <c r="DG59" s="50" t="n"/>
      <c r="DH59" s="50" t="n"/>
      <c r="DI59" s="50" t="n"/>
      <c r="DJ59" s="50" t="n"/>
      <c r="DK59" s="50" t="n"/>
      <c r="DL59" s="50" t="n"/>
      <c r="DM59" s="50" t="n"/>
      <c r="DN59" s="50" t="n"/>
      <c r="DO59" s="50" t="n"/>
      <c r="DP59" s="50" t="n"/>
      <c r="DQ59" s="50" t="n"/>
      <c r="DR59" s="50" t="n"/>
      <c r="DS59" s="50" t="n"/>
      <c r="DT59" s="50" t="n"/>
      <c r="DU59" s="50" t="n"/>
      <c r="DV59" s="50" t="n"/>
    </row>
    <row r="60">
      <c r="A60" s="47">
        <f>IF(Mitarbeiter!B60="","",Mitarbeiter!A60)</f>
        <v/>
      </c>
      <c r="B60" s="48">
        <f>IF(Mitarbeiter!B60="","",Mitarbeiter!B60)</f>
        <v/>
      </c>
      <c r="C60" s="49">
        <f>IF(Mitarbeiter!B60="","",Mitarbeiter!F60)</f>
        <v/>
      </c>
      <c r="D60" s="25">
        <f>IF(Mitarbeiter!B60="","",Berechnung!AD60)</f>
        <v/>
      </c>
      <c r="E60" s="25">
        <f>IF(Mitarbeiter!B60="","",SUM(G60:DV60))</f>
        <v/>
      </c>
      <c r="G60" s="50" t="n"/>
      <c r="H60" s="50" t="n"/>
      <c r="I60" s="50" t="n">
        <v>3</v>
      </c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>
        <v>3</v>
      </c>
      <c r="Y60" s="50" t="n">
        <v>3</v>
      </c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50" t="n"/>
      <c r="BE60" s="50" t="n"/>
      <c r="BF60" s="50" t="n"/>
      <c r="BG60" s="50" t="n"/>
      <c r="BH60" s="50" t="n"/>
      <c r="BI60" s="50" t="n"/>
      <c r="BJ60" s="50" t="n"/>
      <c r="BK60" s="50" t="n"/>
      <c r="BL60" s="50" t="n"/>
      <c r="BM60" s="50" t="n"/>
      <c r="BN60" s="50" t="n"/>
      <c r="BO60" s="50" t="n"/>
      <c r="BP60" s="50" t="n"/>
      <c r="BQ60" s="50" t="n"/>
      <c r="BR60" s="50" t="n"/>
      <c r="BS60" s="50" t="n"/>
      <c r="BT60" s="50" t="n"/>
      <c r="BU60" s="50" t="n"/>
      <c r="BV60" s="50" t="n"/>
      <c r="BW60" s="50" t="n"/>
      <c r="BX60" s="50" t="n"/>
      <c r="BY60" s="50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  <c r="CZ60" s="50" t="n"/>
      <c r="DA60" s="50" t="n"/>
      <c r="DB60" s="50" t="n"/>
      <c r="DC60" s="50" t="n"/>
      <c r="DD60" s="50" t="n"/>
      <c r="DE60" s="50" t="n"/>
      <c r="DF60" s="50" t="n"/>
      <c r="DG60" s="50" t="n"/>
      <c r="DH60" s="50" t="n"/>
      <c r="DI60" s="50" t="n"/>
      <c r="DJ60" s="50" t="n"/>
      <c r="DK60" s="50" t="n"/>
      <c r="DL60" s="50" t="n"/>
      <c r="DM60" s="50" t="n"/>
      <c r="DN60" s="50" t="n"/>
      <c r="DO60" s="50" t="n"/>
      <c r="DP60" s="50" t="n"/>
      <c r="DQ60" s="50" t="n"/>
      <c r="DR60" s="50" t="n"/>
      <c r="DS60" s="50" t="n"/>
      <c r="DT60" s="50" t="n"/>
      <c r="DU60" s="50" t="n"/>
      <c r="DV60" s="50" t="n"/>
    </row>
    <row r="61">
      <c r="A61" s="47">
        <f>IF(Mitarbeiter!B61="","",Mitarbeiter!A61)</f>
        <v/>
      </c>
      <c r="B61" s="48">
        <f>IF(Mitarbeiter!B61="","",Mitarbeiter!B61)</f>
        <v/>
      </c>
      <c r="C61" s="49">
        <f>IF(Mitarbeiter!B61="","",Mitarbeiter!F61)</f>
        <v/>
      </c>
      <c r="D61" s="25">
        <f>IF(Mitarbeiter!B61="","",Berechnung!AD61)</f>
        <v/>
      </c>
      <c r="E61" s="25">
        <f>IF(Mitarbeiter!B61="","",SUM(G61:DV61))</f>
        <v/>
      </c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50" t="n"/>
      <c r="AY61" s="50" t="n"/>
      <c r="AZ61" s="50" t="n"/>
      <c r="BA61" s="50" t="n"/>
      <c r="BB61" s="50" t="n"/>
      <c r="BC61" s="50" t="n"/>
      <c r="BD61" s="50" t="n"/>
      <c r="BE61" s="50" t="n"/>
      <c r="BF61" s="50" t="n"/>
      <c r="BG61" s="50" t="n"/>
      <c r="BH61" s="50" t="n"/>
      <c r="BI61" s="50" t="n"/>
      <c r="BJ61" s="50" t="n"/>
      <c r="BK61" s="50" t="n"/>
      <c r="BL61" s="50" t="n"/>
      <c r="BM61" s="50" t="n"/>
      <c r="BN61" s="50" t="n"/>
      <c r="BO61" s="50" t="n"/>
      <c r="BP61" s="50" t="n"/>
      <c r="BQ61" s="50" t="n"/>
      <c r="BR61" s="50" t="n"/>
      <c r="BS61" s="50" t="n"/>
      <c r="BT61" s="50" t="n"/>
      <c r="BU61" s="50" t="n"/>
      <c r="BV61" s="50" t="n"/>
      <c r="BW61" s="50" t="n"/>
      <c r="BX61" s="50" t="n"/>
      <c r="BY61" s="50" t="n"/>
      <c r="BZ61" s="50" t="n"/>
      <c r="CA61" s="50" t="n"/>
      <c r="CB61" s="50" t="n"/>
      <c r="CC61" s="50" t="n"/>
      <c r="CD61" s="50" t="n"/>
      <c r="CE61" s="50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  <c r="CZ61" s="50" t="n"/>
      <c r="DA61" s="50" t="n"/>
      <c r="DB61" s="50" t="n"/>
      <c r="DC61" s="50" t="n"/>
      <c r="DD61" s="50" t="n"/>
      <c r="DE61" s="50" t="n"/>
      <c r="DF61" s="50" t="n"/>
      <c r="DG61" s="50" t="n"/>
      <c r="DH61" s="50" t="n"/>
      <c r="DI61" s="50" t="n"/>
      <c r="DJ61" s="50" t="n"/>
      <c r="DK61" s="50" t="n"/>
      <c r="DL61" s="50" t="n"/>
      <c r="DM61" s="50" t="n"/>
      <c r="DN61" s="50" t="n"/>
      <c r="DO61" s="50" t="n"/>
      <c r="DP61" s="50" t="n"/>
      <c r="DQ61" s="50" t="n"/>
      <c r="DR61" s="50" t="n"/>
      <c r="DS61" s="50" t="n"/>
      <c r="DT61" s="50" t="n"/>
      <c r="DU61" s="50" t="n"/>
      <c r="DV61" s="50" t="n"/>
    </row>
    <row r="62">
      <c r="A62" s="47">
        <f>IF(Mitarbeiter!B62="","",Mitarbeiter!A62)</f>
        <v/>
      </c>
      <c r="B62" s="48">
        <f>IF(Mitarbeiter!B62="","",Mitarbeiter!B62)</f>
        <v/>
      </c>
      <c r="C62" s="49">
        <f>IF(Mitarbeiter!B62="","",Mitarbeiter!F62)</f>
        <v/>
      </c>
      <c r="D62" s="25">
        <f>IF(Mitarbeiter!B62="","",Berechnung!AD62)</f>
        <v/>
      </c>
      <c r="E62" s="25">
        <f>IF(Mitarbeiter!B62="","",SUM(G62:DV62))</f>
        <v/>
      </c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50" t="n"/>
      <c r="BE62" s="50" t="n"/>
      <c r="BF62" s="50" t="n"/>
      <c r="BG62" s="50" t="n"/>
      <c r="BH62" s="50" t="n"/>
      <c r="BI62" s="50" t="n"/>
      <c r="BJ62" s="50" t="n"/>
      <c r="BK62" s="50" t="n"/>
      <c r="BL62" s="50" t="n"/>
      <c r="BM62" s="50" t="n"/>
      <c r="BN62" s="50" t="n"/>
      <c r="BO62" s="50" t="n"/>
      <c r="BP62" s="50" t="n"/>
      <c r="BQ62" s="50" t="n"/>
      <c r="BR62" s="50" t="n"/>
      <c r="BS62" s="50" t="n"/>
      <c r="BT62" s="50" t="n"/>
      <c r="BU62" s="50" t="n"/>
      <c r="BV62" s="50" t="n"/>
      <c r="BW62" s="50" t="n"/>
      <c r="BX62" s="50" t="n"/>
      <c r="BY62" s="50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  <c r="CZ62" s="50" t="n"/>
      <c r="DA62" s="50" t="n"/>
      <c r="DB62" s="50" t="n"/>
      <c r="DC62" s="50" t="n"/>
      <c r="DD62" s="50" t="n"/>
      <c r="DE62" s="50" t="n"/>
      <c r="DF62" s="50" t="n"/>
      <c r="DG62" s="50" t="n"/>
      <c r="DH62" s="50" t="n"/>
      <c r="DI62" s="50" t="n"/>
      <c r="DJ62" s="50" t="n"/>
      <c r="DK62" s="50" t="n"/>
      <c r="DL62" s="50" t="n"/>
      <c r="DM62" s="50" t="n"/>
      <c r="DN62" s="50" t="n"/>
      <c r="DO62" s="50" t="n"/>
      <c r="DP62" s="50" t="n"/>
      <c r="DQ62" s="50" t="n"/>
      <c r="DR62" s="50" t="n"/>
      <c r="DS62" s="50" t="n"/>
      <c r="DT62" s="50" t="n"/>
      <c r="DU62" s="50" t="n"/>
      <c r="DV62" s="50" t="n"/>
    </row>
    <row r="63">
      <c r="A63" s="47">
        <f>IF(Mitarbeiter!B63="","",Mitarbeiter!A63)</f>
        <v/>
      </c>
      <c r="B63" s="48">
        <f>IF(Mitarbeiter!B63="","",Mitarbeiter!B63)</f>
        <v/>
      </c>
      <c r="C63" s="49">
        <f>IF(Mitarbeiter!B63="","",Mitarbeiter!F63)</f>
        <v/>
      </c>
      <c r="D63" s="25">
        <f>IF(Mitarbeiter!B63="","",Berechnung!AD63)</f>
        <v/>
      </c>
      <c r="E63" s="25">
        <f>IF(Mitarbeiter!B63="","",SUM(G63:DV63))</f>
        <v/>
      </c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50" t="n"/>
      <c r="BB63" s="50" t="n"/>
      <c r="BC63" s="50" t="n"/>
      <c r="BD63" s="50" t="n"/>
      <c r="BE63" s="50" t="n"/>
      <c r="BF63" s="50" t="n"/>
      <c r="BG63" s="50" t="n"/>
      <c r="BH63" s="50" t="n"/>
      <c r="BI63" s="50" t="n"/>
      <c r="BJ63" s="50" t="n"/>
      <c r="BK63" s="50" t="n"/>
      <c r="BL63" s="50" t="n"/>
      <c r="BM63" s="50" t="n"/>
      <c r="BN63" s="50" t="n"/>
      <c r="BO63" s="50" t="n"/>
      <c r="BP63" s="50" t="n"/>
      <c r="BQ63" s="50" t="n"/>
      <c r="BR63" s="50" t="n"/>
      <c r="BS63" s="50" t="n"/>
      <c r="BT63" s="50" t="n"/>
      <c r="BU63" s="50" t="n"/>
      <c r="BV63" s="50" t="n"/>
      <c r="BW63" s="50" t="n"/>
      <c r="BX63" s="50" t="n"/>
      <c r="BY63" s="50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  <c r="CZ63" s="50" t="n"/>
      <c r="DA63" s="50" t="n"/>
      <c r="DB63" s="50" t="n"/>
      <c r="DC63" s="50" t="n"/>
      <c r="DD63" s="50" t="n"/>
      <c r="DE63" s="50" t="n"/>
      <c r="DF63" s="50" t="n"/>
      <c r="DG63" s="50" t="n"/>
      <c r="DH63" s="50" t="n"/>
      <c r="DI63" s="50" t="n"/>
      <c r="DJ63" s="50" t="n"/>
      <c r="DK63" s="50" t="n"/>
      <c r="DL63" s="50" t="n"/>
      <c r="DM63" s="50" t="n"/>
      <c r="DN63" s="50" t="n"/>
      <c r="DO63" s="50" t="n"/>
      <c r="DP63" s="50" t="n"/>
      <c r="DQ63" s="50" t="n"/>
      <c r="DR63" s="50" t="n"/>
      <c r="DS63" s="50" t="n"/>
      <c r="DT63" s="50" t="n"/>
      <c r="DU63" s="50" t="n"/>
      <c r="DV63" s="50" t="n"/>
    </row>
    <row r="64">
      <c r="A64" s="47">
        <f>IF(Mitarbeiter!B64="","",Mitarbeiter!A64)</f>
        <v/>
      </c>
      <c r="B64" s="48">
        <f>IF(Mitarbeiter!B64="","",Mitarbeiter!B64)</f>
        <v/>
      </c>
      <c r="C64" s="49">
        <f>IF(Mitarbeiter!B64="","",Mitarbeiter!F64)</f>
        <v/>
      </c>
      <c r="D64" s="25">
        <f>IF(Mitarbeiter!B64="","",Berechnung!AD64)</f>
        <v/>
      </c>
      <c r="E64" s="25">
        <f>IF(Mitarbeiter!B64="","",SUM(G64:DV64))</f>
        <v/>
      </c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50" t="n"/>
      <c r="BB64" s="50" t="n"/>
      <c r="BC64" s="50" t="n"/>
      <c r="BD64" s="50" t="n"/>
      <c r="BE64" s="50" t="n"/>
      <c r="BF64" s="50" t="n"/>
      <c r="BG64" s="50" t="n"/>
      <c r="BH64" s="50" t="n"/>
      <c r="BI64" s="50" t="n"/>
      <c r="BJ64" s="50" t="n"/>
      <c r="BK64" s="50" t="n"/>
      <c r="BL64" s="50" t="n"/>
      <c r="BM64" s="50" t="n"/>
      <c r="BN64" s="50" t="n"/>
      <c r="BO64" s="50" t="n"/>
      <c r="BP64" s="50" t="n"/>
      <c r="BQ64" s="50" t="n"/>
      <c r="BR64" s="50" t="n"/>
      <c r="BS64" s="50" t="n"/>
      <c r="BT64" s="50" t="n"/>
      <c r="BU64" s="50" t="n"/>
      <c r="BV64" s="50" t="n"/>
      <c r="BW64" s="50" t="n"/>
      <c r="BX64" s="50" t="n"/>
      <c r="BY64" s="50" t="n"/>
      <c r="BZ64" s="50" t="n"/>
      <c r="CA64" s="50" t="n"/>
      <c r="CB64" s="50" t="n"/>
      <c r="CC64" s="50" t="n"/>
      <c r="CD64" s="50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  <c r="CZ64" s="50" t="n"/>
      <c r="DA64" s="50" t="n"/>
      <c r="DB64" s="50" t="n"/>
      <c r="DC64" s="50" t="n"/>
      <c r="DD64" s="50" t="n"/>
      <c r="DE64" s="50" t="n"/>
      <c r="DF64" s="50" t="n"/>
      <c r="DG64" s="50" t="n"/>
      <c r="DH64" s="50" t="n"/>
      <c r="DI64" s="50" t="n"/>
      <c r="DJ64" s="50" t="n"/>
      <c r="DK64" s="50" t="n"/>
      <c r="DL64" s="50" t="n"/>
      <c r="DM64" s="50" t="n"/>
      <c r="DN64" s="50" t="n"/>
      <c r="DO64" s="50" t="n"/>
      <c r="DP64" s="50" t="n"/>
      <c r="DQ64" s="50" t="n"/>
      <c r="DR64" s="50" t="n"/>
      <c r="DS64" s="50" t="n"/>
      <c r="DT64" s="50" t="n"/>
      <c r="DU64" s="50" t="n"/>
      <c r="DV64" s="50" t="n"/>
    </row>
    <row r="65">
      <c r="A65" s="47">
        <f>IF(Mitarbeiter!B65="","",Mitarbeiter!A65)</f>
        <v/>
      </c>
      <c r="B65" s="48">
        <f>IF(Mitarbeiter!B65="","",Mitarbeiter!B65)</f>
        <v/>
      </c>
      <c r="C65" s="49">
        <f>IF(Mitarbeiter!B65="","",Mitarbeiter!F65)</f>
        <v/>
      </c>
      <c r="D65" s="25">
        <f>IF(Mitarbeiter!B65="","",Berechnung!AD65)</f>
        <v/>
      </c>
      <c r="E65" s="25">
        <f>IF(Mitarbeiter!B65="","",SUM(G65:DV65))</f>
        <v/>
      </c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  <c r="X65" s="50" t="n"/>
      <c r="Y65" s="50" t="n"/>
      <c r="Z65" s="50" t="n"/>
      <c r="AA65" s="50" t="n"/>
      <c r="AB65" s="50" t="n"/>
      <c r="AC65" s="50" t="n"/>
      <c r="AD65" s="50" t="n"/>
      <c r="AE65" s="50" t="n"/>
      <c r="AF65" s="50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50" t="n"/>
      <c r="AY65" s="50" t="n"/>
      <c r="AZ65" s="50" t="n"/>
      <c r="BA65" s="50" t="n"/>
      <c r="BB65" s="50" t="n"/>
      <c r="BC65" s="50" t="n"/>
      <c r="BD65" s="50" t="n"/>
      <c r="BE65" s="50" t="n"/>
      <c r="BF65" s="50" t="n"/>
      <c r="BG65" s="50" t="n"/>
      <c r="BH65" s="50" t="n"/>
      <c r="BI65" s="50" t="n"/>
      <c r="BJ65" s="50" t="n"/>
      <c r="BK65" s="50" t="n"/>
      <c r="BL65" s="50" t="n"/>
      <c r="BM65" s="50" t="n"/>
      <c r="BN65" s="50" t="n"/>
      <c r="BO65" s="50" t="n"/>
      <c r="BP65" s="50" t="n"/>
      <c r="BQ65" s="50" t="n"/>
      <c r="BR65" s="50" t="n"/>
      <c r="BS65" s="50" t="n"/>
      <c r="BT65" s="50" t="n"/>
      <c r="BU65" s="50" t="n"/>
      <c r="BV65" s="50" t="n"/>
      <c r="BW65" s="50" t="n"/>
      <c r="BX65" s="50" t="n"/>
      <c r="BY65" s="50" t="n"/>
      <c r="BZ65" s="50" t="n"/>
      <c r="CA65" s="50" t="n"/>
      <c r="CB65" s="50" t="n"/>
      <c r="CC65" s="50" t="n"/>
      <c r="CD65" s="50" t="n"/>
      <c r="CE65" s="50" t="n"/>
      <c r="CF65" s="50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  <c r="CZ65" s="50" t="n"/>
      <c r="DA65" s="50" t="n"/>
      <c r="DB65" s="50" t="n"/>
      <c r="DC65" s="50" t="n"/>
      <c r="DD65" s="50" t="n"/>
      <c r="DE65" s="50" t="n"/>
      <c r="DF65" s="50" t="n"/>
      <c r="DG65" s="50" t="n"/>
      <c r="DH65" s="50" t="n"/>
      <c r="DI65" s="50" t="n"/>
      <c r="DJ65" s="50" t="n"/>
      <c r="DK65" s="50" t="n"/>
      <c r="DL65" s="50" t="n"/>
      <c r="DM65" s="50" t="n"/>
      <c r="DN65" s="50" t="n"/>
      <c r="DO65" s="50" t="n"/>
      <c r="DP65" s="50" t="n"/>
      <c r="DQ65" s="50" t="n"/>
      <c r="DR65" s="50" t="n"/>
      <c r="DS65" s="50" t="n"/>
      <c r="DT65" s="50" t="n"/>
      <c r="DU65" s="50" t="n"/>
      <c r="DV65" s="50" t="n"/>
    </row>
    <row r="66">
      <c r="A66" s="47">
        <f>IF(Mitarbeiter!B66="","",Mitarbeiter!A66)</f>
        <v/>
      </c>
      <c r="B66" s="48">
        <f>IF(Mitarbeiter!B66="","",Mitarbeiter!B66)</f>
        <v/>
      </c>
      <c r="C66" s="49">
        <f>IF(Mitarbeiter!B66="","",Mitarbeiter!F66)</f>
        <v/>
      </c>
      <c r="D66" s="25">
        <f>IF(Mitarbeiter!B66="","",Berechnung!AD66)</f>
        <v/>
      </c>
      <c r="E66" s="25">
        <f>IF(Mitarbeiter!B66="","",SUM(G66:DV66))</f>
        <v/>
      </c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50" t="n"/>
      <c r="AY66" s="50" t="n"/>
      <c r="AZ66" s="50" t="n"/>
      <c r="BA66" s="50" t="n"/>
      <c r="BB66" s="50" t="n"/>
      <c r="BC66" s="50" t="n"/>
      <c r="BD66" s="50" t="n"/>
      <c r="BE66" s="50" t="n"/>
      <c r="BF66" s="50" t="n"/>
      <c r="BG66" s="50" t="n"/>
      <c r="BH66" s="50" t="n"/>
      <c r="BI66" s="50" t="n"/>
      <c r="BJ66" s="50" t="n"/>
      <c r="BK66" s="50" t="n"/>
      <c r="BL66" s="50" t="n"/>
      <c r="BM66" s="50" t="n"/>
      <c r="BN66" s="50" t="n"/>
      <c r="BO66" s="50" t="n"/>
      <c r="BP66" s="50" t="n"/>
      <c r="BQ66" s="50" t="n"/>
      <c r="BR66" s="50" t="n"/>
      <c r="BS66" s="50" t="n"/>
      <c r="BT66" s="50" t="n"/>
      <c r="BU66" s="50" t="n"/>
      <c r="BV66" s="50" t="n"/>
      <c r="BW66" s="50" t="n"/>
      <c r="BX66" s="50" t="n"/>
      <c r="BY66" s="50" t="n"/>
      <c r="BZ66" s="50" t="n"/>
      <c r="CA66" s="50" t="n"/>
      <c r="CB66" s="50" t="n"/>
      <c r="CC66" s="50" t="n"/>
      <c r="CD66" s="50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  <c r="CZ66" s="50" t="n"/>
      <c r="DA66" s="50" t="n"/>
      <c r="DB66" s="50" t="n"/>
      <c r="DC66" s="50" t="n"/>
      <c r="DD66" s="50" t="n"/>
      <c r="DE66" s="50" t="n"/>
      <c r="DF66" s="50" t="n"/>
      <c r="DG66" s="50" t="n"/>
      <c r="DH66" s="50" t="n"/>
      <c r="DI66" s="50" t="n"/>
      <c r="DJ66" s="50" t="n"/>
      <c r="DK66" s="50" t="n"/>
      <c r="DL66" s="50" t="n"/>
      <c r="DM66" s="50" t="n"/>
      <c r="DN66" s="50" t="n"/>
      <c r="DO66" s="50" t="n"/>
      <c r="DP66" s="50" t="n"/>
      <c r="DQ66" s="50" t="n"/>
      <c r="DR66" s="50" t="n"/>
      <c r="DS66" s="50" t="n"/>
      <c r="DT66" s="50" t="n"/>
      <c r="DU66" s="50" t="n"/>
      <c r="DV66" s="50" t="n"/>
    </row>
    <row r="67">
      <c r="A67" s="47">
        <f>IF(Mitarbeiter!B67="","",Mitarbeiter!A67)</f>
        <v/>
      </c>
      <c r="B67" s="48">
        <f>IF(Mitarbeiter!B67="","",Mitarbeiter!B67)</f>
        <v/>
      </c>
      <c r="C67" s="49">
        <f>IF(Mitarbeiter!B67="","",Mitarbeiter!F67)</f>
        <v/>
      </c>
      <c r="D67" s="25">
        <f>IF(Mitarbeiter!B67="","",Berechnung!AD67)</f>
        <v/>
      </c>
      <c r="E67" s="25">
        <f>IF(Mitarbeiter!B67="","",SUM(G67:DV67))</f>
        <v/>
      </c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50" t="n"/>
      <c r="AY67" s="50" t="n"/>
      <c r="AZ67" s="50" t="n"/>
      <c r="BA67" s="50" t="n"/>
      <c r="BB67" s="50" t="n"/>
      <c r="BC67" s="50" t="n"/>
      <c r="BD67" s="50" t="n"/>
      <c r="BE67" s="50" t="n"/>
      <c r="BF67" s="50" t="n"/>
      <c r="BG67" s="50" t="n"/>
      <c r="BH67" s="50" t="n"/>
      <c r="BI67" s="50" t="n"/>
      <c r="BJ67" s="50" t="n"/>
      <c r="BK67" s="50" t="n"/>
      <c r="BL67" s="50" t="n"/>
      <c r="BM67" s="50" t="n"/>
      <c r="BN67" s="50" t="n"/>
      <c r="BO67" s="50" t="n"/>
      <c r="BP67" s="50" t="n"/>
      <c r="BQ67" s="50" t="n"/>
      <c r="BR67" s="50" t="n"/>
      <c r="BS67" s="50" t="n"/>
      <c r="BT67" s="50" t="n"/>
      <c r="BU67" s="50" t="n"/>
      <c r="BV67" s="50" t="n"/>
      <c r="BW67" s="50" t="n"/>
      <c r="BX67" s="50" t="n"/>
      <c r="BY67" s="50" t="n"/>
      <c r="BZ67" s="50" t="n"/>
      <c r="CA67" s="50" t="n"/>
      <c r="CB67" s="50" t="n"/>
      <c r="CC67" s="50" t="n"/>
      <c r="CD67" s="50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  <c r="CZ67" s="50" t="n"/>
      <c r="DA67" s="50" t="n"/>
      <c r="DB67" s="50" t="n"/>
      <c r="DC67" s="50" t="n"/>
      <c r="DD67" s="50" t="n"/>
      <c r="DE67" s="50" t="n"/>
      <c r="DF67" s="50" t="n"/>
      <c r="DG67" s="50" t="n"/>
      <c r="DH67" s="50" t="n"/>
      <c r="DI67" s="50" t="n"/>
      <c r="DJ67" s="50" t="n"/>
      <c r="DK67" s="50" t="n"/>
      <c r="DL67" s="50" t="n"/>
      <c r="DM67" s="50" t="n"/>
      <c r="DN67" s="50" t="n"/>
      <c r="DO67" s="50" t="n"/>
      <c r="DP67" s="50" t="n"/>
      <c r="DQ67" s="50" t="n"/>
      <c r="DR67" s="50" t="n"/>
      <c r="DS67" s="50" t="n"/>
      <c r="DT67" s="50" t="n"/>
      <c r="DU67" s="50" t="n"/>
      <c r="DV67" s="50" t="n"/>
    </row>
    <row r="68">
      <c r="A68" s="47">
        <f>IF(Mitarbeiter!B68="","",Mitarbeiter!A68)</f>
        <v/>
      </c>
      <c r="B68" s="48">
        <f>IF(Mitarbeiter!B68="","",Mitarbeiter!B68)</f>
        <v/>
      </c>
      <c r="C68" s="49">
        <f>IF(Mitarbeiter!B68="","",Mitarbeiter!F68)</f>
        <v/>
      </c>
      <c r="D68" s="25">
        <f>IF(Mitarbeiter!B68="","",Berechnung!AD68)</f>
        <v/>
      </c>
      <c r="E68" s="25">
        <f>IF(Mitarbeiter!B68="","",SUM(G68:DV68))</f>
        <v/>
      </c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50" t="n"/>
      <c r="AY68" s="50" t="n"/>
      <c r="AZ68" s="50" t="n"/>
      <c r="BA68" s="50" t="n"/>
      <c r="BB68" s="50" t="n"/>
      <c r="BC68" s="50" t="n"/>
      <c r="BD68" s="50" t="n"/>
      <c r="BE68" s="50" t="n"/>
      <c r="BF68" s="50" t="n"/>
      <c r="BG68" s="50" t="n"/>
      <c r="BH68" s="50" t="n"/>
      <c r="BI68" s="50" t="n"/>
      <c r="BJ68" s="50" t="n"/>
      <c r="BK68" s="50" t="n"/>
      <c r="BL68" s="50" t="n"/>
      <c r="BM68" s="50" t="n"/>
      <c r="BN68" s="50" t="n"/>
      <c r="BO68" s="50" t="n"/>
      <c r="BP68" s="50" t="n"/>
      <c r="BQ68" s="50" t="n"/>
      <c r="BR68" s="50" t="n"/>
      <c r="BS68" s="50" t="n"/>
      <c r="BT68" s="50" t="n"/>
      <c r="BU68" s="50" t="n"/>
      <c r="BV68" s="50" t="n"/>
      <c r="BW68" s="50" t="n"/>
      <c r="BX68" s="50" t="n"/>
      <c r="BY68" s="50" t="n"/>
      <c r="BZ68" s="50" t="n"/>
      <c r="CA68" s="50" t="n"/>
      <c r="CB68" s="50" t="n"/>
      <c r="CC68" s="50" t="n"/>
      <c r="CD68" s="50" t="n"/>
      <c r="CE68" s="50" t="n"/>
      <c r="CF68" s="50" t="n"/>
      <c r="CG68" s="50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  <c r="CZ68" s="50" t="n"/>
      <c r="DA68" s="50" t="n"/>
      <c r="DB68" s="50" t="n"/>
      <c r="DC68" s="50" t="n"/>
      <c r="DD68" s="50" t="n"/>
      <c r="DE68" s="50" t="n"/>
      <c r="DF68" s="50" t="n"/>
      <c r="DG68" s="50" t="n"/>
      <c r="DH68" s="50" t="n"/>
      <c r="DI68" s="50" t="n"/>
      <c r="DJ68" s="50" t="n"/>
      <c r="DK68" s="50" t="n"/>
      <c r="DL68" s="50" t="n"/>
      <c r="DM68" s="50" t="n"/>
      <c r="DN68" s="50" t="n"/>
      <c r="DO68" s="50" t="n"/>
      <c r="DP68" s="50" t="n"/>
      <c r="DQ68" s="50" t="n"/>
      <c r="DR68" s="50" t="n"/>
      <c r="DS68" s="50" t="n"/>
      <c r="DT68" s="50" t="n"/>
      <c r="DU68" s="50" t="n"/>
      <c r="DV68" s="50" t="n"/>
    </row>
    <row r="69">
      <c r="A69" s="47">
        <f>IF(Mitarbeiter!B69="","",Mitarbeiter!A69)</f>
        <v/>
      </c>
      <c r="B69" s="48">
        <f>IF(Mitarbeiter!B69="","",Mitarbeiter!B69)</f>
        <v/>
      </c>
      <c r="C69" s="49">
        <f>IF(Mitarbeiter!B69="","",Mitarbeiter!F69)</f>
        <v/>
      </c>
      <c r="D69" s="25">
        <f>IF(Mitarbeiter!B69="","",Berechnung!AD69)</f>
        <v/>
      </c>
      <c r="E69" s="25">
        <f>IF(Mitarbeiter!B69="","",SUM(G69:DV69))</f>
        <v/>
      </c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  <c r="X69" s="50" t="n"/>
      <c r="Y69" s="50" t="n"/>
      <c r="Z69" s="50" t="n"/>
      <c r="AA69" s="50" t="n"/>
      <c r="AB69" s="50" t="n"/>
      <c r="AC69" s="50" t="n"/>
      <c r="AD69" s="50" t="n"/>
      <c r="AE69" s="50" t="n"/>
      <c r="AF69" s="50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  <c r="AQ69" s="50" t="n"/>
      <c r="AR69" s="50" t="n"/>
      <c r="AS69" s="50" t="n"/>
      <c r="AT69" s="50" t="n"/>
      <c r="AU69" s="50" t="n"/>
      <c r="AV69" s="50" t="n"/>
      <c r="AW69" s="50" t="n"/>
      <c r="AX69" s="50" t="n"/>
      <c r="AY69" s="50" t="n"/>
      <c r="AZ69" s="50" t="n"/>
      <c r="BA69" s="50" t="n"/>
      <c r="BB69" s="50" t="n"/>
      <c r="BC69" s="50" t="n"/>
      <c r="BD69" s="50" t="n"/>
      <c r="BE69" s="50" t="n"/>
      <c r="BF69" s="50" t="n"/>
      <c r="BG69" s="50" t="n"/>
      <c r="BH69" s="50" t="n"/>
      <c r="BI69" s="50" t="n"/>
      <c r="BJ69" s="50" t="n"/>
      <c r="BK69" s="50" t="n"/>
      <c r="BL69" s="50" t="n"/>
      <c r="BM69" s="50" t="n"/>
      <c r="BN69" s="50" t="n"/>
      <c r="BO69" s="50" t="n"/>
      <c r="BP69" s="50" t="n"/>
      <c r="BQ69" s="50" t="n"/>
      <c r="BR69" s="50" t="n"/>
      <c r="BS69" s="50" t="n"/>
      <c r="BT69" s="50" t="n"/>
      <c r="BU69" s="50" t="n"/>
      <c r="BV69" s="50" t="n"/>
      <c r="BW69" s="50" t="n"/>
      <c r="BX69" s="50" t="n"/>
      <c r="BY69" s="50" t="n"/>
      <c r="BZ69" s="50" t="n"/>
      <c r="CA69" s="50" t="n"/>
      <c r="CB69" s="50" t="n"/>
      <c r="CC69" s="50" t="n"/>
      <c r="CD69" s="50" t="n"/>
      <c r="CE69" s="50" t="n"/>
      <c r="CF69" s="50" t="n"/>
      <c r="CG69" s="50" t="n"/>
      <c r="CH69" s="50" t="n"/>
      <c r="CI69" s="50" t="n"/>
      <c r="CJ69" s="50" t="n"/>
      <c r="CK69" s="50" t="n"/>
      <c r="CL69" s="50" t="n"/>
      <c r="CM69" s="50" t="n"/>
      <c r="CN69" s="50" t="n"/>
      <c r="CO69" s="50" t="n"/>
      <c r="CP69" s="50" t="n"/>
      <c r="CQ69" s="50" t="n"/>
      <c r="CR69" s="50" t="n"/>
      <c r="CS69" s="50" t="n"/>
      <c r="CT69" s="50" t="n"/>
      <c r="CU69" s="50" t="n"/>
      <c r="CV69" s="50" t="n"/>
      <c r="CW69" s="50" t="n"/>
      <c r="CX69" s="50" t="n"/>
      <c r="CY69" s="50" t="n"/>
      <c r="CZ69" s="50" t="n"/>
      <c r="DA69" s="50" t="n"/>
      <c r="DB69" s="50" t="n"/>
      <c r="DC69" s="50" t="n"/>
      <c r="DD69" s="50" t="n"/>
      <c r="DE69" s="50" t="n"/>
      <c r="DF69" s="50" t="n"/>
      <c r="DG69" s="50" t="n"/>
      <c r="DH69" s="50" t="n"/>
      <c r="DI69" s="50" t="n"/>
      <c r="DJ69" s="50" t="n"/>
      <c r="DK69" s="50" t="n"/>
      <c r="DL69" s="50" t="n"/>
      <c r="DM69" s="50" t="n"/>
      <c r="DN69" s="50" t="n"/>
      <c r="DO69" s="50" t="n"/>
      <c r="DP69" s="50" t="n"/>
      <c r="DQ69" s="50" t="n"/>
      <c r="DR69" s="50" t="n"/>
      <c r="DS69" s="50" t="n"/>
      <c r="DT69" s="50" t="n"/>
      <c r="DU69" s="50" t="n"/>
      <c r="DV69" s="50" t="n"/>
    </row>
    <row r="70">
      <c r="A70" s="47">
        <f>IF(Mitarbeiter!B70="","",Mitarbeiter!A70)</f>
        <v/>
      </c>
      <c r="B70" s="48">
        <f>IF(Mitarbeiter!B70="","",Mitarbeiter!B70)</f>
        <v/>
      </c>
      <c r="C70" s="49">
        <f>IF(Mitarbeiter!B70="","",Mitarbeiter!F70)</f>
        <v/>
      </c>
      <c r="D70" s="25">
        <f>IF(Mitarbeiter!B70="","",Berechnung!AD70)</f>
        <v/>
      </c>
      <c r="E70" s="25">
        <f>IF(Mitarbeiter!B70="","",SUM(G70:DV70))</f>
        <v/>
      </c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50" t="n"/>
      <c r="AY70" s="50" t="n"/>
      <c r="AZ70" s="50" t="n"/>
      <c r="BA70" s="50" t="n"/>
      <c r="BB70" s="50" t="n"/>
      <c r="BC70" s="50" t="n"/>
      <c r="BD70" s="50" t="n"/>
      <c r="BE70" s="50" t="n"/>
      <c r="BF70" s="50" t="n"/>
      <c r="BG70" s="50" t="n"/>
      <c r="BH70" s="50" t="n"/>
      <c r="BI70" s="50" t="n"/>
      <c r="BJ70" s="50" t="n"/>
      <c r="BK70" s="50" t="n"/>
      <c r="BL70" s="50" t="n"/>
      <c r="BM70" s="50" t="n"/>
      <c r="BN70" s="50" t="n"/>
      <c r="BO70" s="50" t="n"/>
      <c r="BP70" s="50" t="n"/>
      <c r="BQ70" s="50" t="n"/>
      <c r="BR70" s="50" t="n"/>
      <c r="BS70" s="50" t="n"/>
      <c r="BT70" s="50" t="n"/>
      <c r="BU70" s="50" t="n"/>
      <c r="BV70" s="50" t="n"/>
      <c r="BW70" s="50" t="n"/>
      <c r="BX70" s="50" t="n"/>
      <c r="BY70" s="50" t="n"/>
      <c r="BZ70" s="50" t="n"/>
      <c r="CA70" s="50" t="n"/>
      <c r="CB70" s="50" t="n"/>
      <c r="CC70" s="50" t="n"/>
      <c r="CD70" s="50" t="n"/>
      <c r="CE70" s="50" t="n"/>
      <c r="CF70" s="50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  <c r="CZ70" s="50" t="n"/>
      <c r="DA70" s="50" t="n"/>
      <c r="DB70" s="50" t="n"/>
      <c r="DC70" s="50" t="n"/>
      <c r="DD70" s="50" t="n"/>
      <c r="DE70" s="50" t="n"/>
      <c r="DF70" s="50" t="n"/>
      <c r="DG70" s="50" t="n"/>
      <c r="DH70" s="50" t="n"/>
      <c r="DI70" s="50" t="n"/>
      <c r="DJ70" s="50" t="n"/>
      <c r="DK70" s="50" t="n"/>
      <c r="DL70" s="50" t="n"/>
      <c r="DM70" s="50" t="n"/>
      <c r="DN70" s="50" t="n"/>
      <c r="DO70" s="50" t="n"/>
      <c r="DP70" s="50" t="n"/>
      <c r="DQ70" s="50" t="n"/>
      <c r="DR70" s="50" t="n"/>
      <c r="DS70" s="50" t="n"/>
      <c r="DT70" s="50" t="n"/>
      <c r="DU70" s="50" t="n"/>
      <c r="DV70" s="50" t="n"/>
    </row>
    <row r="71">
      <c r="A71" s="47">
        <f>IF(Mitarbeiter!B71="","",Mitarbeiter!A71)</f>
        <v/>
      </c>
      <c r="B71" s="48">
        <f>IF(Mitarbeiter!B71="","",Mitarbeiter!B71)</f>
        <v/>
      </c>
      <c r="C71" s="49">
        <f>IF(Mitarbeiter!B71="","",Mitarbeiter!F71)</f>
        <v/>
      </c>
      <c r="D71" s="25">
        <f>IF(Mitarbeiter!B71="","",Berechnung!AD71)</f>
        <v/>
      </c>
      <c r="E71" s="25">
        <f>IF(Mitarbeiter!B71="","",SUM(G71:DV71))</f>
        <v/>
      </c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0" t="n"/>
      <c r="S71" s="50" t="n"/>
      <c r="T71" s="50" t="n"/>
      <c r="U71" s="50" t="n"/>
      <c r="V71" s="50" t="n"/>
      <c r="W71" s="50" t="n"/>
      <c r="X71" s="50" t="n"/>
      <c r="Y71" s="50" t="n"/>
      <c r="Z71" s="50" t="n"/>
      <c r="AA71" s="50" t="n"/>
      <c r="AB71" s="50" t="n"/>
      <c r="AC71" s="50" t="n"/>
      <c r="AD71" s="50" t="n"/>
      <c r="AE71" s="50" t="n"/>
      <c r="AF71" s="50" t="n"/>
      <c r="AG71" s="50" t="n"/>
      <c r="AH71" s="50" t="n"/>
      <c r="AI71" s="50" t="n"/>
      <c r="AJ71" s="50" t="n"/>
      <c r="AK71" s="50" t="n"/>
      <c r="AL71" s="50" t="n"/>
      <c r="AM71" s="50" t="n"/>
      <c r="AN71" s="50" t="n"/>
      <c r="AO71" s="50" t="n"/>
      <c r="AP71" s="50" t="n"/>
      <c r="AQ71" s="50" t="n"/>
      <c r="AR71" s="50" t="n"/>
      <c r="AS71" s="50" t="n"/>
      <c r="AT71" s="50" t="n"/>
      <c r="AU71" s="50" t="n"/>
      <c r="AV71" s="50" t="n"/>
      <c r="AW71" s="50" t="n"/>
      <c r="AX71" s="50" t="n"/>
      <c r="AY71" s="50" t="n"/>
      <c r="AZ71" s="50" t="n"/>
      <c r="BA71" s="50" t="n"/>
      <c r="BB71" s="50" t="n"/>
      <c r="BC71" s="50" t="n"/>
      <c r="BD71" s="50" t="n"/>
      <c r="BE71" s="50" t="n"/>
      <c r="BF71" s="50" t="n"/>
      <c r="BG71" s="50" t="n"/>
      <c r="BH71" s="50" t="n"/>
      <c r="BI71" s="50" t="n"/>
      <c r="BJ71" s="50" t="n"/>
      <c r="BK71" s="50" t="n"/>
      <c r="BL71" s="50" t="n"/>
      <c r="BM71" s="50" t="n"/>
      <c r="BN71" s="50" t="n"/>
      <c r="BO71" s="50" t="n"/>
      <c r="BP71" s="50" t="n"/>
      <c r="BQ71" s="50" t="n"/>
      <c r="BR71" s="50" t="n"/>
      <c r="BS71" s="50" t="n"/>
      <c r="BT71" s="50" t="n"/>
      <c r="BU71" s="50" t="n"/>
      <c r="BV71" s="50" t="n"/>
      <c r="BW71" s="50" t="n"/>
      <c r="BX71" s="50" t="n"/>
      <c r="BY71" s="50" t="n"/>
      <c r="BZ71" s="50" t="n"/>
      <c r="CA71" s="50" t="n"/>
      <c r="CB71" s="50" t="n"/>
      <c r="CC71" s="50" t="n"/>
      <c r="CD71" s="50" t="n"/>
      <c r="CE71" s="50" t="n"/>
      <c r="CF71" s="50" t="n"/>
      <c r="CG71" s="50" t="n"/>
      <c r="CH71" s="50" t="n"/>
      <c r="CI71" s="50" t="n"/>
      <c r="CJ71" s="50" t="n"/>
      <c r="CK71" s="50" t="n"/>
      <c r="CL71" s="50" t="n"/>
      <c r="CM71" s="50" t="n"/>
      <c r="CN71" s="50" t="n"/>
      <c r="CO71" s="50" t="n"/>
      <c r="CP71" s="50" t="n"/>
      <c r="CQ71" s="50" t="n"/>
      <c r="CR71" s="50" t="n"/>
      <c r="CS71" s="50" t="n"/>
      <c r="CT71" s="50" t="n"/>
      <c r="CU71" s="50" t="n"/>
      <c r="CV71" s="50" t="n"/>
      <c r="CW71" s="50" t="n"/>
      <c r="CX71" s="50" t="n"/>
      <c r="CY71" s="50" t="n"/>
      <c r="CZ71" s="50" t="n"/>
      <c r="DA71" s="50" t="n"/>
      <c r="DB71" s="50" t="n"/>
      <c r="DC71" s="50" t="n"/>
      <c r="DD71" s="50" t="n"/>
      <c r="DE71" s="50" t="n"/>
      <c r="DF71" s="50" t="n"/>
      <c r="DG71" s="50" t="n"/>
      <c r="DH71" s="50" t="n"/>
      <c r="DI71" s="50" t="n"/>
      <c r="DJ71" s="50" t="n"/>
      <c r="DK71" s="50" t="n"/>
      <c r="DL71" s="50" t="n"/>
      <c r="DM71" s="50" t="n"/>
      <c r="DN71" s="50" t="n"/>
      <c r="DO71" s="50" t="n"/>
      <c r="DP71" s="50" t="n"/>
      <c r="DQ71" s="50" t="n"/>
      <c r="DR71" s="50" t="n"/>
      <c r="DS71" s="50" t="n"/>
      <c r="DT71" s="50" t="n"/>
      <c r="DU71" s="50" t="n"/>
      <c r="DV71" s="50" t="n"/>
    </row>
    <row r="72">
      <c r="A72" s="47">
        <f>IF(Mitarbeiter!B72="","",Mitarbeiter!A72)</f>
        <v/>
      </c>
      <c r="B72" s="48">
        <f>IF(Mitarbeiter!B72="","",Mitarbeiter!B72)</f>
        <v/>
      </c>
      <c r="C72" s="49">
        <f>IF(Mitarbeiter!B72="","",Mitarbeiter!F72)</f>
        <v/>
      </c>
      <c r="D72" s="25">
        <f>IF(Mitarbeiter!B72="","",Berechnung!AD72)</f>
        <v/>
      </c>
      <c r="E72" s="25">
        <f>IF(Mitarbeiter!B72="","",SUM(G72:DV72))</f>
        <v/>
      </c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0" t="n"/>
      <c r="S72" s="50" t="n"/>
      <c r="T72" s="50" t="n"/>
      <c r="U72" s="50" t="n"/>
      <c r="V72" s="50" t="n"/>
      <c r="W72" s="50" t="n"/>
      <c r="X72" s="50" t="n"/>
      <c r="Y72" s="50" t="n"/>
      <c r="Z72" s="50" t="n"/>
      <c r="AA72" s="50" t="n"/>
      <c r="AB72" s="50" t="n"/>
      <c r="AC72" s="50" t="n"/>
      <c r="AD72" s="50" t="n"/>
      <c r="AE72" s="50" t="n"/>
      <c r="AF72" s="50" t="n"/>
      <c r="AG72" s="50" t="n"/>
      <c r="AH72" s="50" t="n"/>
      <c r="AI72" s="50" t="n"/>
      <c r="AJ72" s="50" t="n"/>
      <c r="AK72" s="50" t="n"/>
      <c r="AL72" s="50" t="n"/>
      <c r="AM72" s="50" t="n"/>
      <c r="AN72" s="50" t="n"/>
      <c r="AO72" s="50" t="n"/>
      <c r="AP72" s="50" t="n"/>
      <c r="AQ72" s="50" t="n"/>
      <c r="AR72" s="50" t="n"/>
      <c r="AS72" s="50" t="n"/>
      <c r="AT72" s="50" t="n"/>
      <c r="AU72" s="50" t="n"/>
      <c r="AV72" s="50" t="n"/>
      <c r="AW72" s="50" t="n"/>
      <c r="AX72" s="50" t="n"/>
      <c r="AY72" s="50" t="n"/>
      <c r="AZ72" s="50" t="n"/>
      <c r="BA72" s="50" t="n"/>
      <c r="BB72" s="50" t="n"/>
      <c r="BC72" s="50" t="n"/>
      <c r="BD72" s="50" t="n"/>
      <c r="BE72" s="50" t="n"/>
      <c r="BF72" s="50" t="n"/>
      <c r="BG72" s="50" t="n"/>
      <c r="BH72" s="50" t="n"/>
      <c r="BI72" s="50" t="n"/>
      <c r="BJ72" s="50" t="n"/>
      <c r="BK72" s="50" t="n"/>
      <c r="BL72" s="50" t="n"/>
      <c r="BM72" s="50" t="n"/>
      <c r="BN72" s="50" t="n"/>
      <c r="BO72" s="50" t="n"/>
      <c r="BP72" s="50" t="n"/>
      <c r="BQ72" s="50" t="n"/>
      <c r="BR72" s="50" t="n"/>
      <c r="BS72" s="50" t="n"/>
      <c r="BT72" s="50" t="n"/>
      <c r="BU72" s="50" t="n"/>
      <c r="BV72" s="50" t="n"/>
      <c r="BW72" s="50" t="n"/>
      <c r="BX72" s="50" t="n"/>
      <c r="BY72" s="50" t="n"/>
      <c r="BZ72" s="50" t="n"/>
      <c r="CA72" s="50" t="n"/>
      <c r="CB72" s="50" t="n"/>
      <c r="CC72" s="50" t="n"/>
      <c r="CD72" s="50" t="n"/>
      <c r="CE72" s="50" t="n"/>
      <c r="CF72" s="50" t="n"/>
      <c r="CG72" s="50" t="n"/>
      <c r="CH72" s="50" t="n"/>
      <c r="CI72" s="50" t="n"/>
      <c r="CJ72" s="50" t="n"/>
      <c r="CK72" s="50" t="n"/>
      <c r="CL72" s="50" t="n"/>
      <c r="CM72" s="50" t="n"/>
      <c r="CN72" s="50" t="n"/>
      <c r="CO72" s="50" t="n"/>
      <c r="CP72" s="50" t="n"/>
      <c r="CQ72" s="50" t="n"/>
      <c r="CR72" s="50" t="n"/>
      <c r="CS72" s="50" t="n"/>
      <c r="CT72" s="50" t="n"/>
      <c r="CU72" s="50" t="n"/>
      <c r="CV72" s="50" t="n"/>
      <c r="CW72" s="50" t="n"/>
      <c r="CX72" s="50" t="n"/>
      <c r="CY72" s="50" t="n"/>
      <c r="CZ72" s="50" t="n"/>
      <c r="DA72" s="50" t="n"/>
      <c r="DB72" s="50" t="n"/>
      <c r="DC72" s="50" t="n"/>
      <c r="DD72" s="50" t="n"/>
      <c r="DE72" s="50" t="n"/>
      <c r="DF72" s="50" t="n"/>
      <c r="DG72" s="50" t="n"/>
      <c r="DH72" s="50" t="n"/>
      <c r="DI72" s="50" t="n"/>
      <c r="DJ72" s="50" t="n"/>
      <c r="DK72" s="50" t="n"/>
      <c r="DL72" s="50" t="n"/>
      <c r="DM72" s="50" t="n"/>
      <c r="DN72" s="50" t="n"/>
      <c r="DO72" s="50" t="n"/>
      <c r="DP72" s="50" t="n"/>
      <c r="DQ72" s="50" t="n"/>
      <c r="DR72" s="50" t="n"/>
      <c r="DS72" s="50" t="n"/>
      <c r="DT72" s="50" t="n"/>
      <c r="DU72" s="50" t="n"/>
      <c r="DV72" s="50" t="n"/>
    </row>
    <row r="73">
      <c r="A73" s="47">
        <f>IF(Mitarbeiter!B73="","",Mitarbeiter!A73)</f>
        <v/>
      </c>
      <c r="B73" s="48">
        <f>IF(Mitarbeiter!B73="","",Mitarbeiter!B73)</f>
        <v/>
      </c>
      <c r="C73" s="49">
        <f>IF(Mitarbeiter!B73="","",Mitarbeiter!F73)</f>
        <v/>
      </c>
      <c r="D73" s="25">
        <f>IF(Mitarbeiter!B73="","",Berechnung!AD73)</f>
        <v/>
      </c>
      <c r="E73" s="25">
        <f>IF(Mitarbeiter!B73="","",SUM(G73:DV73))</f>
        <v/>
      </c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0" t="n"/>
      <c r="S73" s="50" t="n"/>
      <c r="T73" s="50" t="n"/>
      <c r="U73" s="50" t="n"/>
      <c r="V73" s="50" t="n"/>
      <c r="W73" s="50" t="n"/>
      <c r="X73" s="50" t="n"/>
      <c r="Y73" s="50" t="n"/>
      <c r="Z73" s="50" t="n"/>
      <c r="AA73" s="50" t="n"/>
      <c r="AB73" s="50" t="n"/>
      <c r="AC73" s="50" t="n"/>
      <c r="AD73" s="50" t="n"/>
      <c r="AE73" s="50" t="n"/>
      <c r="AF73" s="50" t="n"/>
      <c r="AG73" s="50" t="n"/>
      <c r="AH73" s="50" t="n"/>
      <c r="AI73" s="50" t="n"/>
      <c r="AJ73" s="50" t="n"/>
      <c r="AK73" s="50" t="n"/>
      <c r="AL73" s="50" t="n"/>
      <c r="AM73" s="50" t="n"/>
      <c r="AN73" s="50" t="n"/>
      <c r="AO73" s="50" t="n"/>
      <c r="AP73" s="50" t="n"/>
      <c r="AQ73" s="50" t="n"/>
      <c r="AR73" s="50" t="n"/>
      <c r="AS73" s="50" t="n"/>
      <c r="AT73" s="50" t="n"/>
      <c r="AU73" s="50" t="n"/>
      <c r="AV73" s="50" t="n"/>
      <c r="AW73" s="50" t="n"/>
      <c r="AX73" s="50" t="n"/>
      <c r="AY73" s="50" t="n"/>
      <c r="AZ73" s="50" t="n"/>
      <c r="BA73" s="50" t="n"/>
      <c r="BB73" s="50" t="n"/>
      <c r="BC73" s="50" t="n"/>
      <c r="BD73" s="50" t="n"/>
      <c r="BE73" s="50" t="n"/>
      <c r="BF73" s="50" t="n"/>
      <c r="BG73" s="50" t="n"/>
      <c r="BH73" s="50" t="n"/>
      <c r="BI73" s="50" t="n"/>
      <c r="BJ73" s="50" t="n"/>
      <c r="BK73" s="50" t="n"/>
      <c r="BL73" s="50" t="n"/>
      <c r="BM73" s="50" t="n"/>
      <c r="BN73" s="50" t="n"/>
      <c r="BO73" s="50" t="n"/>
      <c r="BP73" s="50" t="n"/>
      <c r="BQ73" s="50" t="n"/>
      <c r="BR73" s="50" t="n"/>
      <c r="BS73" s="50" t="n"/>
      <c r="BT73" s="50" t="n"/>
      <c r="BU73" s="50" t="n"/>
      <c r="BV73" s="50" t="n"/>
      <c r="BW73" s="50" t="n"/>
      <c r="BX73" s="50" t="n"/>
      <c r="BY73" s="50" t="n"/>
      <c r="BZ73" s="50" t="n"/>
      <c r="CA73" s="50" t="n"/>
      <c r="CB73" s="50" t="n"/>
      <c r="CC73" s="50" t="n"/>
      <c r="CD73" s="50" t="n"/>
      <c r="CE73" s="50" t="n"/>
      <c r="CF73" s="50" t="n"/>
      <c r="CG73" s="50" t="n"/>
      <c r="CH73" s="50" t="n"/>
      <c r="CI73" s="50" t="n"/>
      <c r="CJ73" s="50" t="n"/>
      <c r="CK73" s="50" t="n"/>
      <c r="CL73" s="50" t="n"/>
      <c r="CM73" s="50" t="n"/>
      <c r="CN73" s="50" t="n"/>
      <c r="CO73" s="50" t="n"/>
      <c r="CP73" s="50" t="n"/>
      <c r="CQ73" s="50" t="n"/>
      <c r="CR73" s="50" t="n"/>
      <c r="CS73" s="50" t="n"/>
      <c r="CT73" s="50" t="n"/>
      <c r="CU73" s="50" t="n"/>
      <c r="CV73" s="50" t="n"/>
      <c r="CW73" s="50" t="n"/>
      <c r="CX73" s="50" t="n"/>
      <c r="CY73" s="50" t="n"/>
      <c r="CZ73" s="50" t="n"/>
      <c r="DA73" s="50" t="n"/>
      <c r="DB73" s="50" t="n"/>
      <c r="DC73" s="50" t="n"/>
      <c r="DD73" s="50" t="n"/>
      <c r="DE73" s="50" t="n"/>
      <c r="DF73" s="50" t="n"/>
      <c r="DG73" s="50" t="n"/>
      <c r="DH73" s="50" t="n"/>
      <c r="DI73" s="50" t="n"/>
      <c r="DJ73" s="50" t="n"/>
      <c r="DK73" s="50" t="n"/>
      <c r="DL73" s="50" t="n"/>
      <c r="DM73" s="50" t="n"/>
      <c r="DN73" s="50" t="n"/>
      <c r="DO73" s="50" t="n"/>
      <c r="DP73" s="50" t="n"/>
      <c r="DQ73" s="50" t="n"/>
      <c r="DR73" s="50" t="n"/>
      <c r="DS73" s="50" t="n"/>
      <c r="DT73" s="50" t="n"/>
      <c r="DU73" s="50" t="n"/>
      <c r="DV73" s="50" t="n"/>
    </row>
    <row r="74">
      <c r="A74" s="47">
        <f>IF(Mitarbeiter!B74="","",Mitarbeiter!A74)</f>
        <v/>
      </c>
      <c r="B74" s="48">
        <f>IF(Mitarbeiter!B74="","",Mitarbeiter!B74)</f>
        <v/>
      </c>
      <c r="C74" s="49">
        <f>IF(Mitarbeiter!B74="","",Mitarbeiter!F74)</f>
        <v/>
      </c>
      <c r="D74" s="25">
        <f>IF(Mitarbeiter!B74="","",Berechnung!AD74)</f>
        <v/>
      </c>
      <c r="E74" s="25">
        <f>IF(Mitarbeiter!B74="","",SUM(G74:DV74))</f>
        <v/>
      </c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0" t="n"/>
      <c r="S74" s="50" t="n"/>
      <c r="T74" s="50" t="n"/>
      <c r="U74" s="50" t="n"/>
      <c r="V74" s="50" t="n"/>
      <c r="W74" s="50" t="n"/>
      <c r="X74" s="50" t="n"/>
      <c r="Y74" s="50" t="n"/>
      <c r="Z74" s="50" t="n"/>
      <c r="AA74" s="50" t="n"/>
      <c r="AB74" s="50" t="n"/>
      <c r="AC74" s="50" t="n"/>
      <c r="AD74" s="50" t="n"/>
      <c r="AE74" s="50" t="n"/>
      <c r="AF74" s="50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  <c r="AQ74" s="50" t="n"/>
      <c r="AR74" s="50" t="n"/>
      <c r="AS74" s="50" t="n"/>
      <c r="AT74" s="50" t="n"/>
      <c r="AU74" s="50" t="n"/>
      <c r="AV74" s="50" t="n"/>
      <c r="AW74" s="50" t="n"/>
      <c r="AX74" s="50" t="n"/>
      <c r="AY74" s="50" t="n"/>
      <c r="AZ74" s="50" t="n"/>
      <c r="BA74" s="50" t="n"/>
      <c r="BB74" s="50" t="n"/>
      <c r="BC74" s="50" t="n"/>
      <c r="BD74" s="50" t="n"/>
      <c r="BE74" s="50" t="n"/>
      <c r="BF74" s="50" t="n"/>
      <c r="BG74" s="50" t="n"/>
      <c r="BH74" s="50" t="n"/>
      <c r="BI74" s="50" t="n"/>
      <c r="BJ74" s="50" t="n"/>
      <c r="BK74" s="50" t="n"/>
      <c r="BL74" s="50" t="n"/>
      <c r="BM74" s="50" t="n"/>
      <c r="BN74" s="50" t="n"/>
      <c r="BO74" s="50" t="n"/>
      <c r="BP74" s="50" t="n"/>
      <c r="BQ74" s="50" t="n"/>
      <c r="BR74" s="50" t="n"/>
      <c r="BS74" s="50" t="n"/>
      <c r="BT74" s="50" t="n"/>
      <c r="BU74" s="50" t="n"/>
      <c r="BV74" s="50" t="n"/>
      <c r="BW74" s="50" t="n"/>
      <c r="BX74" s="50" t="n"/>
      <c r="BY74" s="50" t="n"/>
      <c r="BZ74" s="50" t="n"/>
      <c r="CA74" s="50" t="n"/>
      <c r="CB74" s="50" t="n"/>
      <c r="CC74" s="50" t="n"/>
      <c r="CD74" s="50" t="n"/>
      <c r="CE74" s="50" t="n"/>
      <c r="CF74" s="50" t="n"/>
      <c r="CG74" s="50" t="n"/>
      <c r="CH74" s="50" t="n"/>
      <c r="CI74" s="50" t="n"/>
      <c r="CJ74" s="50" t="n"/>
      <c r="CK74" s="50" t="n"/>
      <c r="CL74" s="50" t="n"/>
      <c r="CM74" s="50" t="n"/>
      <c r="CN74" s="50" t="n"/>
      <c r="CO74" s="50" t="n"/>
      <c r="CP74" s="50" t="n"/>
      <c r="CQ74" s="50" t="n"/>
      <c r="CR74" s="50" t="n"/>
      <c r="CS74" s="50" t="n"/>
      <c r="CT74" s="50" t="n"/>
      <c r="CU74" s="50" t="n"/>
      <c r="CV74" s="50" t="n"/>
      <c r="CW74" s="50" t="n"/>
      <c r="CX74" s="50" t="n"/>
      <c r="CY74" s="50" t="n"/>
      <c r="CZ74" s="50" t="n"/>
      <c r="DA74" s="50" t="n"/>
      <c r="DB74" s="50" t="n"/>
      <c r="DC74" s="50" t="n"/>
      <c r="DD74" s="50" t="n"/>
      <c r="DE74" s="50" t="n"/>
      <c r="DF74" s="50" t="n"/>
      <c r="DG74" s="50" t="n"/>
      <c r="DH74" s="50" t="n"/>
      <c r="DI74" s="50" t="n"/>
      <c r="DJ74" s="50" t="n"/>
      <c r="DK74" s="50" t="n"/>
      <c r="DL74" s="50" t="n"/>
      <c r="DM74" s="50" t="n"/>
      <c r="DN74" s="50" t="n"/>
      <c r="DO74" s="50" t="n"/>
      <c r="DP74" s="50" t="n"/>
      <c r="DQ74" s="50" t="n"/>
      <c r="DR74" s="50" t="n"/>
      <c r="DS74" s="50" t="n"/>
      <c r="DT74" s="50" t="n"/>
      <c r="DU74" s="50" t="n"/>
      <c r="DV74" s="50" t="n"/>
    </row>
    <row r="75">
      <c r="A75" s="47">
        <f>IF(Mitarbeiter!B75="","",Mitarbeiter!A75)</f>
        <v/>
      </c>
      <c r="B75" s="48">
        <f>IF(Mitarbeiter!B75="","",Mitarbeiter!B75)</f>
        <v/>
      </c>
      <c r="C75" s="49">
        <f>IF(Mitarbeiter!B75="","",Mitarbeiter!F75)</f>
        <v/>
      </c>
      <c r="D75" s="25">
        <f>IF(Mitarbeiter!B75="","",Berechnung!AD75)</f>
        <v/>
      </c>
      <c r="E75" s="25">
        <f>IF(Mitarbeiter!B75="","",SUM(G75:DV75))</f>
        <v/>
      </c>
      <c r="G75" s="50" t="n"/>
      <c r="H75" s="50" t="n"/>
      <c r="I75" s="50" t="n"/>
      <c r="J75" s="50" t="n"/>
      <c r="K75" s="50" t="n"/>
      <c r="L75" s="50" t="n"/>
      <c r="M75" s="50" t="n"/>
      <c r="N75" s="50" t="n"/>
      <c r="O75" s="50" t="n"/>
      <c r="P75" s="50" t="n"/>
      <c r="Q75" s="50" t="n"/>
      <c r="R75" s="50" t="n"/>
      <c r="S75" s="50" t="n"/>
      <c r="T75" s="50" t="n"/>
      <c r="U75" s="50" t="n"/>
      <c r="V75" s="50" t="n"/>
      <c r="W75" s="50" t="n"/>
      <c r="X75" s="50" t="n"/>
      <c r="Y75" s="50" t="n"/>
      <c r="Z75" s="50" t="n"/>
      <c r="AA75" s="50" t="n"/>
      <c r="AB75" s="50" t="n"/>
      <c r="AC75" s="50" t="n"/>
      <c r="AD75" s="50" t="n"/>
      <c r="AE75" s="50" t="n"/>
      <c r="AF75" s="50" t="n"/>
      <c r="AG75" s="50" t="n"/>
      <c r="AH75" s="50" t="n"/>
      <c r="AI75" s="50" t="n"/>
      <c r="AJ75" s="50" t="n"/>
      <c r="AK75" s="50" t="n"/>
      <c r="AL75" s="50" t="n"/>
      <c r="AM75" s="50" t="n"/>
      <c r="AN75" s="50" t="n"/>
      <c r="AO75" s="50" t="n"/>
      <c r="AP75" s="50" t="n"/>
      <c r="AQ75" s="50" t="n"/>
      <c r="AR75" s="50" t="n"/>
      <c r="AS75" s="50" t="n"/>
      <c r="AT75" s="50" t="n"/>
      <c r="AU75" s="50" t="n"/>
      <c r="AV75" s="50" t="n"/>
      <c r="AW75" s="50" t="n"/>
      <c r="AX75" s="50" t="n"/>
      <c r="AY75" s="50" t="n"/>
      <c r="AZ75" s="50" t="n"/>
      <c r="BA75" s="50" t="n"/>
      <c r="BB75" s="50" t="n"/>
      <c r="BC75" s="50" t="n"/>
      <c r="BD75" s="50" t="n"/>
      <c r="BE75" s="50" t="n"/>
      <c r="BF75" s="50" t="n"/>
      <c r="BG75" s="50" t="n"/>
      <c r="BH75" s="50" t="n"/>
      <c r="BI75" s="50" t="n"/>
      <c r="BJ75" s="50" t="n"/>
      <c r="BK75" s="50" t="n"/>
      <c r="BL75" s="50" t="n"/>
      <c r="BM75" s="50" t="n"/>
      <c r="BN75" s="50" t="n"/>
      <c r="BO75" s="50" t="n"/>
      <c r="BP75" s="50" t="n"/>
      <c r="BQ75" s="50" t="n"/>
      <c r="BR75" s="50" t="n"/>
      <c r="BS75" s="50" t="n"/>
      <c r="BT75" s="50" t="n"/>
      <c r="BU75" s="50" t="n"/>
      <c r="BV75" s="50" t="n"/>
      <c r="BW75" s="50" t="n"/>
      <c r="BX75" s="50" t="n"/>
      <c r="BY75" s="50" t="n"/>
      <c r="BZ75" s="50" t="n"/>
      <c r="CA75" s="50" t="n"/>
      <c r="CB75" s="50" t="n"/>
      <c r="CC75" s="50" t="n"/>
      <c r="CD75" s="50" t="n"/>
      <c r="CE75" s="50" t="n"/>
      <c r="CF75" s="50" t="n"/>
      <c r="CG75" s="50" t="n"/>
      <c r="CH75" s="50" t="n"/>
      <c r="CI75" s="50" t="n"/>
      <c r="CJ75" s="50" t="n"/>
      <c r="CK75" s="50" t="n"/>
      <c r="CL75" s="50" t="n"/>
      <c r="CM75" s="50" t="n"/>
      <c r="CN75" s="50" t="n"/>
      <c r="CO75" s="50" t="n"/>
      <c r="CP75" s="50" t="n"/>
      <c r="CQ75" s="50" t="n"/>
      <c r="CR75" s="50" t="n"/>
      <c r="CS75" s="50" t="n"/>
      <c r="CT75" s="50" t="n"/>
      <c r="CU75" s="50" t="n"/>
      <c r="CV75" s="50" t="n"/>
      <c r="CW75" s="50" t="n"/>
      <c r="CX75" s="50" t="n"/>
      <c r="CY75" s="50" t="n"/>
      <c r="CZ75" s="50" t="n"/>
      <c r="DA75" s="50" t="n"/>
      <c r="DB75" s="50" t="n"/>
      <c r="DC75" s="50" t="n"/>
      <c r="DD75" s="50" t="n"/>
      <c r="DE75" s="50" t="n"/>
      <c r="DF75" s="50" t="n"/>
      <c r="DG75" s="50" t="n"/>
      <c r="DH75" s="50" t="n"/>
      <c r="DI75" s="50" t="n"/>
      <c r="DJ75" s="50" t="n"/>
      <c r="DK75" s="50" t="n"/>
      <c r="DL75" s="50" t="n"/>
      <c r="DM75" s="50" t="n"/>
      <c r="DN75" s="50" t="n"/>
      <c r="DO75" s="50" t="n"/>
      <c r="DP75" s="50" t="n"/>
      <c r="DQ75" s="50" t="n"/>
      <c r="DR75" s="50" t="n"/>
      <c r="DS75" s="50" t="n"/>
      <c r="DT75" s="50" t="n"/>
      <c r="DU75" s="50" t="n"/>
      <c r="DV75" s="50" t="n"/>
    </row>
    <row r="76">
      <c r="A76" s="47">
        <f>IF(Mitarbeiter!B76="","",Mitarbeiter!A76)</f>
        <v/>
      </c>
      <c r="B76" s="48">
        <f>IF(Mitarbeiter!B76="","",Mitarbeiter!B76)</f>
        <v/>
      </c>
      <c r="C76" s="49">
        <f>IF(Mitarbeiter!B76="","",Mitarbeiter!F76)</f>
        <v/>
      </c>
      <c r="D76" s="25">
        <f>IF(Mitarbeiter!B76="","",Berechnung!AD76)</f>
        <v/>
      </c>
      <c r="E76" s="25">
        <f>IF(Mitarbeiter!B76="","",SUM(G76:DV76))</f>
        <v/>
      </c>
      <c r="G76" s="50" t="n"/>
      <c r="H76" s="50" t="n"/>
      <c r="I76" s="50" t="n"/>
      <c r="J76" s="50" t="n"/>
      <c r="K76" s="50" t="n"/>
      <c r="L76" s="50" t="n"/>
      <c r="M76" s="50" t="n"/>
      <c r="N76" s="50" t="n"/>
      <c r="O76" s="50" t="n"/>
      <c r="P76" s="50" t="n"/>
      <c r="Q76" s="50" t="n"/>
      <c r="R76" s="50" t="n"/>
      <c r="S76" s="50" t="n"/>
      <c r="T76" s="50" t="n"/>
      <c r="U76" s="50" t="n"/>
      <c r="V76" s="50" t="n"/>
      <c r="W76" s="50" t="n"/>
      <c r="X76" s="50" t="n"/>
      <c r="Y76" s="50" t="n"/>
      <c r="Z76" s="50" t="n"/>
      <c r="AA76" s="50" t="n"/>
      <c r="AB76" s="50" t="n"/>
      <c r="AC76" s="50" t="n"/>
      <c r="AD76" s="50" t="n"/>
      <c r="AE76" s="50" t="n"/>
      <c r="AF76" s="50" t="n"/>
      <c r="AG76" s="50" t="n"/>
      <c r="AH76" s="50" t="n"/>
      <c r="AI76" s="50" t="n"/>
      <c r="AJ76" s="50" t="n"/>
      <c r="AK76" s="50" t="n"/>
      <c r="AL76" s="50" t="n"/>
      <c r="AM76" s="50" t="n"/>
      <c r="AN76" s="50" t="n"/>
      <c r="AO76" s="50" t="n"/>
      <c r="AP76" s="50" t="n"/>
      <c r="AQ76" s="50" t="n"/>
      <c r="AR76" s="50" t="n"/>
      <c r="AS76" s="50" t="n"/>
      <c r="AT76" s="50" t="n"/>
      <c r="AU76" s="50" t="n"/>
      <c r="AV76" s="50" t="n"/>
      <c r="AW76" s="50" t="n"/>
      <c r="AX76" s="50" t="n"/>
      <c r="AY76" s="50" t="n"/>
      <c r="AZ76" s="50" t="n"/>
      <c r="BA76" s="50" t="n"/>
      <c r="BB76" s="50" t="n"/>
      <c r="BC76" s="50" t="n"/>
      <c r="BD76" s="50" t="n"/>
      <c r="BE76" s="50" t="n"/>
      <c r="BF76" s="50" t="n"/>
      <c r="BG76" s="50" t="n"/>
      <c r="BH76" s="50" t="n"/>
      <c r="BI76" s="50" t="n"/>
      <c r="BJ76" s="50" t="n"/>
      <c r="BK76" s="50" t="n"/>
      <c r="BL76" s="50" t="n"/>
      <c r="BM76" s="50" t="n"/>
      <c r="BN76" s="50" t="n"/>
      <c r="BO76" s="50" t="n"/>
      <c r="BP76" s="50" t="n"/>
      <c r="BQ76" s="50" t="n"/>
      <c r="BR76" s="50" t="n"/>
      <c r="BS76" s="50" t="n"/>
      <c r="BT76" s="50" t="n"/>
      <c r="BU76" s="50" t="n"/>
      <c r="BV76" s="50" t="n"/>
      <c r="BW76" s="50" t="n"/>
      <c r="BX76" s="50" t="n"/>
      <c r="BY76" s="50" t="n"/>
      <c r="BZ76" s="50" t="n"/>
      <c r="CA76" s="50" t="n"/>
      <c r="CB76" s="50" t="n"/>
      <c r="CC76" s="50" t="n"/>
      <c r="CD76" s="50" t="n"/>
      <c r="CE76" s="50" t="n"/>
      <c r="CF76" s="50" t="n"/>
      <c r="CG76" s="50" t="n"/>
      <c r="CH76" s="50" t="n"/>
      <c r="CI76" s="50" t="n"/>
      <c r="CJ76" s="50" t="n"/>
      <c r="CK76" s="50" t="n"/>
      <c r="CL76" s="50" t="n"/>
      <c r="CM76" s="50" t="n"/>
      <c r="CN76" s="50" t="n"/>
      <c r="CO76" s="50" t="n"/>
      <c r="CP76" s="50" t="n"/>
      <c r="CQ76" s="50" t="n"/>
      <c r="CR76" s="50" t="n"/>
      <c r="CS76" s="50" t="n"/>
      <c r="CT76" s="50" t="n"/>
      <c r="CU76" s="50" t="n"/>
      <c r="CV76" s="50" t="n"/>
      <c r="CW76" s="50" t="n"/>
      <c r="CX76" s="50" t="n"/>
      <c r="CY76" s="50" t="n"/>
      <c r="CZ76" s="50" t="n"/>
      <c r="DA76" s="50" t="n"/>
      <c r="DB76" s="50" t="n"/>
      <c r="DC76" s="50" t="n"/>
      <c r="DD76" s="50" t="n"/>
      <c r="DE76" s="50" t="n"/>
      <c r="DF76" s="50" t="n"/>
      <c r="DG76" s="50" t="n"/>
      <c r="DH76" s="50" t="n"/>
      <c r="DI76" s="50" t="n"/>
      <c r="DJ76" s="50" t="n"/>
      <c r="DK76" s="50" t="n"/>
      <c r="DL76" s="50" t="n"/>
      <c r="DM76" s="50" t="n"/>
      <c r="DN76" s="50" t="n"/>
      <c r="DO76" s="50" t="n"/>
      <c r="DP76" s="50" t="n"/>
      <c r="DQ76" s="50" t="n"/>
      <c r="DR76" s="50" t="n"/>
      <c r="DS76" s="50" t="n"/>
      <c r="DT76" s="50" t="n"/>
      <c r="DU76" s="50" t="n"/>
      <c r="DV76" s="50" t="n"/>
    </row>
    <row r="77">
      <c r="A77" s="47">
        <f>IF(Mitarbeiter!B77="","",Mitarbeiter!A77)</f>
        <v/>
      </c>
      <c r="B77" s="48">
        <f>IF(Mitarbeiter!B77="","",Mitarbeiter!B77)</f>
        <v/>
      </c>
      <c r="C77" s="49">
        <f>IF(Mitarbeiter!B77="","",Mitarbeiter!F77)</f>
        <v/>
      </c>
      <c r="D77" s="25">
        <f>IF(Mitarbeiter!B77="","",Berechnung!AD77)</f>
        <v/>
      </c>
      <c r="E77" s="25">
        <f>IF(Mitarbeiter!B77="","",SUM(G77:DV77))</f>
        <v/>
      </c>
      <c r="G77" s="50" t="n"/>
      <c r="H77" s="50" t="n"/>
      <c r="I77" s="50" t="n"/>
      <c r="J77" s="50" t="n"/>
      <c r="K77" s="50" t="n"/>
      <c r="L77" s="50" t="n"/>
      <c r="M77" s="50" t="n"/>
      <c r="N77" s="50" t="n"/>
      <c r="O77" s="50" t="n"/>
      <c r="P77" s="50" t="n"/>
      <c r="Q77" s="50" t="n"/>
      <c r="R77" s="50" t="n"/>
      <c r="S77" s="50" t="n"/>
      <c r="T77" s="50" t="n"/>
      <c r="U77" s="50" t="n"/>
      <c r="V77" s="50" t="n"/>
      <c r="W77" s="50" t="n"/>
      <c r="X77" s="50" t="n"/>
      <c r="Y77" s="50" t="n"/>
      <c r="Z77" s="50" t="n"/>
      <c r="AA77" s="50" t="n"/>
      <c r="AB77" s="50" t="n"/>
      <c r="AC77" s="50" t="n"/>
      <c r="AD77" s="50" t="n"/>
      <c r="AE77" s="50" t="n"/>
      <c r="AF77" s="50" t="n"/>
      <c r="AG77" s="50" t="n"/>
      <c r="AH77" s="50" t="n"/>
      <c r="AI77" s="50" t="n"/>
      <c r="AJ77" s="50" t="n"/>
      <c r="AK77" s="50" t="n"/>
      <c r="AL77" s="50" t="n"/>
      <c r="AM77" s="50" t="n"/>
      <c r="AN77" s="50" t="n"/>
      <c r="AO77" s="50" t="n"/>
      <c r="AP77" s="50" t="n"/>
      <c r="AQ77" s="50" t="n"/>
      <c r="AR77" s="50" t="n"/>
      <c r="AS77" s="50" t="n"/>
      <c r="AT77" s="50" t="n"/>
      <c r="AU77" s="50" t="n"/>
      <c r="AV77" s="50" t="n"/>
      <c r="AW77" s="50" t="n"/>
      <c r="AX77" s="50" t="n"/>
      <c r="AY77" s="50" t="n"/>
      <c r="AZ77" s="50" t="n"/>
      <c r="BA77" s="50" t="n"/>
      <c r="BB77" s="50" t="n"/>
      <c r="BC77" s="50" t="n"/>
      <c r="BD77" s="50" t="n"/>
      <c r="BE77" s="50" t="n"/>
      <c r="BF77" s="50" t="n"/>
      <c r="BG77" s="50" t="n"/>
      <c r="BH77" s="50" t="n"/>
      <c r="BI77" s="50" t="n"/>
      <c r="BJ77" s="50" t="n"/>
      <c r="BK77" s="50" t="n"/>
      <c r="BL77" s="50" t="n"/>
      <c r="BM77" s="50" t="n"/>
      <c r="BN77" s="50" t="n"/>
      <c r="BO77" s="50" t="n"/>
      <c r="BP77" s="50" t="n"/>
      <c r="BQ77" s="50" t="n"/>
      <c r="BR77" s="50" t="n"/>
      <c r="BS77" s="50" t="n"/>
      <c r="BT77" s="50" t="n"/>
      <c r="BU77" s="50" t="n"/>
      <c r="BV77" s="50" t="n"/>
      <c r="BW77" s="50" t="n"/>
      <c r="BX77" s="50" t="n"/>
      <c r="BY77" s="50" t="n"/>
      <c r="BZ77" s="50" t="n"/>
      <c r="CA77" s="50" t="n"/>
      <c r="CB77" s="50" t="n"/>
      <c r="CC77" s="50" t="n"/>
      <c r="CD77" s="50" t="n"/>
      <c r="CE77" s="50" t="n"/>
      <c r="CF77" s="50" t="n"/>
      <c r="CG77" s="50" t="n"/>
      <c r="CH77" s="50" t="n"/>
      <c r="CI77" s="50" t="n"/>
      <c r="CJ77" s="50" t="n"/>
      <c r="CK77" s="50" t="n"/>
      <c r="CL77" s="50" t="n"/>
      <c r="CM77" s="50" t="n"/>
      <c r="CN77" s="50" t="n"/>
      <c r="CO77" s="50" t="n"/>
      <c r="CP77" s="50" t="n"/>
      <c r="CQ77" s="50" t="n"/>
      <c r="CR77" s="50" t="n"/>
      <c r="CS77" s="50" t="n"/>
      <c r="CT77" s="50" t="n"/>
      <c r="CU77" s="50" t="n"/>
      <c r="CV77" s="50" t="n"/>
      <c r="CW77" s="50" t="n"/>
      <c r="CX77" s="50" t="n"/>
      <c r="CY77" s="50" t="n"/>
      <c r="CZ77" s="50" t="n"/>
      <c r="DA77" s="50" t="n"/>
      <c r="DB77" s="50" t="n"/>
      <c r="DC77" s="50" t="n"/>
      <c r="DD77" s="50" t="n"/>
      <c r="DE77" s="50" t="n"/>
      <c r="DF77" s="50" t="n"/>
      <c r="DG77" s="50" t="n"/>
      <c r="DH77" s="50" t="n"/>
      <c r="DI77" s="50" t="n"/>
      <c r="DJ77" s="50" t="n"/>
      <c r="DK77" s="50" t="n"/>
      <c r="DL77" s="50" t="n"/>
      <c r="DM77" s="50" t="n"/>
      <c r="DN77" s="50" t="n"/>
      <c r="DO77" s="50" t="n"/>
      <c r="DP77" s="50" t="n"/>
      <c r="DQ77" s="50" t="n"/>
      <c r="DR77" s="50" t="n"/>
      <c r="DS77" s="50" t="n"/>
      <c r="DT77" s="50" t="n"/>
      <c r="DU77" s="50" t="n"/>
      <c r="DV77" s="50" t="n"/>
    </row>
    <row r="78">
      <c r="A78" s="47">
        <f>IF(Mitarbeiter!B78="","",Mitarbeiter!A78)</f>
        <v/>
      </c>
      <c r="B78" s="48">
        <f>IF(Mitarbeiter!B78="","",Mitarbeiter!B78)</f>
        <v/>
      </c>
      <c r="C78" s="49">
        <f>IF(Mitarbeiter!B78="","",Mitarbeiter!F78)</f>
        <v/>
      </c>
      <c r="D78" s="25">
        <f>IF(Mitarbeiter!B78="","",Berechnung!AD78)</f>
        <v/>
      </c>
      <c r="E78" s="25">
        <f>IF(Mitarbeiter!B78="","",SUM(G78:DV78))</f>
        <v/>
      </c>
      <c r="G78" s="50" t="n"/>
      <c r="H78" s="50" t="n"/>
      <c r="I78" s="50" t="n"/>
      <c r="J78" s="50" t="n"/>
      <c r="K78" s="50" t="n"/>
      <c r="L78" s="50" t="n"/>
      <c r="M78" s="50" t="n"/>
      <c r="N78" s="50" t="n"/>
      <c r="O78" s="50" t="n"/>
      <c r="P78" s="50" t="n"/>
      <c r="Q78" s="50" t="n"/>
      <c r="R78" s="50" t="n"/>
      <c r="S78" s="50" t="n"/>
      <c r="T78" s="50" t="n"/>
      <c r="U78" s="50" t="n"/>
      <c r="V78" s="50" t="n"/>
      <c r="W78" s="50" t="n"/>
      <c r="X78" s="50" t="n"/>
      <c r="Y78" s="50" t="n"/>
      <c r="Z78" s="50" t="n"/>
      <c r="AA78" s="50" t="n"/>
      <c r="AB78" s="50" t="n"/>
      <c r="AC78" s="50" t="n"/>
      <c r="AD78" s="50" t="n"/>
      <c r="AE78" s="50" t="n"/>
      <c r="AF78" s="50" t="n"/>
      <c r="AG78" s="50" t="n"/>
      <c r="AH78" s="50" t="n"/>
      <c r="AI78" s="50" t="n"/>
      <c r="AJ78" s="50" t="n"/>
      <c r="AK78" s="50" t="n"/>
      <c r="AL78" s="50" t="n"/>
      <c r="AM78" s="50" t="n"/>
      <c r="AN78" s="50" t="n"/>
      <c r="AO78" s="50" t="n"/>
      <c r="AP78" s="50" t="n"/>
      <c r="AQ78" s="50" t="n"/>
      <c r="AR78" s="50" t="n"/>
      <c r="AS78" s="50" t="n"/>
      <c r="AT78" s="50" t="n"/>
      <c r="AU78" s="50" t="n"/>
      <c r="AV78" s="50" t="n"/>
      <c r="AW78" s="50" t="n"/>
      <c r="AX78" s="50" t="n"/>
      <c r="AY78" s="50" t="n"/>
      <c r="AZ78" s="50" t="n"/>
      <c r="BA78" s="50" t="n"/>
      <c r="BB78" s="50" t="n"/>
      <c r="BC78" s="50" t="n"/>
      <c r="BD78" s="50" t="n"/>
      <c r="BE78" s="50" t="n"/>
      <c r="BF78" s="50" t="n"/>
      <c r="BG78" s="50" t="n"/>
      <c r="BH78" s="50" t="n"/>
      <c r="BI78" s="50" t="n"/>
      <c r="BJ78" s="50" t="n"/>
      <c r="BK78" s="50" t="n"/>
      <c r="BL78" s="50" t="n"/>
      <c r="BM78" s="50" t="n"/>
      <c r="BN78" s="50" t="n"/>
      <c r="BO78" s="50" t="n"/>
      <c r="BP78" s="50" t="n"/>
      <c r="BQ78" s="50" t="n"/>
      <c r="BR78" s="50" t="n"/>
      <c r="BS78" s="50" t="n"/>
      <c r="BT78" s="50" t="n"/>
      <c r="BU78" s="50" t="n"/>
      <c r="BV78" s="50" t="n"/>
      <c r="BW78" s="50" t="n"/>
      <c r="BX78" s="50" t="n"/>
      <c r="BY78" s="50" t="n"/>
      <c r="BZ78" s="50" t="n"/>
      <c r="CA78" s="50" t="n"/>
      <c r="CB78" s="50" t="n"/>
      <c r="CC78" s="50" t="n"/>
      <c r="CD78" s="50" t="n"/>
      <c r="CE78" s="50" t="n"/>
      <c r="CF78" s="50" t="n"/>
      <c r="CG78" s="50" t="n"/>
      <c r="CH78" s="50" t="n"/>
      <c r="CI78" s="50" t="n"/>
      <c r="CJ78" s="50" t="n"/>
      <c r="CK78" s="50" t="n"/>
      <c r="CL78" s="50" t="n"/>
      <c r="CM78" s="50" t="n"/>
      <c r="CN78" s="50" t="n"/>
      <c r="CO78" s="50" t="n"/>
      <c r="CP78" s="50" t="n"/>
      <c r="CQ78" s="50" t="n"/>
      <c r="CR78" s="50" t="n"/>
      <c r="CS78" s="50" t="n"/>
      <c r="CT78" s="50" t="n"/>
      <c r="CU78" s="50" t="n"/>
      <c r="CV78" s="50" t="n"/>
      <c r="CW78" s="50" t="n"/>
      <c r="CX78" s="50" t="n"/>
      <c r="CY78" s="50" t="n"/>
      <c r="CZ78" s="50" t="n"/>
      <c r="DA78" s="50" t="n"/>
      <c r="DB78" s="50" t="n"/>
      <c r="DC78" s="50" t="n"/>
      <c r="DD78" s="50" t="n"/>
      <c r="DE78" s="50" t="n"/>
      <c r="DF78" s="50" t="n"/>
      <c r="DG78" s="50" t="n"/>
      <c r="DH78" s="50" t="n"/>
      <c r="DI78" s="50" t="n"/>
      <c r="DJ78" s="50" t="n"/>
      <c r="DK78" s="50" t="n"/>
      <c r="DL78" s="50" t="n"/>
      <c r="DM78" s="50" t="n"/>
      <c r="DN78" s="50" t="n"/>
      <c r="DO78" s="50" t="n"/>
      <c r="DP78" s="50" t="n"/>
      <c r="DQ78" s="50" t="n"/>
      <c r="DR78" s="50" t="n"/>
      <c r="DS78" s="50" t="n"/>
      <c r="DT78" s="50" t="n"/>
      <c r="DU78" s="50" t="n"/>
      <c r="DV78" s="50" t="n"/>
    </row>
    <row r="79">
      <c r="A79" s="47">
        <f>IF(Mitarbeiter!B79="","",Mitarbeiter!A79)</f>
        <v/>
      </c>
      <c r="B79" s="48">
        <f>IF(Mitarbeiter!B79="","",Mitarbeiter!B79)</f>
        <v/>
      </c>
      <c r="C79" s="49">
        <f>IF(Mitarbeiter!B79="","",Mitarbeiter!F79)</f>
        <v/>
      </c>
      <c r="D79" s="25">
        <f>IF(Mitarbeiter!B79="","",Berechnung!AD79)</f>
        <v/>
      </c>
      <c r="E79" s="25">
        <f>IF(Mitarbeiter!B79="","",SUM(G79:DV79))</f>
        <v/>
      </c>
      <c r="G79" s="50" t="n"/>
      <c r="H79" s="50" t="n"/>
      <c r="I79" s="50" t="n"/>
      <c r="J79" s="50" t="n"/>
      <c r="K79" s="50" t="n"/>
      <c r="L79" s="50" t="n"/>
      <c r="M79" s="50" t="n"/>
      <c r="N79" s="50" t="n"/>
      <c r="O79" s="50" t="n"/>
      <c r="P79" s="50" t="n"/>
      <c r="Q79" s="50" t="n"/>
      <c r="R79" s="50" t="n"/>
      <c r="S79" s="50" t="n"/>
      <c r="T79" s="50" t="n"/>
      <c r="U79" s="50" t="n"/>
      <c r="V79" s="50" t="n"/>
      <c r="W79" s="50" t="n"/>
      <c r="X79" s="50" t="n"/>
      <c r="Y79" s="50" t="n"/>
      <c r="Z79" s="50" t="n"/>
      <c r="AA79" s="50" t="n"/>
      <c r="AB79" s="50" t="n"/>
      <c r="AC79" s="50" t="n"/>
      <c r="AD79" s="50" t="n"/>
      <c r="AE79" s="50" t="n"/>
      <c r="AF79" s="50" t="n"/>
      <c r="AG79" s="50" t="n"/>
      <c r="AH79" s="50" t="n"/>
      <c r="AI79" s="50" t="n"/>
      <c r="AJ79" s="50" t="n"/>
      <c r="AK79" s="50" t="n"/>
      <c r="AL79" s="50" t="n"/>
      <c r="AM79" s="50" t="n"/>
      <c r="AN79" s="50" t="n"/>
      <c r="AO79" s="50" t="n"/>
      <c r="AP79" s="50" t="n"/>
      <c r="AQ79" s="50" t="n"/>
      <c r="AR79" s="50" t="n"/>
      <c r="AS79" s="50" t="n"/>
      <c r="AT79" s="50" t="n"/>
      <c r="AU79" s="50" t="n"/>
      <c r="AV79" s="50" t="n"/>
      <c r="AW79" s="50" t="n"/>
      <c r="AX79" s="50" t="n"/>
      <c r="AY79" s="50" t="n"/>
      <c r="AZ79" s="50" t="n"/>
      <c r="BA79" s="50" t="n"/>
      <c r="BB79" s="50" t="n"/>
      <c r="BC79" s="50" t="n"/>
      <c r="BD79" s="50" t="n"/>
      <c r="BE79" s="50" t="n"/>
      <c r="BF79" s="50" t="n"/>
      <c r="BG79" s="50" t="n"/>
      <c r="BH79" s="50" t="n"/>
      <c r="BI79" s="50" t="n"/>
      <c r="BJ79" s="50" t="n"/>
      <c r="BK79" s="50" t="n"/>
      <c r="BL79" s="50" t="n"/>
      <c r="BM79" s="50" t="n"/>
      <c r="BN79" s="50" t="n"/>
      <c r="BO79" s="50" t="n"/>
      <c r="BP79" s="50" t="n"/>
      <c r="BQ79" s="50" t="n"/>
      <c r="BR79" s="50" t="n"/>
      <c r="BS79" s="50" t="n"/>
      <c r="BT79" s="50" t="n"/>
      <c r="BU79" s="50" t="n"/>
      <c r="BV79" s="50" t="n"/>
      <c r="BW79" s="50" t="n"/>
      <c r="BX79" s="50" t="n"/>
      <c r="BY79" s="50" t="n"/>
      <c r="BZ79" s="50" t="n"/>
      <c r="CA79" s="50" t="n"/>
      <c r="CB79" s="50" t="n"/>
      <c r="CC79" s="50" t="n"/>
      <c r="CD79" s="50" t="n"/>
      <c r="CE79" s="50" t="n"/>
      <c r="CF79" s="50" t="n"/>
      <c r="CG79" s="50" t="n"/>
      <c r="CH79" s="50" t="n"/>
      <c r="CI79" s="50" t="n"/>
      <c r="CJ79" s="50" t="n"/>
      <c r="CK79" s="50" t="n"/>
      <c r="CL79" s="50" t="n"/>
      <c r="CM79" s="50" t="n"/>
      <c r="CN79" s="50" t="n"/>
      <c r="CO79" s="50" t="n"/>
      <c r="CP79" s="50" t="n"/>
      <c r="CQ79" s="50" t="n"/>
      <c r="CR79" s="50" t="n"/>
      <c r="CS79" s="50" t="n"/>
      <c r="CT79" s="50" t="n"/>
      <c r="CU79" s="50" t="n"/>
      <c r="CV79" s="50" t="n"/>
      <c r="CW79" s="50" t="n"/>
      <c r="CX79" s="50" t="n"/>
      <c r="CY79" s="50" t="n"/>
      <c r="CZ79" s="50" t="n"/>
      <c r="DA79" s="50" t="n"/>
      <c r="DB79" s="50" t="n"/>
      <c r="DC79" s="50" t="n"/>
      <c r="DD79" s="50" t="n"/>
      <c r="DE79" s="50" t="n"/>
      <c r="DF79" s="50" t="n"/>
      <c r="DG79" s="50" t="n"/>
      <c r="DH79" s="50" t="n"/>
      <c r="DI79" s="50" t="n"/>
      <c r="DJ79" s="50" t="n"/>
      <c r="DK79" s="50" t="n"/>
      <c r="DL79" s="50" t="n"/>
      <c r="DM79" s="50" t="n"/>
      <c r="DN79" s="50" t="n"/>
      <c r="DO79" s="50" t="n"/>
      <c r="DP79" s="50" t="n"/>
      <c r="DQ79" s="50" t="n"/>
      <c r="DR79" s="50" t="n"/>
      <c r="DS79" s="50" t="n"/>
      <c r="DT79" s="50" t="n"/>
      <c r="DU79" s="50" t="n"/>
      <c r="DV79" s="50" t="n"/>
    </row>
    <row r="80">
      <c r="A80" s="47">
        <f>IF(Mitarbeiter!B80="","",Mitarbeiter!A80)</f>
        <v/>
      </c>
      <c r="B80" s="48">
        <f>IF(Mitarbeiter!B80="","",Mitarbeiter!B80)</f>
        <v/>
      </c>
      <c r="C80" s="49">
        <f>IF(Mitarbeiter!B80="","",Mitarbeiter!F80)</f>
        <v/>
      </c>
      <c r="D80" s="25">
        <f>IF(Mitarbeiter!B80="","",Berechnung!AD80)</f>
        <v/>
      </c>
      <c r="E80" s="25">
        <f>IF(Mitarbeiter!B80="","",SUM(G80:DV80))</f>
        <v/>
      </c>
      <c r="G80" s="50" t="n"/>
      <c r="H80" s="50" t="n"/>
      <c r="I80" s="50" t="n"/>
      <c r="J80" s="50" t="n"/>
      <c r="K80" s="50" t="n"/>
      <c r="L80" s="50" t="n"/>
      <c r="M80" s="50" t="n"/>
      <c r="N80" s="50" t="n"/>
      <c r="O80" s="50" t="n"/>
      <c r="P80" s="50" t="n"/>
      <c r="Q80" s="50" t="n"/>
      <c r="R80" s="50" t="n"/>
      <c r="S80" s="50" t="n"/>
      <c r="T80" s="50" t="n"/>
      <c r="U80" s="50" t="n"/>
      <c r="V80" s="50" t="n"/>
      <c r="W80" s="50" t="n"/>
      <c r="X80" s="50" t="n"/>
      <c r="Y80" s="50" t="n"/>
      <c r="Z80" s="50" t="n"/>
      <c r="AA80" s="50" t="n"/>
      <c r="AB80" s="50" t="n"/>
      <c r="AC80" s="50" t="n"/>
      <c r="AD80" s="50" t="n"/>
      <c r="AE80" s="50" t="n"/>
      <c r="AF80" s="50" t="n"/>
      <c r="AG80" s="50" t="n"/>
      <c r="AH80" s="50" t="n"/>
      <c r="AI80" s="50" t="n"/>
      <c r="AJ80" s="50" t="n"/>
      <c r="AK80" s="50" t="n"/>
      <c r="AL80" s="50" t="n"/>
      <c r="AM80" s="50" t="n"/>
      <c r="AN80" s="50" t="n"/>
      <c r="AO80" s="50" t="n"/>
      <c r="AP80" s="50" t="n"/>
      <c r="AQ80" s="50" t="n"/>
      <c r="AR80" s="50" t="n"/>
      <c r="AS80" s="50" t="n"/>
      <c r="AT80" s="50" t="n"/>
      <c r="AU80" s="50" t="n"/>
      <c r="AV80" s="50" t="n"/>
      <c r="AW80" s="50" t="n"/>
      <c r="AX80" s="50" t="n"/>
      <c r="AY80" s="50" t="n"/>
      <c r="AZ80" s="50" t="n"/>
      <c r="BA80" s="50" t="n"/>
      <c r="BB80" s="50" t="n"/>
      <c r="BC80" s="50" t="n"/>
      <c r="BD80" s="50" t="n"/>
      <c r="BE80" s="50" t="n"/>
      <c r="BF80" s="50" t="n"/>
      <c r="BG80" s="50" t="n"/>
      <c r="BH80" s="50" t="n"/>
      <c r="BI80" s="50" t="n"/>
      <c r="BJ80" s="50" t="n"/>
      <c r="BK80" s="50" t="n"/>
      <c r="BL80" s="50" t="n"/>
      <c r="BM80" s="50" t="n"/>
      <c r="BN80" s="50" t="n"/>
      <c r="BO80" s="50" t="n"/>
      <c r="BP80" s="50" t="n"/>
      <c r="BQ80" s="50" t="n"/>
      <c r="BR80" s="50" t="n"/>
      <c r="BS80" s="50" t="n"/>
      <c r="BT80" s="50" t="n"/>
      <c r="BU80" s="50" t="n"/>
      <c r="BV80" s="50" t="n"/>
      <c r="BW80" s="50" t="n"/>
      <c r="BX80" s="50" t="n"/>
      <c r="BY80" s="50" t="n"/>
      <c r="BZ80" s="50" t="n"/>
      <c r="CA80" s="50" t="n"/>
      <c r="CB80" s="50" t="n"/>
      <c r="CC80" s="50" t="n"/>
      <c r="CD80" s="50" t="n"/>
      <c r="CE80" s="50" t="n"/>
      <c r="CF80" s="50" t="n"/>
      <c r="CG80" s="50" t="n"/>
      <c r="CH80" s="50" t="n"/>
      <c r="CI80" s="50" t="n"/>
      <c r="CJ80" s="50" t="n"/>
      <c r="CK80" s="50" t="n"/>
      <c r="CL80" s="50" t="n"/>
      <c r="CM80" s="50" t="n"/>
      <c r="CN80" s="50" t="n"/>
      <c r="CO80" s="50" t="n"/>
      <c r="CP80" s="50" t="n"/>
      <c r="CQ80" s="50" t="n"/>
      <c r="CR80" s="50" t="n"/>
      <c r="CS80" s="50" t="n"/>
      <c r="CT80" s="50" t="n"/>
      <c r="CU80" s="50" t="n"/>
      <c r="CV80" s="50" t="n"/>
      <c r="CW80" s="50" t="n"/>
      <c r="CX80" s="50" t="n"/>
      <c r="CY80" s="50" t="n"/>
      <c r="CZ80" s="50" t="n"/>
      <c r="DA80" s="50" t="n"/>
      <c r="DB80" s="50" t="n"/>
      <c r="DC80" s="50" t="n"/>
      <c r="DD80" s="50" t="n"/>
      <c r="DE80" s="50" t="n"/>
      <c r="DF80" s="50" t="n"/>
      <c r="DG80" s="50" t="n"/>
      <c r="DH80" s="50" t="n"/>
      <c r="DI80" s="50" t="n"/>
      <c r="DJ80" s="50" t="n"/>
      <c r="DK80" s="50" t="n"/>
      <c r="DL80" s="50" t="n"/>
      <c r="DM80" s="50" t="n"/>
      <c r="DN80" s="50" t="n"/>
      <c r="DO80" s="50" t="n"/>
      <c r="DP80" s="50" t="n"/>
      <c r="DQ80" s="50" t="n"/>
      <c r="DR80" s="50" t="n"/>
      <c r="DS80" s="50" t="n"/>
      <c r="DT80" s="50" t="n"/>
      <c r="DU80" s="50" t="n"/>
      <c r="DV80" s="50" t="n"/>
    </row>
    <row r="81">
      <c r="A81" s="47">
        <f>IF(Mitarbeiter!B81="","",Mitarbeiter!A81)</f>
        <v/>
      </c>
      <c r="B81" s="48">
        <f>IF(Mitarbeiter!B81="","",Mitarbeiter!B81)</f>
        <v/>
      </c>
      <c r="C81" s="49">
        <f>IF(Mitarbeiter!B81="","",Mitarbeiter!F81)</f>
        <v/>
      </c>
      <c r="D81" s="25">
        <f>IF(Mitarbeiter!B81="","",Berechnung!AD81)</f>
        <v/>
      </c>
      <c r="E81" s="25">
        <f>IF(Mitarbeiter!B81="","",SUM(G81:DV81))</f>
        <v/>
      </c>
      <c r="G81" s="50" t="n"/>
      <c r="H81" s="50" t="n"/>
      <c r="I81" s="50" t="n"/>
      <c r="J81" s="50" t="n"/>
      <c r="K81" s="50" t="n"/>
      <c r="L81" s="50" t="n"/>
      <c r="M81" s="50" t="n"/>
      <c r="N81" s="50" t="n"/>
      <c r="O81" s="50" t="n"/>
      <c r="P81" s="50" t="n"/>
      <c r="Q81" s="50" t="n"/>
      <c r="R81" s="50" t="n"/>
      <c r="S81" s="50" t="n"/>
      <c r="T81" s="50" t="n"/>
      <c r="U81" s="50" t="n"/>
      <c r="V81" s="50" t="n"/>
      <c r="W81" s="50" t="n"/>
      <c r="X81" s="50" t="n"/>
      <c r="Y81" s="50" t="n"/>
      <c r="Z81" s="50" t="n"/>
      <c r="AA81" s="50" t="n"/>
      <c r="AB81" s="50" t="n"/>
      <c r="AC81" s="50" t="n"/>
      <c r="AD81" s="50" t="n"/>
      <c r="AE81" s="50" t="n"/>
      <c r="AF81" s="50" t="n"/>
      <c r="AG81" s="50" t="n"/>
      <c r="AH81" s="50" t="n"/>
      <c r="AI81" s="50" t="n"/>
      <c r="AJ81" s="50" t="n"/>
      <c r="AK81" s="50" t="n"/>
      <c r="AL81" s="50" t="n"/>
      <c r="AM81" s="50" t="n"/>
      <c r="AN81" s="50" t="n"/>
      <c r="AO81" s="50" t="n"/>
      <c r="AP81" s="50" t="n"/>
      <c r="AQ81" s="50" t="n"/>
      <c r="AR81" s="50" t="n"/>
      <c r="AS81" s="50" t="n"/>
      <c r="AT81" s="50" t="n"/>
      <c r="AU81" s="50" t="n"/>
      <c r="AV81" s="50" t="n"/>
      <c r="AW81" s="50" t="n"/>
      <c r="AX81" s="50" t="n"/>
      <c r="AY81" s="50" t="n"/>
      <c r="AZ81" s="50" t="n"/>
      <c r="BA81" s="50" t="n"/>
      <c r="BB81" s="50" t="n"/>
      <c r="BC81" s="50" t="n"/>
      <c r="BD81" s="50" t="n"/>
      <c r="BE81" s="50" t="n"/>
      <c r="BF81" s="50" t="n"/>
      <c r="BG81" s="50" t="n"/>
      <c r="BH81" s="50" t="n"/>
      <c r="BI81" s="50" t="n"/>
      <c r="BJ81" s="50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0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</row>
    <row r="82">
      <c r="A82" s="47">
        <f>IF(Mitarbeiter!B82="","",Mitarbeiter!A82)</f>
        <v/>
      </c>
      <c r="B82" s="48">
        <f>IF(Mitarbeiter!B82="","",Mitarbeiter!B82)</f>
        <v/>
      </c>
      <c r="C82" s="49">
        <f>IF(Mitarbeiter!B82="","",Mitarbeiter!F82)</f>
        <v/>
      </c>
      <c r="D82" s="25">
        <f>IF(Mitarbeiter!B82="","",Berechnung!AD82)</f>
        <v/>
      </c>
      <c r="E82" s="25">
        <f>IF(Mitarbeiter!B82="","",SUM(G82:DV82))</f>
        <v/>
      </c>
      <c r="G82" s="50" t="n"/>
      <c r="H82" s="50" t="n"/>
      <c r="I82" s="50" t="n"/>
      <c r="J82" s="50" t="n"/>
      <c r="K82" s="50" t="n"/>
      <c r="L82" s="50" t="n"/>
      <c r="M82" s="50" t="n"/>
      <c r="N82" s="50" t="n"/>
      <c r="O82" s="50" t="n"/>
      <c r="P82" s="50" t="n"/>
      <c r="Q82" s="50" t="n"/>
      <c r="R82" s="50" t="n"/>
      <c r="S82" s="50" t="n"/>
      <c r="T82" s="50" t="n"/>
      <c r="U82" s="50" t="n"/>
      <c r="V82" s="50" t="n"/>
      <c r="W82" s="50" t="n"/>
      <c r="X82" s="50" t="n"/>
      <c r="Y82" s="50" t="n"/>
      <c r="Z82" s="50" t="n"/>
      <c r="AA82" s="50" t="n"/>
      <c r="AB82" s="50" t="n"/>
      <c r="AC82" s="50" t="n"/>
      <c r="AD82" s="50" t="n"/>
      <c r="AE82" s="50" t="n"/>
      <c r="AF82" s="50" t="n"/>
      <c r="AG82" s="50" t="n"/>
      <c r="AH82" s="50" t="n"/>
      <c r="AI82" s="50" t="n"/>
      <c r="AJ82" s="50" t="n"/>
      <c r="AK82" s="50" t="n"/>
      <c r="AL82" s="50" t="n"/>
      <c r="AM82" s="50" t="n"/>
      <c r="AN82" s="50" t="n"/>
      <c r="AO82" s="50" t="n"/>
      <c r="AP82" s="50" t="n"/>
      <c r="AQ82" s="50" t="n"/>
      <c r="AR82" s="50" t="n"/>
      <c r="AS82" s="50" t="n"/>
      <c r="AT82" s="50" t="n"/>
      <c r="AU82" s="50" t="n"/>
      <c r="AV82" s="50" t="n"/>
      <c r="AW82" s="50" t="n"/>
      <c r="AX82" s="50" t="n"/>
      <c r="AY82" s="50" t="n"/>
      <c r="AZ82" s="50" t="n"/>
      <c r="BA82" s="50" t="n"/>
      <c r="BB82" s="50" t="n"/>
      <c r="BC82" s="50" t="n"/>
      <c r="BD82" s="50" t="n"/>
      <c r="BE82" s="50" t="n"/>
      <c r="BF82" s="50" t="n"/>
      <c r="BG82" s="50" t="n"/>
      <c r="BH82" s="50" t="n"/>
      <c r="BI82" s="50" t="n"/>
      <c r="BJ82" s="50" t="n"/>
      <c r="BK82" s="50" t="n"/>
      <c r="BL82" s="50" t="n"/>
      <c r="BM82" s="50" t="n"/>
      <c r="BN82" s="50" t="n"/>
      <c r="BO82" s="50" t="n"/>
      <c r="BP82" s="50" t="n"/>
      <c r="BQ82" s="50" t="n"/>
      <c r="BR82" s="50" t="n"/>
      <c r="BS82" s="50" t="n"/>
      <c r="BT82" s="50" t="n"/>
      <c r="BU82" s="50" t="n"/>
      <c r="BV82" s="50" t="n"/>
      <c r="BW82" s="50" t="n"/>
      <c r="BX82" s="50" t="n"/>
      <c r="BY82" s="50" t="n"/>
      <c r="BZ82" s="50" t="n"/>
      <c r="CA82" s="50" t="n"/>
      <c r="CB82" s="50" t="n"/>
      <c r="CC82" s="50" t="n"/>
      <c r="CD82" s="50" t="n"/>
      <c r="CE82" s="50" t="n"/>
      <c r="CF82" s="50" t="n"/>
      <c r="CG82" s="50" t="n"/>
      <c r="CH82" s="50" t="n"/>
      <c r="CI82" s="50" t="n"/>
      <c r="CJ82" s="50" t="n"/>
      <c r="CK82" s="50" t="n"/>
      <c r="CL82" s="50" t="n"/>
      <c r="CM82" s="50" t="n"/>
      <c r="CN82" s="50" t="n"/>
      <c r="CO82" s="50" t="n"/>
      <c r="CP82" s="50" t="n"/>
      <c r="CQ82" s="50" t="n"/>
      <c r="CR82" s="50" t="n"/>
      <c r="CS82" s="50" t="n"/>
      <c r="CT82" s="50" t="n"/>
      <c r="CU82" s="50" t="n"/>
      <c r="CV82" s="50" t="n"/>
      <c r="CW82" s="50" t="n"/>
      <c r="CX82" s="50" t="n"/>
      <c r="CY82" s="50" t="n"/>
      <c r="CZ82" s="50" t="n"/>
      <c r="DA82" s="50" t="n"/>
      <c r="DB82" s="50" t="n"/>
      <c r="DC82" s="50" t="n"/>
      <c r="DD82" s="50" t="n"/>
      <c r="DE82" s="50" t="n"/>
      <c r="DF82" s="50" t="n"/>
      <c r="DG82" s="50" t="n"/>
      <c r="DH82" s="50" t="n"/>
      <c r="DI82" s="50" t="n"/>
      <c r="DJ82" s="50" t="n"/>
      <c r="DK82" s="50" t="n"/>
      <c r="DL82" s="50" t="n"/>
      <c r="DM82" s="50" t="n"/>
      <c r="DN82" s="50" t="n"/>
      <c r="DO82" s="50" t="n"/>
      <c r="DP82" s="50" t="n"/>
      <c r="DQ82" s="50" t="n"/>
      <c r="DR82" s="50" t="n"/>
      <c r="DS82" s="50" t="n"/>
      <c r="DT82" s="50" t="n"/>
      <c r="DU82" s="50" t="n"/>
      <c r="DV82" s="50" t="n"/>
    </row>
    <row r="83">
      <c r="A83" s="47">
        <f>IF(Mitarbeiter!B83="","",Mitarbeiter!A83)</f>
        <v/>
      </c>
      <c r="B83" s="48">
        <f>IF(Mitarbeiter!B83="","",Mitarbeiter!B83)</f>
        <v/>
      </c>
      <c r="C83" s="49">
        <f>IF(Mitarbeiter!B83="","",Mitarbeiter!F83)</f>
        <v/>
      </c>
      <c r="D83" s="25">
        <f>IF(Mitarbeiter!B83="","",Berechnung!AD83)</f>
        <v/>
      </c>
      <c r="E83" s="25">
        <f>IF(Mitarbeiter!B83="","",SUM(G83:DV83))</f>
        <v/>
      </c>
      <c r="G83" s="50" t="n"/>
      <c r="H83" s="50" t="n"/>
      <c r="I83" s="50" t="n"/>
      <c r="J83" s="50" t="n"/>
      <c r="K83" s="50" t="n"/>
      <c r="L83" s="50" t="n"/>
      <c r="M83" s="50" t="n"/>
      <c r="N83" s="50" t="n"/>
      <c r="O83" s="50" t="n"/>
      <c r="P83" s="50" t="n"/>
      <c r="Q83" s="50" t="n"/>
      <c r="R83" s="50" t="n"/>
      <c r="S83" s="50" t="n"/>
      <c r="T83" s="50" t="n"/>
      <c r="U83" s="50" t="n"/>
      <c r="V83" s="50" t="n"/>
      <c r="W83" s="50" t="n"/>
      <c r="X83" s="50" t="n"/>
      <c r="Y83" s="50" t="n"/>
      <c r="Z83" s="50" t="n"/>
      <c r="AA83" s="50" t="n"/>
      <c r="AB83" s="50" t="n"/>
      <c r="AC83" s="50" t="n"/>
      <c r="AD83" s="50" t="n"/>
      <c r="AE83" s="50" t="n"/>
      <c r="AF83" s="50" t="n"/>
      <c r="AG83" s="50" t="n"/>
      <c r="AH83" s="50" t="n"/>
      <c r="AI83" s="50" t="n"/>
      <c r="AJ83" s="50" t="n"/>
      <c r="AK83" s="50" t="n"/>
      <c r="AL83" s="50" t="n"/>
      <c r="AM83" s="50" t="n"/>
      <c r="AN83" s="50" t="n"/>
      <c r="AO83" s="50" t="n"/>
      <c r="AP83" s="50" t="n"/>
      <c r="AQ83" s="50" t="n"/>
      <c r="AR83" s="50" t="n"/>
      <c r="AS83" s="50" t="n"/>
      <c r="AT83" s="50" t="n"/>
      <c r="AU83" s="50" t="n"/>
      <c r="AV83" s="50" t="n"/>
      <c r="AW83" s="50" t="n"/>
      <c r="AX83" s="50" t="n"/>
      <c r="AY83" s="50" t="n"/>
      <c r="AZ83" s="50" t="n"/>
      <c r="BA83" s="50" t="n"/>
      <c r="BB83" s="50" t="n"/>
      <c r="BC83" s="50" t="n"/>
      <c r="BD83" s="50" t="n"/>
      <c r="BE83" s="50" t="n"/>
      <c r="BF83" s="50" t="n"/>
      <c r="BG83" s="50" t="n"/>
      <c r="BH83" s="50" t="n"/>
      <c r="BI83" s="50" t="n"/>
      <c r="BJ83" s="50" t="n"/>
      <c r="BK83" s="50" t="n"/>
      <c r="BL83" s="50" t="n"/>
      <c r="BM83" s="50" t="n"/>
      <c r="BN83" s="50" t="n"/>
      <c r="BO83" s="50" t="n"/>
      <c r="BP83" s="50" t="n"/>
      <c r="BQ83" s="50" t="n"/>
      <c r="BR83" s="50" t="n"/>
      <c r="BS83" s="50" t="n"/>
      <c r="BT83" s="50" t="n"/>
      <c r="BU83" s="50" t="n"/>
      <c r="BV83" s="50" t="n"/>
      <c r="BW83" s="50" t="n"/>
      <c r="BX83" s="50" t="n"/>
      <c r="BY83" s="50" t="n"/>
      <c r="BZ83" s="50" t="n"/>
      <c r="CA83" s="50" t="n"/>
      <c r="CB83" s="50" t="n"/>
      <c r="CC83" s="50" t="n"/>
      <c r="CD83" s="50" t="n"/>
      <c r="CE83" s="50" t="n"/>
      <c r="CF83" s="50" t="n"/>
      <c r="CG83" s="50" t="n"/>
      <c r="CH83" s="50" t="n"/>
      <c r="CI83" s="50" t="n"/>
      <c r="CJ83" s="50" t="n"/>
      <c r="CK83" s="50" t="n"/>
      <c r="CL83" s="50" t="n"/>
      <c r="CM83" s="50" t="n"/>
      <c r="CN83" s="50" t="n"/>
      <c r="CO83" s="50" t="n"/>
      <c r="CP83" s="50" t="n"/>
      <c r="CQ83" s="50" t="n"/>
      <c r="CR83" s="50" t="n"/>
      <c r="CS83" s="50" t="n"/>
      <c r="CT83" s="50" t="n"/>
      <c r="CU83" s="50" t="n"/>
      <c r="CV83" s="50" t="n"/>
      <c r="CW83" s="50" t="n"/>
      <c r="CX83" s="50" t="n"/>
      <c r="CY83" s="50" t="n"/>
      <c r="CZ83" s="50" t="n"/>
      <c r="DA83" s="50" t="n"/>
      <c r="DB83" s="50" t="n"/>
      <c r="DC83" s="50" t="n"/>
      <c r="DD83" s="50" t="n"/>
      <c r="DE83" s="50" t="n"/>
      <c r="DF83" s="50" t="n"/>
      <c r="DG83" s="50" t="n"/>
      <c r="DH83" s="50" t="n"/>
      <c r="DI83" s="50" t="n"/>
      <c r="DJ83" s="50" t="n"/>
      <c r="DK83" s="50" t="n"/>
      <c r="DL83" s="50" t="n"/>
      <c r="DM83" s="50" t="n"/>
      <c r="DN83" s="50" t="n"/>
      <c r="DO83" s="50" t="n"/>
      <c r="DP83" s="50" t="n"/>
      <c r="DQ83" s="50" t="n"/>
      <c r="DR83" s="50" t="n"/>
      <c r="DS83" s="50" t="n"/>
      <c r="DT83" s="50" t="n"/>
      <c r="DU83" s="50" t="n"/>
      <c r="DV83" s="50" t="n"/>
    </row>
    <row r="84">
      <c r="A84" s="47">
        <f>IF(Mitarbeiter!B84="","",Mitarbeiter!A84)</f>
        <v/>
      </c>
      <c r="B84" s="48">
        <f>IF(Mitarbeiter!B84="","",Mitarbeiter!B84)</f>
        <v/>
      </c>
      <c r="C84" s="49">
        <f>IF(Mitarbeiter!B84="","",Mitarbeiter!F84)</f>
        <v/>
      </c>
      <c r="D84" s="25">
        <f>IF(Mitarbeiter!B84="","",Berechnung!AD84)</f>
        <v/>
      </c>
      <c r="E84" s="25">
        <f>IF(Mitarbeiter!B84="","",SUM(G84:DV84))</f>
        <v/>
      </c>
      <c r="G84" s="50" t="n"/>
      <c r="H84" s="50" t="n"/>
      <c r="I84" s="50" t="n"/>
      <c r="J84" s="50" t="n"/>
      <c r="K84" s="50" t="n"/>
      <c r="L84" s="50" t="n"/>
      <c r="M84" s="50" t="n"/>
      <c r="N84" s="50" t="n"/>
      <c r="O84" s="50" t="n"/>
      <c r="P84" s="50" t="n"/>
      <c r="Q84" s="50" t="n"/>
      <c r="R84" s="50" t="n"/>
      <c r="S84" s="50" t="n"/>
      <c r="T84" s="50" t="n"/>
      <c r="U84" s="50" t="n"/>
      <c r="V84" s="50" t="n"/>
      <c r="W84" s="50" t="n"/>
      <c r="X84" s="50" t="n"/>
      <c r="Y84" s="50" t="n"/>
      <c r="Z84" s="50" t="n"/>
      <c r="AA84" s="50" t="n"/>
      <c r="AB84" s="50" t="n"/>
      <c r="AC84" s="50" t="n"/>
      <c r="AD84" s="50" t="n"/>
      <c r="AE84" s="50" t="n"/>
      <c r="AF84" s="50" t="n"/>
      <c r="AG84" s="50" t="n"/>
      <c r="AH84" s="50" t="n"/>
      <c r="AI84" s="50" t="n"/>
      <c r="AJ84" s="50" t="n"/>
      <c r="AK84" s="50" t="n"/>
      <c r="AL84" s="50" t="n"/>
      <c r="AM84" s="50" t="n"/>
      <c r="AN84" s="50" t="n"/>
      <c r="AO84" s="50" t="n"/>
      <c r="AP84" s="50" t="n"/>
      <c r="AQ84" s="50" t="n"/>
      <c r="AR84" s="50" t="n"/>
      <c r="AS84" s="50" t="n"/>
      <c r="AT84" s="50" t="n"/>
      <c r="AU84" s="50" t="n"/>
      <c r="AV84" s="50" t="n"/>
      <c r="AW84" s="50" t="n"/>
      <c r="AX84" s="50" t="n"/>
      <c r="AY84" s="50" t="n"/>
      <c r="AZ84" s="50" t="n"/>
      <c r="BA84" s="50" t="n"/>
      <c r="BB84" s="50" t="n"/>
      <c r="BC84" s="50" t="n"/>
      <c r="BD84" s="50" t="n"/>
      <c r="BE84" s="50" t="n"/>
      <c r="BF84" s="50" t="n"/>
      <c r="BG84" s="50" t="n"/>
      <c r="BH84" s="50" t="n"/>
      <c r="BI84" s="50" t="n"/>
      <c r="BJ84" s="50" t="n"/>
      <c r="BK84" s="50" t="n"/>
      <c r="BL84" s="50" t="n"/>
      <c r="BM84" s="50" t="n"/>
      <c r="BN84" s="50" t="n"/>
      <c r="BO84" s="50" t="n"/>
      <c r="BP84" s="50" t="n"/>
      <c r="BQ84" s="50" t="n"/>
      <c r="BR84" s="50" t="n"/>
      <c r="BS84" s="50" t="n"/>
      <c r="BT84" s="50" t="n"/>
      <c r="BU84" s="50" t="n"/>
      <c r="BV84" s="50" t="n"/>
      <c r="BW84" s="50" t="n"/>
      <c r="BX84" s="50" t="n"/>
      <c r="BY84" s="50" t="n"/>
      <c r="BZ84" s="50" t="n"/>
      <c r="CA84" s="50" t="n"/>
      <c r="CB84" s="50" t="n"/>
      <c r="CC84" s="50" t="n"/>
      <c r="CD84" s="50" t="n"/>
      <c r="CE84" s="50" t="n"/>
      <c r="CF84" s="50" t="n"/>
      <c r="CG84" s="50" t="n"/>
      <c r="CH84" s="50" t="n"/>
      <c r="CI84" s="50" t="n"/>
      <c r="CJ84" s="50" t="n"/>
      <c r="CK84" s="50" t="n"/>
      <c r="CL84" s="50" t="n"/>
      <c r="CM84" s="50" t="n"/>
      <c r="CN84" s="50" t="n"/>
      <c r="CO84" s="50" t="n"/>
      <c r="CP84" s="50" t="n"/>
      <c r="CQ84" s="50" t="n"/>
      <c r="CR84" s="50" t="n"/>
      <c r="CS84" s="50" t="n"/>
      <c r="CT84" s="50" t="n"/>
      <c r="CU84" s="50" t="n"/>
      <c r="CV84" s="50" t="n"/>
      <c r="CW84" s="50" t="n"/>
      <c r="CX84" s="50" t="n"/>
      <c r="CY84" s="50" t="n"/>
      <c r="CZ84" s="50" t="n"/>
      <c r="DA84" s="50" t="n"/>
      <c r="DB84" s="50" t="n"/>
      <c r="DC84" s="50" t="n"/>
      <c r="DD84" s="50" t="n"/>
      <c r="DE84" s="50" t="n"/>
      <c r="DF84" s="50" t="n"/>
      <c r="DG84" s="50" t="n"/>
      <c r="DH84" s="50" t="n"/>
      <c r="DI84" s="50" t="n"/>
      <c r="DJ84" s="50" t="n"/>
      <c r="DK84" s="50" t="n"/>
      <c r="DL84" s="50" t="n"/>
      <c r="DM84" s="50" t="n"/>
      <c r="DN84" s="50" t="n"/>
      <c r="DO84" s="50" t="n"/>
      <c r="DP84" s="50" t="n"/>
      <c r="DQ84" s="50" t="n"/>
      <c r="DR84" s="50" t="n"/>
      <c r="DS84" s="50" t="n"/>
      <c r="DT84" s="50" t="n"/>
      <c r="DU84" s="50" t="n"/>
      <c r="DV84" s="50" t="n"/>
    </row>
    <row r="85">
      <c r="A85" s="47">
        <f>IF(Mitarbeiter!B85="","",Mitarbeiter!A85)</f>
        <v/>
      </c>
      <c r="B85" s="48">
        <f>IF(Mitarbeiter!B85="","",Mitarbeiter!B85)</f>
        <v/>
      </c>
      <c r="C85" s="49">
        <f>IF(Mitarbeiter!B85="","",Mitarbeiter!F85)</f>
        <v/>
      </c>
      <c r="D85" s="25">
        <f>IF(Mitarbeiter!B85="","",Berechnung!AD85)</f>
        <v/>
      </c>
      <c r="E85" s="25">
        <f>IF(Mitarbeiter!B85="","",SUM(G85:DV85))</f>
        <v/>
      </c>
      <c r="G85" s="50" t="n"/>
      <c r="H85" s="50" t="n"/>
      <c r="I85" s="50" t="n"/>
      <c r="J85" s="50" t="n"/>
      <c r="K85" s="50" t="n"/>
      <c r="L85" s="50" t="n"/>
      <c r="M85" s="50" t="n"/>
      <c r="N85" s="50" t="n"/>
      <c r="O85" s="50" t="n"/>
      <c r="P85" s="50" t="n"/>
      <c r="Q85" s="50" t="n"/>
      <c r="R85" s="50" t="n"/>
      <c r="S85" s="50" t="n"/>
      <c r="T85" s="50" t="n"/>
      <c r="U85" s="50" t="n"/>
      <c r="V85" s="50" t="n"/>
      <c r="W85" s="50" t="n"/>
      <c r="X85" s="50" t="n"/>
      <c r="Y85" s="50" t="n"/>
      <c r="Z85" s="50" t="n"/>
      <c r="AA85" s="50" t="n"/>
      <c r="AB85" s="50" t="n"/>
      <c r="AC85" s="50" t="n"/>
      <c r="AD85" s="50" t="n"/>
      <c r="AE85" s="50" t="n"/>
      <c r="AF85" s="50" t="n"/>
      <c r="AG85" s="50" t="n"/>
      <c r="AH85" s="50" t="n"/>
      <c r="AI85" s="50" t="n"/>
      <c r="AJ85" s="50" t="n"/>
      <c r="AK85" s="50" t="n"/>
      <c r="AL85" s="50" t="n"/>
      <c r="AM85" s="50" t="n"/>
      <c r="AN85" s="50" t="n"/>
      <c r="AO85" s="50" t="n"/>
      <c r="AP85" s="50" t="n"/>
      <c r="AQ85" s="50" t="n"/>
      <c r="AR85" s="50" t="n"/>
      <c r="AS85" s="50" t="n"/>
      <c r="AT85" s="50" t="n"/>
      <c r="AU85" s="50" t="n"/>
      <c r="AV85" s="50" t="n"/>
      <c r="AW85" s="50" t="n"/>
      <c r="AX85" s="50" t="n"/>
      <c r="AY85" s="50" t="n"/>
      <c r="AZ85" s="50" t="n"/>
      <c r="BA85" s="50" t="n"/>
      <c r="BB85" s="50" t="n"/>
      <c r="BC85" s="50" t="n"/>
      <c r="BD85" s="50" t="n"/>
      <c r="BE85" s="50" t="n"/>
      <c r="BF85" s="50" t="n"/>
      <c r="BG85" s="50" t="n"/>
      <c r="BH85" s="50" t="n"/>
      <c r="BI85" s="50" t="n"/>
      <c r="BJ85" s="50" t="n"/>
      <c r="BK85" s="50" t="n"/>
      <c r="BL85" s="50" t="n"/>
      <c r="BM85" s="50" t="n"/>
      <c r="BN85" s="50" t="n"/>
      <c r="BO85" s="50" t="n"/>
      <c r="BP85" s="50" t="n"/>
      <c r="BQ85" s="50" t="n"/>
      <c r="BR85" s="50" t="n"/>
      <c r="BS85" s="50" t="n"/>
      <c r="BT85" s="50" t="n"/>
      <c r="BU85" s="50" t="n"/>
      <c r="BV85" s="50" t="n"/>
      <c r="BW85" s="50" t="n"/>
      <c r="BX85" s="50" t="n"/>
      <c r="BY85" s="50" t="n"/>
      <c r="BZ85" s="50" t="n"/>
      <c r="CA85" s="50" t="n"/>
      <c r="CB85" s="50" t="n"/>
      <c r="CC85" s="50" t="n"/>
      <c r="CD85" s="50" t="n"/>
      <c r="CE85" s="50" t="n"/>
      <c r="CF85" s="50" t="n"/>
      <c r="CG85" s="50" t="n"/>
      <c r="CH85" s="50" t="n"/>
      <c r="CI85" s="50" t="n"/>
      <c r="CJ85" s="50" t="n"/>
      <c r="CK85" s="50" t="n"/>
      <c r="CL85" s="50" t="n"/>
      <c r="CM85" s="50" t="n"/>
      <c r="CN85" s="50" t="n"/>
      <c r="CO85" s="50" t="n"/>
      <c r="CP85" s="50" t="n"/>
      <c r="CQ85" s="50" t="n"/>
      <c r="CR85" s="50" t="n"/>
      <c r="CS85" s="50" t="n"/>
      <c r="CT85" s="50" t="n"/>
      <c r="CU85" s="50" t="n"/>
      <c r="CV85" s="50" t="n"/>
      <c r="CW85" s="50" t="n"/>
      <c r="CX85" s="50" t="n"/>
      <c r="CY85" s="50" t="n"/>
      <c r="CZ85" s="50" t="n"/>
      <c r="DA85" s="50" t="n"/>
      <c r="DB85" s="50" t="n"/>
      <c r="DC85" s="50" t="n"/>
      <c r="DD85" s="50" t="n"/>
      <c r="DE85" s="50" t="n"/>
      <c r="DF85" s="50" t="n"/>
      <c r="DG85" s="50" t="n"/>
      <c r="DH85" s="50" t="n"/>
      <c r="DI85" s="50" t="n"/>
      <c r="DJ85" s="50" t="n"/>
      <c r="DK85" s="50" t="n"/>
      <c r="DL85" s="50" t="n"/>
      <c r="DM85" s="50" t="n"/>
      <c r="DN85" s="50" t="n"/>
      <c r="DO85" s="50" t="n"/>
      <c r="DP85" s="50" t="n"/>
      <c r="DQ85" s="50" t="n"/>
      <c r="DR85" s="50" t="n"/>
      <c r="DS85" s="50" t="n"/>
      <c r="DT85" s="50" t="n"/>
      <c r="DU85" s="50" t="n"/>
      <c r="DV85" s="50" t="n"/>
    </row>
    <row r="86">
      <c r="A86" s="47">
        <f>IF(Mitarbeiter!B86="","",Mitarbeiter!A86)</f>
        <v/>
      </c>
      <c r="B86" s="48">
        <f>IF(Mitarbeiter!B86="","",Mitarbeiter!B86)</f>
        <v/>
      </c>
      <c r="C86" s="49">
        <f>IF(Mitarbeiter!B86="","",Mitarbeiter!F86)</f>
        <v/>
      </c>
      <c r="D86" s="25">
        <f>IF(Mitarbeiter!B86="","",Berechnung!AD86)</f>
        <v/>
      </c>
      <c r="E86" s="25">
        <f>IF(Mitarbeiter!B86="","",SUM(G86:DV86))</f>
        <v/>
      </c>
      <c r="G86" s="50" t="n"/>
      <c r="H86" s="50" t="n"/>
      <c r="I86" s="50" t="n"/>
      <c r="J86" s="50" t="n"/>
      <c r="K86" s="50" t="n"/>
      <c r="L86" s="50" t="n"/>
      <c r="M86" s="50" t="n"/>
      <c r="N86" s="50" t="n"/>
      <c r="O86" s="50" t="n"/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  <c r="AB86" s="50" t="n"/>
      <c r="AC86" s="50" t="n"/>
      <c r="AD86" s="50" t="n"/>
      <c r="AE86" s="50" t="n"/>
      <c r="AF86" s="50" t="n"/>
      <c r="AG86" s="50" t="n"/>
      <c r="AH86" s="50" t="n"/>
      <c r="AI86" s="50" t="n"/>
      <c r="AJ86" s="50" t="n"/>
      <c r="AK86" s="50" t="n"/>
      <c r="AL86" s="50" t="n"/>
      <c r="AM86" s="50" t="n"/>
      <c r="AN86" s="50" t="n"/>
      <c r="AO86" s="50" t="n"/>
      <c r="AP86" s="50" t="n"/>
      <c r="AQ86" s="50" t="n"/>
      <c r="AR86" s="50" t="n"/>
      <c r="AS86" s="50" t="n"/>
      <c r="AT86" s="50" t="n"/>
      <c r="AU86" s="50" t="n"/>
      <c r="AV86" s="50" t="n"/>
      <c r="AW86" s="50" t="n"/>
      <c r="AX86" s="50" t="n"/>
      <c r="AY86" s="50" t="n"/>
      <c r="AZ86" s="50" t="n"/>
      <c r="BA86" s="50" t="n"/>
      <c r="BB86" s="50" t="n"/>
      <c r="BC86" s="50" t="n"/>
      <c r="BD86" s="50" t="n"/>
      <c r="BE86" s="50" t="n"/>
      <c r="BF86" s="50" t="n"/>
      <c r="BG86" s="50" t="n"/>
      <c r="BH86" s="50" t="n"/>
      <c r="BI86" s="50" t="n"/>
      <c r="BJ86" s="50" t="n"/>
      <c r="BK86" s="50" t="n"/>
      <c r="BL86" s="50" t="n"/>
      <c r="BM86" s="50" t="n"/>
      <c r="BN86" s="50" t="n"/>
      <c r="BO86" s="50" t="n"/>
      <c r="BP86" s="50" t="n"/>
      <c r="BQ86" s="50" t="n"/>
      <c r="BR86" s="50" t="n"/>
      <c r="BS86" s="50" t="n"/>
      <c r="BT86" s="50" t="n"/>
      <c r="BU86" s="50" t="n"/>
      <c r="BV86" s="50" t="n"/>
      <c r="BW86" s="50" t="n"/>
      <c r="BX86" s="50" t="n"/>
      <c r="BY86" s="50" t="n"/>
      <c r="BZ86" s="50" t="n"/>
      <c r="CA86" s="50" t="n"/>
      <c r="CB86" s="50" t="n"/>
      <c r="CC86" s="50" t="n"/>
      <c r="CD86" s="50" t="n"/>
      <c r="CE86" s="50" t="n"/>
      <c r="CF86" s="50" t="n"/>
      <c r="CG86" s="50" t="n"/>
      <c r="CH86" s="50" t="n"/>
      <c r="CI86" s="50" t="n"/>
      <c r="CJ86" s="50" t="n"/>
      <c r="CK86" s="50" t="n"/>
      <c r="CL86" s="50" t="n"/>
      <c r="CM86" s="50" t="n"/>
      <c r="CN86" s="50" t="n"/>
      <c r="CO86" s="50" t="n"/>
      <c r="CP86" s="50" t="n"/>
      <c r="CQ86" s="50" t="n"/>
      <c r="CR86" s="50" t="n"/>
      <c r="CS86" s="50" t="n"/>
      <c r="CT86" s="50" t="n"/>
      <c r="CU86" s="50" t="n"/>
      <c r="CV86" s="50" t="n"/>
      <c r="CW86" s="50" t="n"/>
      <c r="CX86" s="50" t="n"/>
      <c r="CY86" s="50" t="n"/>
      <c r="CZ86" s="50" t="n"/>
      <c r="DA86" s="50" t="n"/>
      <c r="DB86" s="50" t="n"/>
      <c r="DC86" s="50" t="n"/>
      <c r="DD86" s="50" t="n"/>
      <c r="DE86" s="50" t="n"/>
      <c r="DF86" s="50" t="n"/>
      <c r="DG86" s="50" t="n"/>
      <c r="DH86" s="50" t="n"/>
      <c r="DI86" s="50" t="n"/>
      <c r="DJ86" s="50" t="n"/>
      <c r="DK86" s="50" t="n"/>
      <c r="DL86" s="50" t="n"/>
      <c r="DM86" s="50" t="n"/>
      <c r="DN86" s="50" t="n"/>
      <c r="DO86" s="50" t="n"/>
      <c r="DP86" s="50" t="n"/>
      <c r="DQ86" s="50" t="n"/>
      <c r="DR86" s="50" t="n"/>
      <c r="DS86" s="50" t="n"/>
      <c r="DT86" s="50" t="n"/>
      <c r="DU86" s="50" t="n"/>
      <c r="DV86" s="50" t="n"/>
    </row>
    <row r="87">
      <c r="A87" s="47">
        <f>IF(Mitarbeiter!B87="","",Mitarbeiter!A87)</f>
        <v/>
      </c>
      <c r="B87" s="48">
        <f>IF(Mitarbeiter!B87="","",Mitarbeiter!B87)</f>
        <v/>
      </c>
      <c r="C87" s="49">
        <f>IF(Mitarbeiter!B87="","",Mitarbeiter!F87)</f>
        <v/>
      </c>
      <c r="D87" s="25">
        <f>IF(Mitarbeiter!B87="","",Berechnung!AD87)</f>
        <v/>
      </c>
      <c r="E87" s="25">
        <f>IF(Mitarbeiter!B87="","",SUM(G87:DV87))</f>
        <v/>
      </c>
      <c r="G87" s="50" t="n"/>
      <c r="H87" s="50" t="n"/>
      <c r="I87" s="50" t="n"/>
      <c r="J87" s="50" t="n"/>
      <c r="K87" s="50" t="n"/>
      <c r="L87" s="50" t="n"/>
      <c r="M87" s="50" t="n"/>
      <c r="N87" s="50" t="n"/>
      <c r="O87" s="50" t="n"/>
      <c r="P87" s="50" t="n"/>
      <c r="Q87" s="50" t="n"/>
      <c r="R87" s="50" t="n"/>
      <c r="S87" s="50" t="n"/>
      <c r="T87" s="50" t="n"/>
      <c r="U87" s="50" t="n"/>
      <c r="V87" s="50" t="n"/>
      <c r="W87" s="50" t="n"/>
      <c r="X87" s="50" t="n"/>
      <c r="Y87" s="50" t="n"/>
      <c r="Z87" s="50" t="n"/>
      <c r="AA87" s="50" t="n"/>
      <c r="AB87" s="50" t="n"/>
      <c r="AC87" s="50" t="n"/>
      <c r="AD87" s="50" t="n"/>
      <c r="AE87" s="50" t="n"/>
      <c r="AF87" s="50" t="n"/>
      <c r="AG87" s="50" t="n"/>
      <c r="AH87" s="50" t="n"/>
      <c r="AI87" s="50" t="n"/>
      <c r="AJ87" s="50" t="n"/>
      <c r="AK87" s="50" t="n"/>
      <c r="AL87" s="50" t="n"/>
      <c r="AM87" s="50" t="n"/>
      <c r="AN87" s="50" t="n"/>
      <c r="AO87" s="50" t="n"/>
      <c r="AP87" s="50" t="n"/>
      <c r="AQ87" s="50" t="n"/>
      <c r="AR87" s="50" t="n"/>
      <c r="AS87" s="50" t="n"/>
      <c r="AT87" s="50" t="n"/>
      <c r="AU87" s="50" t="n"/>
      <c r="AV87" s="50" t="n"/>
      <c r="AW87" s="50" t="n"/>
      <c r="AX87" s="50" t="n"/>
      <c r="AY87" s="50" t="n"/>
      <c r="AZ87" s="50" t="n"/>
      <c r="BA87" s="50" t="n"/>
      <c r="BB87" s="50" t="n"/>
      <c r="BC87" s="50" t="n"/>
      <c r="BD87" s="50" t="n"/>
      <c r="BE87" s="50" t="n"/>
      <c r="BF87" s="50" t="n"/>
      <c r="BG87" s="50" t="n"/>
      <c r="BH87" s="50" t="n"/>
      <c r="BI87" s="50" t="n"/>
      <c r="BJ87" s="50" t="n"/>
      <c r="BK87" s="50" t="n"/>
      <c r="BL87" s="50" t="n"/>
      <c r="BM87" s="50" t="n"/>
      <c r="BN87" s="50" t="n"/>
      <c r="BO87" s="50" t="n"/>
      <c r="BP87" s="50" t="n"/>
      <c r="BQ87" s="50" t="n"/>
      <c r="BR87" s="50" t="n"/>
      <c r="BS87" s="50" t="n"/>
      <c r="BT87" s="50" t="n"/>
      <c r="BU87" s="50" t="n"/>
      <c r="BV87" s="50" t="n"/>
      <c r="BW87" s="50" t="n"/>
      <c r="BX87" s="50" t="n"/>
      <c r="BY87" s="50" t="n"/>
      <c r="BZ87" s="50" t="n"/>
      <c r="CA87" s="50" t="n"/>
      <c r="CB87" s="50" t="n"/>
      <c r="CC87" s="50" t="n"/>
      <c r="CD87" s="50" t="n"/>
      <c r="CE87" s="50" t="n"/>
      <c r="CF87" s="50" t="n"/>
      <c r="CG87" s="50" t="n"/>
      <c r="CH87" s="50" t="n"/>
      <c r="CI87" s="50" t="n"/>
      <c r="CJ87" s="50" t="n"/>
      <c r="CK87" s="50" t="n"/>
      <c r="CL87" s="50" t="n"/>
      <c r="CM87" s="50" t="n"/>
      <c r="CN87" s="50" t="n"/>
      <c r="CO87" s="50" t="n"/>
      <c r="CP87" s="50" t="n"/>
      <c r="CQ87" s="50" t="n"/>
      <c r="CR87" s="50" t="n"/>
      <c r="CS87" s="50" t="n"/>
      <c r="CT87" s="50" t="n"/>
      <c r="CU87" s="50" t="n"/>
      <c r="CV87" s="50" t="n"/>
      <c r="CW87" s="50" t="n"/>
      <c r="CX87" s="50" t="n"/>
      <c r="CY87" s="50" t="n"/>
      <c r="CZ87" s="50" t="n"/>
      <c r="DA87" s="50" t="n"/>
      <c r="DB87" s="50" t="n"/>
      <c r="DC87" s="50" t="n"/>
      <c r="DD87" s="50" t="n"/>
      <c r="DE87" s="50" t="n"/>
      <c r="DF87" s="50" t="n"/>
      <c r="DG87" s="50" t="n"/>
      <c r="DH87" s="50" t="n"/>
      <c r="DI87" s="50" t="n"/>
      <c r="DJ87" s="50" t="n"/>
      <c r="DK87" s="50" t="n"/>
      <c r="DL87" s="50" t="n"/>
      <c r="DM87" s="50" t="n"/>
      <c r="DN87" s="50" t="n"/>
      <c r="DO87" s="50" t="n"/>
      <c r="DP87" s="50" t="n"/>
      <c r="DQ87" s="50" t="n"/>
      <c r="DR87" s="50" t="n"/>
      <c r="DS87" s="50" t="n"/>
      <c r="DT87" s="50" t="n"/>
      <c r="DU87" s="50" t="n"/>
      <c r="DV87" s="50" t="n"/>
    </row>
    <row r="88">
      <c r="A88" s="47">
        <f>IF(Mitarbeiter!B88="","",Mitarbeiter!A88)</f>
        <v/>
      </c>
      <c r="B88" s="48">
        <f>IF(Mitarbeiter!B88="","",Mitarbeiter!B88)</f>
        <v/>
      </c>
      <c r="C88" s="49">
        <f>IF(Mitarbeiter!B88="","",Mitarbeiter!F88)</f>
        <v/>
      </c>
      <c r="D88" s="25">
        <f>IF(Mitarbeiter!B88="","",Berechnung!AD88)</f>
        <v/>
      </c>
      <c r="E88" s="25">
        <f>IF(Mitarbeiter!B88="","",SUM(G88:DV88))</f>
        <v/>
      </c>
      <c r="G88" s="50" t="n"/>
      <c r="H88" s="50" t="n"/>
      <c r="I88" s="50" t="n"/>
      <c r="J88" s="50" t="n"/>
      <c r="K88" s="50" t="n"/>
      <c r="L88" s="50" t="n"/>
      <c r="M88" s="50" t="n"/>
      <c r="N88" s="50" t="n"/>
      <c r="O88" s="50" t="n"/>
      <c r="P88" s="50" t="n"/>
      <c r="Q88" s="50" t="n"/>
      <c r="R88" s="50" t="n"/>
      <c r="S88" s="50" t="n"/>
      <c r="T88" s="50" t="n"/>
      <c r="U88" s="50" t="n"/>
      <c r="V88" s="50" t="n"/>
      <c r="W88" s="50" t="n"/>
      <c r="X88" s="50" t="n"/>
      <c r="Y88" s="50" t="n"/>
      <c r="Z88" s="50" t="n"/>
      <c r="AA88" s="50" t="n"/>
      <c r="AB88" s="50" t="n"/>
      <c r="AC88" s="50" t="n"/>
      <c r="AD88" s="50" t="n"/>
      <c r="AE88" s="50" t="n"/>
      <c r="AF88" s="50" t="n"/>
      <c r="AG88" s="50" t="n"/>
      <c r="AH88" s="50" t="n"/>
      <c r="AI88" s="50" t="n"/>
      <c r="AJ88" s="50" t="n"/>
      <c r="AK88" s="50" t="n"/>
      <c r="AL88" s="50" t="n"/>
      <c r="AM88" s="50" t="n"/>
      <c r="AN88" s="50" t="n"/>
      <c r="AO88" s="50" t="n"/>
      <c r="AP88" s="50" t="n"/>
      <c r="AQ88" s="50" t="n"/>
      <c r="AR88" s="50" t="n"/>
      <c r="AS88" s="50" t="n"/>
      <c r="AT88" s="50" t="n"/>
      <c r="AU88" s="50" t="n"/>
      <c r="AV88" s="50" t="n"/>
      <c r="AW88" s="50" t="n"/>
      <c r="AX88" s="50" t="n"/>
      <c r="AY88" s="50" t="n"/>
      <c r="AZ88" s="50" t="n"/>
      <c r="BA88" s="50" t="n"/>
      <c r="BB88" s="50" t="n"/>
      <c r="BC88" s="50" t="n"/>
      <c r="BD88" s="50" t="n"/>
      <c r="BE88" s="50" t="n"/>
      <c r="BF88" s="50" t="n"/>
      <c r="BG88" s="50" t="n"/>
      <c r="BH88" s="50" t="n"/>
      <c r="BI88" s="50" t="n"/>
      <c r="BJ88" s="50" t="n"/>
      <c r="BK88" s="50" t="n"/>
      <c r="BL88" s="50" t="n"/>
      <c r="BM88" s="50" t="n"/>
      <c r="BN88" s="50" t="n"/>
      <c r="BO88" s="50" t="n"/>
      <c r="BP88" s="50" t="n"/>
      <c r="BQ88" s="50" t="n"/>
      <c r="BR88" s="50" t="n"/>
      <c r="BS88" s="50" t="n"/>
      <c r="BT88" s="50" t="n"/>
      <c r="BU88" s="50" t="n"/>
      <c r="BV88" s="50" t="n"/>
      <c r="BW88" s="50" t="n"/>
      <c r="BX88" s="50" t="n"/>
      <c r="BY88" s="50" t="n"/>
      <c r="BZ88" s="50" t="n"/>
      <c r="CA88" s="50" t="n"/>
      <c r="CB88" s="50" t="n"/>
      <c r="CC88" s="50" t="n"/>
      <c r="CD88" s="50" t="n"/>
      <c r="CE88" s="50" t="n"/>
      <c r="CF88" s="50" t="n"/>
      <c r="CG88" s="50" t="n"/>
      <c r="CH88" s="50" t="n"/>
      <c r="CI88" s="50" t="n"/>
      <c r="CJ88" s="50" t="n"/>
      <c r="CK88" s="50" t="n"/>
      <c r="CL88" s="50" t="n"/>
      <c r="CM88" s="50" t="n"/>
      <c r="CN88" s="50" t="n"/>
      <c r="CO88" s="50" t="n"/>
      <c r="CP88" s="50" t="n"/>
      <c r="CQ88" s="50" t="n"/>
      <c r="CR88" s="50" t="n"/>
      <c r="CS88" s="50" t="n"/>
      <c r="CT88" s="50" t="n"/>
      <c r="CU88" s="50" t="n"/>
      <c r="CV88" s="50" t="n"/>
      <c r="CW88" s="50" t="n"/>
      <c r="CX88" s="50" t="n"/>
      <c r="CY88" s="50" t="n"/>
      <c r="CZ88" s="50" t="n"/>
      <c r="DA88" s="50" t="n"/>
      <c r="DB88" s="50" t="n"/>
      <c r="DC88" s="50" t="n"/>
      <c r="DD88" s="50" t="n"/>
      <c r="DE88" s="50" t="n"/>
      <c r="DF88" s="50" t="n"/>
      <c r="DG88" s="50" t="n"/>
      <c r="DH88" s="50" t="n"/>
      <c r="DI88" s="50" t="n"/>
      <c r="DJ88" s="50" t="n"/>
      <c r="DK88" s="50" t="n"/>
      <c r="DL88" s="50" t="n"/>
      <c r="DM88" s="50" t="n"/>
      <c r="DN88" s="50" t="n"/>
      <c r="DO88" s="50" t="n"/>
      <c r="DP88" s="50" t="n"/>
      <c r="DQ88" s="50" t="n"/>
      <c r="DR88" s="50" t="n"/>
      <c r="DS88" s="50" t="n"/>
      <c r="DT88" s="50" t="n"/>
      <c r="DU88" s="50" t="n"/>
      <c r="DV88" s="50" t="n"/>
    </row>
    <row r="89">
      <c r="A89" s="47">
        <f>IF(Mitarbeiter!B89="","",Mitarbeiter!A89)</f>
        <v/>
      </c>
      <c r="B89" s="48">
        <f>IF(Mitarbeiter!B89="","",Mitarbeiter!B89)</f>
        <v/>
      </c>
      <c r="C89" s="49">
        <f>IF(Mitarbeiter!B89="","",Mitarbeiter!F89)</f>
        <v/>
      </c>
      <c r="D89" s="25">
        <f>IF(Mitarbeiter!B89="","",Berechnung!AD89)</f>
        <v/>
      </c>
      <c r="E89" s="25">
        <f>IF(Mitarbeiter!B89="","",SUM(G89:DV89))</f>
        <v/>
      </c>
      <c r="G89" s="50" t="n"/>
      <c r="H89" s="50" t="n"/>
      <c r="I89" s="50" t="n"/>
      <c r="J89" s="50" t="n"/>
      <c r="K89" s="50" t="n"/>
      <c r="L89" s="50" t="n"/>
      <c r="M89" s="50" t="n"/>
      <c r="N89" s="50" t="n"/>
      <c r="O89" s="50" t="n"/>
      <c r="P89" s="50" t="n"/>
      <c r="Q89" s="50" t="n"/>
      <c r="R89" s="50" t="n"/>
      <c r="S89" s="50" t="n"/>
      <c r="T89" s="50" t="n"/>
      <c r="U89" s="50" t="n"/>
      <c r="V89" s="50" t="n"/>
      <c r="W89" s="50" t="n"/>
      <c r="X89" s="50" t="n"/>
      <c r="Y89" s="50" t="n"/>
      <c r="Z89" s="50" t="n"/>
      <c r="AA89" s="50" t="n"/>
      <c r="AB89" s="50" t="n"/>
      <c r="AC89" s="50" t="n"/>
      <c r="AD89" s="50" t="n"/>
      <c r="AE89" s="50" t="n"/>
      <c r="AF89" s="50" t="n"/>
      <c r="AG89" s="50" t="n"/>
      <c r="AH89" s="50" t="n"/>
      <c r="AI89" s="50" t="n"/>
      <c r="AJ89" s="50" t="n"/>
      <c r="AK89" s="50" t="n"/>
      <c r="AL89" s="50" t="n"/>
      <c r="AM89" s="50" t="n"/>
      <c r="AN89" s="50" t="n"/>
      <c r="AO89" s="50" t="n"/>
      <c r="AP89" s="50" t="n"/>
      <c r="AQ89" s="50" t="n"/>
      <c r="AR89" s="50" t="n"/>
      <c r="AS89" s="50" t="n"/>
      <c r="AT89" s="50" t="n"/>
      <c r="AU89" s="50" t="n"/>
      <c r="AV89" s="50" t="n"/>
      <c r="AW89" s="50" t="n"/>
      <c r="AX89" s="50" t="n"/>
      <c r="AY89" s="50" t="n"/>
      <c r="AZ89" s="50" t="n"/>
      <c r="BA89" s="50" t="n"/>
      <c r="BB89" s="50" t="n"/>
      <c r="BC89" s="50" t="n"/>
      <c r="BD89" s="50" t="n"/>
      <c r="BE89" s="50" t="n"/>
      <c r="BF89" s="50" t="n"/>
      <c r="BG89" s="50" t="n"/>
      <c r="BH89" s="50" t="n"/>
      <c r="BI89" s="50" t="n"/>
      <c r="BJ89" s="50" t="n"/>
      <c r="BK89" s="50" t="n"/>
      <c r="BL89" s="50" t="n"/>
      <c r="BM89" s="50" t="n"/>
      <c r="BN89" s="50" t="n"/>
      <c r="BO89" s="50" t="n"/>
      <c r="BP89" s="50" t="n"/>
      <c r="BQ89" s="50" t="n"/>
      <c r="BR89" s="50" t="n"/>
      <c r="BS89" s="50" t="n"/>
      <c r="BT89" s="50" t="n"/>
      <c r="BU89" s="50" t="n"/>
      <c r="BV89" s="50" t="n"/>
      <c r="BW89" s="50" t="n"/>
      <c r="BX89" s="50" t="n"/>
      <c r="BY89" s="50" t="n"/>
      <c r="BZ89" s="50" t="n"/>
      <c r="CA89" s="50" t="n"/>
      <c r="CB89" s="50" t="n"/>
      <c r="CC89" s="50" t="n"/>
      <c r="CD89" s="50" t="n"/>
      <c r="CE89" s="50" t="n"/>
      <c r="CF89" s="50" t="n"/>
      <c r="CG89" s="50" t="n"/>
      <c r="CH89" s="50" t="n"/>
      <c r="CI89" s="50" t="n"/>
      <c r="CJ89" s="50" t="n"/>
      <c r="CK89" s="50" t="n"/>
      <c r="CL89" s="50" t="n"/>
      <c r="CM89" s="50" t="n"/>
      <c r="CN89" s="50" t="n"/>
      <c r="CO89" s="50" t="n"/>
      <c r="CP89" s="50" t="n"/>
      <c r="CQ89" s="50" t="n"/>
      <c r="CR89" s="50" t="n"/>
      <c r="CS89" s="50" t="n"/>
      <c r="CT89" s="50" t="n"/>
      <c r="CU89" s="50" t="n"/>
      <c r="CV89" s="50" t="n"/>
      <c r="CW89" s="50" t="n"/>
      <c r="CX89" s="50" t="n"/>
      <c r="CY89" s="50" t="n"/>
      <c r="CZ89" s="50" t="n"/>
      <c r="DA89" s="50" t="n"/>
      <c r="DB89" s="50" t="n"/>
      <c r="DC89" s="50" t="n"/>
      <c r="DD89" s="50" t="n"/>
      <c r="DE89" s="50" t="n"/>
      <c r="DF89" s="50" t="n"/>
      <c r="DG89" s="50" t="n"/>
      <c r="DH89" s="50" t="n"/>
      <c r="DI89" s="50" t="n"/>
      <c r="DJ89" s="50" t="n"/>
      <c r="DK89" s="50" t="n"/>
      <c r="DL89" s="50" t="n"/>
      <c r="DM89" s="50" t="n"/>
      <c r="DN89" s="50" t="n"/>
      <c r="DO89" s="50" t="n"/>
      <c r="DP89" s="50" t="n"/>
      <c r="DQ89" s="50" t="n"/>
      <c r="DR89" s="50" t="n"/>
      <c r="DS89" s="50" t="n"/>
      <c r="DT89" s="50" t="n"/>
      <c r="DU89" s="50" t="n"/>
      <c r="DV89" s="50" t="n"/>
    </row>
    <row r="90">
      <c r="A90" s="47">
        <f>IF(Mitarbeiter!B90="","",Mitarbeiter!A90)</f>
        <v/>
      </c>
      <c r="B90" s="48">
        <f>IF(Mitarbeiter!B90="","",Mitarbeiter!B90)</f>
        <v/>
      </c>
      <c r="C90" s="49">
        <f>IF(Mitarbeiter!B90="","",Mitarbeiter!F90)</f>
        <v/>
      </c>
      <c r="D90" s="25">
        <f>IF(Mitarbeiter!B90="","",Berechnung!AD90)</f>
        <v/>
      </c>
      <c r="E90" s="25">
        <f>IF(Mitarbeiter!B90="","",SUM(G90:DV90))</f>
        <v/>
      </c>
      <c r="G90" s="50" t="n"/>
      <c r="H90" s="50" t="n"/>
      <c r="I90" s="50" t="n"/>
      <c r="J90" s="50" t="n"/>
      <c r="K90" s="50" t="n"/>
      <c r="L90" s="50" t="n"/>
      <c r="M90" s="50" t="n"/>
      <c r="N90" s="50" t="n"/>
      <c r="O90" s="50" t="n"/>
      <c r="P90" s="50" t="n"/>
      <c r="Q90" s="50" t="n"/>
      <c r="R90" s="50" t="n"/>
      <c r="S90" s="50" t="n"/>
      <c r="T90" s="50" t="n"/>
      <c r="U90" s="50" t="n"/>
      <c r="V90" s="50" t="n"/>
      <c r="W90" s="50" t="n"/>
      <c r="X90" s="50" t="n"/>
      <c r="Y90" s="50" t="n"/>
      <c r="Z90" s="50" t="n"/>
      <c r="AA90" s="50" t="n"/>
      <c r="AB90" s="50" t="n"/>
      <c r="AC90" s="50" t="n"/>
      <c r="AD90" s="50" t="n"/>
      <c r="AE90" s="50" t="n"/>
      <c r="AF90" s="50" t="n"/>
      <c r="AG90" s="50" t="n"/>
      <c r="AH90" s="50" t="n"/>
      <c r="AI90" s="50" t="n"/>
      <c r="AJ90" s="50" t="n"/>
      <c r="AK90" s="50" t="n"/>
      <c r="AL90" s="50" t="n"/>
      <c r="AM90" s="50" t="n"/>
      <c r="AN90" s="50" t="n"/>
      <c r="AO90" s="50" t="n"/>
      <c r="AP90" s="50" t="n"/>
      <c r="AQ90" s="50" t="n"/>
      <c r="AR90" s="50" t="n"/>
      <c r="AS90" s="50" t="n"/>
      <c r="AT90" s="50" t="n"/>
      <c r="AU90" s="50" t="n"/>
      <c r="AV90" s="50" t="n"/>
      <c r="AW90" s="50" t="n"/>
      <c r="AX90" s="50" t="n"/>
      <c r="AY90" s="50" t="n"/>
      <c r="AZ90" s="50" t="n"/>
      <c r="BA90" s="50" t="n"/>
      <c r="BB90" s="50" t="n"/>
      <c r="BC90" s="50" t="n"/>
      <c r="BD90" s="50" t="n"/>
      <c r="BE90" s="50" t="n"/>
      <c r="BF90" s="50" t="n"/>
      <c r="BG90" s="50" t="n"/>
      <c r="BH90" s="50" t="n"/>
      <c r="BI90" s="50" t="n"/>
      <c r="BJ90" s="50" t="n"/>
      <c r="BK90" s="50" t="n"/>
      <c r="BL90" s="50" t="n"/>
      <c r="BM90" s="50" t="n"/>
      <c r="BN90" s="50" t="n"/>
      <c r="BO90" s="50" t="n"/>
      <c r="BP90" s="50" t="n"/>
      <c r="BQ90" s="50" t="n"/>
      <c r="BR90" s="50" t="n"/>
      <c r="BS90" s="50" t="n"/>
      <c r="BT90" s="50" t="n"/>
      <c r="BU90" s="50" t="n"/>
      <c r="BV90" s="50" t="n"/>
      <c r="BW90" s="50" t="n"/>
      <c r="BX90" s="50" t="n"/>
      <c r="BY90" s="50" t="n"/>
      <c r="BZ90" s="50" t="n"/>
      <c r="CA90" s="50" t="n"/>
      <c r="CB90" s="50" t="n"/>
      <c r="CC90" s="50" t="n"/>
      <c r="CD90" s="50" t="n"/>
      <c r="CE90" s="50" t="n"/>
      <c r="CF90" s="50" t="n"/>
      <c r="CG90" s="50" t="n"/>
      <c r="CH90" s="50" t="n"/>
      <c r="CI90" s="50" t="n"/>
      <c r="CJ90" s="50" t="n"/>
      <c r="CK90" s="50" t="n"/>
      <c r="CL90" s="50" t="n"/>
      <c r="CM90" s="50" t="n"/>
      <c r="CN90" s="50" t="n"/>
      <c r="CO90" s="50" t="n"/>
      <c r="CP90" s="50" t="n"/>
      <c r="CQ90" s="50" t="n"/>
      <c r="CR90" s="50" t="n"/>
      <c r="CS90" s="50" t="n"/>
      <c r="CT90" s="50" t="n"/>
      <c r="CU90" s="50" t="n"/>
      <c r="CV90" s="50" t="n"/>
      <c r="CW90" s="50" t="n"/>
      <c r="CX90" s="50" t="n"/>
      <c r="CY90" s="50" t="n"/>
      <c r="CZ90" s="50" t="n"/>
      <c r="DA90" s="50" t="n"/>
      <c r="DB90" s="50" t="n"/>
      <c r="DC90" s="50" t="n"/>
      <c r="DD90" s="50" t="n"/>
      <c r="DE90" s="50" t="n"/>
      <c r="DF90" s="50" t="n"/>
      <c r="DG90" s="50" t="n"/>
      <c r="DH90" s="50" t="n"/>
      <c r="DI90" s="50" t="n"/>
      <c r="DJ90" s="50" t="n"/>
      <c r="DK90" s="50" t="n"/>
      <c r="DL90" s="50" t="n"/>
      <c r="DM90" s="50" t="n"/>
      <c r="DN90" s="50" t="n"/>
      <c r="DO90" s="50" t="n"/>
      <c r="DP90" s="50" t="n"/>
      <c r="DQ90" s="50" t="n"/>
      <c r="DR90" s="50" t="n"/>
      <c r="DS90" s="50" t="n"/>
      <c r="DT90" s="50" t="n"/>
      <c r="DU90" s="50" t="n"/>
      <c r="DV90" s="50" t="n"/>
    </row>
    <row r="91">
      <c r="A91" s="47">
        <f>IF(Mitarbeiter!B91="","",Mitarbeiter!A91)</f>
        <v/>
      </c>
      <c r="B91" s="48">
        <f>IF(Mitarbeiter!B91="","",Mitarbeiter!B91)</f>
        <v/>
      </c>
      <c r="C91" s="49">
        <f>IF(Mitarbeiter!B91="","",Mitarbeiter!F91)</f>
        <v/>
      </c>
      <c r="D91" s="25">
        <f>IF(Mitarbeiter!B91="","",Berechnung!AD91)</f>
        <v/>
      </c>
      <c r="E91" s="25">
        <f>IF(Mitarbeiter!B91="","",SUM(G91:DV91))</f>
        <v/>
      </c>
      <c r="G91" s="50" t="n"/>
      <c r="H91" s="50" t="n"/>
      <c r="I91" s="50" t="n"/>
      <c r="J91" s="50" t="n"/>
      <c r="K91" s="50" t="n"/>
      <c r="L91" s="50" t="n"/>
      <c r="M91" s="50" t="n"/>
      <c r="N91" s="50" t="n"/>
      <c r="O91" s="50" t="n"/>
      <c r="P91" s="50" t="n"/>
      <c r="Q91" s="50" t="n"/>
      <c r="R91" s="50" t="n"/>
      <c r="S91" s="50" t="n"/>
      <c r="T91" s="50" t="n"/>
      <c r="U91" s="50" t="n"/>
      <c r="V91" s="50" t="n"/>
      <c r="W91" s="50" t="n"/>
      <c r="X91" s="50" t="n"/>
      <c r="Y91" s="50" t="n"/>
      <c r="Z91" s="50" t="n"/>
      <c r="AA91" s="50" t="n"/>
      <c r="AB91" s="50" t="n"/>
      <c r="AC91" s="50" t="n"/>
      <c r="AD91" s="50" t="n"/>
      <c r="AE91" s="50" t="n"/>
      <c r="AF91" s="50" t="n"/>
      <c r="AG91" s="50" t="n"/>
      <c r="AH91" s="50" t="n"/>
      <c r="AI91" s="50" t="n"/>
      <c r="AJ91" s="50" t="n"/>
      <c r="AK91" s="50" t="n"/>
      <c r="AL91" s="50" t="n"/>
      <c r="AM91" s="50" t="n"/>
      <c r="AN91" s="50" t="n"/>
      <c r="AO91" s="50" t="n"/>
      <c r="AP91" s="50" t="n"/>
      <c r="AQ91" s="50" t="n"/>
      <c r="AR91" s="50" t="n"/>
      <c r="AS91" s="50" t="n"/>
      <c r="AT91" s="50" t="n"/>
      <c r="AU91" s="50" t="n"/>
      <c r="AV91" s="50" t="n"/>
      <c r="AW91" s="50" t="n"/>
      <c r="AX91" s="50" t="n"/>
      <c r="AY91" s="50" t="n"/>
      <c r="AZ91" s="50" t="n"/>
      <c r="BA91" s="50" t="n"/>
      <c r="BB91" s="50" t="n"/>
      <c r="BC91" s="50" t="n"/>
      <c r="BD91" s="50" t="n"/>
      <c r="BE91" s="50" t="n"/>
      <c r="BF91" s="50" t="n"/>
      <c r="BG91" s="50" t="n"/>
      <c r="BH91" s="50" t="n"/>
      <c r="BI91" s="50" t="n"/>
      <c r="BJ91" s="50" t="n"/>
      <c r="BK91" s="50" t="n"/>
      <c r="BL91" s="50" t="n"/>
      <c r="BM91" s="50" t="n"/>
      <c r="BN91" s="50" t="n"/>
      <c r="BO91" s="50" t="n"/>
      <c r="BP91" s="50" t="n"/>
      <c r="BQ91" s="50" t="n"/>
      <c r="BR91" s="50" t="n"/>
      <c r="BS91" s="50" t="n"/>
      <c r="BT91" s="50" t="n"/>
      <c r="BU91" s="50" t="n"/>
      <c r="BV91" s="50" t="n"/>
      <c r="BW91" s="50" t="n"/>
      <c r="BX91" s="50" t="n"/>
      <c r="BY91" s="50" t="n"/>
      <c r="BZ91" s="50" t="n"/>
      <c r="CA91" s="50" t="n"/>
      <c r="CB91" s="50" t="n"/>
      <c r="CC91" s="50" t="n"/>
      <c r="CD91" s="50" t="n"/>
      <c r="CE91" s="50" t="n"/>
      <c r="CF91" s="50" t="n"/>
      <c r="CG91" s="50" t="n"/>
      <c r="CH91" s="50" t="n"/>
      <c r="CI91" s="50" t="n"/>
      <c r="CJ91" s="50" t="n"/>
      <c r="CK91" s="50" t="n"/>
      <c r="CL91" s="50" t="n"/>
      <c r="CM91" s="50" t="n"/>
      <c r="CN91" s="50" t="n"/>
      <c r="CO91" s="50" t="n"/>
      <c r="CP91" s="50" t="n"/>
      <c r="CQ91" s="50" t="n"/>
      <c r="CR91" s="50" t="n"/>
      <c r="CS91" s="50" t="n"/>
      <c r="CT91" s="50" t="n"/>
      <c r="CU91" s="50" t="n"/>
      <c r="CV91" s="50" t="n"/>
      <c r="CW91" s="50" t="n"/>
      <c r="CX91" s="50" t="n"/>
      <c r="CY91" s="50" t="n"/>
      <c r="CZ91" s="50" t="n"/>
      <c r="DA91" s="50" t="n"/>
      <c r="DB91" s="50" t="n"/>
      <c r="DC91" s="50" t="n"/>
      <c r="DD91" s="50" t="n"/>
      <c r="DE91" s="50" t="n"/>
      <c r="DF91" s="50" t="n"/>
      <c r="DG91" s="50" t="n"/>
      <c r="DH91" s="50" t="n"/>
      <c r="DI91" s="50" t="n"/>
      <c r="DJ91" s="50" t="n"/>
      <c r="DK91" s="50" t="n"/>
      <c r="DL91" s="50" t="n"/>
      <c r="DM91" s="50" t="n"/>
      <c r="DN91" s="50" t="n"/>
      <c r="DO91" s="50" t="n"/>
      <c r="DP91" s="50" t="n"/>
      <c r="DQ91" s="50" t="n"/>
      <c r="DR91" s="50" t="n"/>
      <c r="DS91" s="50" t="n"/>
      <c r="DT91" s="50" t="n"/>
      <c r="DU91" s="50" t="n"/>
      <c r="DV91" s="50" t="n"/>
    </row>
    <row r="92">
      <c r="A92" s="47">
        <f>IF(Mitarbeiter!B92="","",Mitarbeiter!A92)</f>
        <v/>
      </c>
      <c r="B92" s="48">
        <f>IF(Mitarbeiter!B92="","",Mitarbeiter!B92)</f>
        <v/>
      </c>
      <c r="C92" s="49">
        <f>IF(Mitarbeiter!B92="","",Mitarbeiter!F92)</f>
        <v/>
      </c>
      <c r="D92" s="25">
        <f>IF(Mitarbeiter!B92="","",Berechnung!AD92)</f>
        <v/>
      </c>
      <c r="E92" s="25">
        <f>IF(Mitarbeiter!B92="","",SUM(G92:DV92))</f>
        <v/>
      </c>
      <c r="G92" s="50" t="n"/>
      <c r="H92" s="50" t="n"/>
      <c r="I92" s="50" t="n"/>
      <c r="J92" s="50" t="n"/>
      <c r="K92" s="50" t="n"/>
      <c r="L92" s="50" t="n"/>
      <c r="M92" s="50" t="n"/>
      <c r="N92" s="50" t="n"/>
      <c r="O92" s="50" t="n"/>
      <c r="P92" s="50" t="n"/>
      <c r="Q92" s="50" t="n"/>
      <c r="R92" s="50" t="n"/>
      <c r="S92" s="50" t="n"/>
      <c r="T92" s="50" t="n"/>
      <c r="U92" s="50" t="n"/>
      <c r="V92" s="50" t="n"/>
      <c r="W92" s="50" t="n"/>
      <c r="X92" s="50" t="n"/>
      <c r="Y92" s="50" t="n"/>
      <c r="Z92" s="50" t="n"/>
      <c r="AA92" s="50" t="n"/>
      <c r="AB92" s="50" t="n"/>
      <c r="AC92" s="50" t="n"/>
      <c r="AD92" s="50" t="n"/>
      <c r="AE92" s="50" t="n"/>
      <c r="AF92" s="50" t="n"/>
      <c r="AG92" s="50" t="n"/>
      <c r="AH92" s="50" t="n"/>
      <c r="AI92" s="50" t="n"/>
      <c r="AJ92" s="50" t="n"/>
      <c r="AK92" s="50" t="n"/>
      <c r="AL92" s="50" t="n"/>
      <c r="AM92" s="50" t="n"/>
      <c r="AN92" s="50" t="n"/>
      <c r="AO92" s="50" t="n"/>
      <c r="AP92" s="50" t="n"/>
      <c r="AQ92" s="50" t="n"/>
      <c r="AR92" s="50" t="n"/>
      <c r="AS92" s="50" t="n"/>
      <c r="AT92" s="50" t="n"/>
      <c r="AU92" s="50" t="n"/>
      <c r="AV92" s="50" t="n"/>
      <c r="AW92" s="50" t="n"/>
      <c r="AX92" s="50" t="n"/>
      <c r="AY92" s="50" t="n"/>
      <c r="AZ92" s="50" t="n"/>
      <c r="BA92" s="50" t="n"/>
      <c r="BB92" s="50" t="n"/>
      <c r="BC92" s="50" t="n"/>
      <c r="BD92" s="50" t="n"/>
      <c r="BE92" s="50" t="n"/>
      <c r="BF92" s="50" t="n"/>
      <c r="BG92" s="50" t="n"/>
      <c r="BH92" s="50" t="n"/>
      <c r="BI92" s="50" t="n"/>
      <c r="BJ92" s="50" t="n"/>
      <c r="BK92" s="50" t="n"/>
      <c r="BL92" s="50" t="n"/>
      <c r="BM92" s="50" t="n"/>
      <c r="BN92" s="50" t="n"/>
      <c r="BO92" s="50" t="n"/>
      <c r="BP92" s="50" t="n"/>
      <c r="BQ92" s="50" t="n"/>
      <c r="BR92" s="50" t="n"/>
      <c r="BS92" s="50" t="n"/>
      <c r="BT92" s="50" t="n"/>
      <c r="BU92" s="50" t="n"/>
      <c r="BV92" s="50" t="n"/>
      <c r="BW92" s="50" t="n"/>
      <c r="BX92" s="50" t="n"/>
      <c r="BY92" s="50" t="n"/>
      <c r="BZ92" s="50" t="n"/>
      <c r="CA92" s="50" t="n"/>
      <c r="CB92" s="50" t="n"/>
      <c r="CC92" s="50" t="n"/>
      <c r="CD92" s="50" t="n"/>
      <c r="CE92" s="50" t="n"/>
      <c r="CF92" s="50" t="n"/>
      <c r="CG92" s="50" t="n"/>
      <c r="CH92" s="50" t="n"/>
      <c r="CI92" s="50" t="n"/>
      <c r="CJ92" s="50" t="n"/>
      <c r="CK92" s="50" t="n"/>
      <c r="CL92" s="50" t="n"/>
      <c r="CM92" s="50" t="n"/>
      <c r="CN92" s="50" t="n"/>
      <c r="CO92" s="50" t="n"/>
      <c r="CP92" s="50" t="n"/>
      <c r="CQ92" s="50" t="n"/>
      <c r="CR92" s="50" t="n"/>
      <c r="CS92" s="50" t="n"/>
      <c r="CT92" s="50" t="n"/>
      <c r="CU92" s="50" t="n"/>
      <c r="CV92" s="50" t="n"/>
      <c r="CW92" s="50" t="n"/>
      <c r="CX92" s="50" t="n"/>
      <c r="CY92" s="50" t="n"/>
      <c r="CZ92" s="50" t="n"/>
      <c r="DA92" s="50" t="n"/>
      <c r="DB92" s="50" t="n"/>
      <c r="DC92" s="50" t="n"/>
      <c r="DD92" s="50" t="n"/>
      <c r="DE92" s="50" t="n"/>
      <c r="DF92" s="50" t="n"/>
      <c r="DG92" s="50" t="n"/>
      <c r="DH92" s="50" t="n"/>
      <c r="DI92" s="50" t="n"/>
      <c r="DJ92" s="50" t="n"/>
      <c r="DK92" s="50" t="n"/>
      <c r="DL92" s="50" t="n"/>
      <c r="DM92" s="50" t="n"/>
      <c r="DN92" s="50" t="n"/>
      <c r="DO92" s="50" t="n"/>
      <c r="DP92" s="50" t="n"/>
      <c r="DQ92" s="50" t="n"/>
      <c r="DR92" s="50" t="n"/>
      <c r="DS92" s="50" t="n"/>
      <c r="DT92" s="50" t="n"/>
      <c r="DU92" s="50" t="n"/>
      <c r="DV92" s="50" t="n"/>
    </row>
    <row r="93">
      <c r="A93" s="47">
        <f>IF(Mitarbeiter!B93="","",Mitarbeiter!A93)</f>
        <v/>
      </c>
      <c r="B93" s="48">
        <f>IF(Mitarbeiter!B93="","",Mitarbeiter!B93)</f>
        <v/>
      </c>
      <c r="C93" s="49">
        <f>IF(Mitarbeiter!B93="","",Mitarbeiter!F93)</f>
        <v/>
      </c>
      <c r="D93" s="25">
        <f>IF(Mitarbeiter!B93="","",Berechnung!AD93)</f>
        <v/>
      </c>
      <c r="E93" s="25">
        <f>IF(Mitarbeiter!B93="","",SUM(G93:DV93))</f>
        <v/>
      </c>
      <c r="G93" s="50" t="n"/>
      <c r="H93" s="50" t="n"/>
      <c r="I93" s="50" t="n"/>
      <c r="J93" s="50" t="n"/>
      <c r="K93" s="50" t="n"/>
      <c r="L93" s="50" t="n"/>
      <c r="M93" s="50" t="n"/>
      <c r="N93" s="50" t="n"/>
      <c r="O93" s="50" t="n"/>
      <c r="P93" s="50" t="n"/>
      <c r="Q93" s="50" t="n"/>
      <c r="R93" s="50" t="n"/>
      <c r="S93" s="50" t="n"/>
      <c r="T93" s="50" t="n"/>
      <c r="U93" s="50" t="n"/>
      <c r="V93" s="50" t="n"/>
      <c r="W93" s="50" t="n"/>
      <c r="X93" s="50" t="n"/>
      <c r="Y93" s="50" t="n"/>
      <c r="Z93" s="50" t="n"/>
      <c r="AA93" s="50" t="n"/>
      <c r="AB93" s="50" t="n"/>
      <c r="AC93" s="50" t="n"/>
      <c r="AD93" s="50" t="n"/>
      <c r="AE93" s="50" t="n"/>
      <c r="AF93" s="50" t="n"/>
      <c r="AG93" s="50" t="n"/>
      <c r="AH93" s="50" t="n"/>
      <c r="AI93" s="50" t="n"/>
      <c r="AJ93" s="50" t="n"/>
      <c r="AK93" s="50" t="n"/>
      <c r="AL93" s="50" t="n"/>
      <c r="AM93" s="50" t="n"/>
      <c r="AN93" s="50" t="n"/>
      <c r="AO93" s="50" t="n"/>
      <c r="AP93" s="50" t="n"/>
      <c r="AQ93" s="50" t="n"/>
      <c r="AR93" s="50" t="n"/>
      <c r="AS93" s="50" t="n"/>
      <c r="AT93" s="50" t="n"/>
      <c r="AU93" s="50" t="n"/>
      <c r="AV93" s="50" t="n"/>
      <c r="AW93" s="50" t="n"/>
      <c r="AX93" s="50" t="n"/>
      <c r="AY93" s="50" t="n"/>
      <c r="AZ93" s="50" t="n"/>
      <c r="BA93" s="50" t="n"/>
      <c r="BB93" s="50" t="n"/>
      <c r="BC93" s="50" t="n"/>
      <c r="BD93" s="50" t="n"/>
      <c r="BE93" s="50" t="n"/>
      <c r="BF93" s="50" t="n"/>
      <c r="BG93" s="50" t="n"/>
      <c r="BH93" s="50" t="n"/>
      <c r="BI93" s="50" t="n"/>
      <c r="BJ93" s="50" t="n"/>
      <c r="BK93" s="50" t="n"/>
      <c r="BL93" s="50" t="n"/>
      <c r="BM93" s="50" t="n"/>
      <c r="BN93" s="50" t="n"/>
      <c r="BO93" s="50" t="n"/>
      <c r="BP93" s="50" t="n"/>
      <c r="BQ93" s="50" t="n"/>
      <c r="BR93" s="50" t="n"/>
      <c r="BS93" s="50" t="n"/>
      <c r="BT93" s="50" t="n"/>
      <c r="BU93" s="50" t="n"/>
      <c r="BV93" s="50" t="n"/>
      <c r="BW93" s="50" t="n"/>
      <c r="BX93" s="50" t="n"/>
      <c r="BY93" s="50" t="n"/>
      <c r="BZ93" s="50" t="n"/>
      <c r="CA93" s="50" t="n"/>
      <c r="CB93" s="50" t="n"/>
      <c r="CC93" s="50" t="n"/>
      <c r="CD93" s="50" t="n"/>
      <c r="CE93" s="50" t="n"/>
      <c r="CF93" s="50" t="n"/>
      <c r="CG93" s="50" t="n"/>
      <c r="CH93" s="50" t="n"/>
      <c r="CI93" s="50" t="n"/>
      <c r="CJ93" s="50" t="n"/>
      <c r="CK93" s="50" t="n"/>
      <c r="CL93" s="50" t="n"/>
      <c r="CM93" s="50" t="n"/>
      <c r="CN93" s="50" t="n"/>
      <c r="CO93" s="50" t="n"/>
      <c r="CP93" s="50" t="n"/>
      <c r="CQ93" s="50" t="n"/>
      <c r="CR93" s="50" t="n"/>
      <c r="CS93" s="50" t="n"/>
      <c r="CT93" s="50" t="n"/>
      <c r="CU93" s="50" t="n"/>
      <c r="CV93" s="50" t="n"/>
      <c r="CW93" s="50" t="n"/>
      <c r="CX93" s="50" t="n"/>
      <c r="CY93" s="50" t="n"/>
      <c r="CZ93" s="50" t="n"/>
      <c r="DA93" s="50" t="n"/>
      <c r="DB93" s="50" t="n"/>
      <c r="DC93" s="50" t="n"/>
      <c r="DD93" s="50" t="n"/>
      <c r="DE93" s="50" t="n"/>
      <c r="DF93" s="50" t="n"/>
      <c r="DG93" s="50" t="n"/>
      <c r="DH93" s="50" t="n"/>
      <c r="DI93" s="50" t="n"/>
      <c r="DJ93" s="50" t="n"/>
      <c r="DK93" s="50" t="n"/>
      <c r="DL93" s="50" t="n"/>
      <c r="DM93" s="50" t="n"/>
      <c r="DN93" s="50" t="n"/>
      <c r="DO93" s="50" t="n"/>
      <c r="DP93" s="50" t="n"/>
      <c r="DQ93" s="50" t="n"/>
      <c r="DR93" s="50" t="n"/>
      <c r="DS93" s="50" t="n"/>
      <c r="DT93" s="50" t="n"/>
      <c r="DU93" s="50" t="n"/>
      <c r="DV93" s="50" t="n"/>
    </row>
    <row r="94">
      <c r="A94" s="47">
        <f>IF(Mitarbeiter!B94="","",Mitarbeiter!A94)</f>
        <v/>
      </c>
      <c r="B94" s="48">
        <f>IF(Mitarbeiter!B94="","",Mitarbeiter!B94)</f>
        <v/>
      </c>
      <c r="C94" s="49">
        <f>IF(Mitarbeiter!B94="","",Mitarbeiter!F94)</f>
        <v/>
      </c>
      <c r="D94" s="25">
        <f>IF(Mitarbeiter!B94="","",Berechnung!AD94)</f>
        <v/>
      </c>
      <c r="E94" s="25">
        <f>IF(Mitarbeiter!B94="","",SUM(G94:DV94))</f>
        <v/>
      </c>
      <c r="G94" s="50" t="n"/>
      <c r="H94" s="50" t="n"/>
      <c r="I94" s="50" t="n"/>
      <c r="J94" s="50" t="n"/>
      <c r="K94" s="50" t="n"/>
      <c r="L94" s="50" t="n"/>
      <c r="M94" s="50" t="n"/>
      <c r="N94" s="50" t="n"/>
      <c r="O94" s="50" t="n"/>
      <c r="P94" s="50" t="n"/>
      <c r="Q94" s="50" t="n"/>
      <c r="R94" s="50" t="n"/>
      <c r="S94" s="50" t="n"/>
      <c r="T94" s="50" t="n"/>
      <c r="U94" s="50" t="n"/>
      <c r="V94" s="50" t="n"/>
      <c r="W94" s="50" t="n"/>
      <c r="X94" s="50" t="n"/>
      <c r="Y94" s="50" t="n"/>
      <c r="Z94" s="50" t="n"/>
      <c r="AA94" s="50" t="n"/>
      <c r="AB94" s="50" t="n"/>
      <c r="AC94" s="50" t="n"/>
      <c r="AD94" s="50" t="n"/>
      <c r="AE94" s="50" t="n"/>
      <c r="AF94" s="50" t="n"/>
      <c r="AG94" s="50" t="n"/>
      <c r="AH94" s="50" t="n"/>
      <c r="AI94" s="50" t="n"/>
      <c r="AJ94" s="50" t="n"/>
      <c r="AK94" s="50" t="n"/>
      <c r="AL94" s="50" t="n"/>
      <c r="AM94" s="50" t="n"/>
      <c r="AN94" s="50" t="n"/>
      <c r="AO94" s="50" t="n"/>
      <c r="AP94" s="50" t="n"/>
      <c r="AQ94" s="50" t="n"/>
      <c r="AR94" s="50" t="n"/>
      <c r="AS94" s="50" t="n"/>
      <c r="AT94" s="50" t="n"/>
      <c r="AU94" s="50" t="n"/>
      <c r="AV94" s="50" t="n"/>
      <c r="AW94" s="50" t="n"/>
      <c r="AX94" s="50" t="n"/>
      <c r="AY94" s="50" t="n"/>
      <c r="AZ94" s="50" t="n"/>
      <c r="BA94" s="50" t="n"/>
      <c r="BB94" s="50" t="n"/>
      <c r="BC94" s="50" t="n"/>
      <c r="BD94" s="50" t="n"/>
      <c r="BE94" s="50" t="n"/>
      <c r="BF94" s="50" t="n"/>
      <c r="BG94" s="50" t="n"/>
      <c r="BH94" s="50" t="n"/>
      <c r="BI94" s="50" t="n"/>
      <c r="BJ94" s="50" t="n"/>
      <c r="BK94" s="50" t="n"/>
      <c r="BL94" s="50" t="n"/>
      <c r="BM94" s="50" t="n"/>
      <c r="BN94" s="50" t="n"/>
      <c r="BO94" s="50" t="n"/>
      <c r="BP94" s="50" t="n"/>
      <c r="BQ94" s="50" t="n"/>
      <c r="BR94" s="50" t="n"/>
      <c r="BS94" s="50" t="n"/>
      <c r="BT94" s="50" t="n"/>
      <c r="BU94" s="50" t="n"/>
      <c r="BV94" s="50" t="n"/>
      <c r="BW94" s="50" t="n"/>
      <c r="BX94" s="50" t="n"/>
      <c r="BY94" s="50" t="n"/>
      <c r="BZ94" s="50" t="n"/>
      <c r="CA94" s="50" t="n"/>
      <c r="CB94" s="50" t="n"/>
      <c r="CC94" s="50" t="n"/>
      <c r="CD94" s="50" t="n"/>
      <c r="CE94" s="50" t="n"/>
      <c r="CF94" s="50" t="n"/>
      <c r="CG94" s="50" t="n"/>
      <c r="CH94" s="50" t="n"/>
      <c r="CI94" s="50" t="n"/>
      <c r="CJ94" s="50" t="n"/>
      <c r="CK94" s="50" t="n"/>
      <c r="CL94" s="50" t="n"/>
      <c r="CM94" s="50" t="n"/>
      <c r="CN94" s="50" t="n"/>
      <c r="CO94" s="50" t="n"/>
      <c r="CP94" s="50" t="n"/>
      <c r="CQ94" s="50" t="n"/>
      <c r="CR94" s="50" t="n"/>
      <c r="CS94" s="50" t="n"/>
      <c r="CT94" s="50" t="n"/>
      <c r="CU94" s="50" t="n"/>
      <c r="CV94" s="50" t="n"/>
      <c r="CW94" s="50" t="n"/>
      <c r="CX94" s="50" t="n"/>
      <c r="CY94" s="50" t="n"/>
      <c r="CZ94" s="50" t="n"/>
      <c r="DA94" s="50" t="n"/>
      <c r="DB94" s="50" t="n"/>
      <c r="DC94" s="50" t="n"/>
      <c r="DD94" s="50" t="n"/>
      <c r="DE94" s="50" t="n"/>
      <c r="DF94" s="50" t="n"/>
      <c r="DG94" s="50" t="n"/>
      <c r="DH94" s="50" t="n"/>
      <c r="DI94" s="50" t="n"/>
      <c r="DJ94" s="50" t="n"/>
      <c r="DK94" s="50" t="n"/>
      <c r="DL94" s="50" t="n"/>
      <c r="DM94" s="50" t="n"/>
      <c r="DN94" s="50" t="n"/>
      <c r="DO94" s="50" t="n"/>
      <c r="DP94" s="50" t="n"/>
      <c r="DQ94" s="50" t="n"/>
      <c r="DR94" s="50" t="n"/>
      <c r="DS94" s="50" t="n"/>
      <c r="DT94" s="50" t="n"/>
      <c r="DU94" s="50" t="n"/>
      <c r="DV94" s="50" t="n"/>
    </row>
    <row r="95">
      <c r="A95" s="47">
        <f>IF(Mitarbeiter!B95="","",Mitarbeiter!A95)</f>
        <v/>
      </c>
      <c r="B95" s="48">
        <f>IF(Mitarbeiter!B95="","",Mitarbeiter!B95)</f>
        <v/>
      </c>
      <c r="C95" s="49">
        <f>IF(Mitarbeiter!B95="","",Mitarbeiter!F95)</f>
        <v/>
      </c>
      <c r="D95" s="25">
        <f>IF(Mitarbeiter!B95="","",Berechnung!AD95)</f>
        <v/>
      </c>
      <c r="E95" s="25">
        <f>IF(Mitarbeiter!B95="","",SUM(G95:DV95))</f>
        <v/>
      </c>
      <c r="G95" s="50" t="n"/>
      <c r="H95" s="50" t="n"/>
      <c r="I95" s="50" t="n"/>
      <c r="J95" s="50" t="n"/>
      <c r="K95" s="50" t="n"/>
      <c r="L95" s="50" t="n"/>
      <c r="M95" s="50" t="n"/>
      <c r="N95" s="50" t="n"/>
      <c r="O95" s="50" t="n"/>
      <c r="P95" s="50" t="n"/>
      <c r="Q95" s="50" t="n"/>
      <c r="R95" s="50" t="n"/>
      <c r="S95" s="50" t="n"/>
      <c r="T95" s="50" t="n"/>
      <c r="U95" s="50" t="n"/>
      <c r="V95" s="50" t="n"/>
      <c r="W95" s="50" t="n"/>
      <c r="X95" s="50" t="n"/>
      <c r="Y95" s="50" t="n"/>
      <c r="Z95" s="50" t="n"/>
      <c r="AA95" s="50" t="n"/>
      <c r="AB95" s="50" t="n"/>
      <c r="AC95" s="50" t="n"/>
      <c r="AD95" s="50" t="n"/>
      <c r="AE95" s="50" t="n"/>
      <c r="AF95" s="50" t="n"/>
      <c r="AG95" s="50" t="n"/>
      <c r="AH95" s="50" t="n"/>
      <c r="AI95" s="50" t="n"/>
      <c r="AJ95" s="50" t="n"/>
      <c r="AK95" s="50" t="n"/>
      <c r="AL95" s="50" t="n"/>
      <c r="AM95" s="50" t="n"/>
      <c r="AN95" s="50" t="n"/>
      <c r="AO95" s="50" t="n"/>
      <c r="AP95" s="50" t="n"/>
      <c r="AQ95" s="50" t="n"/>
      <c r="AR95" s="50" t="n"/>
      <c r="AS95" s="50" t="n"/>
      <c r="AT95" s="50" t="n"/>
      <c r="AU95" s="50" t="n"/>
      <c r="AV95" s="50" t="n"/>
      <c r="AW95" s="50" t="n"/>
      <c r="AX95" s="50" t="n"/>
      <c r="AY95" s="50" t="n"/>
      <c r="AZ95" s="50" t="n"/>
      <c r="BA95" s="50" t="n"/>
      <c r="BB95" s="50" t="n"/>
      <c r="BC95" s="50" t="n"/>
      <c r="BD95" s="50" t="n"/>
      <c r="BE95" s="50" t="n"/>
      <c r="BF95" s="50" t="n"/>
      <c r="BG95" s="50" t="n"/>
      <c r="BH95" s="50" t="n"/>
      <c r="BI95" s="50" t="n"/>
      <c r="BJ95" s="50" t="n"/>
      <c r="BK95" s="50" t="n"/>
      <c r="BL95" s="50" t="n"/>
      <c r="BM95" s="50" t="n"/>
      <c r="BN95" s="50" t="n"/>
      <c r="BO95" s="50" t="n"/>
      <c r="BP95" s="50" t="n"/>
      <c r="BQ95" s="50" t="n"/>
      <c r="BR95" s="50" t="n"/>
      <c r="BS95" s="50" t="n"/>
      <c r="BT95" s="50" t="n"/>
      <c r="BU95" s="50" t="n"/>
      <c r="BV95" s="50" t="n"/>
      <c r="BW95" s="50" t="n"/>
      <c r="BX95" s="50" t="n"/>
      <c r="BY95" s="50" t="n"/>
      <c r="BZ95" s="50" t="n"/>
      <c r="CA95" s="50" t="n"/>
      <c r="CB95" s="50" t="n"/>
      <c r="CC95" s="50" t="n"/>
      <c r="CD95" s="50" t="n"/>
      <c r="CE95" s="50" t="n"/>
      <c r="CF95" s="50" t="n"/>
      <c r="CG95" s="50" t="n"/>
      <c r="CH95" s="50" t="n"/>
      <c r="CI95" s="50" t="n"/>
      <c r="CJ95" s="50" t="n"/>
      <c r="CK95" s="50" t="n"/>
      <c r="CL95" s="50" t="n"/>
      <c r="CM95" s="50" t="n"/>
      <c r="CN95" s="50" t="n"/>
      <c r="CO95" s="50" t="n"/>
      <c r="CP95" s="50" t="n"/>
      <c r="CQ95" s="50" t="n"/>
      <c r="CR95" s="50" t="n"/>
      <c r="CS95" s="50" t="n"/>
      <c r="CT95" s="50" t="n"/>
      <c r="CU95" s="50" t="n"/>
      <c r="CV95" s="50" t="n"/>
      <c r="CW95" s="50" t="n"/>
      <c r="CX95" s="50" t="n"/>
      <c r="CY95" s="50" t="n"/>
      <c r="CZ95" s="50" t="n"/>
      <c r="DA95" s="50" t="n"/>
      <c r="DB95" s="50" t="n"/>
      <c r="DC95" s="50" t="n"/>
      <c r="DD95" s="50" t="n"/>
      <c r="DE95" s="50" t="n"/>
      <c r="DF95" s="50" t="n"/>
      <c r="DG95" s="50" t="n"/>
      <c r="DH95" s="50" t="n"/>
      <c r="DI95" s="50" t="n"/>
      <c r="DJ95" s="50" t="n"/>
      <c r="DK95" s="50" t="n"/>
      <c r="DL95" s="50" t="n"/>
      <c r="DM95" s="50" t="n"/>
      <c r="DN95" s="50" t="n"/>
      <c r="DO95" s="50" t="n"/>
      <c r="DP95" s="50" t="n"/>
      <c r="DQ95" s="50" t="n"/>
      <c r="DR95" s="50" t="n"/>
      <c r="DS95" s="50" t="n"/>
      <c r="DT95" s="50" t="n"/>
      <c r="DU95" s="50" t="n"/>
      <c r="DV95" s="50" t="n"/>
    </row>
    <row r="96">
      <c r="A96" s="47">
        <f>IF(Mitarbeiter!B96="","",Mitarbeiter!A96)</f>
        <v/>
      </c>
      <c r="B96" s="48">
        <f>IF(Mitarbeiter!B96="","",Mitarbeiter!B96)</f>
        <v/>
      </c>
      <c r="C96" s="49">
        <f>IF(Mitarbeiter!B96="","",Mitarbeiter!F96)</f>
        <v/>
      </c>
      <c r="D96" s="25">
        <f>IF(Mitarbeiter!B96="","",Berechnung!AD96)</f>
        <v/>
      </c>
      <c r="E96" s="25">
        <f>IF(Mitarbeiter!B96="","",SUM(G96:DV96))</f>
        <v/>
      </c>
      <c r="G96" s="50" t="n"/>
      <c r="H96" s="50" t="n"/>
      <c r="I96" s="50" t="n"/>
      <c r="J96" s="50" t="n"/>
      <c r="K96" s="50" t="n"/>
      <c r="L96" s="50" t="n"/>
      <c r="M96" s="50" t="n"/>
      <c r="N96" s="50" t="n"/>
      <c r="O96" s="50" t="n"/>
      <c r="P96" s="50" t="n"/>
      <c r="Q96" s="50" t="n"/>
      <c r="R96" s="50" t="n"/>
      <c r="S96" s="50" t="n"/>
      <c r="T96" s="50" t="n"/>
      <c r="U96" s="50" t="n"/>
      <c r="V96" s="50" t="n"/>
      <c r="W96" s="50" t="n"/>
      <c r="X96" s="50" t="n"/>
      <c r="Y96" s="50" t="n"/>
      <c r="Z96" s="50" t="n"/>
      <c r="AA96" s="50" t="n"/>
      <c r="AB96" s="50" t="n"/>
      <c r="AC96" s="50" t="n"/>
      <c r="AD96" s="50" t="n"/>
      <c r="AE96" s="50" t="n"/>
      <c r="AF96" s="50" t="n"/>
      <c r="AG96" s="50" t="n"/>
      <c r="AH96" s="50" t="n"/>
      <c r="AI96" s="50" t="n"/>
      <c r="AJ96" s="50" t="n"/>
      <c r="AK96" s="50" t="n"/>
      <c r="AL96" s="50" t="n"/>
      <c r="AM96" s="50" t="n"/>
      <c r="AN96" s="50" t="n"/>
      <c r="AO96" s="50" t="n"/>
      <c r="AP96" s="50" t="n"/>
      <c r="AQ96" s="50" t="n"/>
      <c r="AR96" s="50" t="n"/>
      <c r="AS96" s="50" t="n"/>
      <c r="AT96" s="50" t="n"/>
      <c r="AU96" s="50" t="n"/>
      <c r="AV96" s="50" t="n"/>
      <c r="AW96" s="50" t="n"/>
      <c r="AX96" s="50" t="n"/>
      <c r="AY96" s="50" t="n"/>
      <c r="AZ96" s="50" t="n"/>
      <c r="BA96" s="50" t="n"/>
      <c r="BB96" s="50" t="n"/>
      <c r="BC96" s="50" t="n"/>
      <c r="BD96" s="50" t="n"/>
      <c r="BE96" s="50" t="n"/>
      <c r="BF96" s="50" t="n"/>
      <c r="BG96" s="50" t="n"/>
      <c r="BH96" s="50" t="n"/>
      <c r="BI96" s="50" t="n"/>
      <c r="BJ96" s="50" t="n"/>
      <c r="BK96" s="50" t="n"/>
      <c r="BL96" s="50" t="n"/>
      <c r="BM96" s="50" t="n"/>
      <c r="BN96" s="50" t="n"/>
      <c r="BO96" s="50" t="n"/>
      <c r="BP96" s="50" t="n"/>
      <c r="BQ96" s="50" t="n"/>
      <c r="BR96" s="50" t="n"/>
      <c r="BS96" s="50" t="n"/>
      <c r="BT96" s="50" t="n"/>
      <c r="BU96" s="50" t="n"/>
      <c r="BV96" s="50" t="n"/>
      <c r="BW96" s="50" t="n"/>
      <c r="BX96" s="50" t="n"/>
      <c r="BY96" s="50" t="n"/>
      <c r="BZ96" s="50" t="n"/>
      <c r="CA96" s="50" t="n"/>
      <c r="CB96" s="50" t="n"/>
      <c r="CC96" s="50" t="n"/>
      <c r="CD96" s="50" t="n"/>
      <c r="CE96" s="50" t="n"/>
      <c r="CF96" s="50" t="n"/>
      <c r="CG96" s="50" t="n"/>
      <c r="CH96" s="50" t="n"/>
      <c r="CI96" s="50" t="n"/>
      <c r="CJ96" s="50" t="n"/>
      <c r="CK96" s="50" t="n"/>
      <c r="CL96" s="50" t="n"/>
      <c r="CM96" s="50" t="n"/>
      <c r="CN96" s="50" t="n"/>
      <c r="CO96" s="50" t="n"/>
      <c r="CP96" s="50" t="n"/>
      <c r="CQ96" s="50" t="n"/>
      <c r="CR96" s="50" t="n"/>
      <c r="CS96" s="50" t="n"/>
      <c r="CT96" s="50" t="n"/>
      <c r="CU96" s="50" t="n"/>
      <c r="CV96" s="50" t="n"/>
      <c r="CW96" s="50" t="n"/>
      <c r="CX96" s="50" t="n"/>
      <c r="CY96" s="50" t="n"/>
      <c r="CZ96" s="50" t="n"/>
      <c r="DA96" s="50" t="n"/>
      <c r="DB96" s="50" t="n"/>
      <c r="DC96" s="50" t="n"/>
      <c r="DD96" s="50" t="n"/>
      <c r="DE96" s="50" t="n"/>
      <c r="DF96" s="50" t="n"/>
      <c r="DG96" s="50" t="n"/>
      <c r="DH96" s="50" t="n"/>
      <c r="DI96" s="50" t="n"/>
      <c r="DJ96" s="50" t="n"/>
      <c r="DK96" s="50" t="n"/>
      <c r="DL96" s="50" t="n"/>
      <c r="DM96" s="50" t="n"/>
      <c r="DN96" s="50" t="n"/>
      <c r="DO96" s="50" t="n"/>
      <c r="DP96" s="50" t="n"/>
      <c r="DQ96" s="50" t="n"/>
      <c r="DR96" s="50" t="n"/>
      <c r="DS96" s="50" t="n"/>
      <c r="DT96" s="50" t="n"/>
      <c r="DU96" s="50" t="n"/>
      <c r="DV96" s="50" t="n"/>
    </row>
    <row r="97">
      <c r="A97" s="47">
        <f>IF(Mitarbeiter!B97="","",Mitarbeiter!A97)</f>
        <v/>
      </c>
      <c r="B97" s="48">
        <f>IF(Mitarbeiter!B97="","",Mitarbeiter!B97)</f>
        <v/>
      </c>
      <c r="C97" s="49">
        <f>IF(Mitarbeiter!B97="","",Mitarbeiter!F97)</f>
        <v/>
      </c>
      <c r="D97" s="25">
        <f>IF(Mitarbeiter!B97="","",Berechnung!AD97)</f>
        <v/>
      </c>
      <c r="E97" s="25">
        <f>IF(Mitarbeiter!B97="","",SUM(G97:DV97))</f>
        <v/>
      </c>
      <c r="G97" s="50" t="n"/>
      <c r="H97" s="50" t="n"/>
      <c r="I97" s="50" t="n"/>
      <c r="J97" s="50" t="n"/>
      <c r="K97" s="50" t="n"/>
      <c r="L97" s="50" t="n"/>
      <c r="M97" s="50" t="n"/>
      <c r="N97" s="50" t="n"/>
      <c r="O97" s="50" t="n"/>
      <c r="P97" s="50" t="n"/>
      <c r="Q97" s="50" t="n"/>
      <c r="R97" s="50" t="n"/>
      <c r="S97" s="50" t="n"/>
      <c r="T97" s="50" t="n"/>
      <c r="U97" s="50" t="n"/>
      <c r="V97" s="50" t="n"/>
      <c r="W97" s="50" t="n"/>
      <c r="X97" s="50" t="n"/>
      <c r="Y97" s="50" t="n"/>
      <c r="Z97" s="50" t="n"/>
      <c r="AA97" s="50" t="n"/>
      <c r="AB97" s="50" t="n"/>
      <c r="AC97" s="50" t="n"/>
      <c r="AD97" s="50" t="n"/>
      <c r="AE97" s="50" t="n"/>
      <c r="AF97" s="50" t="n"/>
      <c r="AG97" s="50" t="n"/>
      <c r="AH97" s="50" t="n"/>
      <c r="AI97" s="50" t="n"/>
      <c r="AJ97" s="50" t="n"/>
      <c r="AK97" s="50" t="n"/>
      <c r="AL97" s="50" t="n"/>
      <c r="AM97" s="50" t="n"/>
      <c r="AN97" s="50" t="n"/>
      <c r="AO97" s="50" t="n"/>
      <c r="AP97" s="50" t="n"/>
      <c r="AQ97" s="50" t="n"/>
      <c r="AR97" s="50" t="n"/>
      <c r="AS97" s="50" t="n"/>
      <c r="AT97" s="50" t="n"/>
      <c r="AU97" s="50" t="n"/>
      <c r="AV97" s="50" t="n"/>
      <c r="AW97" s="50" t="n"/>
      <c r="AX97" s="50" t="n"/>
      <c r="AY97" s="50" t="n"/>
      <c r="AZ97" s="50" t="n"/>
      <c r="BA97" s="50" t="n"/>
      <c r="BB97" s="50" t="n"/>
      <c r="BC97" s="50" t="n"/>
      <c r="BD97" s="50" t="n"/>
      <c r="BE97" s="50" t="n"/>
      <c r="BF97" s="50" t="n"/>
      <c r="BG97" s="50" t="n"/>
      <c r="BH97" s="50" t="n"/>
      <c r="BI97" s="50" t="n"/>
      <c r="BJ97" s="50" t="n"/>
      <c r="BK97" s="50" t="n"/>
      <c r="BL97" s="50" t="n"/>
      <c r="BM97" s="50" t="n"/>
      <c r="BN97" s="50" t="n"/>
      <c r="BO97" s="50" t="n"/>
      <c r="BP97" s="50" t="n"/>
      <c r="BQ97" s="50" t="n"/>
      <c r="BR97" s="50" t="n"/>
      <c r="BS97" s="50" t="n"/>
      <c r="BT97" s="50" t="n"/>
      <c r="BU97" s="50" t="n"/>
      <c r="BV97" s="50" t="n"/>
      <c r="BW97" s="50" t="n"/>
      <c r="BX97" s="50" t="n"/>
      <c r="BY97" s="50" t="n"/>
      <c r="BZ97" s="50" t="n"/>
      <c r="CA97" s="50" t="n"/>
      <c r="CB97" s="50" t="n"/>
      <c r="CC97" s="50" t="n"/>
      <c r="CD97" s="50" t="n"/>
      <c r="CE97" s="50" t="n"/>
      <c r="CF97" s="50" t="n"/>
      <c r="CG97" s="50" t="n"/>
      <c r="CH97" s="50" t="n"/>
      <c r="CI97" s="50" t="n"/>
      <c r="CJ97" s="50" t="n"/>
      <c r="CK97" s="50" t="n"/>
      <c r="CL97" s="50" t="n"/>
      <c r="CM97" s="50" t="n"/>
      <c r="CN97" s="50" t="n"/>
      <c r="CO97" s="50" t="n"/>
      <c r="CP97" s="50" t="n"/>
      <c r="CQ97" s="50" t="n"/>
      <c r="CR97" s="50" t="n"/>
      <c r="CS97" s="50" t="n"/>
      <c r="CT97" s="50" t="n"/>
      <c r="CU97" s="50" t="n"/>
      <c r="CV97" s="50" t="n"/>
      <c r="CW97" s="50" t="n"/>
      <c r="CX97" s="50" t="n"/>
      <c r="CY97" s="50" t="n"/>
      <c r="CZ97" s="50" t="n"/>
      <c r="DA97" s="50" t="n"/>
      <c r="DB97" s="50" t="n"/>
      <c r="DC97" s="50" t="n"/>
      <c r="DD97" s="50" t="n"/>
      <c r="DE97" s="50" t="n"/>
      <c r="DF97" s="50" t="n"/>
      <c r="DG97" s="50" t="n"/>
      <c r="DH97" s="50" t="n"/>
      <c r="DI97" s="50" t="n"/>
      <c r="DJ97" s="50" t="n"/>
      <c r="DK97" s="50" t="n"/>
      <c r="DL97" s="50" t="n"/>
      <c r="DM97" s="50" t="n"/>
      <c r="DN97" s="50" t="n"/>
      <c r="DO97" s="50" t="n"/>
      <c r="DP97" s="50" t="n"/>
      <c r="DQ97" s="50" t="n"/>
      <c r="DR97" s="50" t="n"/>
      <c r="DS97" s="50" t="n"/>
      <c r="DT97" s="50" t="n"/>
      <c r="DU97" s="50" t="n"/>
      <c r="DV97" s="50" t="n"/>
    </row>
    <row r="98">
      <c r="A98" s="47">
        <f>IF(Mitarbeiter!B98="","",Mitarbeiter!A98)</f>
        <v/>
      </c>
      <c r="B98" s="48">
        <f>IF(Mitarbeiter!B98="","",Mitarbeiter!B98)</f>
        <v/>
      </c>
      <c r="C98" s="49">
        <f>IF(Mitarbeiter!B98="","",Mitarbeiter!F98)</f>
        <v/>
      </c>
      <c r="D98" s="25">
        <f>IF(Mitarbeiter!B98="","",Berechnung!AD98)</f>
        <v/>
      </c>
      <c r="E98" s="25">
        <f>IF(Mitarbeiter!B98="","",SUM(G98:DV98))</f>
        <v/>
      </c>
      <c r="G98" s="50" t="n"/>
      <c r="H98" s="50" t="n"/>
      <c r="I98" s="50" t="n"/>
      <c r="J98" s="50" t="n"/>
      <c r="K98" s="50" t="n"/>
      <c r="L98" s="50" t="n"/>
      <c r="M98" s="50" t="n"/>
      <c r="N98" s="50" t="n"/>
      <c r="O98" s="50" t="n"/>
      <c r="P98" s="50" t="n"/>
      <c r="Q98" s="50" t="n"/>
      <c r="R98" s="50" t="n"/>
      <c r="S98" s="50" t="n"/>
      <c r="T98" s="50" t="n"/>
      <c r="U98" s="50" t="n"/>
      <c r="V98" s="50" t="n"/>
      <c r="W98" s="50" t="n"/>
      <c r="X98" s="50" t="n"/>
      <c r="Y98" s="50" t="n"/>
      <c r="Z98" s="50" t="n"/>
      <c r="AA98" s="50" t="n"/>
      <c r="AB98" s="50" t="n"/>
      <c r="AC98" s="50" t="n"/>
      <c r="AD98" s="50" t="n"/>
      <c r="AE98" s="50" t="n"/>
      <c r="AF98" s="50" t="n"/>
      <c r="AG98" s="50" t="n"/>
      <c r="AH98" s="50" t="n"/>
      <c r="AI98" s="50" t="n"/>
      <c r="AJ98" s="50" t="n"/>
      <c r="AK98" s="50" t="n"/>
      <c r="AL98" s="50" t="n"/>
      <c r="AM98" s="50" t="n"/>
      <c r="AN98" s="50" t="n"/>
      <c r="AO98" s="50" t="n"/>
      <c r="AP98" s="50" t="n"/>
      <c r="AQ98" s="50" t="n"/>
      <c r="AR98" s="50" t="n"/>
      <c r="AS98" s="50" t="n"/>
      <c r="AT98" s="50" t="n"/>
      <c r="AU98" s="50" t="n"/>
      <c r="AV98" s="50" t="n"/>
      <c r="AW98" s="50" t="n"/>
      <c r="AX98" s="50" t="n"/>
      <c r="AY98" s="50" t="n"/>
      <c r="AZ98" s="50" t="n"/>
      <c r="BA98" s="50" t="n"/>
      <c r="BB98" s="50" t="n"/>
      <c r="BC98" s="50" t="n"/>
      <c r="BD98" s="50" t="n"/>
      <c r="BE98" s="50" t="n"/>
      <c r="BF98" s="50" t="n"/>
      <c r="BG98" s="50" t="n"/>
      <c r="BH98" s="50" t="n"/>
      <c r="BI98" s="50" t="n"/>
      <c r="BJ98" s="50" t="n"/>
      <c r="BK98" s="50" t="n"/>
      <c r="BL98" s="50" t="n"/>
      <c r="BM98" s="50" t="n"/>
      <c r="BN98" s="50" t="n"/>
      <c r="BO98" s="50" t="n"/>
      <c r="BP98" s="50" t="n"/>
      <c r="BQ98" s="50" t="n"/>
      <c r="BR98" s="50" t="n"/>
      <c r="BS98" s="50" t="n"/>
      <c r="BT98" s="50" t="n"/>
      <c r="BU98" s="50" t="n"/>
      <c r="BV98" s="50" t="n"/>
      <c r="BW98" s="50" t="n"/>
      <c r="BX98" s="50" t="n"/>
      <c r="BY98" s="50" t="n"/>
      <c r="BZ98" s="50" t="n"/>
      <c r="CA98" s="50" t="n"/>
      <c r="CB98" s="50" t="n"/>
      <c r="CC98" s="50" t="n"/>
      <c r="CD98" s="50" t="n"/>
      <c r="CE98" s="50" t="n"/>
      <c r="CF98" s="50" t="n"/>
      <c r="CG98" s="50" t="n"/>
      <c r="CH98" s="50" t="n"/>
      <c r="CI98" s="50" t="n"/>
      <c r="CJ98" s="50" t="n"/>
      <c r="CK98" s="50" t="n"/>
      <c r="CL98" s="50" t="n"/>
      <c r="CM98" s="50" t="n"/>
      <c r="CN98" s="50" t="n"/>
      <c r="CO98" s="50" t="n"/>
      <c r="CP98" s="50" t="n"/>
      <c r="CQ98" s="50" t="n"/>
      <c r="CR98" s="50" t="n"/>
      <c r="CS98" s="50" t="n"/>
      <c r="CT98" s="50" t="n"/>
      <c r="CU98" s="50" t="n"/>
      <c r="CV98" s="50" t="n"/>
      <c r="CW98" s="50" t="n"/>
      <c r="CX98" s="50" t="n"/>
      <c r="CY98" s="50" t="n"/>
      <c r="CZ98" s="50" t="n"/>
      <c r="DA98" s="50" t="n"/>
      <c r="DB98" s="50" t="n"/>
      <c r="DC98" s="50" t="n"/>
      <c r="DD98" s="50" t="n"/>
      <c r="DE98" s="50" t="n"/>
      <c r="DF98" s="50" t="n"/>
      <c r="DG98" s="50" t="n"/>
      <c r="DH98" s="50" t="n"/>
      <c r="DI98" s="50" t="n"/>
      <c r="DJ98" s="50" t="n"/>
      <c r="DK98" s="50" t="n"/>
      <c r="DL98" s="50" t="n"/>
      <c r="DM98" s="50" t="n"/>
      <c r="DN98" s="50" t="n"/>
      <c r="DO98" s="50" t="n"/>
      <c r="DP98" s="50" t="n"/>
      <c r="DQ98" s="50" t="n"/>
      <c r="DR98" s="50" t="n"/>
      <c r="DS98" s="50" t="n"/>
      <c r="DT98" s="50" t="n"/>
      <c r="DU98" s="50" t="n"/>
      <c r="DV98" s="50" t="n"/>
    </row>
    <row r="99">
      <c r="A99" s="47">
        <f>IF(Mitarbeiter!B99="","",Mitarbeiter!A99)</f>
        <v/>
      </c>
      <c r="B99" s="48">
        <f>IF(Mitarbeiter!B99="","",Mitarbeiter!B99)</f>
        <v/>
      </c>
      <c r="C99" s="49">
        <f>IF(Mitarbeiter!B99="","",Mitarbeiter!F99)</f>
        <v/>
      </c>
      <c r="D99" s="25">
        <f>IF(Mitarbeiter!B99="","",Berechnung!AD99)</f>
        <v/>
      </c>
      <c r="E99" s="25">
        <f>IF(Mitarbeiter!B99="","",SUM(G99:DV99))</f>
        <v/>
      </c>
      <c r="G99" s="50" t="n"/>
      <c r="H99" s="50" t="n"/>
      <c r="I99" s="50" t="n"/>
      <c r="J99" s="50" t="n"/>
      <c r="K99" s="50" t="n"/>
      <c r="L99" s="50" t="n"/>
      <c r="M99" s="50" t="n"/>
      <c r="N99" s="50" t="n"/>
      <c r="O99" s="50" t="n"/>
      <c r="P99" s="50" t="n"/>
      <c r="Q99" s="50" t="n"/>
      <c r="R99" s="50" t="n"/>
      <c r="S99" s="50" t="n"/>
      <c r="T99" s="50" t="n"/>
      <c r="U99" s="50" t="n"/>
      <c r="V99" s="50" t="n"/>
      <c r="W99" s="50" t="n"/>
      <c r="X99" s="50" t="n"/>
      <c r="Y99" s="50" t="n"/>
      <c r="Z99" s="50" t="n"/>
      <c r="AA99" s="50" t="n"/>
      <c r="AB99" s="50" t="n"/>
      <c r="AC99" s="50" t="n"/>
      <c r="AD99" s="50" t="n"/>
      <c r="AE99" s="50" t="n"/>
      <c r="AF99" s="50" t="n"/>
      <c r="AG99" s="50" t="n"/>
      <c r="AH99" s="50" t="n"/>
      <c r="AI99" s="50" t="n"/>
      <c r="AJ99" s="50" t="n"/>
      <c r="AK99" s="50" t="n"/>
      <c r="AL99" s="50" t="n"/>
      <c r="AM99" s="50" t="n"/>
      <c r="AN99" s="50" t="n"/>
      <c r="AO99" s="50" t="n"/>
      <c r="AP99" s="50" t="n"/>
      <c r="AQ99" s="50" t="n"/>
      <c r="AR99" s="50" t="n"/>
      <c r="AS99" s="50" t="n"/>
      <c r="AT99" s="50" t="n"/>
      <c r="AU99" s="50" t="n"/>
      <c r="AV99" s="50" t="n"/>
      <c r="AW99" s="50" t="n"/>
      <c r="AX99" s="50" t="n"/>
      <c r="AY99" s="50" t="n"/>
      <c r="AZ99" s="50" t="n"/>
      <c r="BA99" s="50" t="n"/>
      <c r="BB99" s="50" t="n"/>
      <c r="BC99" s="50" t="n"/>
      <c r="BD99" s="50" t="n"/>
      <c r="BE99" s="50" t="n"/>
      <c r="BF99" s="50" t="n"/>
      <c r="BG99" s="50" t="n"/>
      <c r="BH99" s="50" t="n"/>
      <c r="BI99" s="50" t="n"/>
      <c r="BJ99" s="50" t="n"/>
      <c r="BK99" s="50" t="n"/>
      <c r="BL99" s="50" t="n"/>
      <c r="BM99" s="50" t="n"/>
      <c r="BN99" s="50" t="n"/>
      <c r="BO99" s="50" t="n"/>
      <c r="BP99" s="50" t="n"/>
      <c r="BQ99" s="50" t="n"/>
      <c r="BR99" s="50" t="n"/>
      <c r="BS99" s="50" t="n"/>
      <c r="BT99" s="50" t="n"/>
      <c r="BU99" s="50" t="n"/>
      <c r="BV99" s="50" t="n"/>
      <c r="BW99" s="50" t="n"/>
      <c r="BX99" s="50" t="n"/>
      <c r="BY99" s="50" t="n"/>
      <c r="BZ99" s="50" t="n"/>
      <c r="CA99" s="50" t="n"/>
      <c r="CB99" s="50" t="n"/>
      <c r="CC99" s="50" t="n"/>
      <c r="CD99" s="50" t="n"/>
      <c r="CE99" s="50" t="n"/>
      <c r="CF99" s="50" t="n"/>
      <c r="CG99" s="50" t="n"/>
      <c r="CH99" s="50" t="n"/>
      <c r="CI99" s="50" t="n"/>
      <c r="CJ99" s="50" t="n"/>
      <c r="CK99" s="50" t="n"/>
      <c r="CL99" s="50" t="n"/>
      <c r="CM99" s="50" t="n"/>
      <c r="CN99" s="50" t="n"/>
      <c r="CO99" s="50" t="n"/>
      <c r="CP99" s="50" t="n"/>
      <c r="CQ99" s="50" t="n"/>
      <c r="CR99" s="50" t="n"/>
      <c r="CS99" s="50" t="n"/>
      <c r="CT99" s="50" t="n"/>
      <c r="CU99" s="50" t="n"/>
      <c r="CV99" s="50" t="n"/>
      <c r="CW99" s="50" t="n"/>
      <c r="CX99" s="50" t="n"/>
      <c r="CY99" s="50" t="n"/>
      <c r="CZ99" s="50" t="n"/>
      <c r="DA99" s="50" t="n"/>
      <c r="DB99" s="50" t="n"/>
      <c r="DC99" s="50" t="n"/>
      <c r="DD99" s="50" t="n"/>
      <c r="DE99" s="50" t="n"/>
      <c r="DF99" s="50" t="n"/>
      <c r="DG99" s="50" t="n"/>
      <c r="DH99" s="50" t="n"/>
      <c r="DI99" s="50" t="n"/>
      <c r="DJ99" s="50" t="n"/>
      <c r="DK99" s="50" t="n"/>
      <c r="DL99" s="50" t="n"/>
      <c r="DM99" s="50" t="n"/>
      <c r="DN99" s="50" t="n"/>
      <c r="DO99" s="50" t="n"/>
      <c r="DP99" s="50" t="n"/>
      <c r="DQ99" s="50" t="n"/>
      <c r="DR99" s="50" t="n"/>
      <c r="DS99" s="50" t="n"/>
      <c r="DT99" s="50" t="n"/>
      <c r="DU99" s="50" t="n"/>
      <c r="DV99" s="50" t="n"/>
    </row>
    <row r="100">
      <c r="A100" s="47">
        <f>IF(Mitarbeiter!B100="","",Mitarbeiter!A100)</f>
        <v/>
      </c>
      <c r="B100" s="48">
        <f>IF(Mitarbeiter!B100="","",Mitarbeiter!B100)</f>
        <v/>
      </c>
      <c r="C100" s="49">
        <f>IF(Mitarbeiter!B100="","",Mitarbeiter!F100)</f>
        <v/>
      </c>
      <c r="D100" s="25">
        <f>IF(Mitarbeiter!B100="","",Berechnung!AD100)</f>
        <v/>
      </c>
      <c r="E100" s="25">
        <f>IF(Mitarbeiter!B100="","",SUM(G100:DV100))</f>
        <v/>
      </c>
      <c r="G100" s="50" t="n"/>
      <c r="H100" s="50" t="n"/>
      <c r="I100" s="50" t="n"/>
      <c r="J100" s="50" t="n"/>
      <c r="K100" s="50" t="n"/>
      <c r="L100" s="50" t="n"/>
      <c r="M100" s="50" t="n"/>
      <c r="N100" s="50" t="n"/>
      <c r="O100" s="50" t="n"/>
      <c r="P100" s="50" t="n"/>
      <c r="Q100" s="50" t="n"/>
      <c r="R100" s="50" t="n"/>
      <c r="S100" s="50" t="n"/>
      <c r="T100" s="50" t="n"/>
      <c r="U100" s="50" t="n"/>
      <c r="V100" s="50" t="n"/>
      <c r="W100" s="50" t="n"/>
      <c r="X100" s="50" t="n"/>
      <c r="Y100" s="50" t="n"/>
      <c r="Z100" s="50" t="n"/>
      <c r="AA100" s="50" t="n"/>
      <c r="AB100" s="50" t="n"/>
      <c r="AC100" s="50" t="n"/>
      <c r="AD100" s="50" t="n"/>
      <c r="AE100" s="50" t="n"/>
      <c r="AF100" s="50" t="n"/>
      <c r="AG100" s="50" t="n"/>
      <c r="AH100" s="50" t="n"/>
      <c r="AI100" s="50" t="n"/>
      <c r="AJ100" s="50" t="n"/>
      <c r="AK100" s="50" t="n"/>
      <c r="AL100" s="50" t="n"/>
      <c r="AM100" s="50" t="n"/>
      <c r="AN100" s="50" t="n"/>
      <c r="AO100" s="50" t="n"/>
      <c r="AP100" s="50" t="n"/>
      <c r="AQ100" s="50" t="n"/>
      <c r="AR100" s="50" t="n"/>
      <c r="AS100" s="50" t="n"/>
      <c r="AT100" s="50" t="n"/>
      <c r="AU100" s="50" t="n"/>
      <c r="AV100" s="50" t="n"/>
      <c r="AW100" s="50" t="n"/>
      <c r="AX100" s="50" t="n"/>
      <c r="AY100" s="50" t="n"/>
      <c r="AZ100" s="50" t="n"/>
      <c r="BA100" s="50" t="n"/>
      <c r="BB100" s="50" t="n"/>
      <c r="BC100" s="50" t="n"/>
      <c r="BD100" s="50" t="n"/>
      <c r="BE100" s="50" t="n"/>
      <c r="BF100" s="50" t="n"/>
      <c r="BG100" s="50" t="n"/>
      <c r="BH100" s="50" t="n"/>
      <c r="BI100" s="50" t="n"/>
      <c r="BJ100" s="50" t="n"/>
      <c r="BK100" s="50" t="n"/>
      <c r="BL100" s="50" t="n"/>
      <c r="BM100" s="50" t="n"/>
      <c r="BN100" s="50" t="n"/>
      <c r="BO100" s="50" t="n"/>
      <c r="BP100" s="50" t="n"/>
      <c r="BQ100" s="50" t="n"/>
      <c r="BR100" s="50" t="n"/>
      <c r="BS100" s="50" t="n"/>
      <c r="BT100" s="50" t="n"/>
      <c r="BU100" s="50" t="n"/>
      <c r="BV100" s="50" t="n"/>
      <c r="BW100" s="50" t="n"/>
      <c r="BX100" s="50" t="n"/>
      <c r="BY100" s="50" t="n"/>
      <c r="BZ100" s="50" t="n"/>
      <c r="CA100" s="50" t="n"/>
      <c r="CB100" s="50" t="n"/>
      <c r="CC100" s="50" t="n"/>
      <c r="CD100" s="50" t="n"/>
      <c r="CE100" s="50" t="n"/>
      <c r="CF100" s="50" t="n"/>
      <c r="CG100" s="50" t="n"/>
      <c r="CH100" s="50" t="n"/>
      <c r="CI100" s="50" t="n"/>
      <c r="CJ100" s="50" t="n"/>
      <c r="CK100" s="50" t="n"/>
      <c r="CL100" s="50" t="n"/>
      <c r="CM100" s="50" t="n"/>
      <c r="CN100" s="50" t="n"/>
      <c r="CO100" s="50" t="n"/>
      <c r="CP100" s="50" t="n"/>
      <c r="CQ100" s="50" t="n"/>
      <c r="CR100" s="50" t="n"/>
      <c r="CS100" s="50" t="n"/>
      <c r="CT100" s="50" t="n"/>
      <c r="CU100" s="50" t="n"/>
      <c r="CV100" s="50" t="n"/>
      <c r="CW100" s="50" t="n"/>
      <c r="CX100" s="50" t="n"/>
      <c r="CY100" s="50" t="n"/>
      <c r="CZ100" s="50" t="n"/>
      <c r="DA100" s="50" t="n"/>
      <c r="DB100" s="50" t="n"/>
      <c r="DC100" s="50" t="n"/>
      <c r="DD100" s="50" t="n"/>
      <c r="DE100" s="50" t="n"/>
      <c r="DF100" s="50" t="n"/>
      <c r="DG100" s="50" t="n"/>
      <c r="DH100" s="50" t="n"/>
      <c r="DI100" s="50" t="n"/>
      <c r="DJ100" s="50" t="n"/>
      <c r="DK100" s="50" t="n"/>
      <c r="DL100" s="50" t="n"/>
      <c r="DM100" s="50" t="n"/>
      <c r="DN100" s="50" t="n"/>
      <c r="DO100" s="50" t="n"/>
      <c r="DP100" s="50" t="n"/>
      <c r="DQ100" s="50" t="n"/>
      <c r="DR100" s="50" t="n"/>
      <c r="DS100" s="50" t="n"/>
      <c r="DT100" s="50" t="n"/>
      <c r="DU100" s="50" t="n"/>
      <c r="DV100" s="50" t="n"/>
    </row>
    <row r="101">
      <c r="A101" s="47">
        <f>IF(Mitarbeiter!B101="","",Mitarbeiter!A101)</f>
        <v/>
      </c>
      <c r="B101" s="48">
        <f>IF(Mitarbeiter!B101="","",Mitarbeiter!B101)</f>
        <v/>
      </c>
      <c r="C101" s="49">
        <f>IF(Mitarbeiter!B101="","",Mitarbeiter!F101)</f>
        <v/>
      </c>
      <c r="D101" s="25">
        <f>IF(Mitarbeiter!B101="","",Berechnung!AD101)</f>
        <v/>
      </c>
      <c r="E101" s="25">
        <f>IF(Mitarbeiter!B101="","",SUM(G101:DV101))</f>
        <v/>
      </c>
      <c r="G101" s="50" t="n"/>
      <c r="H101" s="50" t="n"/>
      <c r="I101" s="50" t="n"/>
      <c r="J101" s="50" t="n"/>
      <c r="K101" s="50" t="n"/>
      <c r="L101" s="50" t="n"/>
      <c r="M101" s="50" t="n"/>
      <c r="N101" s="50" t="n"/>
      <c r="O101" s="50" t="n"/>
      <c r="P101" s="50" t="n"/>
      <c r="Q101" s="50" t="n"/>
      <c r="R101" s="50" t="n"/>
      <c r="S101" s="50" t="n"/>
      <c r="T101" s="50" t="n"/>
      <c r="U101" s="50" t="n"/>
      <c r="V101" s="50" t="n"/>
      <c r="W101" s="50" t="n"/>
      <c r="X101" s="50" t="n"/>
      <c r="Y101" s="50" t="n"/>
      <c r="Z101" s="50" t="n"/>
      <c r="AA101" s="50" t="n"/>
      <c r="AB101" s="50" t="n"/>
      <c r="AC101" s="50" t="n"/>
      <c r="AD101" s="50" t="n"/>
      <c r="AE101" s="50" t="n"/>
      <c r="AF101" s="50" t="n"/>
      <c r="AG101" s="50" t="n"/>
      <c r="AH101" s="50" t="n"/>
      <c r="AI101" s="50" t="n"/>
      <c r="AJ101" s="50" t="n"/>
      <c r="AK101" s="50" t="n"/>
      <c r="AL101" s="50" t="n"/>
      <c r="AM101" s="50" t="n"/>
      <c r="AN101" s="50" t="n"/>
      <c r="AO101" s="50" t="n"/>
      <c r="AP101" s="50" t="n"/>
      <c r="AQ101" s="50" t="n"/>
      <c r="AR101" s="50" t="n"/>
      <c r="AS101" s="50" t="n"/>
      <c r="AT101" s="50" t="n"/>
      <c r="AU101" s="50" t="n"/>
      <c r="AV101" s="50" t="n"/>
      <c r="AW101" s="50" t="n"/>
      <c r="AX101" s="50" t="n"/>
      <c r="AY101" s="50" t="n"/>
      <c r="AZ101" s="50" t="n"/>
      <c r="BA101" s="50" t="n"/>
      <c r="BB101" s="50" t="n"/>
      <c r="BC101" s="50" t="n"/>
      <c r="BD101" s="50" t="n"/>
      <c r="BE101" s="50" t="n"/>
      <c r="BF101" s="50" t="n"/>
      <c r="BG101" s="50" t="n"/>
      <c r="BH101" s="50" t="n"/>
      <c r="BI101" s="50" t="n"/>
      <c r="BJ101" s="50" t="n"/>
      <c r="BK101" s="50" t="n"/>
      <c r="BL101" s="50" t="n"/>
      <c r="BM101" s="50" t="n"/>
      <c r="BN101" s="50" t="n"/>
      <c r="BO101" s="50" t="n"/>
      <c r="BP101" s="50" t="n"/>
      <c r="BQ101" s="50" t="n"/>
      <c r="BR101" s="50" t="n"/>
      <c r="BS101" s="50" t="n"/>
      <c r="BT101" s="50" t="n"/>
      <c r="BU101" s="50" t="n"/>
      <c r="BV101" s="50" t="n"/>
      <c r="BW101" s="50" t="n"/>
      <c r="BX101" s="50" t="n"/>
      <c r="BY101" s="50" t="n"/>
      <c r="BZ101" s="50" t="n"/>
      <c r="CA101" s="50" t="n"/>
      <c r="CB101" s="50" t="n"/>
      <c r="CC101" s="50" t="n"/>
      <c r="CD101" s="50" t="n"/>
      <c r="CE101" s="50" t="n"/>
      <c r="CF101" s="50" t="n"/>
      <c r="CG101" s="50" t="n"/>
      <c r="CH101" s="50" t="n"/>
      <c r="CI101" s="50" t="n"/>
      <c r="CJ101" s="50" t="n"/>
      <c r="CK101" s="50" t="n"/>
      <c r="CL101" s="50" t="n"/>
      <c r="CM101" s="50" t="n"/>
      <c r="CN101" s="50" t="n"/>
      <c r="CO101" s="50" t="n"/>
      <c r="CP101" s="50" t="n"/>
      <c r="CQ101" s="50" t="n"/>
      <c r="CR101" s="50" t="n"/>
      <c r="CS101" s="50" t="n"/>
      <c r="CT101" s="50" t="n"/>
      <c r="CU101" s="50" t="n"/>
      <c r="CV101" s="50" t="n"/>
      <c r="CW101" s="50" t="n"/>
      <c r="CX101" s="50" t="n"/>
      <c r="CY101" s="50" t="n"/>
      <c r="CZ101" s="50" t="n"/>
      <c r="DA101" s="50" t="n"/>
      <c r="DB101" s="50" t="n"/>
      <c r="DC101" s="50" t="n"/>
      <c r="DD101" s="50" t="n"/>
      <c r="DE101" s="50" t="n"/>
      <c r="DF101" s="50" t="n"/>
      <c r="DG101" s="50" t="n"/>
      <c r="DH101" s="50" t="n"/>
      <c r="DI101" s="50" t="n"/>
      <c r="DJ101" s="50" t="n"/>
      <c r="DK101" s="50" t="n"/>
      <c r="DL101" s="50" t="n"/>
      <c r="DM101" s="50" t="n"/>
      <c r="DN101" s="50" t="n"/>
      <c r="DO101" s="50" t="n"/>
      <c r="DP101" s="50" t="n"/>
      <c r="DQ101" s="50" t="n"/>
      <c r="DR101" s="50" t="n"/>
      <c r="DS101" s="50" t="n"/>
      <c r="DT101" s="50" t="n"/>
      <c r="DU101" s="50" t="n"/>
      <c r="DV101" s="50" t="n"/>
    </row>
    <row r="102">
      <c r="A102" s="47">
        <f>IF(Mitarbeiter!B102="","",Mitarbeiter!A102)</f>
        <v/>
      </c>
      <c r="B102" s="48">
        <f>IF(Mitarbeiter!B102="","",Mitarbeiter!B102)</f>
        <v/>
      </c>
      <c r="C102" s="49">
        <f>IF(Mitarbeiter!B102="","",Mitarbeiter!F102)</f>
        <v/>
      </c>
      <c r="D102" s="25">
        <f>IF(Mitarbeiter!B102="","",Berechnung!AD102)</f>
        <v/>
      </c>
      <c r="E102" s="25">
        <f>IF(Mitarbeiter!B102="","",SUM(G102:DV102))</f>
        <v/>
      </c>
      <c r="G102" s="50" t="n"/>
      <c r="H102" s="50" t="n"/>
      <c r="I102" s="50" t="n"/>
      <c r="J102" s="50" t="n"/>
      <c r="K102" s="50" t="n"/>
      <c r="L102" s="50" t="n"/>
      <c r="M102" s="50" t="n"/>
      <c r="N102" s="50" t="n"/>
      <c r="O102" s="50" t="n"/>
      <c r="P102" s="50" t="n"/>
      <c r="Q102" s="50" t="n"/>
      <c r="R102" s="50" t="n"/>
      <c r="S102" s="50" t="n"/>
      <c r="T102" s="50" t="n"/>
      <c r="U102" s="50" t="n"/>
      <c r="V102" s="50" t="n"/>
      <c r="W102" s="50" t="n"/>
      <c r="X102" s="50" t="n"/>
      <c r="Y102" s="50" t="n"/>
      <c r="Z102" s="50" t="n"/>
      <c r="AA102" s="50" t="n"/>
      <c r="AB102" s="50" t="n"/>
      <c r="AC102" s="50" t="n"/>
      <c r="AD102" s="50" t="n"/>
      <c r="AE102" s="50" t="n"/>
      <c r="AF102" s="50" t="n"/>
      <c r="AG102" s="50" t="n"/>
      <c r="AH102" s="50" t="n"/>
      <c r="AI102" s="50" t="n"/>
      <c r="AJ102" s="50" t="n"/>
      <c r="AK102" s="50" t="n"/>
      <c r="AL102" s="50" t="n"/>
      <c r="AM102" s="50" t="n"/>
      <c r="AN102" s="50" t="n"/>
      <c r="AO102" s="50" t="n"/>
      <c r="AP102" s="50" t="n"/>
      <c r="AQ102" s="50" t="n"/>
      <c r="AR102" s="50" t="n"/>
      <c r="AS102" s="50" t="n"/>
      <c r="AT102" s="50" t="n"/>
      <c r="AU102" s="50" t="n"/>
      <c r="AV102" s="50" t="n"/>
      <c r="AW102" s="50" t="n"/>
      <c r="AX102" s="50" t="n"/>
      <c r="AY102" s="50" t="n"/>
      <c r="AZ102" s="50" t="n"/>
      <c r="BA102" s="50" t="n"/>
      <c r="BB102" s="50" t="n"/>
      <c r="BC102" s="50" t="n"/>
      <c r="BD102" s="50" t="n"/>
      <c r="BE102" s="50" t="n"/>
      <c r="BF102" s="50" t="n"/>
      <c r="BG102" s="50" t="n"/>
      <c r="BH102" s="50" t="n"/>
      <c r="BI102" s="50" t="n"/>
      <c r="BJ102" s="50" t="n"/>
      <c r="BK102" s="50" t="n"/>
      <c r="BL102" s="50" t="n"/>
      <c r="BM102" s="50" t="n"/>
      <c r="BN102" s="50" t="n"/>
      <c r="BO102" s="50" t="n"/>
      <c r="BP102" s="50" t="n"/>
      <c r="BQ102" s="50" t="n"/>
      <c r="BR102" s="50" t="n"/>
      <c r="BS102" s="50" t="n"/>
      <c r="BT102" s="50" t="n"/>
      <c r="BU102" s="50" t="n"/>
      <c r="BV102" s="50" t="n"/>
      <c r="BW102" s="50" t="n"/>
      <c r="BX102" s="50" t="n"/>
      <c r="BY102" s="50" t="n"/>
      <c r="BZ102" s="50" t="n"/>
      <c r="CA102" s="50" t="n"/>
      <c r="CB102" s="50" t="n"/>
      <c r="CC102" s="50" t="n"/>
      <c r="CD102" s="50" t="n"/>
      <c r="CE102" s="50" t="n"/>
      <c r="CF102" s="50" t="n"/>
      <c r="CG102" s="50" t="n"/>
      <c r="CH102" s="50" t="n"/>
      <c r="CI102" s="50" t="n"/>
      <c r="CJ102" s="50" t="n"/>
      <c r="CK102" s="50" t="n"/>
      <c r="CL102" s="50" t="n"/>
      <c r="CM102" s="50" t="n"/>
      <c r="CN102" s="50" t="n"/>
      <c r="CO102" s="50" t="n"/>
      <c r="CP102" s="50" t="n"/>
      <c r="CQ102" s="50" t="n"/>
      <c r="CR102" s="50" t="n"/>
      <c r="CS102" s="50" t="n"/>
      <c r="CT102" s="50" t="n"/>
      <c r="CU102" s="50" t="n"/>
      <c r="CV102" s="50" t="n"/>
      <c r="CW102" s="50" t="n"/>
      <c r="CX102" s="50" t="n"/>
      <c r="CY102" s="50" t="n"/>
      <c r="CZ102" s="50" t="n"/>
      <c r="DA102" s="50" t="n"/>
      <c r="DB102" s="50" t="n"/>
      <c r="DC102" s="50" t="n"/>
      <c r="DD102" s="50" t="n"/>
      <c r="DE102" s="50" t="n"/>
      <c r="DF102" s="50" t="n"/>
      <c r="DG102" s="50" t="n"/>
      <c r="DH102" s="50" t="n"/>
      <c r="DI102" s="50" t="n"/>
      <c r="DJ102" s="50" t="n"/>
      <c r="DK102" s="50" t="n"/>
      <c r="DL102" s="50" t="n"/>
      <c r="DM102" s="50" t="n"/>
      <c r="DN102" s="50" t="n"/>
      <c r="DO102" s="50" t="n"/>
      <c r="DP102" s="50" t="n"/>
      <c r="DQ102" s="50" t="n"/>
      <c r="DR102" s="50" t="n"/>
      <c r="DS102" s="50" t="n"/>
      <c r="DT102" s="50" t="n"/>
      <c r="DU102" s="50" t="n"/>
      <c r="DV102" s="50" t="n"/>
    </row>
    <row r="103">
      <c r="A103" s="47">
        <f>IF(Mitarbeiter!B103="","",Mitarbeiter!A103)</f>
        <v/>
      </c>
      <c r="B103" s="48">
        <f>IF(Mitarbeiter!B103="","",Mitarbeiter!B103)</f>
        <v/>
      </c>
      <c r="C103" s="49">
        <f>IF(Mitarbeiter!B103="","",Mitarbeiter!F103)</f>
        <v/>
      </c>
      <c r="D103" s="25">
        <f>IF(Mitarbeiter!B103="","",Berechnung!AD103)</f>
        <v/>
      </c>
      <c r="E103" s="25">
        <f>IF(Mitarbeiter!B103="","",SUM(G103:DV103))</f>
        <v/>
      </c>
      <c r="G103" s="50" t="n"/>
      <c r="H103" s="50" t="n"/>
      <c r="I103" s="50" t="n"/>
      <c r="J103" s="50" t="n"/>
      <c r="K103" s="50" t="n"/>
      <c r="L103" s="50" t="n"/>
      <c r="M103" s="50" t="n"/>
      <c r="N103" s="50" t="n"/>
      <c r="O103" s="50" t="n"/>
      <c r="P103" s="50" t="n"/>
      <c r="Q103" s="50" t="n"/>
      <c r="R103" s="50" t="n"/>
      <c r="S103" s="50" t="n"/>
      <c r="T103" s="50" t="n"/>
      <c r="U103" s="50" t="n"/>
      <c r="V103" s="50" t="n"/>
      <c r="W103" s="50" t="n"/>
      <c r="X103" s="50" t="n"/>
      <c r="Y103" s="50" t="n"/>
      <c r="Z103" s="50" t="n"/>
      <c r="AA103" s="50" t="n"/>
      <c r="AB103" s="50" t="n"/>
      <c r="AC103" s="50" t="n"/>
      <c r="AD103" s="50" t="n"/>
      <c r="AE103" s="50" t="n"/>
      <c r="AF103" s="50" t="n"/>
      <c r="AG103" s="50" t="n"/>
      <c r="AH103" s="50" t="n"/>
      <c r="AI103" s="50" t="n"/>
      <c r="AJ103" s="50" t="n"/>
      <c r="AK103" s="50" t="n"/>
      <c r="AL103" s="50" t="n"/>
      <c r="AM103" s="50" t="n"/>
      <c r="AN103" s="50" t="n"/>
      <c r="AO103" s="50" t="n"/>
      <c r="AP103" s="50" t="n"/>
      <c r="AQ103" s="50" t="n"/>
      <c r="AR103" s="50" t="n"/>
      <c r="AS103" s="50" t="n"/>
      <c r="AT103" s="50" t="n"/>
      <c r="AU103" s="50" t="n"/>
      <c r="AV103" s="50" t="n"/>
      <c r="AW103" s="50" t="n"/>
      <c r="AX103" s="50" t="n"/>
      <c r="AY103" s="50" t="n"/>
      <c r="AZ103" s="50" t="n"/>
      <c r="BA103" s="50" t="n"/>
      <c r="BB103" s="50" t="n"/>
      <c r="BC103" s="50" t="n"/>
      <c r="BD103" s="50" t="n"/>
      <c r="BE103" s="50" t="n"/>
      <c r="BF103" s="50" t="n"/>
      <c r="BG103" s="50" t="n"/>
      <c r="BH103" s="50" t="n"/>
      <c r="BI103" s="50" t="n"/>
      <c r="BJ103" s="50" t="n"/>
      <c r="BK103" s="50" t="n"/>
      <c r="BL103" s="50" t="n"/>
      <c r="BM103" s="50" t="n"/>
      <c r="BN103" s="50" t="n"/>
      <c r="BO103" s="50" t="n"/>
      <c r="BP103" s="50" t="n"/>
      <c r="BQ103" s="50" t="n"/>
      <c r="BR103" s="50" t="n"/>
      <c r="BS103" s="50" t="n"/>
      <c r="BT103" s="50" t="n"/>
      <c r="BU103" s="50" t="n"/>
      <c r="BV103" s="50" t="n"/>
      <c r="BW103" s="50" t="n"/>
      <c r="BX103" s="50" t="n"/>
      <c r="BY103" s="50" t="n"/>
      <c r="BZ103" s="50" t="n"/>
      <c r="CA103" s="50" t="n"/>
      <c r="CB103" s="50" t="n"/>
      <c r="CC103" s="50" t="n"/>
      <c r="CD103" s="50" t="n"/>
      <c r="CE103" s="50" t="n"/>
      <c r="CF103" s="50" t="n"/>
      <c r="CG103" s="50" t="n"/>
      <c r="CH103" s="50" t="n"/>
      <c r="CI103" s="50" t="n"/>
      <c r="CJ103" s="50" t="n"/>
      <c r="CK103" s="50" t="n"/>
      <c r="CL103" s="50" t="n"/>
      <c r="CM103" s="50" t="n"/>
      <c r="CN103" s="50" t="n"/>
      <c r="CO103" s="50" t="n"/>
      <c r="CP103" s="50" t="n"/>
      <c r="CQ103" s="50" t="n"/>
      <c r="CR103" s="50" t="n"/>
      <c r="CS103" s="50" t="n"/>
      <c r="CT103" s="50" t="n"/>
      <c r="CU103" s="50" t="n"/>
      <c r="CV103" s="50" t="n"/>
      <c r="CW103" s="50" t="n"/>
      <c r="CX103" s="50" t="n"/>
      <c r="CY103" s="50" t="n"/>
      <c r="CZ103" s="50" t="n"/>
      <c r="DA103" s="50" t="n"/>
      <c r="DB103" s="50" t="n"/>
      <c r="DC103" s="50" t="n"/>
      <c r="DD103" s="50" t="n"/>
      <c r="DE103" s="50" t="n"/>
      <c r="DF103" s="50" t="n"/>
      <c r="DG103" s="50" t="n"/>
      <c r="DH103" s="50" t="n"/>
      <c r="DI103" s="50" t="n"/>
      <c r="DJ103" s="50" t="n"/>
      <c r="DK103" s="50" t="n"/>
      <c r="DL103" s="50" t="n"/>
      <c r="DM103" s="50" t="n"/>
      <c r="DN103" s="50" t="n"/>
      <c r="DO103" s="50" t="n"/>
      <c r="DP103" s="50" t="n"/>
      <c r="DQ103" s="50" t="n"/>
      <c r="DR103" s="50" t="n"/>
      <c r="DS103" s="50" t="n"/>
      <c r="DT103" s="50" t="n"/>
      <c r="DU103" s="50" t="n"/>
      <c r="DV103" s="50" t="n"/>
    </row>
    <row r="104">
      <c r="A104" s="47">
        <f>IF(Mitarbeiter!B104="","",Mitarbeiter!A104)</f>
        <v/>
      </c>
      <c r="B104" s="48">
        <f>IF(Mitarbeiter!B104="","",Mitarbeiter!B104)</f>
        <v/>
      </c>
      <c r="C104" s="49">
        <f>IF(Mitarbeiter!B104="","",Mitarbeiter!F104)</f>
        <v/>
      </c>
      <c r="D104" s="25">
        <f>IF(Mitarbeiter!B104="","",Berechnung!AD104)</f>
        <v/>
      </c>
      <c r="E104" s="25">
        <f>IF(Mitarbeiter!B104="","",SUM(G104:DV104))</f>
        <v/>
      </c>
      <c r="G104" s="50" t="n"/>
      <c r="H104" s="50" t="n"/>
      <c r="I104" s="50" t="n"/>
      <c r="J104" s="50" t="n"/>
      <c r="K104" s="50" t="n"/>
      <c r="L104" s="50" t="n"/>
      <c r="M104" s="50" t="n"/>
      <c r="N104" s="50" t="n"/>
      <c r="O104" s="50" t="n"/>
      <c r="P104" s="50" t="n"/>
      <c r="Q104" s="50" t="n"/>
      <c r="R104" s="50" t="n"/>
      <c r="S104" s="50" t="n"/>
      <c r="T104" s="50" t="n"/>
      <c r="U104" s="50" t="n"/>
      <c r="V104" s="50" t="n"/>
      <c r="W104" s="50" t="n"/>
      <c r="X104" s="50" t="n"/>
      <c r="Y104" s="50" t="n"/>
      <c r="Z104" s="50" t="n"/>
      <c r="AA104" s="50" t="n"/>
      <c r="AB104" s="50" t="n"/>
      <c r="AC104" s="50" t="n"/>
      <c r="AD104" s="50" t="n"/>
      <c r="AE104" s="50" t="n"/>
      <c r="AF104" s="50" t="n"/>
      <c r="AG104" s="50" t="n"/>
      <c r="AH104" s="50" t="n"/>
      <c r="AI104" s="50" t="n"/>
      <c r="AJ104" s="50" t="n"/>
      <c r="AK104" s="50" t="n"/>
      <c r="AL104" s="50" t="n"/>
      <c r="AM104" s="50" t="n"/>
      <c r="AN104" s="50" t="n"/>
      <c r="AO104" s="50" t="n"/>
      <c r="AP104" s="50" t="n"/>
      <c r="AQ104" s="50" t="n"/>
      <c r="AR104" s="50" t="n"/>
      <c r="AS104" s="50" t="n"/>
      <c r="AT104" s="50" t="n"/>
      <c r="AU104" s="50" t="n"/>
      <c r="AV104" s="50" t="n"/>
      <c r="AW104" s="50" t="n"/>
      <c r="AX104" s="50" t="n"/>
      <c r="AY104" s="50" t="n"/>
      <c r="AZ104" s="50" t="n"/>
      <c r="BA104" s="50" t="n"/>
      <c r="BB104" s="50" t="n"/>
      <c r="BC104" s="50" t="n"/>
      <c r="BD104" s="50" t="n"/>
      <c r="BE104" s="50" t="n"/>
      <c r="BF104" s="50" t="n"/>
      <c r="BG104" s="50" t="n"/>
      <c r="BH104" s="50" t="n"/>
      <c r="BI104" s="50" t="n"/>
      <c r="BJ104" s="50" t="n"/>
      <c r="BK104" s="50" t="n"/>
      <c r="BL104" s="50" t="n"/>
      <c r="BM104" s="50" t="n"/>
      <c r="BN104" s="50" t="n"/>
      <c r="BO104" s="50" t="n"/>
      <c r="BP104" s="50" t="n"/>
      <c r="BQ104" s="50" t="n"/>
      <c r="BR104" s="50" t="n"/>
      <c r="BS104" s="50" t="n"/>
      <c r="BT104" s="50" t="n"/>
      <c r="BU104" s="50" t="n"/>
      <c r="BV104" s="50" t="n"/>
      <c r="BW104" s="50" t="n"/>
      <c r="BX104" s="50" t="n"/>
      <c r="BY104" s="50" t="n"/>
      <c r="BZ104" s="50" t="n"/>
      <c r="CA104" s="50" t="n"/>
      <c r="CB104" s="50" t="n"/>
      <c r="CC104" s="50" t="n"/>
      <c r="CD104" s="50" t="n"/>
      <c r="CE104" s="50" t="n"/>
      <c r="CF104" s="50" t="n"/>
      <c r="CG104" s="50" t="n"/>
      <c r="CH104" s="50" t="n"/>
      <c r="CI104" s="50" t="n"/>
      <c r="CJ104" s="50" t="n"/>
      <c r="CK104" s="50" t="n"/>
      <c r="CL104" s="50" t="n"/>
      <c r="CM104" s="50" t="n"/>
      <c r="CN104" s="50" t="n"/>
      <c r="CO104" s="50" t="n"/>
      <c r="CP104" s="50" t="n"/>
      <c r="CQ104" s="50" t="n"/>
      <c r="CR104" s="50" t="n"/>
      <c r="CS104" s="50" t="n"/>
      <c r="CT104" s="50" t="n"/>
      <c r="CU104" s="50" t="n"/>
      <c r="CV104" s="50" t="n"/>
      <c r="CW104" s="50" t="n"/>
      <c r="CX104" s="50" t="n"/>
      <c r="CY104" s="50" t="n"/>
      <c r="CZ104" s="50" t="n"/>
      <c r="DA104" s="50" t="n"/>
      <c r="DB104" s="50" t="n"/>
      <c r="DC104" s="50" t="n"/>
      <c r="DD104" s="50" t="n"/>
      <c r="DE104" s="50" t="n"/>
      <c r="DF104" s="50" t="n"/>
      <c r="DG104" s="50" t="n"/>
      <c r="DH104" s="50" t="n"/>
      <c r="DI104" s="50" t="n"/>
      <c r="DJ104" s="50" t="n"/>
      <c r="DK104" s="50" t="n"/>
      <c r="DL104" s="50" t="n"/>
      <c r="DM104" s="50" t="n"/>
      <c r="DN104" s="50" t="n"/>
      <c r="DO104" s="50" t="n"/>
      <c r="DP104" s="50" t="n"/>
      <c r="DQ104" s="50" t="n"/>
      <c r="DR104" s="50" t="n"/>
      <c r="DS104" s="50" t="n"/>
      <c r="DT104" s="50" t="n"/>
      <c r="DU104" s="50" t="n"/>
      <c r="DV104" s="50" t="n"/>
    </row>
    <row r="105">
      <c r="A105" s="47">
        <f>IF(Mitarbeiter!B105="","",Mitarbeiter!A105)</f>
        <v/>
      </c>
      <c r="B105" s="48">
        <f>IF(Mitarbeiter!B105="","",Mitarbeiter!B105)</f>
        <v/>
      </c>
      <c r="C105" s="49">
        <f>IF(Mitarbeiter!B105="","",Mitarbeiter!F105)</f>
        <v/>
      </c>
      <c r="D105" s="25">
        <f>IF(Mitarbeiter!B105="","",Berechnung!AD105)</f>
        <v/>
      </c>
      <c r="E105" s="25">
        <f>IF(Mitarbeiter!B105="","",SUM(G105:DV105))</f>
        <v/>
      </c>
      <c r="G105" s="50" t="n"/>
      <c r="H105" s="50" t="n"/>
      <c r="I105" s="50" t="n"/>
      <c r="J105" s="50" t="n"/>
      <c r="K105" s="50" t="n"/>
      <c r="L105" s="50" t="n"/>
      <c r="M105" s="50" t="n"/>
      <c r="N105" s="50" t="n"/>
      <c r="O105" s="50" t="n"/>
      <c r="P105" s="50" t="n"/>
      <c r="Q105" s="50" t="n"/>
      <c r="R105" s="50" t="n"/>
      <c r="S105" s="50" t="n"/>
      <c r="T105" s="50" t="n"/>
      <c r="U105" s="50" t="n"/>
      <c r="V105" s="50" t="n"/>
      <c r="W105" s="50" t="n"/>
      <c r="X105" s="50" t="n"/>
      <c r="Y105" s="50" t="n"/>
      <c r="Z105" s="50" t="n"/>
      <c r="AA105" s="50" t="n"/>
      <c r="AB105" s="50" t="n"/>
      <c r="AC105" s="50" t="n"/>
      <c r="AD105" s="50" t="n"/>
      <c r="AE105" s="50" t="n"/>
      <c r="AF105" s="50" t="n"/>
      <c r="AG105" s="50" t="n"/>
      <c r="AH105" s="50" t="n"/>
      <c r="AI105" s="50" t="n"/>
      <c r="AJ105" s="50" t="n"/>
      <c r="AK105" s="50" t="n"/>
      <c r="AL105" s="50" t="n"/>
      <c r="AM105" s="50" t="n"/>
      <c r="AN105" s="50" t="n"/>
      <c r="AO105" s="50" t="n"/>
      <c r="AP105" s="50" t="n"/>
      <c r="AQ105" s="50" t="n"/>
      <c r="AR105" s="50" t="n"/>
      <c r="AS105" s="50" t="n"/>
      <c r="AT105" s="50" t="n"/>
      <c r="AU105" s="50" t="n"/>
      <c r="AV105" s="50" t="n"/>
      <c r="AW105" s="50" t="n"/>
      <c r="AX105" s="50" t="n"/>
      <c r="AY105" s="50" t="n"/>
      <c r="AZ105" s="50" t="n"/>
      <c r="BA105" s="50" t="n"/>
      <c r="BB105" s="50" t="n"/>
      <c r="BC105" s="50" t="n"/>
      <c r="BD105" s="50" t="n"/>
      <c r="BE105" s="50" t="n"/>
      <c r="BF105" s="50" t="n"/>
      <c r="BG105" s="50" t="n"/>
      <c r="BH105" s="50" t="n"/>
      <c r="BI105" s="50" t="n"/>
      <c r="BJ105" s="50" t="n"/>
      <c r="BK105" s="50" t="n"/>
      <c r="BL105" s="50" t="n"/>
      <c r="BM105" s="50" t="n"/>
      <c r="BN105" s="50" t="n"/>
      <c r="BO105" s="50" t="n"/>
      <c r="BP105" s="50" t="n"/>
      <c r="BQ105" s="50" t="n"/>
      <c r="BR105" s="50" t="n"/>
      <c r="BS105" s="50" t="n"/>
      <c r="BT105" s="50" t="n"/>
      <c r="BU105" s="50" t="n"/>
      <c r="BV105" s="50" t="n"/>
      <c r="BW105" s="50" t="n"/>
      <c r="BX105" s="50" t="n"/>
      <c r="BY105" s="50" t="n"/>
      <c r="BZ105" s="50" t="n"/>
      <c r="CA105" s="50" t="n"/>
      <c r="CB105" s="50" t="n"/>
      <c r="CC105" s="50" t="n"/>
      <c r="CD105" s="50" t="n"/>
      <c r="CE105" s="50" t="n"/>
      <c r="CF105" s="50" t="n"/>
      <c r="CG105" s="50" t="n"/>
      <c r="CH105" s="50" t="n"/>
      <c r="CI105" s="50" t="n"/>
      <c r="CJ105" s="50" t="n"/>
      <c r="CK105" s="50" t="n"/>
      <c r="CL105" s="50" t="n"/>
      <c r="CM105" s="50" t="n"/>
      <c r="CN105" s="50" t="n"/>
      <c r="CO105" s="50" t="n"/>
      <c r="CP105" s="50" t="n"/>
      <c r="CQ105" s="50" t="n"/>
      <c r="CR105" s="50" t="n"/>
      <c r="CS105" s="50" t="n"/>
      <c r="CT105" s="50" t="n"/>
      <c r="CU105" s="50" t="n"/>
      <c r="CV105" s="50" t="n"/>
      <c r="CW105" s="50" t="n"/>
      <c r="CX105" s="50" t="n"/>
      <c r="CY105" s="50" t="n"/>
      <c r="CZ105" s="50" t="n"/>
      <c r="DA105" s="50" t="n"/>
      <c r="DB105" s="50" t="n"/>
      <c r="DC105" s="50" t="n"/>
      <c r="DD105" s="50" t="n"/>
      <c r="DE105" s="50" t="n"/>
      <c r="DF105" s="50" t="n"/>
      <c r="DG105" s="50" t="n"/>
      <c r="DH105" s="50" t="n"/>
      <c r="DI105" s="50" t="n"/>
      <c r="DJ105" s="50" t="n"/>
      <c r="DK105" s="50" t="n"/>
      <c r="DL105" s="50" t="n"/>
      <c r="DM105" s="50" t="n"/>
      <c r="DN105" s="50" t="n"/>
      <c r="DO105" s="50" t="n"/>
      <c r="DP105" s="50" t="n"/>
      <c r="DQ105" s="50" t="n"/>
      <c r="DR105" s="50" t="n"/>
      <c r="DS105" s="50" t="n"/>
      <c r="DT105" s="50" t="n"/>
      <c r="DU105" s="50" t="n"/>
      <c r="DV105" s="50" t="n"/>
    </row>
    <row r="106">
      <c r="A106" s="47">
        <f>IF(Mitarbeiter!B106="","",Mitarbeiter!A106)</f>
        <v/>
      </c>
      <c r="B106" s="48">
        <f>IF(Mitarbeiter!B106="","",Mitarbeiter!B106)</f>
        <v/>
      </c>
      <c r="C106" s="49">
        <f>IF(Mitarbeiter!B106="","",Mitarbeiter!F106)</f>
        <v/>
      </c>
      <c r="D106" s="25">
        <f>IF(Mitarbeiter!B106="","",Berechnung!AD106)</f>
        <v/>
      </c>
      <c r="E106" s="25">
        <f>IF(Mitarbeiter!B106="","",SUM(G106:DV106))</f>
        <v/>
      </c>
      <c r="G106" s="50" t="n"/>
      <c r="H106" s="50" t="n"/>
      <c r="I106" s="50" t="n"/>
      <c r="J106" s="50" t="n"/>
      <c r="K106" s="50" t="n"/>
      <c r="L106" s="50" t="n"/>
      <c r="M106" s="50" t="n"/>
      <c r="N106" s="50" t="n"/>
      <c r="O106" s="50" t="n"/>
      <c r="P106" s="50" t="n"/>
      <c r="Q106" s="50" t="n"/>
      <c r="R106" s="50" t="n"/>
      <c r="S106" s="50" t="n"/>
      <c r="T106" s="50" t="n"/>
      <c r="U106" s="50" t="n"/>
      <c r="V106" s="50" t="n"/>
      <c r="W106" s="50" t="n"/>
      <c r="X106" s="50" t="n"/>
      <c r="Y106" s="50" t="n"/>
      <c r="Z106" s="50" t="n"/>
      <c r="AA106" s="50" t="n"/>
      <c r="AB106" s="50" t="n"/>
      <c r="AC106" s="50" t="n"/>
      <c r="AD106" s="50" t="n"/>
      <c r="AE106" s="50" t="n"/>
      <c r="AF106" s="50" t="n"/>
      <c r="AG106" s="50" t="n"/>
      <c r="AH106" s="50" t="n"/>
      <c r="AI106" s="50" t="n"/>
      <c r="AJ106" s="50" t="n"/>
      <c r="AK106" s="50" t="n"/>
      <c r="AL106" s="50" t="n"/>
      <c r="AM106" s="50" t="n"/>
      <c r="AN106" s="50" t="n"/>
      <c r="AO106" s="50" t="n"/>
      <c r="AP106" s="50" t="n"/>
      <c r="AQ106" s="50" t="n"/>
      <c r="AR106" s="50" t="n"/>
      <c r="AS106" s="50" t="n"/>
      <c r="AT106" s="50" t="n"/>
      <c r="AU106" s="50" t="n"/>
      <c r="AV106" s="50" t="n"/>
      <c r="AW106" s="50" t="n"/>
      <c r="AX106" s="50" t="n"/>
      <c r="AY106" s="50" t="n"/>
      <c r="AZ106" s="50" t="n"/>
      <c r="BA106" s="50" t="n"/>
      <c r="BB106" s="50" t="n"/>
      <c r="BC106" s="50" t="n"/>
      <c r="BD106" s="50" t="n"/>
      <c r="BE106" s="50" t="n"/>
      <c r="BF106" s="50" t="n"/>
      <c r="BG106" s="50" t="n"/>
      <c r="BH106" s="50" t="n"/>
      <c r="BI106" s="50" t="n"/>
      <c r="BJ106" s="50" t="n"/>
      <c r="BK106" s="50" t="n"/>
      <c r="BL106" s="50" t="n"/>
      <c r="BM106" s="50" t="n"/>
      <c r="BN106" s="50" t="n"/>
      <c r="BO106" s="50" t="n"/>
      <c r="BP106" s="50" t="n"/>
      <c r="BQ106" s="50" t="n"/>
      <c r="BR106" s="50" t="n"/>
      <c r="BS106" s="50" t="n"/>
      <c r="BT106" s="50" t="n"/>
      <c r="BU106" s="50" t="n"/>
      <c r="BV106" s="50" t="n"/>
      <c r="BW106" s="50" t="n"/>
      <c r="BX106" s="50" t="n"/>
      <c r="BY106" s="50" t="n"/>
      <c r="BZ106" s="50" t="n"/>
      <c r="CA106" s="50" t="n"/>
      <c r="CB106" s="50" t="n"/>
      <c r="CC106" s="50" t="n"/>
      <c r="CD106" s="50" t="n"/>
      <c r="CE106" s="50" t="n"/>
      <c r="CF106" s="50" t="n"/>
      <c r="CG106" s="50" t="n"/>
      <c r="CH106" s="50" t="n"/>
      <c r="CI106" s="50" t="n"/>
      <c r="CJ106" s="50" t="n"/>
      <c r="CK106" s="50" t="n"/>
      <c r="CL106" s="50" t="n"/>
      <c r="CM106" s="50" t="n"/>
      <c r="CN106" s="50" t="n"/>
      <c r="CO106" s="50" t="n"/>
      <c r="CP106" s="50" t="n"/>
      <c r="CQ106" s="50" t="n"/>
      <c r="CR106" s="50" t="n"/>
      <c r="CS106" s="50" t="n"/>
      <c r="CT106" s="50" t="n"/>
      <c r="CU106" s="50" t="n"/>
      <c r="CV106" s="50" t="n"/>
      <c r="CW106" s="50" t="n"/>
      <c r="CX106" s="50" t="n"/>
      <c r="CY106" s="50" t="n"/>
      <c r="CZ106" s="50" t="n"/>
      <c r="DA106" s="50" t="n"/>
      <c r="DB106" s="50" t="n"/>
      <c r="DC106" s="50" t="n"/>
      <c r="DD106" s="50" t="n"/>
      <c r="DE106" s="50" t="n"/>
      <c r="DF106" s="50" t="n"/>
      <c r="DG106" s="50" t="n"/>
      <c r="DH106" s="50" t="n"/>
      <c r="DI106" s="50" t="n"/>
      <c r="DJ106" s="50" t="n"/>
      <c r="DK106" s="50" t="n"/>
      <c r="DL106" s="50" t="n"/>
      <c r="DM106" s="50" t="n"/>
      <c r="DN106" s="50" t="n"/>
      <c r="DO106" s="50" t="n"/>
      <c r="DP106" s="50" t="n"/>
      <c r="DQ106" s="50" t="n"/>
      <c r="DR106" s="50" t="n"/>
      <c r="DS106" s="50" t="n"/>
      <c r="DT106" s="50" t="n"/>
      <c r="DU106" s="50" t="n"/>
      <c r="DV106" s="50" t="n"/>
    </row>
    <row r="107">
      <c r="A107" s="47">
        <f>IF(Mitarbeiter!B107="","",Mitarbeiter!A107)</f>
        <v/>
      </c>
      <c r="B107" s="48">
        <f>IF(Mitarbeiter!B107="","",Mitarbeiter!B107)</f>
        <v/>
      </c>
      <c r="C107" s="49">
        <f>IF(Mitarbeiter!B107="","",Mitarbeiter!F107)</f>
        <v/>
      </c>
      <c r="D107" s="25">
        <f>IF(Mitarbeiter!B107="","",Berechnung!AD107)</f>
        <v/>
      </c>
      <c r="E107" s="25">
        <f>IF(Mitarbeiter!B107="","",SUM(G107:DV107))</f>
        <v/>
      </c>
      <c r="G107" s="50" t="n"/>
      <c r="H107" s="50" t="n"/>
      <c r="I107" s="50" t="n"/>
      <c r="J107" s="50" t="n"/>
      <c r="K107" s="50" t="n"/>
      <c r="L107" s="50" t="n"/>
      <c r="M107" s="50" t="n"/>
      <c r="N107" s="50" t="n"/>
      <c r="O107" s="50" t="n"/>
      <c r="P107" s="50" t="n"/>
      <c r="Q107" s="50" t="n"/>
      <c r="R107" s="50" t="n"/>
      <c r="S107" s="50" t="n"/>
      <c r="T107" s="50" t="n"/>
      <c r="U107" s="50" t="n"/>
      <c r="V107" s="50" t="n"/>
      <c r="W107" s="50" t="n"/>
      <c r="X107" s="50" t="n"/>
      <c r="Y107" s="50" t="n"/>
      <c r="Z107" s="50" t="n"/>
      <c r="AA107" s="50" t="n"/>
      <c r="AB107" s="50" t="n"/>
      <c r="AC107" s="50" t="n"/>
      <c r="AD107" s="50" t="n"/>
      <c r="AE107" s="50" t="n"/>
      <c r="AF107" s="50" t="n"/>
      <c r="AG107" s="50" t="n"/>
      <c r="AH107" s="50" t="n"/>
      <c r="AI107" s="50" t="n"/>
      <c r="AJ107" s="50" t="n"/>
      <c r="AK107" s="50" t="n"/>
      <c r="AL107" s="50" t="n"/>
      <c r="AM107" s="50" t="n"/>
      <c r="AN107" s="50" t="n"/>
      <c r="AO107" s="50" t="n"/>
      <c r="AP107" s="50" t="n"/>
      <c r="AQ107" s="50" t="n"/>
      <c r="AR107" s="50" t="n"/>
      <c r="AS107" s="50" t="n"/>
      <c r="AT107" s="50" t="n"/>
      <c r="AU107" s="50" t="n"/>
      <c r="AV107" s="50" t="n"/>
      <c r="AW107" s="50" t="n"/>
      <c r="AX107" s="50" t="n"/>
      <c r="AY107" s="50" t="n"/>
      <c r="AZ107" s="50" t="n"/>
      <c r="BA107" s="50" t="n"/>
      <c r="BB107" s="50" t="n"/>
      <c r="BC107" s="50" t="n"/>
      <c r="BD107" s="50" t="n"/>
      <c r="BE107" s="50" t="n"/>
      <c r="BF107" s="50" t="n"/>
      <c r="BG107" s="50" t="n"/>
      <c r="BH107" s="50" t="n"/>
      <c r="BI107" s="50" t="n"/>
      <c r="BJ107" s="50" t="n"/>
      <c r="BK107" s="50" t="n"/>
      <c r="BL107" s="50" t="n"/>
      <c r="BM107" s="50" t="n"/>
      <c r="BN107" s="50" t="n"/>
      <c r="BO107" s="50" t="n"/>
      <c r="BP107" s="50" t="n"/>
      <c r="BQ107" s="50" t="n"/>
      <c r="BR107" s="50" t="n"/>
      <c r="BS107" s="50" t="n"/>
      <c r="BT107" s="50" t="n"/>
      <c r="BU107" s="50" t="n"/>
      <c r="BV107" s="50" t="n"/>
      <c r="BW107" s="50" t="n"/>
      <c r="BX107" s="50" t="n"/>
      <c r="BY107" s="50" t="n"/>
      <c r="BZ107" s="50" t="n"/>
      <c r="CA107" s="50" t="n"/>
      <c r="CB107" s="50" t="n"/>
      <c r="CC107" s="50" t="n"/>
      <c r="CD107" s="50" t="n"/>
      <c r="CE107" s="50" t="n"/>
      <c r="CF107" s="50" t="n"/>
      <c r="CG107" s="50" t="n"/>
      <c r="CH107" s="50" t="n"/>
      <c r="CI107" s="50" t="n"/>
      <c r="CJ107" s="50" t="n"/>
      <c r="CK107" s="50" t="n"/>
      <c r="CL107" s="50" t="n"/>
      <c r="CM107" s="50" t="n"/>
      <c r="CN107" s="50" t="n"/>
      <c r="CO107" s="50" t="n"/>
      <c r="CP107" s="50" t="n"/>
      <c r="CQ107" s="50" t="n"/>
      <c r="CR107" s="50" t="n"/>
      <c r="CS107" s="50" t="n"/>
      <c r="CT107" s="50" t="n"/>
      <c r="CU107" s="50" t="n"/>
      <c r="CV107" s="50" t="n"/>
      <c r="CW107" s="50" t="n"/>
      <c r="CX107" s="50" t="n"/>
      <c r="CY107" s="50" t="n"/>
      <c r="CZ107" s="50" t="n"/>
      <c r="DA107" s="50" t="n"/>
      <c r="DB107" s="50" t="n"/>
      <c r="DC107" s="50" t="n"/>
      <c r="DD107" s="50" t="n"/>
      <c r="DE107" s="50" t="n"/>
      <c r="DF107" s="50" t="n"/>
      <c r="DG107" s="50" t="n"/>
      <c r="DH107" s="50" t="n"/>
      <c r="DI107" s="50" t="n"/>
      <c r="DJ107" s="50" t="n"/>
      <c r="DK107" s="50" t="n"/>
      <c r="DL107" s="50" t="n"/>
      <c r="DM107" s="50" t="n"/>
      <c r="DN107" s="50" t="n"/>
      <c r="DO107" s="50" t="n"/>
      <c r="DP107" s="50" t="n"/>
      <c r="DQ107" s="50" t="n"/>
      <c r="DR107" s="50" t="n"/>
      <c r="DS107" s="50" t="n"/>
      <c r="DT107" s="50" t="n"/>
      <c r="DU107" s="50" t="n"/>
      <c r="DV107" s="50" t="n"/>
    </row>
    <row r="108">
      <c r="A108" s="47">
        <f>IF(Mitarbeiter!B108="","",Mitarbeiter!A108)</f>
        <v/>
      </c>
      <c r="B108" s="48">
        <f>IF(Mitarbeiter!B108="","",Mitarbeiter!B108)</f>
        <v/>
      </c>
      <c r="C108" s="49">
        <f>IF(Mitarbeiter!B108="","",Mitarbeiter!F108)</f>
        <v/>
      </c>
      <c r="D108" s="25">
        <f>IF(Mitarbeiter!B108="","",Berechnung!AD108)</f>
        <v/>
      </c>
      <c r="E108" s="25">
        <f>IF(Mitarbeiter!B108="","",SUM(G108:DV108))</f>
        <v/>
      </c>
      <c r="G108" s="50" t="n"/>
      <c r="H108" s="50" t="n"/>
      <c r="I108" s="50" t="n"/>
      <c r="J108" s="50" t="n"/>
      <c r="K108" s="50" t="n"/>
      <c r="L108" s="50" t="n"/>
      <c r="M108" s="50" t="n"/>
      <c r="N108" s="50" t="n"/>
      <c r="O108" s="50" t="n"/>
      <c r="P108" s="50" t="n"/>
      <c r="Q108" s="50" t="n"/>
      <c r="R108" s="50" t="n"/>
      <c r="S108" s="50" t="n"/>
      <c r="T108" s="50" t="n"/>
      <c r="U108" s="50" t="n"/>
      <c r="V108" s="50" t="n"/>
      <c r="W108" s="50" t="n"/>
      <c r="X108" s="50" t="n"/>
      <c r="Y108" s="50" t="n"/>
      <c r="Z108" s="50" t="n"/>
      <c r="AA108" s="50" t="n"/>
      <c r="AB108" s="50" t="n"/>
      <c r="AC108" s="50" t="n"/>
      <c r="AD108" s="50" t="n"/>
      <c r="AE108" s="50" t="n"/>
      <c r="AF108" s="50" t="n"/>
      <c r="AG108" s="50" t="n"/>
      <c r="AH108" s="50" t="n"/>
      <c r="AI108" s="50" t="n"/>
      <c r="AJ108" s="50" t="n"/>
      <c r="AK108" s="50" t="n"/>
      <c r="AL108" s="50" t="n"/>
      <c r="AM108" s="50" t="n"/>
      <c r="AN108" s="50" t="n"/>
      <c r="AO108" s="50" t="n"/>
      <c r="AP108" s="50" t="n"/>
      <c r="AQ108" s="50" t="n"/>
      <c r="AR108" s="50" t="n"/>
      <c r="AS108" s="50" t="n"/>
      <c r="AT108" s="50" t="n"/>
      <c r="AU108" s="50" t="n"/>
      <c r="AV108" s="50" t="n"/>
      <c r="AW108" s="50" t="n"/>
      <c r="AX108" s="50" t="n"/>
      <c r="AY108" s="50" t="n"/>
      <c r="AZ108" s="50" t="n"/>
      <c r="BA108" s="50" t="n"/>
      <c r="BB108" s="50" t="n"/>
      <c r="BC108" s="50" t="n"/>
      <c r="BD108" s="50" t="n"/>
      <c r="BE108" s="50" t="n"/>
      <c r="BF108" s="50" t="n"/>
      <c r="BG108" s="50" t="n"/>
      <c r="BH108" s="50" t="n"/>
      <c r="BI108" s="50" t="n"/>
      <c r="BJ108" s="50" t="n"/>
      <c r="BK108" s="50" t="n"/>
      <c r="BL108" s="50" t="n"/>
      <c r="BM108" s="50" t="n"/>
      <c r="BN108" s="50" t="n"/>
      <c r="BO108" s="50" t="n"/>
      <c r="BP108" s="50" t="n"/>
      <c r="BQ108" s="50" t="n"/>
      <c r="BR108" s="50" t="n"/>
      <c r="BS108" s="50" t="n"/>
      <c r="BT108" s="50" t="n"/>
      <c r="BU108" s="50" t="n"/>
      <c r="BV108" s="50" t="n"/>
      <c r="BW108" s="50" t="n"/>
      <c r="BX108" s="50" t="n"/>
      <c r="BY108" s="50" t="n"/>
      <c r="BZ108" s="50" t="n"/>
      <c r="CA108" s="50" t="n"/>
      <c r="CB108" s="50" t="n"/>
      <c r="CC108" s="50" t="n"/>
      <c r="CD108" s="50" t="n"/>
      <c r="CE108" s="50" t="n"/>
      <c r="CF108" s="50" t="n"/>
      <c r="CG108" s="50" t="n"/>
      <c r="CH108" s="50" t="n"/>
      <c r="CI108" s="50" t="n"/>
      <c r="CJ108" s="50" t="n"/>
      <c r="CK108" s="50" t="n"/>
      <c r="CL108" s="50" t="n"/>
      <c r="CM108" s="50" t="n"/>
      <c r="CN108" s="50" t="n"/>
      <c r="CO108" s="50" t="n"/>
      <c r="CP108" s="50" t="n"/>
      <c r="CQ108" s="50" t="n"/>
      <c r="CR108" s="50" t="n"/>
      <c r="CS108" s="50" t="n"/>
      <c r="CT108" s="50" t="n"/>
      <c r="CU108" s="50" t="n"/>
      <c r="CV108" s="50" t="n"/>
      <c r="CW108" s="50" t="n"/>
      <c r="CX108" s="50" t="n"/>
      <c r="CY108" s="50" t="n"/>
      <c r="CZ108" s="50" t="n"/>
      <c r="DA108" s="50" t="n"/>
      <c r="DB108" s="50" t="n"/>
      <c r="DC108" s="50" t="n"/>
      <c r="DD108" s="50" t="n"/>
      <c r="DE108" s="50" t="n"/>
      <c r="DF108" s="50" t="n"/>
      <c r="DG108" s="50" t="n"/>
      <c r="DH108" s="50" t="n"/>
      <c r="DI108" s="50" t="n"/>
      <c r="DJ108" s="50" t="n"/>
      <c r="DK108" s="50" t="n"/>
      <c r="DL108" s="50" t="n"/>
      <c r="DM108" s="50" t="n"/>
      <c r="DN108" s="50" t="n"/>
      <c r="DO108" s="50" t="n"/>
      <c r="DP108" s="50" t="n"/>
      <c r="DQ108" s="50" t="n"/>
      <c r="DR108" s="50" t="n"/>
      <c r="DS108" s="50" t="n"/>
      <c r="DT108" s="50" t="n"/>
      <c r="DU108" s="50" t="n"/>
      <c r="DV108" s="50" t="n"/>
    </row>
    <row r="109">
      <c r="A109" s="47">
        <f>IF(Mitarbeiter!B109="","",Mitarbeiter!A109)</f>
        <v/>
      </c>
      <c r="B109" s="48">
        <f>IF(Mitarbeiter!B109="","",Mitarbeiter!B109)</f>
        <v/>
      </c>
      <c r="C109" s="49">
        <f>IF(Mitarbeiter!B109="","",Mitarbeiter!F109)</f>
        <v/>
      </c>
      <c r="D109" s="25">
        <f>IF(Mitarbeiter!B109="","",Berechnung!AD109)</f>
        <v/>
      </c>
      <c r="E109" s="25">
        <f>IF(Mitarbeiter!B109="","",SUM(G109:DV109))</f>
        <v/>
      </c>
      <c r="G109" s="50" t="n"/>
      <c r="H109" s="50" t="n"/>
      <c r="I109" s="50" t="n"/>
      <c r="J109" s="50" t="n"/>
      <c r="K109" s="50" t="n"/>
      <c r="L109" s="50" t="n"/>
      <c r="M109" s="50" t="n"/>
      <c r="N109" s="50" t="n"/>
      <c r="O109" s="50" t="n"/>
      <c r="P109" s="50" t="n"/>
      <c r="Q109" s="50" t="n"/>
      <c r="R109" s="50" t="n"/>
      <c r="S109" s="50" t="n"/>
      <c r="T109" s="50" t="n"/>
      <c r="U109" s="50" t="n"/>
      <c r="V109" s="50" t="n"/>
      <c r="W109" s="50" t="n"/>
      <c r="X109" s="50" t="n"/>
      <c r="Y109" s="50" t="n"/>
      <c r="Z109" s="50" t="n"/>
      <c r="AA109" s="50" t="n"/>
      <c r="AB109" s="50" t="n"/>
      <c r="AC109" s="50" t="n"/>
      <c r="AD109" s="50" t="n"/>
      <c r="AE109" s="50" t="n"/>
      <c r="AF109" s="50" t="n"/>
      <c r="AG109" s="50" t="n"/>
      <c r="AH109" s="50" t="n"/>
      <c r="AI109" s="50" t="n"/>
      <c r="AJ109" s="50" t="n"/>
      <c r="AK109" s="50" t="n"/>
      <c r="AL109" s="50" t="n"/>
      <c r="AM109" s="50" t="n"/>
      <c r="AN109" s="50" t="n"/>
      <c r="AO109" s="50" t="n"/>
      <c r="AP109" s="50" t="n"/>
      <c r="AQ109" s="50" t="n"/>
      <c r="AR109" s="50" t="n"/>
      <c r="AS109" s="50" t="n"/>
      <c r="AT109" s="50" t="n"/>
      <c r="AU109" s="50" t="n"/>
      <c r="AV109" s="50" t="n"/>
      <c r="AW109" s="50" t="n"/>
      <c r="AX109" s="50" t="n"/>
      <c r="AY109" s="50" t="n"/>
      <c r="AZ109" s="50" t="n"/>
      <c r="BA109" s="50" t="n"/>
      <c r="BB109" s="50" t="n"/>
      <c r="BC109" s="50" t="n"/>
      <c r="BD109" s="50" t="n"/>
      <c r="BE109" s="50" t="n"/>
      <c r="BF109" s="50" t="n"/>
      <c r="BG109" s="50" t="n"/>
      <c r="BH109" s="50" t="n"/>
      <c r="BI109" s="50" t="n"/>
      <c r="BJ109" s="50" t="n"/>
      <c r="BK109" s="50" t="n"/>
      <c r="BL109" s="50" t="n"/>
      <c r="BM109" s="50" t="n"/>
      <c r="BN109" s="50" t="n"/>
      <c r="BO109" s="50" t="n"/>
      <c r="BP109" s="50" t="n"/>
      <c r="BQ109" s="50" t="n"/>
      <c r="BR109" s="50" t="n"/>
      <c r="BS109" s="50" t="n"/>
      <c r="BT109" s="50" t="n"/>
      <c r="BU109" s="50" t="n"/>
      <c r="BV109" s="50" t="n"/>
      <c r="BW109" s="50" t="n"/>
      <c r="BX109" s="50" t="n"/>
      <c r="BY109" s="50" t="n"/>
      <c r="BZ109" s="50" t="n"/>
      <c r="CA109" s="50" t="n"/>
      <c r="CB109" s="50" t="n"/>
      <c r="CC109" s="50" t="n"/>
      <c r="CD109" s="50" t="n"/>
      <c r="CE109" s="50" t="n"/>
      <c r="CF109" s="50" t="n"/>
      <c r="CG109" s="50" t="n"/>
      <c r="CH109" s="50" t="n"/>
      <c r="CI109" s="50" t="n"/>
      <c r="CJ109" s="50" t="n"/>
      <c r="CK109" s="50" t="n"/>
      <c r="CL109" s="50" t="n"/>
      <c r="CM109" s="50" t="n"/>
      <c r="CN109" s="50" t="n"/>
      <c r="CO109" s="50" t="n"/>
      <c r="CP109" s="50" t="n"/>
      <c r="CQ109" s="50" t="n"/>
      <c r="CR109" s="50" t="n"/>
      <c r="CS109" s="50" t="n"/>
      <c r="CT109" s="50" t="n"/>
      <c r="CU109" s="50" t="n"/>
      <c r="CV109" s="50" t="n"/>
      <c r="CW109" s="50" t="n"/>
      <c r="CX109" s="50" t="n"/>
      <c r="CY109" s="50" t="n"/>
      <c r="CZ109" s="50" t="n"/>
      <c r="DA109" s="50" t="n"/>
      <c r="DB109" s="50" t="n"/>
      <c r="DC109" s="50" t="n"/>
      <c r="DD109" s="50" t="n"/>
      <c r="DE109" s="50" t="n"/>
      <c r="DF109" s="50" t="n"/>
      <c r="DG109" s="50" t="n"/>
      <c r="DH109" s="50" t="n"/>
      <c r="DI109" s="50" t="n"/>
      <c r="DJ109" s="50" t="n"/>
      <c r="DK109" s="50" t="n"/>
      <c r="DL109" s="50" t="n"/>
      <c r="DM109" s="50" t="n"/>
      <c r="DN109" s="50" t="n"/>
      <c r="DO109" s="50" t="n"/>
      <c r="DP109" s="50" t="n"/>
      <c r="DQ109" s="50" t="n"/>
      <c r="DR109" s="50" t="n"/>
      <c r="DS109" s="50" t="n"/>
      <c r="DT109" s="50" t="n"/>
      <c r="DU109" s="50" t="n"/>
      <c r="DV109" s="50" t="n"/>
    </row>
    <row r="110">
      <c r="A110" s="47">
        <f>IF(Mitarbeiter!B110="","",Mitarbeiter!A110)</f>
        <v/>
      </c>
      <c r="B110" s="48">
        <f>IF(Mitarbeiter!B110="","",Mitarbeiter!B110)</f>
        <v/>
      </c>
      <c r="C110" s="49">
        <f>IF(Mitarbeiter!B110="","",Mitarbeiter!F110)</f>
        <v/>
      </c>
      <c r="D110" s="25">
        <f>IF(Mitarbeiter!B110="","",Berechnung!AD110)</f>
        <v/>
      </c>
      <c r="E110" s="25">
        <f>IF(Mitarbeiter!B110="","",SUM(G110:DV110))</f>
        <v/>
      </c>
      <c r="G110" s="50" t="n"/>
      <c r="H110" s="50" t="n"/>
      <c r="I110" s="50" t="n"/>
      <c r="J110" s="50" t="n"/>
      <c r="K110" s="50" t="n"/>
      <c r="L110" s="50" t="n"/>
      <c r="M110" s="50" t="n"/>
      <c r="N110" s="50" t="n"/>
      <c r="O110" s="50" t="n"/>
      <c r="P110" s="50" t="n"/>
      <c r="Q110" s="50" t="n"/>
      <c r="R110" s="50" t="n"/>
      <c r="S110" s="50" t="n"/>
      <c r="T110" s="50" t="n"/>
      <c r="U110" s="50" t="n"/>
      <c r="V110" s="50" t="n"/>
      <c r="W110" s="50" t="n"/>
      <c r="X110" s="50" t="n"/>
      <c r="Y110" s="50" t="n"/>
      <c r="Z110" s="50" t="n"/>
      <c r="AA110" s="50" t="n"/>
      <c r="AB110" s="50" t="n"/>
      <c r="AC110" s="50" t="n"/>
      <c r="AD110" s="50" t="n"/>
      <c r="AE110" s="50" t="n"/>
      <c r="AF110" s="50" t="n"/>
      <c r="AG110" s="50" t="n"/>
      <c r="AH110" s="50" t="n"/>
      <c r="AI110" s="50" t="n"/>
      <c r="AJ110" s="50" t="n"/>
      <c r="AK110" s="50" t="n"/>
      <c r="AL110" s="50" t="n"/>
      <c r="AM110" s="50" t="n"/>
      <c r="AN110" s="50" t="n"/>
      <c r="AO110" s="50" t="n"/>
      <c r="AP110" s="50" t="n"/>
      <c r="AQ110" s="50" t="n"/>
      <c r="AR110" s="50" t="n"/>
      <c r="AS110" s="50" t="n"/>
      <c r="AT110" s="50" t="n"/>
      <c r="AU110" s="50" t="n"/>
      <c r="AV110" s="50" t="n"/>
      <c r="AW110" s="50" t="n"/>
      <c r="AX110" s="50" t="n"/>
      <c r="AY110" s="50" t="n"/>
      <c r="AZ110" s="50" t="n"/>
      <c r="BA110" s="50" t="n"/>
      <c r="BB110" s="50" t="n"/>
      <c r="BC110" s="50" t="n"/>
      <c r="BD110" s="50" t="n"/>
      <c r="BE110" s="50" t="n"/>
      <c r="BF110" s="50" t="n"/>
      <c r="BG110" s="50" t="n"/>
      <c r="BH110" s="50" t="n"/>
      <c r="BI110" s="50" t="n"/>
      <c r="BJ110" s="50" t="n"/>
      <c r="BK110" s="50" t="n"/>
      <c r="BL110" s="50" t="n"/>
      <c r="BM110" s="50" t="n"/>
      <c r="BN110" s="50" t="n"/>
      <c r="BO110" s="50" t="n"/>
      <c r="BP110" s="50" t="n"/>
      <c r="BQ110" s="50" t="n"/>
      <c r="BR110" s="50" t="n"/>
      <c r="BS110" s="50" t="n"/>
      <c r="BT110" s="50" t="n"/>
      <c r="BU110" s="50" t="n"/>
      <c r="BV110" s="50" t="n"/>
      <c r="BW110" s="50" t="n"/>
      <c r="BX110" s="50" t="n"/>
      <c r="BY110" s="50" t="n"/>
      <c r="BZ110" s="50" t="n"/>
      <c r="CA110" s="50" t="n"/>
      <c r="CB110" s="50" t="n"/>
      <c r="CC110" s="50" t="n"/>
      <c r="CD110" s="50" t="n"/>
      <c r="CE110" s="50" t="n"/>
      <c r="CF110" s="50" t="n"/>
      <c r="CG110" s="50" t="n"/>
      <c r="CH110" s="50" t="n"/>
      <c r="CI110" s="50" t="n"/>
      <c r="CJ110" s="50" t="n"/>
      <c r="CK110" s="50" t="n"/>
      <c r="CL110" s="50" t="n"/>
      <c r="CM110" s="50" t="n"/>
      <c r="CN110" s="50" t="n"/>
      <c r="CO110" s="50" t="n"/>
      <c r="CP110" s="50" t="n"/>
      <c r="CQ110" s="50" t="n"/>
      <c r="CR110" s="50" t="n"/>
      <c r="CS110" s="50" t="n"/>
      <c r="CT110" s="50" t="n"/>
      <c r="CU110" s="50" t="n"/>
      <c r="CV110" s="50" t="n"/>
      <c r="CW110" s="50" t="n"/>
      <c r="CX110" s="50" t="n"/>
      <c r="CY110" s="50" t="n"/>
      <c r="CZ110" s="50" t="n"/>
      <c r="DA110" s="50" t="n"/>
      <c r="DB110" s="50" t="n"/>
      <c r="DC110" s="50" t="n"/>
      <c r="DD110" s="50" t="n"/>
      <c r="DE110" s="50" t="n"/>
      <c r="DF110" s="50" t="n"/>
      <c r="DG110" s="50" t="n"/>
      <c r="DH110" s="50" t="n"/>
      <c r="DI110" s="50" t="n"/>
      <c r="DJ110" s="50" t="n"/>
      <c r="DK110" s="50" t="n"/>
      <c r="DL110" s="50" t="n"/>
      <c r="DM110" s="50" t="n"/>
      <c r="DN110" s="50" t="n"/>
      <c r="DO110" s="50" t="n"/>
      <c r="DP110" s="50" t="n"/>
      <c r="DQ110" s="50" t="n"/>
      <c r="DR110" s="50" t="n"/>
      <c r="DS110" s="50" t="n"/>
      <c r="DT110" s="50" t="n"/>
      <c r="DU110" s="50" t="n"/>
      <c r="DV110" s="50" t="n"/>
    </row>
    <row r="111">
      <c r="A111" s="47">
        <f>IF(Mitarbeiter!B111="","",Mitarbeiter!A111)</f>
        <v/>
      </c>
      <c r="B111" s="48">
        <f>IF(Mitarbeiter!B111="","",Mitarbeiter!B111)</f>
        <v/>
      </c>
      <c r="C111" s="49">
        <f>IF(Mitarbeiter!B111="","",Mitarbeiter!F111)</f>
        <v/>
      </c>
      <c r="D111" s="25">
        <f>IF(Mitarbeiter!B111="","",Berechnung!AD111)</f>
        <v/>
      </c>
      <c r="E111" s="25">
        <f>IF(Mitarbeiter!B111="","",SUM(G111:DV111))</f>
        <v/>
      </c>
      <c r="G111" s="50" t="n"/>
      <c r="H111" s="50" t="n"/>
      <c r="I111" s="50" t="n"/>
      <c r="J111" s="50" t="n"/>
      <c r="K111" s="50" t="n"/>
      <c r="L111" s="50" t="n"/>
      <c r="M111" s="50" t="n"/>
      <c r="N111" s="50" t="n"/>
      <c r="O111" s="50" t="n"/>
      <c r="P111" s="50" t="n"/>
      <c r="Q111" s="50" t="n"/>
      <c r="R111" s="50" t="n"/>
      <c r="S111" s="50" t="n"/>
      <c r="T111" s="50" t="n"/>
      <c r="U111" s="50" t="n"/>
      <c r="V111" s="50" t="n"/>
      <c r="W111" s="50" t="n"/>
      <c r="X111" s="50" t="n"/>
      <c r="Y111" s="50" t="n"/>
      <c r="Z111" s="50" t="n"/>
      <c r="AA111" s="50" t="n"/>
      <c r="AB111" s="50" t="n"/>
      <c r="AC111" s="50" t="n"/>
      <c r="AD111" s="50" t="n"/>
      <c r="AE111" s="50" t="n"/>
      <c r="AF111" s="50" t="n"/>
      <c r="AG111" s="50" t="n"/>
      <c r="AH111" s="50" t="n"/>
      <c r="AI111" s="50" t="n"/>
      <c r="AJ111" s="50" t="n"/>
      <c r="AK111" s="50" t="n"/>
      <c r="AL111" s="50" t="n"/>
      <c r="AM111" s="50" t="n"/>
      <c r="AN111" s="50" t="n"/>
      <c r="AO111" s="50" t="n"/>
      <c r="AP111" s="50" t="n"/>
      <c r="AQ111" s="50" t="n"/>
      <c r="AR111" s="50" t="n"/>
      <c r="AS111" s="50" t="n"/>
      <c r="AT111" s="50" t="n"/>
      <c r="AU111" s="50" t="n"/>
      <c r="AV111" s="50" t="n"/>
      <c r="AW111" s="50" t="n"/>
      <c r="AX111" s="50" t="n"/>
      <c r="AY111" s="50" t="n"/>
      <c r="AZ111" s="50" t="n"/>
      <c r="BA111" s="50" t="n"/>
      <c r="BB111" s="50" t="n"/>
      <c r="BC111" s="50" t="n"/>
      <c r="BD111" s="50" t="n"/>
      <c r="BE111" s="50" t="n"/>
      <c r="BF111" s="50" t="n"/>
      <c r="BG111" s="50" t="n"/>
      <c r="BH111" s="50" t="n"/>
      <c r="BI111" s="50" t="n"/>
      <c r="BJ111" s="50" t="n"/>
      <c r="BK111" s="50" t="n"/>
      <c r="BL111" s="50" t="n"/>
      <c r="BM111" s="50" t="n"/>
      <c r="BN111" s="50" t="n"/>
      <c r="BO111" s="50" t="n"/>
      <c r="BP111" s="50" t="n"/>
      <c r="BQ111" s="50" t="n"/>
      <c r="BR111" s="50" t="n"/>
      <c r="BS111" s="50" t="n"/>
      <c r="BT111" s="50" t="n"/>
      <c r="BU111" s="50" t="n"/>
      <c r="BV111" s="50" t="n"/>
      <c r="BW111" s="50" t="n"/>
      <c r="BX111" s="50" t="n"/>
      <c r="BY111" s="50" t="n"/>
      <c r="BZ111" s="50" t="n"/>
      <c r="CA111" s="50" t="n"/>
      <c r="CB111" s="50" t="n"/>
      <c r="CC111" s="50" t="n"/>
      <c r="CD111" s="50" t="n"/>
      <c r="CE111" s="50" t="n"/>
      <c r="CF111" s="50" t="n"/>
      <c r="CG111" s="50" t="n"/>
      <c r="CH111" s="50" t="n"/>
      <c r="CI111" s="50" t="n"/>
      <c r="CJ111" s="50" t="n"/>
      <c r="CK111" s="50" t="n"/>
      <c r="CL111" s="50" t="n"/>
      <c r="CM111" s="50" t="n"/>
      <c r="CN111" s="50" t="n"/>
      <c r="CO111" s="50" t="n"/>
      <c r="CP111" s="50" t="n"/>
      <c r="CQ111" s="50" t="n"/>
      <c r="CR111" s="50" t="n"/>
      <c r="CS111" s="50" t="n"/>
      <c r="CT111" s="50" t="n"/>
      <c r="CU111" s="50" t="n"/>
      <c r="CV111" s="50" t="n"/>
      <c r="CW111" s="50" t="n"/>
      <c r="CX111" s="50" t="n"/>
      <c r="CY111" s="50" t="n"/>
      <c r="CZ111" s="50" t="n"/>
      <c r="DA111" s="50" t="n"/>
      <c r="DB111" s="50" t="n"/>
      <c r="DC111" s="50" t="n"/>
      <c r="DD111" s="50" t="n"/>
      <c r="DE111" s="50" t="n"/>
      <c r="DF111" s="50" t="n"/>
      <c r="DG111" s="50" t="n"/>
      <c r="DH111" s="50" t="n"/>
      <c r="DI111" s="50" t="n"/>
      <c r="DJ111" s="50" t="n"/>
      <c r="DK111" s="50" t="n"/>
      <c r="DL111" s="50" t="n"/>
      <c r="DM111" s="50" t="n"/>
      <c r="DN111" s="50" t="n"/>
      <c r="DO111" s="50" t="n"/>
      <c r="DP111" s="50" t="n"/>
      <c r="DQ111" s="50" t="n"/>
      <c r="DR111" s="50" t="n"/>
      <c r="DS111" s="50" t="n"/>
      <c r="DT111" s="50" t="n"/>
      <c r="DU111" s="50" t="n"/>
      <c r="DV111" s="50" t="n"/>
    </row>
    <row r="112">
      <c r="A112" s="47">
        <f>IF(Mitarbeiter!B112="","",Mitarbeiter!A112)</f>
        <v/>
      </c>
      <c r="B112" s="48">
        <f>IF(Mitarbeiter!B112="","",Mitarbeiter!B112)</f>
        <v/>
      </c>
      <c r="C112" s="49">
        <f>IF(Mitarbeiter!B112="","",Mitarbeiter!F112)</f>
        <v/>
      </c>
      <c r="D112" s="25">
        <f>IF(Mitarbeiter!B112="","",Berechnung!AD112)</f>
        <v/>
      </c>
      <c r="E112" s="25">
        <f>IF(Mitarbeiter!B112="","",SUM(G112:DV112))</f>
        <v/>
      </c>
      <c r="G112" s="50" t="n"/>
      <c r="H112" s="50" t="n"/>
      <c r="I112" s="50" t="n"/>
      <c r="J112" s="50" t="n"/>
      <c r="K112" s="50" t="n"/>
      <c r="L112" s="50" t="n"/>
      <c r="M112" s="50" t="n"/>
      <c r="N112" s="50" t="n"/>
      <c r="O112" s="50" t="n"/>
      <c r="P112" s="50" t="n"/>
      <c r="Q112" s="50" t="n"/>
      <c r="R112" s="50" t="n"/>
      <c r="S112" s="50" t="n"/>
      <c r="T112" s="50" t="n"/>
      <c r="U112" s="50" t="n"/>
      <c r="V112" s="50" t="n"/>
      <c r="W112" s="50" t="n"/>
      <c r="X112" s="50" t="n"/>
      <c r="Y112" s="50" t="n"/>
      <c r="Z112" s="50" t="n"/>
      <c r="AA112" s="50" t="n"/>
      <c r="AB112" s="50" t="n"/>
      <c r="AC112" s="50" t="n"/>
      <c r="AD112" s="50" t="n"/>
      <c r="AE112" s="50" t="n"/>
      <c r="AF112" s="50" t="n"/>
      <c r="AG112" s="50" t="n"/>
      <c r="AH112" s="50" t="n"/>
      <c r="AI112" s="50" t="n"/>
      <c r="AJ112" s="50" t="n"/>
      <c r="AK112" s="50" t="n"/>
      <c r="AL112" s="50" t="n"/>
      <c r="AM112" s="50" t="n"/>
      <c r="AN112" s="50" t="n"/>
      <c r="AO112" s="50" t="n"/>
      <c r="AP112" s="50" t="n"/>
      <c r="AQ112" s="50" t="n"/>
      <c r="AR112" s="50" t="n"/>
      <c r="AS112" s="50" t="n"/>
      <c r="AT112" s="50" t="n"/>
      <c r="AU112" s="50" t="n"/>
      <c r="AV112" s="50" t="n"/>
      <c r="AW112" s="50" t="n"/>
      <c r="AX112" s="50" t="n"/>
      <c r="AY112" s="50" t="n"/>
      <c r="AZ112" s="50" t="n"/>
      <c r="BA112" s="50" t="n"/>
      <c r="BB112" s="50" t="n"/>
      <c r="BC112" s="50" t="n"/>
      <c r="BD112" s="50" t="n"/>
      <c r="BE112" s="50" t="n"/>
      <c r="BF112" s="50" t="n"/>
      <c r="BG112" s="50" t="n"/>
      <c r="BH112" s="50" t="n"/>
      <c r="BI112" s="50" t="n"/>
      <c r="BJ112" s="50" t="n"/>
      <c r="BK112" s="50" t="n"/>
      <c r="BL112" s="50" t="n"/>
      <c r="BM112" s="50" t="n"/>
      <c r="BN112" s="50" t="n"/>
      <c r="BO112" s="50" t="n"/>
      <c r="BP112" s="50" t="n"/>
      <c r="BQ112" s="50" t="n"/>
      <c r="BR112" s="50" t="n"/>
      <c r="BS112" s="50" t="n"/>
      <c r="BT112" s="50" t="n"/>
      <c r="BU112" s="50" t="n"/>
      <c r="BV112" s="50" t="n"/>
      <c r="BW112" s="50" t="n"/>
      <c r="BX112" s="50" t="n"/>
      <c r="BY112" s="50" t="n"/>
      <c r="BZ112" s="50" t="n"/>
      <c r="CA112" s="50" t="n"/>
      <c r="CB112" s="50" t="n"/>
      <c r="CC112" s="50" t="n"/>
      <c r="CD112" s="50" t="n"/>
      <c r="CE112" s="50" t="n"/>
      <c r="CF112" s="50" t="n"/>
      <c r="CG112" s="50" t="n"/>
      <c r="CH112" s="50" t="n"/>
      <c r="CI112" s="50" t="n"/>
      <c r="CJ112" s="50" t="n"/>
      <c r="CK112" s="50" t="n"/>
      <c r="CL112" s="50" t="n"/>
      <c r="CM112" s="50" t="n"/>
      <c r="CN112" s="50" t="n"/>
      <c r="CO112" s="50" t="n"/>
      <c r="CP112" s="50" t="n"/>
      <c r="CQ112" s="50" t="n"/>
      <c r="CR112" s="50" t="n"/>
      <c r="CS112" s="50" t="n"/>
      <c r="CT112" s="50" t="n"/>
      <c r="CU112" s="50" t="n"/>
      <c r="CV112" s="50" t="n"/>
      <c r="CW112" s="50" t="n"/>
      <c r="CX112" s="50" t="n"/>
      <c r="CY112" s="50" t="n"/>
      <c r="CZ112" s="50" t="n"/>
      <c r="DA112" s="50" t="n"/>
      <c r="DB112" s="50" t="n"/>
      <c r="DC112" s="50" t="n"/>
      <c r="DD112" s="50" t="n"/>
      <c r="DE112" s="50" t="n"/>
      <c r="DF112" s="50" t="n"/>
      <c r="DG112" s="50" t="n"/>
      <c r="DH112" s="50" t="n"/>
      <c r="DI112" s="50" t="n"/>
      <c r="DJ112" s="50" t="n"/>
      <c r="DK112" s="50" t="n"/>
      <c r="DL112" s="50" t="n"/>
      <c r="DM112" s="50" t="n"/>
      <c r="DN112" s="50" t="n"/>
      <c r="DO112" s="50" t="n"/>
      <c r="DP112" s="50" t="n"/>
      <c r="DQ112" s="50" t="n"/>
      <c r="DR112" s="50" t="n"/>
      <c r="DS112" s="50" t="n"/>
      <c r="DT112" s="50" t="n"/>
      <c r="DU112" s="50" t="n"/>
      <c r="DV112" s="50" t="n"/>
    </row>
    <row r="113">
      <c r="A113" s="47">
        <f>IF(Mitarbeiter!B113="","",Mitarbeiter!A113)</f>
        <v/>
      </c>
      <c r="B113" s="48">
        <f>IF(Mitarbeiter!B113="","",Mitarbeiter!B113)</f>
        <v/>
      </c>
      <c r="C113" s="49">
        <f>IF(Mitarbeiter!B113="","",Mitarbeiter!F113)</f>
        <v/>
      </c>
      <c r="D113" s="25">
        <f>IF(Mitarbeiter!B113="","",Berechnung!AD113)</f>
        <v/>
      </c>
      <c r="E113" s="25">
        <f>IF(Mitarbeiter!B113="","",SUM(G113:DV113))</f>
        <v/>
      </c>
      <c r="G113" s="50" t="n"/>
      <c r="H113" s="50" t="n"/>
      <c r="I113" s="50" t="n"/>
      <c r="J113" s="50" t="n"/>
      <c r="K113" s="50" t="n"/>
      <c r="L113" s="50" t="n"/>
      <c r="M113" s="50" t="n"/>
      <c r="N113" s="50" t="n"/>
      <c r="O113" s="50" t="n"/>
      <c r="P113" s="50" t="n"/>
      <c r="Q113" s="50" t="n"/>
      <c r="R113" s="50" t="n"/>
      <c r="S113" s="50" t="n"/>
      <c r="T113" s="50" t="n"/>
      <c r="U113" s="50" t="n"/>
      <c r="V113" s="50" t="n"/>
      <c r="W113" s="50" t="n"/>
      <c r="X113" s="50" t="n"/>
      <c r="Y113" s="50" t="n"/>
      <c r="Z113" s="50" t="n"/>
      <c r="AA113" s="50" t="n"/>
      <c r="AB113" s="50" t="n"/>
      <c r="AC113" s="50" t="n"/>
      <c r="AD113" s="50" t="n"/>
      <c r="AE113" s="50" t="n"/>
      <c r="AF113" s="50" t="n"/>
      <c r="AG113" s="50" t="n"/>
      <c r="AH113" s="50" t="n"/>
      <c r="AI113" s="50" t="n"/>
      <c r="AJ113" s="50" t="n"/>
      <c r="AK113" s="50" t="n"/>
      <c r="AL113" s="50" t="n"/>
      <c r="AM113" s="50" t="n"/>
      <c r="AN113" s="50" t="n"/>
      <c r="AO113" s="50" t="n"/>
      <c r="AP113" s="50" t="n"/>
      <c r="AQ113" s="50" t="n"/>
      <c r="AR113" s="50" t="n"/>
      <c r="AS113" s="50" t="n"/>
      <c r="AT113" s="50" t="n"/>
      <c r="AU113" s="50" t="n"/>
      <c r="AV113" s="50" t="n"/>
      <c r="AW113" s="50" t="n"/>
      <c r="AX113" s="50" t="n"/>
      <c r="AY113" s="50" t="n"/>
      <c r="AZ113" s="50" t="n"/>
      <c r="BA113" s="50" t="n"/>
      <c r="BB113" s="50" t="n"/>
      <c r="BC113" s="50" t="n"/>
      <c r="BD113" s="50" t="n"/>
      <c r="BE113" s="50" t="n"/>
      <c r="BF113" s="50" t="n"/>
      <c r="BG113" s="50" t="n"/>
      <c r="BH113" s="50" t="n"/>
      <c r="BI113" s="50" t="n"/>
      <c r="BJ113" s="50" t="n"/>
      <c r="BK113" s="50" t="n"/>
      <c r="BL113" s="50" t="n"/>
      <c r="BM113" s="50" t="n"/>
      <c r="BN113" s="50" t="n"/>
      <c r="BO113" s="50" t="n"/>
      <c r="BP113" s="50" t="n"/>
      <c r="BQ113" s="50" t="n"/>
      <c r="BR113" s="50" t="n"/>
      <c r="BS113" s="50" t="n"/>
      <c r="BT113" s="50" t="n"/>
      <c r="BU113" s="50" t="n"/>
      <c r="BV113" s="50" t="n"/>
      <c r="BW113" s="50" t="n"/>
      <c r="BX113" s="50" t="n"/>
      <c r="BY113" s="50" t="n"/>
      <c r="BZ113" s="50" t="n"/>
      <c r="CA113" s="50" t="n"/>
      <c r="CB113" s="50" t="n"/>
      <c r="CC113" s="50" t="n"/>
      <c r="CD113" s="50" t="n"/>
      <c r="CE113" s="50" t="n"/>
      <c r="CF113" s="50" t="n"/>
      <c r="CG113" s="50" t="n"/>
      <c r="CH113" s="50" t="n"/>
      <c r="CI113" s="50" t="n"/>
      <c r="CJ113" s="50" t="n"/>
      <c r="CK113" s="50" t="n"/>
      <c r="CL113" s="50" t="n"/>
      <c r="CM113" s="50" t="n"/>
      <c r="CN113" s="50" t="n"/>
      <c r="CO113" s="50" t="n"/>
      <c r="CP113" s="50" t="n"/>
      <c r="CQ113" s="50" t="n"/>
      <c r="CR113" s="50" t="n"/>
      <c r="CS113" s="50" t="n"/>
      <c r="CT113" s="50" t="n"/>
      <c r="CU113" s="50" t="n"/>
      <c r="CV113" s="50" t="n"/>
      <c r="CW113" s="50" t="n"/>
      <c r="CX113" s="50" t="n"/>
      <c r="CY113" s="50" t="n"/>
      <c r="CZ113" s="50" t="n"/>
      <c r="DA113" s="50" t="n"/>
      <c r="DB113" s="50" t="n"/>
      <c r="DC113" s="50" t="n"/>
      <c r="DD113" s="50" t="n"/>
      <c r="DE113" s="50" t="n"/>
      <c r="DF113" s="50" t="n"/>
      <c r="DG113" s="50" t="n"/>
      <c r="DH113" s="50" t="n"/>
      <c r="DI113" s="50" t="n"/>
      <c r="DJ113" s="50" t="n"/>
      <c r="DK113" s="50" t="n"/>
      <c r="DL113" s="50" t="n"/>
      <c r="DM113" s="50" t="n"/>
      <c r="DN113" s="50" t="n"/>
      <c r="DO113" s="50" t="n"/>
      <c r="DP113" s="50" t="n"/>
      <c r="DQ113" s="50" t="n"/>
      <c r="DR113" s="50" t="n"/>
      <c r="DS113" s="50" t="n"/>
      <c r="DT113" s="50" t="n"/>
      <c r="DU113" s="50" t="n"/>
      <c r="DV113" s="50" t="n"/>
    </row>
    <row r="114">
      <c r="A114" s="47">
        <f>IF(Mitarbeiter!B114="","",Mitarbeiter!A114)</f>
        <v/>
      </c>
      <c r="B114" s="48">
        <f>IF(Mitarbeiter!B114="","",Mitarbeiter!B114)</f>
        <v/>
      </c>
      <c r="C114" s="49">
        <f>IF(Mitarbeiter!B114="","",Mitarbeiter!F114)</f>
        <v/>
      </c>
      <c r="D114" s="25">
        <f>IF(Mitarbeiter!B114="","",Berechnung!AD114)</f>
        <v/>
      </c>
      <c r="E114" s="25">
        <f>IF(Mitarbeiter!B114="","",SUM(G114:DV114))</f>
        <v/>
      </c>
      <c r="G114" s="50" t="n"/>
      <c r="H114" s="50" t="n"/>
      <c r="I114" s="50" t="n"/>
      <c r="J114" s="50" t="n"/>
      <c r="K114" s="50" t="n"/>
      <c r="L114" s="50" t="n"/>
      <c r="M114" s="50" t="n"/>
      <c r="N114" s="50" t="n"/>
      <c r="O114" s="50" t="n"/>
      <c r="P114" s="50" t="n"/>
      <c r="Q114" s="50" t="n"/>
      <c r="R114" s="50" t="n"/>
      <c r="S114" s="50" t="n"/>
      <c r="T114" s="50" t="n"/>
      <c r="U114" s="50" t="n"/>
      <c r="V114" s="50" t="n"/>
      <c r="W114" s="50" t="n"/>
      <c r="X114" s="50" t="n"/>
      <c r="Y114" s="50" t="n"/>
      <c r="Z114" s="50" t="n"/>
      <c r="AA114" s="50" t="n"/>
      <c r="AB114" s="50" t="n"/>
      <c r="AC114" s="50" t="n"/>
      <c r="AD114" s="50" t="n"/>
      <c r="AE114" s="50" t="n"/>
      <c r="AF114" s="50" t="n"/>
      <c r="AG114" s="50" t="n"/>
      <c r="AH114" s="50" t="n"/>
      <c r="AI114" s="50" t="n"/>
      <c r="AJ114" s="50" t="n"/>
      <c r="AK114" s="50" t="n"/>
      <c r="AL114" s="50" t="n"/>
      <c r="AM114" s="50" t="n"/>
      <c r="AN114" s="50" t="n"/>
      <c r="AO114" s="50" t="n"/>
      <c r="AP114" s="50" t="n"/>
      <c r="AQ114" s="50" t="n"/>
      <c r="AR114" s="50" t="n"/>
      <c r="AS114" s="50" t="n"/>
      <c r="AT114" s="50" t="n"/>
      <c r="AU114" s="50" t="n"/>
      <c r="AV114" s="50" t="n"/>
      <c r="AW114" s="50" t="n"/>
      <c r="AX114" s="50" t="n"/>
      <c r="AY114" s="50" t="n"/>
      <c r="AZ114" s="50" t="n"/>
      <c r="BA114" s="50" t="n"/>
      <c r="BB114" s="50" t="n"/>
      <c r="BC114" s="50" t="n"/>
      <c r="BD114" s="50" t="n"/>
      <c r="BE114" s="50" t="n"/>
      <c r="BF114" s="50" t="n"/>
      <c r="BG114" s="50" t="n"/>
      <c r="BH114" s="50" t="n"/>
      <c r="BI114" s="50" t="n"/>
      <c r="BJ114" s="50" t="n"/>
      <c r="BK114" s="50" t="n"/>
      <c r="BL114" s="50" t="n"/>
      <c r="BM114" s="50" t="n"/>
      <c r="BN114" s="50" t="n"/>
      <c r="BO114" s="50" t="n"/>
      <c r="BP114" s="50" t="n"/>
      <c r="BQ114" s="50" t="n"/>
      <c r="BR114" s="50" t="n"/>
      <c r="BS114" s="50" t="n"/>
      <c r="BT114" s="50" t="n"/>
      <c r="BU114" s="50" t="n"/>
      <c r="BV114" s="50" t="n"/>
      <c r="BW114" s="50" t="n"/>
      <c r="BX114" s="50" t="n"/>
      <c r="BY114" s="50" t="n"/>
      <c r="BZ114" s="50" t="n"/>
      <c r="CA114" s="50" t="n"/>
      <c r="CB114" s="50" t="n"/>
      <c r="CC114" s="50" t="n"/>
      <c r="CD114" s="50" t="n"/>
      <c r="CE114" s="50" t="n"/>
      <c r="CF114" s="50" t="n"/>
      <c r="CG114" s="50" t="n"/>
      <c r="CH114" s="50" t="n"/>
      <c r="CI114" s="50" t="n"/>
      <c r="CJ114" s="50" t="n"/>
      <c r="CK114" s="50" t="n"/>
      <c r="CL114" s="50" t="n"/>
      <c r="CM114" s="50" t="n"/>
      <c r="CN114" s="50" t="n"/>
      <c r="CO114" s="50" t="n"/>
      <c r="CP114" s="50" t="n"/>
      <c r="CQ114" s="50" t="n"/>
      <c r="CR114" s="50" t="n"/>
      <c r="CS114" s="50" t="n"/>
      <c r="CT114" s="50" t="n"/>
      <c r="CU114" s="50" t="n"/>
      <c r="CV114" s="50" t="n"/>
      <c r="CW114" s="50" t="n"/>
      <c r="CX114" s="50" t="n"/>
      <c r="CY114" s="50" t="n"/>
      <c r="CZ114" s="50" t="n"/>
      <c r="DA114" s="50" t="n"/>
      <c r="DB114" s="50" t="n"/>
      <c r="DC114" s="50" t="n"/>
      <c r="DD114" s="50" t="n"/>
      <c r="DE114" s="50" t="n"/>
      <c r="DF114" s="50" t="n"/>
      <c r="DG114" s="50" t="n"/>
      <c r="DH114" s="50" t="n"/>
      <c r="DI114" s="50" t="n"/>
      <c r="DJ114" s="50" t="n"/>
      <c r="DK114" s="50" t="n"/>
      <c r="DL114" s="50" t="n"/>
      <c r="DM114" s="50" t="n"/>
      <c r="DN114" s="50" t="n"/>
      <c r="DO114" s="50" t="n"/>
      <c r="DP114" s="50" t="n"/>
      <c r="DQ114" s="50" t="n"/>
      <c r="DR114" s="50" t="n"/>
      <c r="DS114" s="50" t="n"/>
      <c r="DT114" s="50" t="n"/>
      <c r="DU114" s="50" t="n"/>
      <c r="DV114" s="50" t="n"/>
    </row>
    <row r="115">
      <c r="A115" s="47">
        <f>IF(Mitarbeiter!B115="","",Mitarbeiter!A115)</f>
        <v/>
      </c>
      <c r="B115" s="48">
        <f>IF(Mitarbeiter!B115="","",Mitarbeiter!B115)</f>
        <v/>
      </c>
      <c r="C115" s="49">
        <f>IF(Mitarbeiter!B115="","",Mitarbeiter!F115)</f>
        <v/>
      </c>
      <c r="D115" s="25">
        <f>IF(Mitarbeiter!B115="","",Berechnung!AD115)</f>
        <v/>
      </c>
      <c r="E115" s="25">
        <f>IF(Mitarbeiter!B115="","",SUM(G115:DV115))</f>
        <v/>
      </c>
      <c r="G115" s="50" t="n"/>
      <c r="H115" s="50" t="n"/>
      <c r="I115" s="50" t="n"/>
      <c r="J115" s="50" t="n"/>
      <c r="K115" s="50" t="n"/>
      <c r="L115" s="50" t="n"/>
      <c r="M115" s="50" t="n"/>
      <c r="N115" s="50" t="n"/>
      <c r="O115" s="50" t="n"/>
      <c r="P115" s="50" t="n"/>
      <c r="Q115" s="50" t="n"/>
      <c r="R115" s="50" t="n"/>
      <c r="S115" s="50" t="n"/>
      <c r="T115" s="50" t="n"/>
      <c r="U115" s="50" t="n"/>
      <c r="V115" s="50" t="n"/>
      <c r="W115" s="50" t="n"/>
      <c r="X115" s="50" t="n"/>
      <c r="Y115" s="50" t="n"/>
      <c r="Z115" s="50" t="n"/>
      <c r="AA115" s="50" t="n"/>
      <c r="AB115" s="50" t="n"/>
      <c r="AC115" s="50" t="n"/>
      <c r="AD115" s="50" t="n"/>
      <c r="AE115" s="50" t="n"/>
      <c r="AF115" s="50" t="n"/>
      <c r="AG115" s="50" t="n"/>
      <c r="AH115" s="50" t="n"/>
      <c r="AI115" s="50" t="n"/>
      <c r="AJ115" s="50" t="n"/>
      <c r="AK115" s="50" t="n"/>
      <c r="AL115" s="50" t="n"/>
      <c r="AM115" s="50" t="n"/>
      <c r="AN115" s="50" t="n"/>
      <c r="AO115" s="50" t="n"/>
      <c r="AP115" s="50" t="n"/>
      <c r="AQ115" s="50" t="n"/>
      <c r="AR115" s="50" t="n"/>
      <c r="AS115" s="50" t="n"/>
      <c r="AT115" s="50" t="n"/>
      <c r="AU115" s="50" t="n"/>
      <c r="AV115" s="50" t="n"/>
      <c r="AW115" s="50" t="n"/>
      <c r="AX115" s="50" t="n"/>
      <c r="AY115" s="50" t="n"/>
      <c r="AZ115" s="50" t="n"/>
      <c r="BA115" s="50" t="n"/>
      <c r="BB115" s="50" t="n"/>
      <c r="BC115" s="50" t="n"/>
      <c r="BD115" s="50" t="n"/>
      <c r="BE115" s="50" t="n"/>
      <c r="BF115" s="50" t="n"/>
      <c r="BG115" s="50" t="n"/>
      <c r="BH115" s="50" t="n"/>
      <c r="BI115" s="50" t="n"/>
      <c r="BJ115" s="50" t="n"/>
      <c r="BK115" s="50" t="n"/>
      <c r="BL115" s="50" t="n"/>
      <c r="BM115" s="50" t="n"/>
      <c r="BN115" s="50" t="n"/>
      <c r="BO115" s="50" t="n"/>
      <c r="BP115" s="50" t="n"/>
      <c r="BQ115" s="50" t="n"/>
      <c r="BR115" s="50" t="n"/>
      <c r="BS115" s="50" t="n"/>
      <c r="BT115" s="50" t="n"/>
      <c r="BU115" s="50" t="n"/>
      <c r="BV115" s="50" t="n"/>
      <c r="BW115" s="50" t="n"/>
      <c r="BX115" s="50" t="n"/>
      <c r="BY115" s="50" t="n"/>
      <c r="BZ115" s="50" t="n"/>
      <c r="CA115" s="50" t="n"/>
      <c r="CB115" s="50" t="n"/>
      <c r="CC115" s="50" t="n"/>
      <c r="CD115" s="50" t="n"/>
      <c r="CE115" s="50" t="n"/>
      <c r="CF115" s="50" t="n"/>
      <c r="CG115" s="50" t="n"/>
      <c r="CH115" s="50" t="n"/>
      <c r="CI115" s="50" t="n"/>
      <c r="CJ115" s="50" t="n"/>
      <c r="CK115" s="50" t="n"/>
      <c r="CL115" s="50" t="n"/>
      <c r="CM115" s="50" t="n"/>
      <c r="CN115" s="50" t="n"/>
      <c r="CO115" s="50" t="n"/>
      <c r="CP115" s="50" t="n"/>
      <c r="CQ115" s="50" t="n"/>
      <c r="CR115" s="50" t="n"/>
      <c r="CS115" s="50" t="n"/>
      <c r="CT115" s="50" t="n"/>
      <c r="CU115" s="50" t="n"/>
      <c r="CV115" s="50" t="n"/>
      <c r="CW115" s="50" t="n"/>
      <c r="CX115" s="50" t="n"/>
      <c r="CY115" s="50" t="n"/>
      <c r="CZ115" s="50" t="n"/>
      <c r="DA115" s="50" t="n"/>
      <c r="DB115" s="50" t="n"/>
      <c r="DC115" s="50" t="n"/>
      <c r="DD115" s="50" t="n"/>
      <c r="DE115" s="50" t="n"/>
      <c r="DF115" s="50" t="n"/>
      <c r="DG115" s="50" t="n"/>
      <c r="DH115" s="50" t="n"/>
      <c r="DI115" s="50" t="n"/>
      <c r="DJ115" s="50" t="n"/>
      <c r="DK115" s="50" t="n"/>
      <c r="DL115" s="50" t="n"/>
      <c r="DM115" s="50" t="n"/>
      <c r="DN115" s="50" t="n"/>
      <c r="DO115" s="50" t="n"/>
      <c r="DP115" s="50" t="n"/>
      <c r="DQ115" s="50" t="n"/>
      <c r="DR115" s="50" t="n"/>
      <c r="DS115" s="50" t="n"/>
      <c r="DT115" s="50" t="n"/>
      <c r="DU115" s="50" t="n"/>
      <c r="DV115" s="50" t="n"/>
    </row>
    <row r="116">
      <c r="A116" s="47">
        <f>IF(Mitarbeiter!B116="","",Mitarbeiter!A116)</f>
        <v/>
      </c>
      <c r="B116" s="48">
        <f>IF(Mitarbeiter!B116="","",Mitarbeiter!B116)</f>
        <v/>
      </c>
      <c r="C116" s="49">
        <f>IF(Mitarbeiter!B116="","",Mitarbeiter!F116)</f>
        <v/>
      </c>
      <c r="D116" s="25">
        <f>IF(Mitarbeiter!B116="","",Berechnung!AD116)</f>
        <v/>
      </c>
      <c r="E116" s="25">
        <f>IF(Mitarbeiter!B116="","",SUM(G116:DV116))</f>
        <v/>
      </c>
      <c r="G116" s="50" t="n"/>
      <c r="H116" s="50" t="n"/>
      <c r="I116" s="50" t="n"/>
      <c r="J116" s="50" t="n"/>
      <c r="K116" s="50" t="n"/>
      <c r="L116" s="50" t="n"/>
      <c r="M116" s="50" t="n"/>
      <c r="N116" s="50" t="n"/>
      <c r="O116" s="50" t="n"/>
      <c r="P116" s="50" t="n"/>
      <c r="Q116" s="50" t="n"/>
      <c r="R116" s="50" t="n"/>
      <c r="S116" s="50" t="n"/>
      <c r="T116" s="50" t="n"/>
      <c r="U116" s="50" t="n"/>
      <c r="V116" s="50" t="n"/>
      <c r="W116" s="50" t="n"/>
      <c r="X116" s="50" t="n"/>
      <c r="Y116" s="50" t="n"/>
      <c r="Z116" s="50" t="n"/>
      <c r="AA116" s="50" t="n"/>
      <c r="AB116" s="50" t="n"/>
      <c r="AC116" s="50" t="n"/>
      <c r="AD116" s="50" t="n"/>
      <c r="AE116" s="50" t="n"/>
      <c r="AF116" s="50" t="n"/>
      <c r="AG116" s="50" t="n"/>
      <c r="AH116" s="50" t="n"/>
      <c r="AI116" s="50" t="n"/>
      <c r="AJ116" s="50" t="n"/>
      <c r="AK116" s="50" t="n"/>
      <c r="AL116" s="50" t="n"/>
      <c r="AM116" s="50" t="n"/>
      <c r="AN116" s="50" t="n"/>
      <c r="AO116" s="50" t="n"/>
      <c r="AP116" s="50" t="n"/>
      <c r="AQ116" s="50" t="n"/>
      <c r="AR116" s="50" t="n"/>
      <c r="AS116" s="50" t="n"/>
      <c r="AT116" s="50" t="n"/>
      <c r="AU116" s="50" t="n"/>
      <c r="AV116" s="50" t="n"/>
      <c r="AW116" s="50" t="n"/>
      <c r="AX116" s="50" t="n"/>
      <c r="AY116" s="50" t="n"/>
      <c r="AZ116" s="50" t="n"/>
      <c r="BA116" s="50" t="n"/>
      <c r="BB116" s="50" t="n"/>
      <c r="BC116" s="50" t="n"/>
      <c r="BD116" s="50" t="n"/>
      <c r="BE116" s="50" t="n"/>
      <c r="BF116" s="50" t="n"/>
      <c r="BG116" s="50" t="n"/>
      <c r="BH116" s="50" t="n"/>
      <c r="BI116" s="50" t="n"/>
      <c r="BJ116" s="50" t="n"/>
      <c r="BK116" s="50" t="n"/>
      <c r="BL116" s="50" t="n"/>
      <c r="BM116" s="50" t="n"/>
      <c r="BN116" s="50" t="n"/>
      <c r="BO116" s="50" t="n"/>
      <c r="BP116" s="50" t="n"/>
      <c r="BQ116" s="50" t="n"/>
      <c r="BR116" s="50" t="n"/>
      <c r="BS116" s="50" t="n"/>
      <c r="BT116" s="50" t="n"/>
      <c r="BU116" s="50" t="n"/>
      <c r="BV116" s="50" t="n"/>
      <c r="BW116" s="50" t="n"/>
      <c r="BX116" s="50" t="n"/>
      <c r="BY116" s="50" t="n"/>
      <c r="BZ116" s="50" t="n"/>
      <c r="CA116" s="50" t="n"/>
      <c r="CB116" s="50" t="n"/>
      <c r="CC116" s="50" t="n"/>
      <c r="CD116" s="50" t="n"/>
      <c r="CE116" s="50" t="n"/>
      <c r="CF116" s="50" t="n"/>
      <c r="CG116" s="50" t="n"/>
      <c r="CH116" s="50" t="n"/>
      <c r="CI116" s="50" t="n"/>
      <c r="CJ116" s="50" t="n"/>
      <c r="CK116" s="50" t="n"/>
      <c r="CL116" s="50" t="n"/>
      <c r="CM116" s="50" t="n"/>
      <c r="CN116" s="50" t="n"/>
      <c r="CO116" s="50" t="n"/>
      <c r="CP116" s="50" t="n"/>
      <c r="CQ116" s="50" t="n"/>
      <c r="CR116" s="50" t="n"/>
      <c r="CS116" s="50" t="n"/>
      <c r="CT116" s="50" t="n"/>
      <c r="CU116" s="50" t="n"/>
      <c r="CV116" s="50" t="n"/>
      <c r="CW116" s="50" t="n"/>
      <c r="CX116" s="50" t="n"/>
      <c r="CY116" s="50" t="n"/>
      <c r="CZ116" s="50" t="n"/>
      <c r="DA116" s="50" t="n"/>
      <c r="DB116" s="50" t="n"/>
      <c r="DC116" s="50" t="n"/>
      <c r="DD116" s="50" t="n"/>
      <c r="DE116" s="50" t="n"/>
      <c r="DF116" s="50" t="n"/>
      <c r="DG116" s="50" t="n"/>
      <c r="DH116" s="50" t="n"/>
      <c r="DI116" s="50" t="n"/>
      <c r="DJ116" s="50" t="n"/>
      <c r="DK116" s="50" t="n"/>
      <c r="DL116" s="50" t="n"/>
      <c r="DM116" s="50" t="n"/>
      <c r="DN116" s="50" t="n"/>
      <c r="DO116" s="50" t="n"/>
      <c r="DP116" s="50" t="n"/>
      <c r="DQ116" s="50" t="n"/>
      <c r="DR116" s="50" t="n"/>
      <c r="DS116" s="50" t="n"/>
      <c r="DT116" s="50" t="n"/>
      <c r="DU116" s="50" t="n"/>
      <c r="DV116" s="50" t="n"/>
    </row>
    <row r="117">
      <c r="A117" s="47">
        <f>IF(Mitarbeiter!B117="","",Mitarbeiter!A117)</f>
        <v/>
      </c>
      <c r="B117" s="48">
        <f>IF(Mitarbeiter!B117="","",Mitarbeiter!B117)</f>
        <v/>
      </c>
      <c r="C117" s="49">
        <f>IF(Mitarbeiter!B117="","",Mitarbeiter!F117)</f>
        <v/>
      </c>
      <c r="D117" s="25">
        <f>IF(Mitarbeiter!B117="","",Berechnung!AD117)</f>
        <v/>
      </c>
      <c r="E117" s="25">
        <f>IF(Mitarbeiter!B117="","",SUM(G117:DV117))</f>
        <v/>
      </c>
      <c r="G117" s="50" t="n"/>
      <c r="H117" s="50" t="n"/>
      <c r="I117" s="50" t="n"/>
      <c r="J117" s="50" t="n"/>
      <c r="K117" s="50" t="n"/>
      <c r="L117" s="50" t="n"/>
      <c r="M117" s="50" t="n"/>
      <c r="N117" s="50" t="n"/>
      <c r="O117" s="50" t="n"/>
      <c r="P117" s="50" t="n"/>
      <c r="Q117" s="50" t="n"/>
      <c r="R117" s="50" t="n"/>
      <c r="S117" s="50" t="n"/>
      <c r="T117" s="50" t="n"/>
      <c r="U117" s="50" t="n"/>
      <c r="V117" s="50" t="n"/>
      <c r="W117" s="50" t="n"/>
      <c r="X117" s="50" t="n"/>
      <c r="Y117" s="50" t="n"/>
      <c r="Z117" s="50" t="n"/>
      <c r="AA117" s="50" t="n"/>
      <c r="AB117" s="50" t="n"/>
      <c r="AC117" s="50" t="n"/>
      <c r="AD117" s="50" t="n"/>
      <c r="AE117" s="50" t="n"/>
      <c r="AF117" s="50" t="n"/>
      <c r="AG117" s="50" t="n"/>
      <c r="AH117" s="50" t="n"/>
      <c r="AI117" s="50" t="n"/>
      <c r="AJ117" s="50" t="n"/>
      <c r="AK117" s="50" t="n"/>
      <c r="AL117" s="50" t="n"/>
      <c r="AM117" s="50" t="n"/>
      <c r="AN117" s="50" t="n"/>
      <c r="AO117" s="50" t="n"/>
      <c r="AP117" s="50" t="n"/>
      <c r="AQ117" s="50" t="n"/>
      <c r="AR117" s="50" t="n"/>
      <c r="AS117" s="50" t="n"/>
      <c r="AT117" s="50" t="n"/>
      <c r="AU117" s="50" t="n"/>
      <c r="AV117" s="50" t="n"/>
      <c r="AW117" s="50" t="n"/>
      <c r="AX117" s="50" t="n"/>
      <c r="AY117" s="50" t="n"/>
      <c r="AZ117" s="50" t="n"/>
      <c r="BA117" s="50" t="n"/>
      <c r="BB117" s="50" t="n"/>
      <c r="BC117" s="50" t="n"/>
      <c r="BD117" s="50" t="n"/>
      <c r="BE117" s="50" t="n"/>
      <c r="BF117" s="50" t="n"/>
      <c r="BG117" s="50" t="n"/>
      <c r="BH117" s="50" t="n"/>
      <c r="BI117" s="50" t="n"/>
      <c r="BJ117" s="50" t="n"/>
      <c r="BK117" s="50" t="n"/>
      <c r="BL117" s="50" t="n"/>
      <c r="BM117" s="50" t="n"/>
      <c r="BN117" s="50" t="n"/>
      <c r="BO117" s="50" t="n"/>
      <c r="BP117" s="50" t="n"/>
      <c r="BQ117" s="50" t="n"/>
      <c r="BR117" s="50" t="n"/>
      <c r="BS117" s="50" t="n"/>
      <c r="BT117" s="50" t="n"/>
      <c r="BU117" s="50" t="n"/>
      <c r="BV117" s="50" t="n"/>
      <c r="BW117" s="50" t="n"/>
      <c r="BX117" s="50" t="n"/>
      <c r="BY117" s="50" t="n"/>
      <c r="BZ117" s="50" t="n"/>
      <c r="CA117" s="50" t="n"/>
      <c r="CB117" s="50" t="n"/>
      <c r="CC117" s="50" t="n"/>
      <c r="CD117" s="50" t="n"/>
      <c r="CE117" s="50" t="n"/>
      <c r="CF117" s="50" t="n"/>
      <c r="CG117" s="50" t="n"/>
      <c r="CH117" s="50" t="n"/>
      <c r="CI117" s="50" t="n"/>
      <c r="CJ117" s="50" t="n"/>
      <c r="CK117" s="50" t="n"/>
      <c r="CL117" s="50" t="n"/>
      <c r="CM117" s="50" t="n"/>
      <c r="CN117" s="50" t="n"/>
      <c r="CO117" s="50" t="n"/>
      <c r="CP117" s="50" t="n"/>
      <c r="CQ117" s="50" t="n"/>
      <c r="CR117" s="50" t="n"/>
      <c r="CS117" s="50" t="n"/>
      <c r="CT117" s="50" t="n"/>
      <c r="CU117" s="50" t="n"/>
      <c r="CV117" s="50" t="n"/>
      <c r="CW117" s="50" t="n"/>
      <c r="CX117" s="50" t="n"/>
      <c r="CY117" s="50" t="n"/>
      <c r="CZ117" s="50" t="n"/>
      <c r="DA117" s="50" t="n"/>
      <c r="DB117" s="50" t="n"/>
      <c r="DC117" s="50" t="n"/>
      <c r="DD117" s="50" t="n"/>
      <c r="DE117" s="50" t="n"/>
      <c r="DF117" s="50" t="n"/>
      <c r="DG117" s="50" t="n"/>
      <c r="DH117" s="50" t="n"/>
      <c r="DI117" s="50" t="n"/>
      <c r="DJ117" s="50" t="n"/>
      <c r="DK117" s="50" t="n"/>
      <c r="DL117" s="50" t="n"/>
      <c r="DM117" s="50" t="n"/>
      <c r="DN117" s="50" t="n"/>
      <c r="DO117" s="50" t="n"/>
      <c r="DP117" s="50" t="n"/>
      <c r="DQ117" s="50" t="n"/>
      <c r="DR117" s="50" t="n"/>
      <c r="DS117" s="50" t="n"/>
      <c r="DT117" s="50" t="n"/>
      <c r="DU117" s="50" t="n"/>
      <c r="DV117" s="50" t="n"/>
    </row>
    <row r="118">
      <c r="A118" s="47">
        <f>IF(Mitarbeiter!B118="","",Mitarbeiter!A118)</f>
        <v/>
      </c>
      <c r="B118" s="48">
        <f>IF(Mitarbeiter!B118="","",Mitarbeiter!B118)</f>
        <v/>
      </c>
      <c r="C118" s="49">
        <f>IF(Mitarbeiter!B118="","",Mitarbeiter!F118)</f>
        <v/>
      </c>
      <c r="D118" s="25">
        <f>IF(Mitarbeiter!B118="","",Berechnung!AD118)</f>
        <v/>
      </c>
      <c r="E118" s="25">
        <f>IF(Mitarbeiter!B118="","",SUM(G118:DV118))</f>
        <v/>
      </c>
      <c r="G118" s="50" t="n"/>
      <c r="H118" s="50" t="n"/>
      <c r="I118" s="50" t="n"/>
      <c r="J118" s="50" t="n"/>
      <c r="K118" s="50" t="n"/>
      <c r="L118" s="50" t="n"/>
      <c r="M118" s="50" t="n"/>
      <c r="N118" s="50" t="n"/>
      <c r="O118" s="50" t="n"/>
      <c r="P118" s="50" t="n"/>
      <c r="Q118" s="50" t="n"/>
      <c r="R118" s="50" t="n"/>
      <c r="S118" s="50" t="n"/>
      <c r="T118" s="50" t="n"/>
      <c r="U118" s="50" t="n"/>
      <c r="V118" s="50" t="n"/>
      <c r="W118" s="50" t="n"/>
      <c r="X118" s="50" t="n"/>
      <c r="Y118" s="50" t="n"/>
      <c r="Z118" s="50" t="n"/>
      <c r="AA118" s="50" t="n"/>
      <c r="AB118" s="50" t="n"/>
      <c r="AC118" s="50" t="n"/>
      <c r="AD118" s="50" t="n"/>
      <c r="AE118" s="50" t="n"/>
      <c r="AF118" s="50" t="n"/>
      <c r="AG118" s="50" t="n"/>
      <c r="AH118" s="50" t="n"/>
      <c r="AI118" s="50" t="n"/>
      <c r="AJ118" s="50" t="n"/>
      <c r="AK118" s="50" t="n"/>
      <c r="AL118" s="50" t="n"/>
      <c r="AM118" s="50" t="n"/>
      <c r="AN118" s="50" t="n"/>
      <c r="AO118" s="50" t="n"/>
      <c r="AP118" s="50" t="n"/>
      <c r="AQ118" s="50" t="n"/>
      <c r="AR118" s="50" t="n"/>
      <c r="AS118" s="50" t="n"/>
      <c r="AT118" s="50" t="n"/>
      <c r="AU118" s="50" t="n"/>
      <c r="AV118" s="50" t="n"/>
      <c r="AW118" s="50" t="n"/>
      <c r="AX118" s="50" t="n"/>
      <c r="AY118" s="50" t="n"/>
      <c r="AZ118" s="50" t="n"/>
      <c r="BA118" s="50" t="n"/>
      <c r="BB118" s="50" t="n"/>
      <c r="BC118" s="50" t="n"/>
      <c r="BD118" s="50" t="n"/>
      <c r="BE118" s="50" t="n"/>
      <c r="BF118" s="50" t="n"/>
      <c r="BG118" s="50" t="n"/>
      <c r="BH118" s="50" t="n"/>
      <c r="BI118" s="50" t="n"/>
      <c r="BJ118" s="50" t="n"/>
      <c r="BK118" s="50" t="n"/>
      <c r="BL118" s="50" t="n"/>
      <c r="BM118" s="50" t="n"/>
      <c r="BN118" s="50" t="n"/>
      <c r="BO118" s="50" t="n"/>
      <c r="BP118" s="50" t="n"/>
      <c r="BQ118" s="50" t="n"/>
      <c r="BR118" s="50" t="n"/>
      <c r="BS118" s="50" t="n"/>
      <c r="BT118" s="50" t="n"/>
      <c r="BU118" s="50" t="n"/>
      <c r="BV118" s="50" t="n"/>
      <c r="BW118" s="50" t="n"/>
      <c r="BX118" s="50" t="n"/>
      <c r="BY118" s="50" t="n"/>
      <c r="BZ118" s="50" t="n"/>
      <c r="CA118" s="50" t="n"/>
      <c r="CB118" s="50" t="n"/>
      <c r="CC118" s="50" t="n"/>
      <c r="CD118" s="50" t="n"/>
      <c r="CE118" s="50" t="n"/>
      <c r="CF118" s="50" t="n"/>
      <c r="CG118" s="50" t="n"/>
      <c r="CH118" s="50" t="n"/>
      <c r="CI118" s="50" t="n"/>
      <c r="CJ118" s="50" t="n"/>
      <c r="CK118" s="50" t="n"/>
      <c r="CL118" s="50" t="n"/>
      <c r="CM118" s="50" t="n"/>
      <c r="CN118" s="50" t="n"/>
      <c r="CO118" s="50" t="n"/>
      <c r="CP118" s="50" t="n"/>
      <c r="CQ118" s="50" t="n"/>
      <c r="CR118" s="50" t="n"/>
      <c r="CS118" s="50" t="n"/>
      <c r="CT118" s="50" t="n"/>
      <c r="CU118" s="50" t="n"/>
      <c r="CV118" s="50" t="n"/>
      <c r="CW118" s="50" t="n"/>
      <c r="CX118" s="50" t="n"/>
      <c r="CY118" s="50" t="n"/>
      <c r="CZ118" s="50" t="n"/>
      <c r="DA118" s="50" t="n"/>
      <c r="DB118" s="50" t="n"/>
      <c r="DC118" s="50" t="n"/>
      <c r="DD118" s="50" t="n"/>
      <c r="DE118" s="50" t="n"/>
      <c r="DF118" s="50" t="n"/>
      <c r="DG118" s="50" t="n"/>
      <c r="DH118" s="50" t="n"/>
      <c r="DI118" s="50" t="n"/>
      <c r="DJ118" s="50" t="n"/>
      <c r="DK118" s="50" t="n"/>
      <c r="DL118" s="50" t="n"/>
      <c r="DM118" s="50" t="n"/>
      <c r="DN118" s="50" t="n"/>
      <c r="DO118" s="50" t="n"/>
      <c r="DP118" s="50" t="n"/>
      <c r="DQ118" s="50" t="n"/>
      <c r="DR118" s="50" t="n"/>
      <c r="DS118" s="50" t="n"/>
      <c r="DT118" s="50" t="n"/>
      <c r="DU118" s="50" t="n"/>
      <c r="DV118" s="50" t="n"/>
    </row>
    <row r="119">
      <c r="A119" s="47">
        <f>IF(Mitarbeiter!B119="","",Mitarbeiter!A119)</f>
        <v/>
      </c>
      <c r="B119" s="48">
        <f>IF(Mitarbeiter!B119="","",Mitarbeiter!B119)</f>
        <v/>
      </c>
      <c r="C119" s="49">
        <f>IF(Mitarbeiter!B119="","",Mitarbeiter!F119)</f>
        <v/>
      </c>
      <c r="D119" s="25">
        <f>IF(Mitarbeiter!B119="","",Berechnung!AD119)</f>
        <v/>
      </c>
      <c r="E119" s="25">
        <f>IF(Mitarbeiter!B119="","",SUM(G119:DV119))</f>
        <v/>
      </c>
      <c r="G119" s="50" t="n"/>
      <c r="H119" s="50" t="n"/>
      <c r="I119" s="50" t="n"/>
      <c r="J119" s="50" t="n"/>
      <c r="K119" s="50" t="n"/>
      <c r="L119" s="50" t="n"/>
      <c r="M119" s="50" t="n"/>
      <c r="N119" s="50" t="n"/>
      <c r="O119" s="50" t="n"/>
      <c r="P119" s="50" t="n"/>
      <c r="Q119" s="50" t="n"/>
      <c r="R119" s="50" t="n"/>
      <c r="S119" s="50" t="n"/>
      <c r="T119" s="50" t="n"/>
      <c r="U119" s="50" t="n"/>
      <c r="V119" s="50" t="n"/>
      <c r="W119" s="50" t="n"/>
      <c r="X119" s="50" t="n"/>
      <c r="Y119" s="50" t="n"/>
      <c r="Z119" s="50" t="n"/>
      <c r="AA119" s="50" t="n"/>
      <c r="AB119" s="50" t="n"/>
      <c r="AC119" s="50" t="n"/>
      <c r="AD119" s="50" t="n"/>
      <c r="AE119" s="50" t="n"/>
      <c r="AF119" s="50" t="n"/>
      <c r="AG119" s="50" t="n"/>
      <c r="AH119" s="50" t="n"/>
      <c r="AI119" s="50" t="n"/>
      <c r="AJ119" s="50" t="n"/>
      <c r="AK119" s="50" t="n"/>
      <c r="AL119" s="50" t="n"/>
      <c r="AM119" s="50" t="n"/>
      <c r="AN119" s="50" t="n"/>
      <c r="AO119" s="50" t="n"/>
      <c r="AP119" s="50" t="n"/>
      <c r="AQ119" s="50" t="n"/>
      <c r="AR119" s="50" t="n"/>
      <c r="AS119" s="50" t="n"/>
      <c r="AT119" s="50" t="n"/>
      <c r="AU119" s="50" t="n"/>
      <c r="AV119" s="50" t="n"/>
      <c r="AW119" s="50" t="n"/>
      <c r="AX119" s="50" t="n"/>
      <c r="AY119" s="50" t="n"/>
      <c r="AZ119" s="50" t="n"/>
      <c r="BA119" s="50" t="n"/>
      <c r="BB119" s="50" t="n"/>
      <c r="BC119" s="50" t="n"/>
      <c r="BD119" s="50" t="n"/>
      <c r="BE119" s="50" t="n"/>
      <c r="BF119" s="50" t="n"/>
      <c r="BG119" s="50" t="n"/>
      <c r="BH119" s="50" t="n"/>
      <c r="BI119" s="50" t="n"/>
      <c r="BJ119" s="50" t="n"/>
      <c r="BK119" s="50" t="n"/>
      <c r="BL119" s="50" t="n"/>
      <c r="BM119" s="50" t="n"/>
      <c r="BN119" s="50" t="n"/>
      <c r="BO119" s="50" t="n"/>
      <c r="BP119" s="50" t="n"/>
      <c r="BQ119" s="50" t="n"/>
      <c r="BR119" s="50" t="n"/>
      <c r="BS119" s="50" t="n"/>
      <c r="BT119" s="50" t="n"/>
      <c r="BU119" s="50" t="n"/>
      <c r="BV119" s="50" t="n"/>
      <c r="BW119" s="50" t="n"/>
      <c r="BX119" s="50" t="n"/>
      <c r="BY119" s="50" t="n"/>
      <c r="BZ119" s="50" t="n"/>
      <c r="CA119" s="50" t="n"/>
      <c r="CB119" s="50" t="n"/>
      <c r="CC119" s="50" t="n"/>
      <c r="CD119" s="50" t="n"/>
      <c r="CE119" s="50" t="n"/>
      <c r="CF119" s="50" t="n"/>
      <c r="CG119" s="50" t="n"/>
      <c r="CH119" s="50" t="n"/>
      <c r="CI119" s="50" t="n"/>
      <c r="CJ119" s="50" t="n"/>
      <c r="CK119" s="50" t="n"/>
      <c r="CL119" s="50" t="n"/>
      <c r="CM119" s="50" t="n"/>
      <c r="CN119" s="50" t="n"/>
      <c r="CO119" s="50" t="n"/>
      <c r="CP119" s="50" t="n"/>
      <c r="CQ119" s="50" t="n"/>
      <c r="CR119" s="50" t="n"/>
      <c r="CS119" s="50" t="n"/>
      <c r="CT119" s="50" t="n"/>
      <c r="CU119" s="50" t="n"/>
      <c r="CV119" s="50" t="n"/>
      <c r="CW119" s="50" t="n"/>
      <c r="CX119" s="50" t="n"/>
      <c r="CY119" s="50" t="n"/>
      <c r="CZ119" s="50" t="n"/>
      <c r="DA119" s="50" t="n"/>
      <c r="DB119" s="50" t="n"/>
      <c r="DC119" s="50" t="n"/>
      <c r="DD119" s="50" t="n"/>
      <c r="DE119" s="50" t="n"/>
      <c r="DF119" s="50" t="n"/>
      <c r="DG119" s="50" t="n"/>
      <c r="DH119" s="50" t="n"/>
      <c r="DI119" s="50" t="n"/>
      <c r="DJ119" s="50" t="n"/>
      <c r="DK119" s="50" t="n"/>
      <c r="DL119" s="50" t="n"/>
      <c r="DM119" s="50" t="n"/>
      <c r="DN119" s="50" t="n"/>
      <c r="DO119" s="50" t="n"/>
      <c r="DP119" s="50" t="n"/>
      <c r="DQ119" s="50" t="n"/>
      <c r="DR119" s="50" t="n"/>
      <c r="DS119" s="50" t="n"/>
      <c r="DT119" s="50" t="n"/>
      <c r="DU119" s="50" t="n"/>
      <c r="DV119" s="50" t="n"/>
    </row>
    <row r="120">
      <c r="A120" s="47">
        <f>IF(Mitarbeiter!B120="","",Mitarbeiter!A120)</f>
        <v/>
      </c>
      <c r="B120" s="48">
        <f>IF(Mitarbeiter!B120="","",Mitarbeiter!B120)</f>
        <v/>
      </c>
      <c r="C120" s="49">
        <f>IF(Mitarbeiter!B120="","",Mitarbeiter!F120)</f>
        <v/>
      </c>
      <c r="D120" s="25">
        <f>IF(Mitarbeiter!B120="","",Berechnung!AD120)</f>
        <v/>
      </c>
      <c r="E120" s="25">
        <f>IF(Mitarbeiter!B120="","",SUM(G120:DV120))</f>
        <v/>
      </c>
      <c r="G120" s="50" t="n"/>
      <c r="H120" s="50" t="n"/>
      <c r="I120" s="50" t="n"/>
      <c r="J120" s="50" t="n"/>
      <c r="K120" s="50" t="n"/>
      <c r="L120" s="50" t="n"/>
      <c r="M120" s="50" t="n"/>
      <c r="N120" s="50" t="n"/>
      <c r="O120" s="50" t="n"/>
      <c r="P120" s="50" t="n"/>
      <c r="Q120" s="50" t="n"/>
      <c r="R120" s="50" t="n"/>
      <c r="S120" s="50" t="n"/>
      <c r="T120" s="50" t="n"/>
      <c r="U120" s="50" t="n"/>
      <c r="V120" s="50" t="n"/>
      <c r="W120" s="50" t="n"/>
      <c r="X120" s="50" t="n"/>
      <c r="Y120" s="50" t="n"/>
      <c r="Z120" s="50" t="n"/>
      <c r="AA120" s="50" t="n"/>
      <c r="AB120" s="50" t="n"/>
      <c r="AC120" s="50" t="n"/>
      <c r="AD120" s="50" t="n"/>
      <c r="AE120" s="50" t="n"/>
      <c r="AF120" s="50" t="n"/>
      <c r="AG120" s="50" t="n"/>
      <c r="AH120" s="50" t="n"/>
      <c r="AI120" s="50" t="n"/>
      <c r="AJ120" s="50" t="n"/>
      <c r="AK120" s="50" t="n"/>
      <c r="AL120" s="50" t="n"/>
      <c r="AM120" s="50" t="n"/>
      <c r="AN120" s="50" t="n"/>
      <c r="AO120" s="50" t="n"/>
      <c r="AP120" s="50" t="n"/>
      <c r="AQ120" s="50" t="n"/>
      <c r="AR120" s="50" t="n"/>
      <c r="AS120" s="50" t="n"/>
      <c r="AT120" s="50" t="n"/>
      <c r="AU120" s="50" t="n"/>
      <c r="AV120" s="50" t="n"/>
      <c r="AW120" s="50" t="n"/>
      <c r="AX120" s="50" t="n"/>
      <c r="AY120" s="50" t="n"/>
      <c r="AZ120" s="50" t="n"/>
      <c r="BA120" s="50" t="n"/>
      <c r="BB120" s="50" t="n"/>
      <c r="BC120" s="50" t="n"/>
      <c r="BD120" s="50" t="n"/>
      <c r="BE120" s="50" t="n"/>
      <c r="BF120" s="50" t="n"/>
      <c r="BG120" s="50" t="n"/>
      <c r="BH120" s="50" t="n"/>
      <c r="BI120" s="50" t="n"/>
      <c r="BJ120" s="50" t="n"/>
      <c r="BK120" s="50" t="n"/>
      <c r="BL120" s="50" t="n"/>
      <c r="BM120" s="50" t="n"/>
      <c r="BN120" s="50" t="n"/>
      <c r="BO120" s="50" t="n"/>
      <c r="BP120" s="50" t="n"/>
      <c r="BQ120" s="50" t="n"/>
      <c r="BR120" s="50" t="n"/>
      <c r="BS120" s="50" t="n"/>
      <c r="BT120" s="50" t="n"/>
      <c r="BU120" s="50" t="n"/>
      <c r="BV120" s="50" t="n"/>
      <c r="BW120" s="50" t="n"/>
      <c r="BX120" s="50" t="n"/>
      <c r="BY120" s="50" t="n"/>
      <c r="BZ120" s="50" t="n"/>
      <c r="CA120" s="50" t="n"/>
      <c r="CB120" s="50" t="n"/>
      <c r="CC120" s="50" t="n"/>
      <c r="CD120" s="50" t="n"/>
      <c r="CE120" s="50" t="n"/>
      <c r="CF120" s="50" t="n"/>
      <c r="CG120" s="50" t="n"/>
      <c r="CH120" s="50" t="n"/>
      <c r="CI120" s="50" t="n"/>
      <c r="CJ120" s="50" t="n"/>
      <c r="CK120" s="50" t="n"/>
      <c r="CL120" s="50" t="n"/>
      <c r="CM120" s="50" t="n"/>
      <c r="CN120" s="50" t="n"/>
      <c r="CO120" s="50" t="n"/>
      <c r="CP120" s="50" t="n"/>
      <c r="CQ120" s="50" t="n"/>
      <c r="CR120" s="50" t="n"/>
      <c r="CS120" s="50" t="n"/>
      <c r="CT120" s="50" t="n"/>
      <c r="CU120" s="50" t="n"/>
      <c r="CV120" s="50" t="n"/>
      <c r="CW120" s="50" t="n"/>
      <c r="CX120" s="50" t="n"/>
      <c r="CY120" s="50" t="n"/>
      <c r="CZ120" s="50" t="n"/>
      <c r="DA120" s="50" t="n"/>
      <c r="DB120" s="50" t="n"/>
      <c r="DC120" s="50" t="n"/>
      <c r="DD120" s="50" t="n"/>
      <c r="DE120" s="50" t="n"/>
      <c r="DF120" s="50" t="n"/>
      <c r="DG120" s="50" t="n"/>
      <c r="DH120" s="50" t="n"/>
      <c r="DI120" s="50" t="n"/>
      <c r="DJ120" s="50" t="n"/>
      <c r="DK120" s="50" t="n"/>
      <c r="DL120" s="50" t="n"/>
      <c r="DM120" s="50" t="n"/>
      <c r="DN120" s="50" t="n"/>
      <c r="DO120" s="50" t="n"/>
      <c r="DP120" s="50" t="n"/>
      <c r="DQ120" s="50" t="n"/>
      <c r="DR120" s="50" t="n"/>
      <c r="DS120" s="50" t="n"/>
      <c r="DT120" s="50" t="n"/>
      <c r="DU120" s="50" t="n"/>
      <c r="DV120" s="50" t="n"/>
    </row>
    <row r="121">
      <c r="A121" s="47">
        <f>IF(Mitarbeiter!B121="","",Mitarbeiter!A121)</f>
        <v/>
      </c>
      <c r="B121" s="48">
        <f>IF(Mitarbeiter!B121="","",Mitarbeiter!B121)</f>
        <v/>
      </c>
      <c r="C121" s="49">
        <f>IF(Mitarbeiter!B121="","",Mitarbeiter!F121)</f>
        <v/>
      </c>
      <c r="D121" s="25">
        <f>IF(Mitarbeiter!B121="","",Berechnung!AD121)</f>
        <v/>
      </c>
      <c r="E121" s="25">
        <f>IF(Mitarbeiter!B121="","",SUM(G121:DV121))</f>
        <v/>
      </c>
      <c r="G121" s="50" t="n"/>
      <c r="H121" s="50" t="n"/>
      <c r="I121" s="50" t="n"/>
      <c r="J121" s="50" t="n"/>
      <c r="K121" s="50" t="n"/>
      <c r="L121" s="50" t="n"/>
      <c r="M121" s="50" t="n"/>
      <c r="N121" s="50" t="n"/>
      <c r="O121" s="50" t="n"/>
      <c r="P121" s="50" t="n"/>
      <c r="Q121" s="50" t="n"/>
      <c r="R121" s="50" t="n"/>
      <c r="S121" s="50" t="n"/>
      <c r="T121" s="50" t="n"/>
      <c r="U121" s="50" t="n"/>
      <c r="V121" s="50" t="n"/>
      <c r="W121" s="50" t="n"/>
      <c r="X121" s="50" t="n"/>
      <c r="Y121" s="50" t="n"/>
      <c r="Z121" s="50" t="n"/>
      <c r="AA121" s="50" t="n"/>
      <c r="AB121" s="50" t="n"/>
      <c r="AC121" s="50" t="n"/>
      <c r="AD121" s="50" t="n"/>
      <c r="AE121" s="50" t="n"/>
      <c r="AF121" s="50" t="n"/>
      <c r="AG121" s="50" t="n"/>
      <c r="AH121" s="50" t="n"/>
      <c r="AI121" s="50" t="n"/>
      <c r="AJ121" s="50" t="n"/>
      <c r="AK121" s="50" t="n"/>
      <c r="AL121" s="50" t="n"/>
      <c r="AM121" s="50" t="n"/>
      <c r="AN121" s="50" t="n"/>
      <c r="AO121" s="50" t="n"/>
      <c r="AP121" s="50" t="n"/>
      <c r="AQ121" s="50" t="n"/>
      <c r="AR121" s="50" t="n"/>
      <c r="AS121" s="50" t="n"/>
      <c r="AT121" s="50" t="n"/>
      <c r="AU121" s="50" t="n"/>
      <c r="AV121" s="50" t="n"/>
      <c r="AW121" s="50" t="n"/>
      <c r="AX121" s="50" t="n"/>
      <c r="AY121" s="50" t="n"/>
      <c r="AZ121" s="50" t="n"/>
      <c r="BA121" s="50" t="n"/>
      <c r="BB121" s="50" t="n"/>
      <c r="BC121" s="50" t="n"/>
      <c r="BD121" s="50" t="n"/>
      <c r="BE121" s="50" t="n"/>
      <c r="BF121" s="50" t="n"/>
      <c r="BG121" s="50" t="n"/>
      <c r="BH121" s="50" t="n"/>
      <c r="BI121" s="50" t="n"/>
      <c r="BJ121" s="50" t="n"/>
      <c r="BK121" s="50" t="n"/>
      <c r="BL121" s="50" t="n"/>
      <c r="BM121" s="50" t="n"/>
      <c r="BN121" s="50" t="n"/>
      <c r="BO121" s="50" t="n"/>
      <c r="BP121" s="50" t="n"/>
      <c r="BQ121" s="50" t="n"/>
      <c r="BR121" s="50" t="n"/>
      <c r="BS121" s="50" t="n"/>
      <c r="BT121" s="50" t="n"/>
      <c r="BU121" s="50" t="n"/>
      <c r="BV121" s="50" t="n"/>
      <c r="BW121" s="50" t="n"/>
      <c r="BX121" s="50" t="n"/>
      <c r="BY121" s="50" t="n"/>
      <c r="BZ121" s="50" t="n"/>
      <c r="CA121" s="50" t="n"/>
      <c r="CB121" s="50" t="n"/>
      <c r="CC121" s="50" t="n"/>
      <c r="CD121" s="50" t="n"/>
      <c r="CE121" s="50" t="n"/>
      <c r="CF121" s="50" t="n"/>
      <c r="CG121" s="50" t="n"/>
      <c r="CH121" s="50" t="n"/>
      <c r="CI121" s="50" t="n"/>
      <c r="CJ121" s="50" t="n"/>
      <c r="CK121" s="50" t="n"/>
      <c r="CL121" s="50" t="n"/>
      <c r="CM121" s="50" t="n"/>
      <c r="CN121" s="50" t="n"/>
      <c r="CO121" s="50" t="n"/>
      <c r="CP121" s="50" t="n"/>
      <c r="CQ121" s="50" t="n"/>
      <c r="CR121" s="50" t="n"/>
      <c r="CS121" s="50" t="n"/>
      <c r="CT121" s="50" t="n"/>
      <c r="CU121" s="50" t="n"/>
      <c r="CV121" s="50" t="n"/>
      <c r="CW121" s="50" t="n"/>
      <c r="CX121" s="50" t="n"/>
      <c r="CY121" s="50" t="n"/>
      <c r="CZ121" s="50" t="n"/>
      <c r="DA121" s="50" t="n"/>
      <c r="DB121" s="50" t="n"/>
      <c r="DC121" s="50" t="n"/>
      <c r="DD121" s="50" t="n"/>
      <c r="DE121" s="50" t="n"/>
      <c r="DF121" s="50" t="n"/>
      <c r="DG121" s="50" t="n"/>
      <c r="DH121" s="50" t="n"/>
      <c r="DI121" s="50" t="n"/>
      <c r="DJ121" s="50" t="n"/>
      <c r="DK121" s="50" t="n"/>
      <c r="DL121" s="50" t="n"/>
      <c r="DM121" s="50" t="n"/>
      <c r="DN121" s="50" t="n"/>
      <c r="DO121" s="50" t="n"/>
      <c r="DP121" s="50" t="n"/>
      <c r="DQ121" s="50" t="n"/>
      <c r="DR121" s="50" t="n"/>
      <c r="DS121" s="50" t="n"/>
      <c r="DT121" s="50" t="n"/>
      <c r="DU121" s="50" t="n"/>
      <c r="DV121" s="50" t="n"/>
    </row>
    <row r="122">
      <c r="A122" s="47">
        <f>IF(Mitarbeiter!B122="","",Mitarbeiter!A122)</f>
        <v/>
      </c>
      <c r="B122" s="48">
        <f>IF(Mitarbeiter!B122="","",Mitarbeiter!B122)</f>
        <v/>
      </c>
      <c r="C122" s="49">
        <f>IF(Mitarbeiter!B122="","",Mitarbeiter!F122)</f>
        <v/>
      </c>
      <c r="D122" s="25">
        <f>IF(Mitarbeiter!B122="","",Berechnung!AD122)</f>
        <v/>
      </c>
      <c r="E122" s="25">
        <f>IF(Mitarbeiter!B122="","",SUM(G122:DV122))</f>
        <v/>
      </c>
      <c r="G122" s="50" t="n"/>
      <c r="H122" s="50" t="n"/>
      <c r="I122" s="50" t="n"/>
      <c r="J122" s="50" t="n"/>
      <c r="K122" s="50" t="n"/>
      <c r="L122" s="50" t="n"/>
      <c r="M122" s="50" t="n"/>
      <c r="N122" s="50" t="n"/>
      <c r="O122" s="50" t="n"/>
      <c r="P122" s="50" t="n"/>
      <c r="Q122" s="50" t="n"/>
      <c r="R122" s="50" t="n"/>
      <c r="S122" s="50" t="n"/>
      <c r="T122" s="50" t="n"/>
      <c r="U122" s="50" t="n"/>
      <c r="V122" s="50" t="n"/>
      <c r="W122" s="50" t="n"/>
      <c r="X122" s="50" t="n"/>
      <c r="Y122" s="50" t="n"/>
      <c r="Z122" s="50" t="n"/>
      <c r="AA122" s="50" t="n"/>
      <c r="AB122" s="50" t="n"/>
      <c r="AC122" s="50" t="n"/>
      <c r="AD122" s="50" t="n"/>
      <c r="AE122" s="50" t="n"/>
      <c r="AF122" s="50" t="n"/>
      <c r="AG122" s="50" t="n"/>
      <c r="AH122" s="50" t="n"/>
      <c r="AI122" s="50" t="n"/>
      <c r="AJ122" s="50" t="n"/>
      <c r="AK122" s="50" t="n"/>
      <c r="AL122" s="50" t="n"/>
      <c r="AM122" s="50" t="n"/>
      <c r="AN122" s="50" t="n"/>
      <c r="AO122" s="50" t="n"/>
      <c r="AP122" s="50" t="n"/>
      <c r="AQ122" s="50" t="n"/>
      <c r="AR122" s="50" t="n"/>
      <c r="AS122" s="50" t="n"/>
      <c r="AT122" s="50" t="n"/>
      <c r="AU122" s="50" t="n"/>
      <c r="AV122" s="50" t="n"/>
      <c r="AW122" s="50" t="n"/>
      <c r="AX122" s="50" t="n"/>
      <c r="AY122" s="50" t="n"/>
      <c r="AZ122" s="50" t="n"/>
      <c r="BA122" s="50" t="n"/>
      <c r="BB122" s="50" t="n"/>
      <c r="BC122" s="50" t="n"/>
      <c r="BD122" s="50" t="n"/>
      <c r="BE122" s="50" t="n"/>
      <c r="BF122" s="50" t="n"/>
      <c r="BG122" s="50" t="n"/>
      <c r="BH122" s="50" t="n"/>
      <c r="BI122" s="50" t="n"/>
      <c r="BJ122" s="50" t="n"/>
      <c r="BK122" s="50" t="n"/>
      <c r="BL122" s="50" t="n"/>
      <c r="BM122" s="50" t="n"/>
      <c r="BN122" s="50" t="n"/>
      <c r="BO122" s="50" t="n"/>
      <c r="BP122" s="50" t="n"/>
      <c r="BQ122" s="50" t="n"/>
      <c r="BR122" s="50" t="n"/>
      <c r="BS122" s="50" t="n"/>
      <c r="BT122" s="50" t="n"/>
      <c r="BU122" s="50" t="n"/>
      <c r="BV122" s="50" t="n"/>
      <c r="BW122" s="50" t="n"/>
      <c r="BX122" s="50" t="n"/>
      <c r="BY122" s="50" t="n"/>
      <c r="BZ122" s="50" t="n"/>
      <c r="CA122" s="50" t="n"/>
      <c r="CB122" s="50" t="n"/>
      <c r="CC122" s="50" t="n"/>
      <c r="CD122" s="50" t="n"/>
      <c r="CE122" s="50" t="n"/>
      <c r="CF122" s="50" t="n"/>
      <c r="CG122" s="50" t="n"/>
      <c r="CH122" s="50" t="n"/>
      <c r="CI122" s="50" t="n"/>
      <c r="CJ122" s="50" t="n"/>
      <c r="CK122" s="50" t="n"/>
      <c r="CL122" s="50" t="n"/>
      <c r="CM122" s="50" t="n"/>
      <c r="CN122" s="50" t="n"/>
      <c r="CO122" s="50" t="n"/>
      <c r="CP122" s="50" t="n"/>
      <c r="CQ122" s="50" t="n"/>
      <c r="CR122" s="50" t="n"/>
      <c r="CS122" s="50" t="n"/>
      <c r="CT122" s="50" t="n"/>
      <c r="CU122" s="50" t="n"/>
      <c r="CV122" s="50" t="n"/>
      <c r="CW122" s="50" t="n"/>
      <c r="CX122" s="50" t="n"/>
      <c r="CY122" s="50" t="n"/>
      <c r="CZ122" s="50" t="n"/>
      <c r="DA122" s="50" t="n"/>
      <c r="DB122" s="50" t="n"/>
      <c r="DC122" s="50" t="n"/>
      <c r="DD122" s="50" t="n"/>
      <c r="DE122" s="50" t="n"/>
      <c r="DF122" s="50" t="n"/>
      <c r="DG122" s="50" t="n"/>
      <c r="DH122" s="50" t="n"/>
      <c r="DI122" s="50" t="n"/>
      <c r="DJ122" s="50" t="n"/>
      <c r="DK122" s="50" t="n"/>
      <c r="DL122" s="50" t="n"/>
      <c r="DM122" s="50" t="n"/>
      <c r="DN122" s="50" t="n"/>
      <c r="DO122" s="50" t="n"/>
      <c r="DP122" s="50" t="n"/>
      <c r="DQ122" s="50" t="n"/>
      <c r="DR122" s="50" t="n"/>
      <c r="DS122" s="50" t="n"/>
      <c r="DT122" s="50" t="n"/>
      <c r="DU122" s="50" t="n"/>
      <c r="DV122" s="50" t="n"/>
    </row>
    <row r="123">
      <c r="A123" s="47">
        <f>IF(Mitarbeiter!B123="","",Mitarbeiter!A123)</f>
        <v/>
      </c>
      <c r="B123" s="48">
        <f>IF(Mitarbeiter!B123="","",Mitarbeiter!B123)</f>
        <v/>
      </c>
      <c r="C123" s="49">
        <f>IF(Mitarbeiter!B123="","",Mitarbeiter!F123)</f>
        <v/>
      </c>
      <c r="D123" s="25">
        <f>IF(Mitarbeiter!B123="","",Berechnung!AD123)</f>
        <v/>
      </c>
      <c r="E123" s="25">
        <f>IF(Mitarbeiter!B123="","",SUM(G123:DV123))</f>
        <v/>
      </c>
      <c r="G123" s="50" t="n"/>
      <c r="H123" s="50" t="n"/>
      <c r="I123" s="50" t="n"/>
      <c r="J123" s="50" t="n"/>
      <c r="K123" s="50" t="n"/>
      <c r="L123" s="50" t="n"/>
      <c r="M123" s="50" t="n"/>
      <c r="N123" s="50" t="n"/>
      <c r="O123" s="50" t="n"/>
      <c r="P123" s="50" t="n"/>
      <c r="Q123" s="50" t="n"/>
      <c r="R123" s="50" t="n"/>
      <c r="S123" s="50" t="n"/>
      <c r="T123" s="50" t="n"/>
      <c r="U123" s="50" t="n"/>
      <c r="V123" s="50" t="n"/>
      <c r="W123" s="50" t="n"/>
      <c r="X123" s="50" t="n"/>
      <c r="Y123" s="50" t="n"/>
      <c r="Z123" s="50" t="n"/>
      <c r="AA123" s="50" t="n"/>
      <c r="AB123" s="50" t="n"/>
      <c r="AC123" s="50" t="n"/>
      <c r="AD123" s="50" t="n"/>
      <c r="AE123" s="50" t="n"/>
      <c r="AF123" s="50" t="n"/>
      <c r="AG123" s="50" t="n"/>
      <c r="AH123" s="50" t="n"/>
      <c r="AI123" s="50" t="n"/>
      <c r="AJ123" s="50" t="n"/>
      <c r="AK123" s="50" t="n"/>
      <c r="AL123" s="50" t="n"/>
      <c r="AM123" s="50" t="n"/>
      <c r="AN123" s="50" t="n"/>
      <c r="AO123" s="50" t="n"/>
      <c r="AP123" s="50" t="n"/>
      <c r="AQ123" s="50" t="n"/>
      <c r="AR123" s="50" t="n"/>
      <c r="AS123" s="50" t="n"/>
      <c r="AT123" s="50" t="n"/>
      <c r="AU123" s="50" t="n"/>
      <c r="AV123" s="50" t="n"/>
      <c r="AW123" s="50" t="n"/>
      <c r="AX123" s="50" t="n"/>
      <c r="AY123" s="50" t="n"/>
      <c r="AZ123" s="50" t="n"/>
      <c r="BA123" s="50" t="n"/>
      <c r="BB123" s="50" t="n"/>
      <c r="BC123" s="50" t="n"/>
      <c r="BD123" s="50" t="n"/>
      <c r="BE123" s="50" t="n"/>
      <c r="BF123" s="50" t="n"/>
      <c r="BG123" s="50" t="n"/>
      <c r="BH123" s="50" t="n"/>
      <c r="BI123" s="50" t="n"/>
      <c r="BJ123" s="50" t="n"/>
      <c r="BK123" s="50" t="n"/>
      <c r="BL123" s="50" t="n"/>
      <c r="BM123" s="50" t="n"/>
      <c r="BN123" s="50" t="n"/>
      <c r="BO123" s="50" t="n"/>
      <c r="BP123" s="50" t="n"/>
      <c r="BQ123" s="50" t="n"/>
      <c r="BR123" s="50" t="n"/>
      <c r="BS123" s="50" t="n"/>
      <c r="BT123" s="50" t="n"/>
      <c r="BU123" s="50" t="n"/>
      <c r="BV123" s="50" t="n"/>
      <c r="BW123" s="50" t="n"/>
      <c r="BX123" s="50" t="n"/>
      <c r="BY123" s="50" t="n"/>
      <c r="BZ123" s="50" t="n"/>
      <c r="CA123" s="50" t="n"/>
      <c r="CB123" s="50" t="n"/>
      <c r="CC123" s="50" t="n"/>
      <c r="CD123" s="50" t="n"/>
      <c r="CE123" s="50" t="n"/>
      <c r="CF123" s="50" t="n"/>
      <c r="CG123" s="50" t="n"/>
      <c r="CH123" s="50" t="n"/>
      <c r="CI123" s="50" t="n"/>
      <c r="CJ123" s="50" t="n"/>
      <c r="CK123" s="50" t="n"/>
      <c r="CL123" s="50" t="n"/>
      <c r="CM123" s="50" t="n"/>
      <c r="CN123" s="50" t="n"/>
      <c r="CO123" s="50" t="n"/>
      <c r="CP123" s="50" t="n"/>
      <c r="CQ123" s="50" t="n"/>
      <c r="CR123" s="50" t="n"/>
      <c r="CS123" s="50" t="n"/>
      <c r="CT123" s="50" t="n"/>
      <c r="CU123" s="50" t="n"/>
      <c r="CV123" s="50" t="n"/>
      <c r="CW123" s="50" t="n"/>
      <c r="CX123" s="50" t="n"/>
      <c r="CY123" s="50" t="n"/>
      <c r="CZ123" s="50" t="n"/>
      <c r="DA123" s="50" t="n"/>
      <c r="DB123" s="50" t="n"/>
      <c r="DC123" s="50" t="n"/>
      <c r="DD123" s="50" t="n"/>
      <c r="DE123" s="50" t="n"/>
      <c r="DF123" s="50" t="n"/>
      <c r="DG123" s="50" t="n"/>
      <c r="DH123" s="50" t="n"/>
      <c r="DI123" s="50" t="n"/>
      <c r="DJ123" s="50" t="n"/>
      <c r="DK123" s="50" t="n"/>
      <c r="DL123" s="50" t="n"/>
      <c r="DM123" s="50" t="n"/>
      <c r="DN123" s="50" t="n"/>
      <c r="DO123" s="50" t="n"/>
      <c r="DP123" s="50" t="n"/>
      <c r="DQ123" s="50" t="n"/>
      <c r="DR123" s="50" t="n"/>
      <c r="DS123" s="50" t="n"/>
      <c r="DT123" s="50" t="n"/>
      <c r="DU123" s="50" t="n"/>
      <c r="DV123" s="50" t="n"/>
    </row>
    <row r="124">
      <c r="A124" s="47">
        <f>IF(Mitarbeiter!B124="","",Mitarbeiter!A124)</f>
        <v/>
      </c>
      <c r="B124" s="48">
        <f>IF(Mitarbeiter!B124="","",Mitarbeiter!B124)</f>
        <v/>
      </c>
      <c r="C124" s="49">
        <f>IF(Mitarbeiter!B124="","",Mitarbeiter!F124)</f>
        <v/>
      </c>
      <c r="D124" s="25">
        <f>IF(Mitarbeiter!B124="","",Berechnung!AD124)</f>
        <v/>
      </c>
      <c r="E124" s="25">
        <f>IF(Mitarbeiter!B124="","",SUM(G124:DV124))</f>
        <v/>
      </c>
      <c r="G124" s="50" t="n"/>
      <c r="H124" s="50" t="n"/>
      <c r="I124" s="50" t="n"/>
      <c r="J124" s="50" t="n"/>
      <c r="K124" s="50" t="n"/>
      <c r="L124" s="50" t="n"/>
      <c r="M124" s="50" t="n"/>
      <c r="N124" s="50" t="n"/>
      <c r="O124" s="50" t="n"/>
      <c r="P124" s="50" t="n"/>
      <c r="Q124" s="50" t="n"/>
      <c r="R124" s="50" t="n"/>
      <c r="S124" s="50" t="n"/>
      <c r="T124" s="50" t="n"/>
      <c r="U124" s="50" t="n"/>
      <c r="V124" s="50" t="n"/>
      <c r="W124" s="50" t="n"/>
      <c r="X124" s="50" t="n"/>
      <c r="Y124" s="50" t="n"/>
      <c r="Z124" s="50" t="n"/>
      <c r="AA124" s="50" t="n"/>
      <c r="AB124" s="50" t="n"/>
      <c r="AC124" s="50" t="n"/>
      <c r="AD124" s="50" t="n"/>
      <c r="AE124" s="50" t="n"/>
      <c r="AF124" s="50" t="n"/>
      <c r="AG124" s="50" t="n"/>
      <c r="AH124" s="50" t="n"/>
      <c r="AI124" s="50" t="n"/>
      <c r="AJ124" s="50" t="n"/>
      <c r="AK124" s="50" t="n"/>
      <c r="AL124" s="50" t="n"/>
      <c r="AM124" s="50" t="n"/>
      <c r="AN124" s="50" t="n"/>
      <c r="AO124" s="50" t="n"/>
      <c r="AP124" s="50" t="n"/>
      <c r="AQ124" s="50" t="n"/>
      <c r="AR124" s="50" t="n"/>
      <c r="AS124" s="50" t="n"/>
      <c r="AT124" s="50" t="n"/>
      <c r="AU124" s="50" t="n"/>
      <c r="AV124" s="50" t="n"/>
      <c r="AW124" s="50" t="n"/>
      <c r="AX124" s="50" t="n"/>
      <c r="AY124" s="50" t="n"/>
      <c r="AZ124" s="50" t="n"/>
      <c r="BA124" s="50" t="n"/>
      <c r="BB124" s="50" t="n"/>
      <c r="BC124" s="50" t="n"/>
      <c r="BD124" s="50" t="n"/>
      <c r="BE124" s="50" t="n"/>
      <c r="BF124" s="50" t="n"/>
      <c r="BG124" s="50" t="n"/>
      <c r="BH124" s="50" t="n"/>
      <c r="BI124" s="50" t="n"/>
      <c r="BJ124" s="50" t="n"/>
      <c r="BK124" s="50" t="n"/>
      <c r="BL124" s="50" t="n"/>
      <c r="BM124" s="50" t="n"/>
      <c r="BN124" s="50" t="n"/>
      <c r="BO124" s="50" t="n"/>
      <c r="BP124" s="50" t="n"/>
      <c r="BQ124" s="50" t="n"/>
      <c r="BR124" s="50" t="n"/>
      <c r="BS124" s="50" t="n"/>
      <c r="BT124" s="50" t="n"/>
      <c r="BU124" s="50" t="n"/>
      <c r="BV124" s="50" t="n"/>
      <c r="BW124" s="50" t="n"/>
      <c r="BX124" s="50" t="n"/>
      <c r="BY124" s="50" t="n"/>
      <c r="BZ124" s="50" t="n"/>
      <c r="CA124" s="50" t="n"/>
      <c r="CB124" s="50" t="n"/>
      <c r="CC124" s="50" t="n"/>
      <c r="CD124" s="50" t="n"/>
      <c r="CE124" s="50" t="n"/>
      <c r="CF124" s="50" t="n"/>
      <c r="CG124" s="50" t="n"/>
      <c r="CH124" s="50" t="n"/>
      <c r="CI124" s="50" t="n"/>
      <c r="CJ124" s="50" t="n"/>
      <c r="CK124" s="50" t="n"/>
      <c r="CL124" s="50" t="n"/>
      <c r="CM124" s="50" t="n"/>
      <c r="CN124" s="50" t="n"/>
      <c r="CO124" s="50" t="n"/>
      <c r="CP124" s="50" t="n"/>
      <c r="CQ124" s="50" t="n"/>
      <c r="CR124" s="50" t="n"/>
      <c r="CS124" s="50" t="n"/>
      <c r="CT124" s="50" t="n"/>
      <c r="CU124" s="50" t="n"/>
      <c r="CV124" s="50" t="n"/>
      <c r="CW124" s="50" t="n"/>
      <c r="CX124" s="50" t="n"/>
      <c r="CY124" s="50" t="n"/>
      <c r="CZ124" s="50" t="n"/>
      <c r="DA124" s="50" t="n"/>
      <c r="DB124" s="50" t="n"/>
      <c r="DC124" s="50" t="n"/>
      <c r="DD124" s="50" t="n"/>
      <c r="DE124" s="50" t="n"/>
      <c r="DF124" s="50" t="n"/>
      <c r="DG124" s="50" t="n"/>
      <c r="DH124" s="50" t="n"/>
      <c r="DI124" s="50" t="n"/>
      <c r="DJ124" s="50" t="n"/>
      <c r="DK124" s="50" t="n"/>
      <c r="DL124" s="50" t="n"/>
      <c r="DM124" s="50" t="n"/>
      <c r="DN124" s="50" t="n"/>
      <c r="DO124" s="50" t="n"/>
      <c r="DP124" s="50" t="n"/>
      <c r="DQ124" s="50" t="n"/>
      <c r="DR124" s="50" t="n"/>
      <c r="DS124" s="50" t="n"/>
      <c r="DT124" s="50" t="n"/>
      <c r="DU124" s="50" t="n"/>
      <c r="DV124" s="50" t="n"/>
    </row>
    <row r="125">
      <c r="A125" s="47">
        <f>IF(Mitarbeiter!B125="","",Mitarbeiter!A125)</f>
        <v/>
      </c>
      <c r="B125" s="48">
        <f>IF(Mitarbeiter!B125="","",Mitarbeiter!B125)</f>
        <v/>
      </c>
      <c r="C125" s="49">
        <f>IF(Mitarbeiter!B125="","",Mitarbeiter!F125)</f>
        <v/>
      </c>
      <c r="D125" s="25">
        <f>IF(Mitarbeiter!B125="","",Berechnung!AD125)</f>
        <v/>
      </c>
      <c r="E125" s="25">
        <f>IF(Mitarbeiter!B125="","",SUM(G125:DV125))</f>
        <v/>
      </c>
      <c r="G125" s="50" t="n"/>
      <c r="H125" s="50" t="n"/>
      <c r="I125" s="50" t="n"/>
      <c r="J125" s="50" t="n"/>
      <c r="K125" s="50" t="n"/>
      <c r="L125" s="50" t="n"/>
      <c r="M125" s="50" t="n"/>
      <c r="N125" s="50" t="n"/>
      <c r="O125" s="50" t="n"/>
      <c r="P125" s="50" t="n"/>
      <c r="Q125" s="50" t="n"/>
      <c r="R125" s="50" t="n"/>
      <c r="S125" s="50" t="n"/>
      <c r="T125" s="50" t="n"/>
      <c r="U125" s="50" t="n"/>
      <c r="V125" s="50" t="n"/>
      <c r="W125" s="50" t="n"/>
      <c r="X125" s="50" t="n"/>
      <c r="Y125" s="50" t="n"/>
      <c r="Z125" s="50" t="n"/>
      <c r="AA125" s="50" t="n"/>
      <c r="AB125" s="50" t="n"/>
      <c r="AC125" s="50" t="n"/>
      <c r="AD125" s="50" t="n"/>
      <c r="AE125" s="50" t="n"/>
      <c r="AF125" s="50" t="n"/>
      <c r="AG125" s="50" t="n"/>
      <c r="AH125" s="50" t="n"/>
      <c r="AI125" s="50" t="n"/>
      <c r="AJ125" s="50" t="n"/>
      <c r="AK125" s="50" t="n"/>
      <c r="AL125" s="50" t="n"/>
      <c r="AM125" s="50" t="n"/>
      <c r="AN125" s="50" t="n"/>
      <c r="AO125" s="50" t="n"/>
      <c r="AP125" s="50" t="n"/>
      <c r="AQ125" s="50" t="n"/>
      <c r="AR125" s="50" t="n"/>
      <c r="AS125" s="50" t="n"/>
      <c r="AT125" s="50" t="n"/>
      <c r="AU125" s="50" t="n"/>
      <c r="AV125" s="50" t="n"/>
      <c r="AW125" s="50" t="n"/>
      <c r="AX125" s="50" t="n"/>
      <c r="AY125" s="50" t="n"/>
      <c r="AZ125" s="50" t="n"/>
      <c r="BA125" s="50" t="n"/>
      <c r="BB125" s="50" t="n"/>
      <c r="BC125" s="50" t="n"/>
      <c r="BD125" s="50" t="n"/>
      <c r="BE125" s="50" t="n"/>
      <c r="BF125" s="50" t="n"/>
      <c r="BG125" s="50" t="n"/>
      <c r="BH125" s="50" t="n"/>
      <c r="BI125" s="50" t="n"/>
      <c r="BJ125" s="50" t="n"/>
      <c r="BK125" s="50" t="n"/>
      <c r="BL125" s="50" t="n"/>
      <c r="BM125" s="50" t="n"/>
      <c r="BN125" s="50" t="n"/>
      <c r="BO125" s="50" t="n"/>
      <c r="BP125" s="50" t="n"/>
      <c r="BQ125" s="50" t="n"/>
      <c r="BR125" s="50" t="n"/>
      <c r="BS125" s="50" t="n"/>
      <c r="BT125" s="50" t="n"/>
      <c r="BU125" s="50" t="n"/>
      <c r="BV125" s="50" t="n"/>
      <c r="BW125" s="50" t="n"/>
      <c r="BX125" s="50" t="n"/>
      <c r="BY125" s="50" t="n"/>
      <c r="BZ125" s="50" t="n"/>
      <c r="CA125" s="50" t="n"/>
      <c r="CB125" s="50" t="n"/>
      <c r="CC125" s="50" t="n"/>
      <c r="CD125" s="50" t="n"/>
      <c r="CE125" s="50" t="n"/>
      <c r="CF125" s="50" t="n"/>
      <c r="CG125" s="50" t="n"/>
      <c r="CH125" s="50" t="n"/>
      <c r="CI125" s="50" t="n"/>
      <c r="CJ125" s="50" t="n"/>
      <c r="CK125" s="50" t="n"/>
      <c r="CL125" s="50" t="n"/>
      <c r="CM125" s="50" t="n"/>
      <c r="CN125" s="50" t="n"/>
      <c r="CO125" s="50" t="n"/>
      <c r="CP125" s="50" t="n"/>
      <c r="CQ125" s="50" t="n"/>
      <c r="CR125" s="50" t="n"/>
      <c r="CS125" s="50" t="n"/>
      <c r="CT125" s="50" t="n"/>
      <c r="CU125" s="50" t="n"/>
      <c r="CV125" s="50" t="n"/>
      <c r="CW125" s="50" t="n"/>
      <c r="CX125" s="50" t="n"/>
      <c r="CY125" s="50" t="n"/>
      <c r="CZ125" s="50" t="n"/>
      <c r="DA125" s="50" t="n"/>
      <c r="DB125" s="50" t="n"/>
      <c r="DC125" s="50" t="n"/>
      <c r="DD125" s="50" t="n"/>
      <c r="DE125" s="50" t="n"/>
      <c r="DF125" s="50" t="n"/>
      <c r="DG125" s="50" t="n"/>
      <c r="DH125" s="50" t="n"/>
      <c r="DI125" s="50" t="n"/>
      <c r="DJ125" s="50" t="n"/>
      <c r="DK125" s="50" t="n"/>
      <c r="DL125" s="50" t="n"/>
      <c r="DM125" s="50" t="n"/>
      <c r="DN125" s="50" t="n"/>
      <c r="DO125" s="50" t="n"/>
      <c r="DP125" s="50" t="n"/>
      <c r="DQ125" s="50" t="n"/>
      <c r="DR125" s="50" t="n"/>
      <c r="DS125" s="50" t="n"/>
      <c r="DT125" s="50" t="n"/>
      <c r="DU125" s="50" t="n"/>
      <c r="DV125" s="50" t="n"/>
    </row>
    <row r="126">
      <c r="A126" s="47">
        <f>IF(Mitarbeiter!B126="","",Mitarbeiter!A126)</f>
        <v/>
      </c>
      <c r="B126" s="48">
        <f>IF(Mitarbeiter!B126="","",Mitarbeiter!B126)</f>
        <v/>
      </c>
      <c r="C126" s="49">
        <f>IF(Mitarbeiter!B126="","",Mitarbeiter!F126)</f>
        <v/>
      </c>
      <c r="D126" s="25">
        <f>IF(Mitarbeiter!B126="","",Berechnung!AD126)</f>
        <v/>
      </c>
      <c r="E126" s="25">
        <f>IF(Mitarbeiter!B126="","",SUM(G126:DV126))</f>
        <v/>
      </c>
      <c r="G126" s="50" t="n"/>
      <c r="H126" s="50" t="n"/>
      <c r="I126" s="50" t="n"/>
      <c r="J126" s="50" t="n"/>
      <c r="K126" s="50" t="n"/>
      <c r="L126" s="50" t="n"/>
      <c r="M126" s="50" t="n"/>
      <c r="N126" s="50" t="n"/>
      <c r="O126" s="50" t="n"/>
      <c r="P126" s="50" t="n"/>
      <c r="Q126" s="50" t="n"/>
      <c r="R126" s="50" t="n"/>
      <c r="S126" s="50" t="n"/>
      <c r="T126" s="50" t="n"/>
      <c r="U126" s="50" t="n"/>
      <c r="V126" s="50" t="n"/>
      <c r="W126" s="50" t="n"/>
      <c r="X126" s="50" t="n"/>
      <c r="Y126" s="50" t="n"/>
      <c r="Z126" s="50" t="n"/>
      <c r="AA126" s="50" t="n"/>
      <c r="AB126" s="50" t="n"/>
      <c r="AC126" s="50" t="n"/>
      <c r="AD126" s="50" t="n"/>
      <c r="AE126" s="50" t="n"/>
      <c r="AF126" s="50" t="n"/>
      <c r="AG126" s="50" t="n"/>
      <c r="AH126" s="50" t="n"/>
      <c r="AI126" s="50" t="n"/>
      <c r="AJ126" s="50" t="n"/>
      <c r="AK126" s="50" t="n"/>
      <c r="AL126" s="50" t="n"/>
      <c r="AM126" s="50" t="n"/>
      <c r="AN126" s="50" t="n"/>
      <c r="AO126" s="50" t="n"/>
      <c r="AP126" s="50" t="n"/>
      <c r="AQ126" s="50" t="n"/>
      <c r="AR126" s="50" t="n"/>
      <c r="AS126" s="50" t="n"/>
      <c r="AT126" s="50" t="n"/>
      <c r="AU126" s="50" t="n"/>
      <c r="AV126" s="50" t="n"/>
      <c r="AW126" s="50" t="n"/>
      <c r="AX126" s="50" t="n"/>
      <c r="AY126" s="50" t="n"/>
      <c r="AZ126" s="50" t="n"/>
      <c r="BA126" s="50" t="n"/>
      <c r="BB126" s="50" t="n"/>
      <c r="BC126" s="50" t="n"/>
      <c r="BD126" s="50" t="n"/>
      <c r="BE126" s="50" t="n"/>
      <c r="BF126" s="50" t="n"/>
      <c r="BG126" s="50" t="n"/>
      <c r="BH126" s="50" t="n"/>
      <c r="BI126" s="50" t="n"/>
      <c r="BJ126" s="50" t="n"/>
      <c r="BK126" s="50" t="n"/>
      <c r="BL126" s="50" t="n"/>
      <c r="BM126" s="50" t="n"/>
      <c r="BN126" s="50" t="n"/>
      <c r="BO126" s="50" t="n"/>
      <c r="BP126" s="50" t="n"/>
      <c r="BQ126" s="50" t="n"/>
      <c r="BR126" s="50" t="n"/>
      <c r="BS126" s="50" t="n"/>
      <c r="BT126" s="50" t="n"/>
      <c r="BU126" s="50" t="n"/>
      <c r="BV126" s="50" t="n"/>
      <c r="BW126" s="50" t="n"/>
      <c r="BX126" s="50" t="n"/>
      <c r="BY126" s="50" t="n"/>
      <c r="BZ126" s="50" t="n"/>
      <c r="CA126" s="50" t="n"/>
      <c r="CB126" s="50" t="n"/>
      <c r="CC126" s="50" t="n"/>
      <c r="CD126" s="50" t="n"/>
      <c r="CE126" s="50" t="n"/>
      <c r="CF126" s="50" t="n"/>
      <c r="CG126" s="50" t="n"/>
      <c r="CH126" s="50" t="n"/>
      <c r="CI126" s="50" t="n"/>
      <c r="CJ126" s="50" t="n"/>
      <c r="CK126" s="50" t="n"/>
      <c r="CL126" s="50" t="n"/>
      <c r="CM126" s="50" t="n"/>
      <c r="CN126" s="50" t="n"/>
      <c r="CO126" s="50" t="n"/>
      <c r="CP126" s="50" t="n"/>
      <c r="CQ126" s="50" t="n"/>
      <c r="CR126" s="50" t="n"/>
      <c r="CS126" s="50" t="n"/>
      <c r="CT126" s="50" t="n"/>
      <c r="CU126" s="50" t="n"/>
      <c r="CV126" s="50" t="n"/>
      <c r="CW126" s="50" t="n"/>
      <c r="CX126" s="50" t="n"/>
      <c r="CY126" s="50" t="n"/>
      <c r="CZ126" s="50" t="n"/>
      <c r="DA126" s="50" t="n"/>
      <c r="DB126" s="50" t="n"/>
      <c r="DC126" s="50" t="n"/>
      <c r="DD126" s="50" t="n"/>
      <c r="DE126" s="50" t="n"/>
      <c r="DF126" s="50" t="n"/>
      <c r="DG126" s="50" t="n"/>
      <c r="DH126" s="50" t="n"/>
      <c r="DI126" s="50" t="n"/>
      <c r="DJ126" s="50" t="n"/>
      <c r="DK126" s="50" t="n"/>
      <c r="DL126" s="50" t="n"/>
      <c r="DM126" s="50" t="n"/>
      <c r="DN126" s="50" t="n"/>
      <c r="DO126" s="50" t="n"/>
      <c r="DP126" s="50" t="n"/>
      <c r="DQ126" s="50" t="n"/>
      <c r="DR126" s="50" t="n"/>
      <c r="DS126" s="50" t="n"/>
      <c r="DT126" s="50" t="n"/>
      <c r="DU126" s="50" t="n"/>
      <c r="DV126" s="50" t="n"/>
    </row>
    <row r="127">
      <c r="A127" s="47">
        <f>IF(Mitarbeiter!B127="","",Mitarbeiter!A127)</f>
        <v/>
      </c>
      <c r="B127" s="48">
        <f>IF(Mitarbeiter!B127="","",Mitarbeiter!B127)</f>
        <v/>
      </c>
      <c r="C127" s="49">
        <f>IF(Mitarbeiter!B127="","",Mitarbeiter!F127)</f>
        <v/>
      </c>
      <c r="D127" s="25">
        <f>IF(Mitarbeiter!B127="","",Berechnung!AD127)</f>
        <v/>
      </c>
      <c r="E127" s="25">
        <f>IF(Mitarbeiter!B127="","",SUM(G127:DV127))</f>
        <v/>
      </c>
      <c r="G127" s="50" t="n"/>
      <c r="H127" s="50" t="n"/>
      <c r="I127" s="50" t="n"/>
      <c r="J127" s="50" t="n"/>
      <c r="K127" s="50" t="n"/>
      <c r="L127" s="50" t="n"/>
      <c r="M127" s="50" t="n"/>
      <c r="N127" s="50" t="n"/>
      <c r="O127" s="50" t="n"/>
      <c r="P127" s="50" t="n"/>
      <c r="Q127" s="50" t="n"/>
      <c r="R127" s="50" t="n"/>
      <c r="S127" s="50" t="n"/>
      <c r="T127" s="50" t="n"/>
      <c r="U127" s="50" t="n"/>
      <c r="V127" s="50" t="n"/>
      <c r="W127" s="50" t="n"/>
      <c r="X127" s="50" t="n"/>
      <c r="Y127" s="50" t="n"/>
      <c r="Z127" s="50" t="n"/>
      <c r="AA127" s="50" t="n"/>
      <c r="AB127" s="50" t="n"/>
      <c r="AC127" s="50" t="n"/>
      <c r="AD127" s="50" t="n"/>
      <c r="AE127" s="50" t="n"/>
      <c r="AF127" s="50" t="n"/>
      <c r="AG127" s="50" t="n"/>
      <c r="AH127" s="50" t="n"/>
      <c r="AI127" s="50" t="n"/>
      <c r="AJ127" s="50" t="n"/>
      <c r="AK127" s="50" t="n"/>
      <c r="AL127" s="50" t="n"/>
      <c r="AM127" s="50" t="n"/>
      <c r="AN127" s="50" t="n"/>
      <c r="AO127" s="50" t="n"/>
      <c r="AP127" s="50" t="n"/>
      <c r="AQ127" s="50" t="n"/>
      <c r="AR127" s="50" t="n"/>
      <c r="AS127" s="50" t="n"/>
      <c r="AT127" s="50" t="n"/>
      <c r="AU127" s="50" t="n"/>
      <c r="AV127" s="50" t="n"/>
      <c r="AW127" s="50" t="n"/>
      <c r="AX127" s="50" t="n"/>
      <c r="AY127" s="50" t="n"/>
      <c r="AZ127" s="50" t="n"/>
      <c r="BA127" s="50" t="n"/>
      <c r="BB127" s="50" t="n"/>
      <c r="BC127" s="50" t="n"/>
      <c r="BD127" s="50" t="n"/>
      <c r="BE127" s="50" t="n"/>
      <c r="BF127" s="50" t="n"/>
      <c r="BG127" s="50" t="n"/>
      <c r="BH127" s="50" t="n"/>
      <c r="BI127" s="50" t="n"/>
      <c r="BJ127" s="50" t="n"/>
      <c r="BK127" s="50" t="n"/>
      <c r="BL127" s="50" t="n"/>
      <c r="BM127" s="50" t="n"/>
      <c r="BN127" s="50" t="n"/>
      <c r="BO127" s="50" t="n"/>
      <c r="BP127" s="50" t="n"/>
      <c r="BQ127" s="50" t="n"/>
      <c r="BR127" s="50" t="n"/>
      <c r="BS127" s="50" t="n"/>
      <c r="BT127" s="50" t="n"/>
      <c r="BU127" s="50" t="n"/>
      <c r="BV127" s="50" t="n"/>
      <c r="BW127" s="50" t="n"/>
      <c r="BX127" s="50" t="n"/>
      <c r="BY127" s="50" t="n"/>
      <c r="BZ127" s="50" t="n"/>
      <c r="CA127" s="50" t="n"/>
      <c r="CB127" s="50" t="n"/>
      <c r="CC127" s="50" t="n"/>
      <c r="CD127" s="50" t="n"/>
      <c r="CE127" s="50" t="n"/>
      <c r="CF127" s="50" t="n"/>
      <c r="CG127" s="50" t="n"/>
      <c r="CH127" s="50" t="n"/>
      <c r="CI127" s="50" t="n"/>
      <c r="CJ127" s="50" t="n"/>
      <c r="CK127" s="50" t="n"/>
      <c r="CL127" s="50" t="n"/>
      <c r="CM127" s="50" t="n"/>
      <c r="CN127" s="50" t="n"/>
      <c r="CO127" s="50" t="n"/>
      <c r="CP127" s="50" t="n"/>
      <c r="CQ127" s="50" t="n"/>
      <c r="CR127" s="50" t="n"/>
      <c r="CS127" s="50" t="n"/>
      <c r="CT127" s="50" t="n"/>
      <c r="CU127" s="50" t="n"/>
      <c r="CV127" s="50" t="n"/>
      <c r="CW127" s="50" t="n"/>
      <c r="CX127" s="50" t="n"/>
      <c r="CY127" s="50" t="n"/>
      <c r="CZ127" s="50" t="n"/>
      <c r="DA127" s="50" t="n"/>
      <c r="DB127" s="50" t="n"/>
      <c r="DC127" s="50" t="n"/>
      <c r="DD127" s="50" t="n"/>
      <c r="DE127" s="50" t="n"/>
      <c r="DF127" s="50" t="n"/>
      <c r="DG127" s="50" t="n"/>
      <c r="DH127" s="50" t="n"/>
      <c r="DI127" s="50" t="n"/>
      <c r="DJ127" s="50" t="n"/>
      <c r="DK127" s="50" t="n"/>
      <c r="DL127" s="50" t="n"/>
      <c r="DM127" s="50" t="n"/>
      <c r="DN127" s="50" t="n"/>
      <c r="DO127" s="50" t="n"/>
      <c r="DP127" s="50" t="n"/>
      <c r="DQ127" s="50" t="n"/>
      <c r="DR127" s="50" t="n"/>
      <c r="DS127" s="50" t="n"/>
      <c r="DT127" s="50" t="n"/>
      <c r="DU127" s="50" t="n"/>
      <c r="DV127" s="50" t="n"/>
    </row>
    <row r="128">
      <c r="A128" s="47">
        <f>IF(Mitarbeiter!B128="","",Mitarbeiter!A128)</f>
        <v/>
      </c>
      <c r="B128" s="48">
        <f>IF(Mitarbeiter!B128="","",Mitarbeiter!B128)</f>
        <v/>
      </c>
      <c r="C128" s="49">
        <f>IF(Mitarbeiter!B128="","",Mitarbeiter!F128)</f>
        <v/>
      </c>
      <c r="D128" s="25">
        <f>IF(Mitarbeiter!B128="","",Berechnung!AD128)</f>
        <v/>
      </c>
      <c r="E128" s="25">
        <f>IF(Mitarbeiter!B128="","",SUM(G128:DV128))</f>
        <v/>
      </c>
      <c r="G128" s="50" t="n"/>
      <c r="H128" s="50" t="n"/>
      <c r="I128" s="50" t="n"/>
      <c r="J128" s="50" t="n"/>
      <c r="K128" s="50" t="n"/>
      <c r="L128" s="50" t="n"/>
      <c r="M128" s="50" t="n"/>
      <c r="N128" s="50" t="n"/>
      <c r="O128" s="50" t="n"/>
      <c r="P128" s="50" t="n"/>
      <c r="Q128" s="50" t="n"/>
      <c r="R128" s="50" t="n"/>
      <c r="S128" s="50" t="n"/>
      <c r="T128" s="50" t="n"/>
      <c r="U128" s="50" t="n"/>
      <c r="V128" s="50" t="n"/>
      <c r="W128" s="50" t="n"/>
      <c r="X128" s="50" t="n"/>
      <c r="Y128" s="50" t="n"/>
      <c r="Z128" s="50" t="n"/>
      <c r="AA128" s="50" t="n"/>
      <c r="AB128" s="50" t="n"/>
      <c r="AC128" s="50" t="n"/>
      <c r="AD128" s="50" t="n"/>
      <c r="AE128" s="50" t="n"/>
      <c r="AF128" s="50" t="n"/>
      <c r="AG128" s="50" t="n"/>
      <c r="AH128" s="50" t="n"/>
      <c r="AI128" s="50" t="n"/>
      <c r="AJ128" s="50" t="n"/>
      <c r="AK128" s="50" t="n"/>
      <c r="AL128" s="50" t="n"/>
      <c r="AM128" s="50" t="n"/>
      <c r="AN128" s="50" t="n"/>
      <c r="AO128" s="50" t="n"/>
      <c r="AP128" s="50" t="n"/>
      <c r="AQ128" s="50" t="n"/>
      <c r="AR128" s="50" t="n"/>
      <c r="AS128" s="50" t="n"/>
      <c r="AT128" s="50" t="n"/>
      <c r="AU128" s="50" t="n"/>
      <c r="AV128" s="50" t="n"/>
      <c r="AW128" s="50" t="n"/>
      <c r="AX128" s="50" t="n"/>
      <c r="AY128" s="50" t="n"/>
      <c r="AZ128" s="50" t="n"/>
      <c r="BA128" s="50" t="n"/>
      <c r="BB128" s="50" t="n"/>
      <c r="BC128" s="50" t="n"/>
      <c r="BD128" s="50" t="n"/>
      <c r="BE128" s="50" t="n"/>
      <c r="BF128" s="50" t="n"/>
      <c r="BG128" s="50" t="n"/>
      <c r="BH128" s="50" t="n"/>
      <c r="BI128" s="50" t="n"/>
      <c r="BJ128" s="50" t="n"/>
      <c r="BK128" s="50" t="n"/>
      <c r="BL128" s="50" t="n"/>
      <c r="BM128" s="50" t="n"/>
      <c r="BN128" s="50" t="n"/>
      <c r="BO128" s="50" t="n"/>
      <c r="BP128" s="50" t="n"/>
      <c r="BQ128" s="50" t="n"/>
      <c r="BR128" s="50" t="n"/>
      <c r="BS128" s="50" t="n"/>
      <c r="BT128" s="50" t="n"/>
      <c r="BU128" s="50" t="n"/>
      <c r="BV128" s="50" t="n"/>
      <c r="BW128" s="50" t="n"/>
      <c r="BX128" s="50" t="n"/>
      <c r="BY128" s="50" t="n"/>
      <c r="BZ128" s="50" t="n"/>
      <c r="CA128" s="50" t="n"/>
      <c r="CB128" s="50" t="n"/>
      <c r="CC128" s="50" t="n"/>
      <c r="CD128" s="50" t="n"/>
      <c r="CE128" s="50" t="n"/>
      <c r="CF128" s="50" t="n"/>
      <c r="CG128" s="50" t="n"/>
      <c r="CH128" s="50" t="n"/>
      <c r="CI128" s="50" t="n"/>
      <c r="CJ128" s="50" t="n"/>
      <c r="CK128" s="50" t="n"/>
      <c r="CL128" s="50" t="n"/>
      <c r="CM128" s="50" t="n"/>
      <c r="CN128" s="50" t="n"/>
      <c r="CO128" s="50" t="n"/>
      <c r="CP128" s="50" t="n"/>
      <c r="CQ128" s="50" t="n"/>
      <c r="CR128" s="50" t="n"/>
      <c r="CS128" s="50" t="n"/>
      <c r="CT128" s="50" t="n"/>
      <c r="CU128" s="50" t="n"/>
      <c r="CV128" s="50" t="n"/>
      <c r="CW128" s="50" t="n"/>
      <c r="CX128" s="50" t="n"/>
      <c r="CY128" s="50" t="n"/>
      <c r="CZ128" s="50" t="n"/>
      <c r="DA128" s="50" t="n"/>
      <c r="DB128" s="50" t="n"/>
      <c r="DC128" s="50" t="n"/>
      <c r="DD128" s="50" t="n"/>
      <c r="DE128" s="50" t="n"/>
      <c r="DF128" s="50" t="n"/>
      <c r="DG128" s="50" t="n"/>
      <c r="DH128" s="50" t="n"/>
      <c r="DI128" s="50" t="n"/>
      <c r="DJ128" s="50" t="n"/>
      <c r="DK128" s="50" t="n"/>
      <c r="DL128" s="50" t="n"/>
      <c r="DM128" s="50" t="n"/>
      <c r="DN128" s="50" t="n"/>
      <c r="DO128" s="50" t="n"/>
      <c r="DP128" s="50" t="n"/>
      <c r="DQ128" s="50" t="n"/>
      <c r="DR128" s="50" t="n"/>
      <c r="DS128" s="50" t="n"/>
      <c r="DT128" s="50" t="n"/>
      <c r="DU128" s="50" t="n"/>
      <c r="DV128" s="50" t="n"/>
    </row>
    <row r="129">
      <c r="A129" s="47">
        <f>IF(Mitarbeiter!B129="","",Mitarbeiter!A129)</f>
        <v/>
      </c>
      <c r="B129" s="48">
        <f>IF(Mitarbeiter!B129="","",Mitarbeiter!B129)</f>
        <v/>
      </c>
      <c r="C129" s="49">
        <f>IF(Mitarbeiter!B129="","",Mitarbeiter!F129)</f>
        <v/>
      </c>
      <c r="D129" s="25">
        <f>IF(Mitarbeiter!B129="","",Berechnung!AD129)</f>
        <v/>
      </c>
      <c r="E129" s="25">
        <f>IF(Mitarbeiter!B129="","",SUM(G129:DV129))</f>
        <v/>
      </c>
      <c r="G129" s="50" t="n"/>
      <c r="H129" s="50" t="n"/>
      <c r="I129" s="50" t="n"/>
      <c r="J129" s="50" t="n"/>
      <c r="K129" s="50" t="n"/>
      <c r="L129" s="50" t="n"/>
      <c r="M129" s="50" t="n"/>
      <c r="N129" s="50" t="n"/>
      <c r="O129" s="50" t="n"/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  <c r="AB129" s="50" t="n"/>
      <c r="AC129" s="50" t="n"/>
      <c r="AD129" s="50" t="n"/>
      <c r="AE129" s="50" t="n"/>
      <c r="AF129" s="50" t="n"/>
      <c r="AG129" s="50" t="n"/>
      <c r="AH129" s="50" t="n"/>
      <c r="AI129" s="50" t="n"/>
      <c r="AJ129" s="50" t="n"/>
      <c r="AK129" s="50" t="n"/>
      <c r="AL129" s="50" t="n"/>
      <c r="AM129" s="50" t="n"/>
      <c r="AN129" s="50" t="n"/>
      <c r="AO129" s="50" t="n"/>
      <c r="AP129" s="50" t="n"/>
      <c r="AQ129" s="50" t="n"/>
      <c r="AR129" s="50" t="n"/>
      <c r="AS129" s="50" t="n"/>
      <c r="AT129" s="50" t="n"/>
      <c r="AU129" s="50" t="n"/>
      <c r="AV129" s="50" t="n"/>
      <c r="AW129" s="50" t="n"/>
      <c r="AX129" s="50" t="n"/>
      <c r="AY129" s="50" t="n"/>
      <c r="AZ129" s="50" t="n"/>
      <c r="BA129" s="50" t="n"/>
      <c r="BB129" s="50" t="n"/>
      <c r="BC129" s="50" t="n"/>
      <c r="BD129" s="50" t="n"/>
      <c r="BE129" s="50" t="n"/>
      <c r="BF129" s="50" t="n"/>
      <c r="BG129" s="50" t="n"/>
      <c r="BH129" s="50" t="n"/>
      <c r="BI129" s="50" t="n"/>
      <c r="BJ129" s="50" t="n"/>
      <c r="BK129" s="50" t="n"/>
      <c r="BL129" s="50" t="n"/>
      <c r="BM129" s="50" t="n"/>
      <c r="BN129" s="50" t="n"/>
      <c r="BO129" s="50" t="n"/>
      <c r="BP129" s="50" t="n"/>
      <c r="BQ129" s="50" t="n"/>
      <c r="BR129" s="50" t="n"/>
      <c r="BS129" s="50" t="n"/>
      <c r="BT129" s="50" t="n"/>
      <c r="BU129" s="50" t="n"/>
      <c r="BV129" s="50" t="n"/>
      <c r="BW129" s="50" t="n"/>
      <c r="BX129" s="50" t="n"/>
      <c r="BY129" s="50" t="n"/>
      <c r="BZ129" s="50" t="n"/>
      <c r="CA129" s="50" t="n"/>
      <c r="CB129" s="50" t="n"/>
      <c r="CC129" s="50" t="n"/>
      <c r="CD129" s="50" t="n"/>
      <c r="CE129" s="50" t="n"/>
      <c r="CF129" s="50" t="n"/>
      <c r="CG129" s="50" t="n"/>
      <c r="CH129" s="50" t="n"/>
      <c r="CI129" s="50" t="n"/>
      <c r="CJ129" s="50" t="n"/>
      <c r="CK129" s="50" t="n"/>
      <c r="CL129" s="50" t="n"/>
      <c r="CM129" s="50" t="n"/>
      <c r="CN129" s="50" t="n"/>
      <c r="CO129" s="50" t="n"/>
      <c r="CP129" s="50" t="n"/>
      <c r="CQ129" s="50" t="n"/>
      <c r="CR129" s="50" t="n"/>
      <c r="CS129" s="50" t="n"/>
      <c r="CT129" s="50" t="n"/>
      <c r="CU129" s="50" t="n"/>
      <c r="CV129" s="50" t="n"/>
      <c r="CW129" s="50" t="n"/>
      <c r="CX129" s="50" t="n"/>
      <c r="CY129" s="50" t="n"/>
      <c r="CZ129" s="50" t="n"/>
      <c r="DA129" s="50" t="n"/>
      <c r="DB129" s="50" t="n"/>
      <c r="DC129" s="50" t="n"/>
      <c r="DD129" s="50" t="n"/>
      <c r="DE129" s="50" t="n"/>
      <c r="DF129" s="50" t="n"/>
      <c r="DG129" s="50" t="n"/>
      <c r="DH129" s="50" t="n"/>
      <c r="DI129" s="50" t="n"/>
      <c r="DJ129" s="50" t="n"/>
      <c r="DK129" s="50" t="n"/>
      <c r="DL129" s="50" t="n"/>
      <c r="DM129" s="50" t="n"/>
      <c r="DN129" s="50" t="n"/>
      <c r="DO129" s="50" t="n"/>
      <c r="DP129" s="50" t="n"/>
      <c r="DQ129" s="50" t="n"/>
      <c r="DR129" s="50" t="n"/>
      <c r="DS129" s="50" t="n"/>
      <c r="DT129" s="50" t="n"/>
      <c r="DU129" s="50" t="n"/>
      <c r="DV129" s="50" t="n"/>
    </row>
    <row r="130">
      <c r="A130" s="47">
        <f>IF(Mitarbeiter!B130="","",Mitarbeiter!A130)</f>
        <v/>
      </c>
      <c r="B130" s="48">
        <f>IF(Mitarbeiter!B130="","",Mitarbeiter!B130)</f>
        <v/>
      </c>
      <c r="C130" s="49">
        <f>IF(Mitarbeiter!B130="","",Mitarbeiter!F130)</f>
        <v/>
      </c>
      <c r="D130" s="25">
        <f>IF(Mitarbeiter!B130="","",Berechnung!AD130)</f>
        <v/>
      </c>
      <c r="E130" s="25">
        <f>IF(Mitarbeiter!B130="","",SUM(G130:DV130))</f>
        <v/>
      </c>
      <c r="G130" s="50" t="n"/>
      <c r="H130" s="50" t="n"/>
      <c r="I130" s="50" t="n"/>
      <c r="J130" s="50" t="n"/>
      <c r="K130" s="50" t="n"/>
      <c r="L130" s="50" t="n"/>
      <c r="M130" s="50" t="n"/>
      <c r="N130" s="50" t="n"/>
      <c r="O130" s="50" t="n"/>
      <c r="P130" s="50" t="n"/>
      <c r="Q130" s="50" t="n"/>
      <c r="R130" s="50" t="n"/>
      <c r="S130" s="50" t="n"/>
      <c r="T130" s="50" t="n"/>
      <c r="U130" s="50" t="n"/>
      <c r="V130" s="50" t="n"/>
      <c r="W130" s="50" t="n"/>
      <c r="X130" s="50" t="n"/>
      <c r="Y130" s="50" t="n"/>
      <c r="Z130" s="50" t="n"/>
      <c r="AA130" s="50" t="n"/>
      <c r="AB130" s="50" t="n"/>
      <c r="AC130" s="50" t="n"/>
      <c r="AD130" s="50" t="n"/>
      <c r="AE130" s="50" t="n"/>
      <c r="AF130" s="50" t="n"/>
      <c r="AG130" s="50" t="n"/>
      <c r="AH130" s="50" t="n"/>
      <c r="AI130" s="50" t="n"/>
      <c r="AJ130" s="50" t="n"/>
      <c r="AK130" s="50" t="n"/>
      <c r="AL130" s="50" t="n"/>
      <c r="AM130" s="50" t="n"/>
      <c r="AN130" s="50" t="n"/>
      <c r="AO130" s="50" t="n"/>
      <c r="AP130" s="50" t="n"/>
      <c r="AQ130" s="50" t="n"/>
      <c r="AR130" s="50" t="n"/>
      <c r="AS130" s="50" t="n"/>
      <c r="AT130" s="50" t="n"/>
      <c r="AU130" s="50" t="n"/>
      <c r="AV130" s="50" t="n"/>
      <c r="AW130" s="50" t="n"/>
      <c r="AX130" s="50" t="n"/>
      <c r="AY130" s="50" t="n"/>
      <c r="AZ130" s="50" t="n"/>
      <c r="BA130" s="50" t="n"/>
      <c r="BB130" s="50" t="n"/>
      <c r="BC130" s="50" t="n"/>
      <c r="BD130" s="50" t="n"/>
      <c r="BE130" s="50" t="n"/>
      <c r="BF130" s="50" t="n"/>
      <c r="BG130" s="50" t="n"/>
      <c r="BH130" s="50" t="n"/>
      <c r="BI130" s="50" t="n"/>
      <c r="BJ130" s="50" t="n"/>
      <c r="BK130" s="50" t="n"/>
      <c r="BL130" s="50" t="n"/>
      <c r="BM130" s="50" t="n"/>
      <c r="BN130" s="50" t="n"/>
      <c r="BO130" s="50" t="n"/>
      <c r="BP130" s="50" t="n"/>
      <c r="BQ130" s="50" t="n"/>
      <c r="BR130" s="50" t="n"/>
      <c r="BS130" s="50" t="n"/>
      <c r="BT130" s="50" t="n"/>
      <c r="BU130" s="50" t="n"/>
      <c r="BV130" s="50" t="n"/>
      <c r="BW130" s="50" t="n"/>
      <c r="BX130" s="50" t="n"/>
      <c r="BY130" s="50" t="n"/>
      <c r="BZ130" s="50" t="n"/>
      <c r="CA130" s="50" t="n"/>
      <c r="CB130" s="50" t="n"/>
      <c r="CC130" s="50" t="n"/>
      <c r="CD130" s="50" t="n"/>
      <c r="CE130" s="50" t="n"/>
      <c r="CF130" s="50" t="n"/>
      <c r="CG130" s="50" t="n"/>
      <c r="CH130" s="50" t="n"/>
      <c r="CI130" s="50" t="n"/>
      <c r="CJ130" s="50" t="n"/>
      <c r="CK130" s="50" t="n"/>
      <c r="CL130" s="50" t="n"/>
      <c r="CM130" s="50" t="n"/>
      <c r="CN130" s="50" t="n"/>
      <c r="CO130" s="50" t="n"/>
      <c r="CP130" s="50" t="n"/>
      <c r="CQ130" s="50" t="n"/>
      <c r="CR130" s="50" t="n"/>
      <c r="CS130" s="50" t="n"/>
      <c r="CT130" s="50" t="n"/>
      <c r="CU130" s="50" t="n"/>
      <c r="CV130" s="50" t="n"/>
      <c r="CW130" s="50" t="n"/>
      <c r="CX130" s="50" t="n"/>
      <c r="CY130" s="50" t="n"/>
      <c r="CZ130" s="50" t="n"/>
      <c r="DA130" s="50" t="n"/>
      <c r="DB130" s="50" t="n"/>
      <c r="DC130" s="50" t="n"/>
      <c r="DD130" s="50" t="n"/>
      <c r="DE130" s="50" t="n"/>
      <c r="DF130" s="50" t="n"/>
      <c r="DG130" s="50" t="n"/>
      <c r="DH130" s="50" t="n"/>
      <c r="DI130" s="50" t="n"/>
      <c r="DJ130" s="50" t="n"/>
      <c r="DK130" s="50" t="n"/>
      <c r="DL130" s="50" t="n"/>
      <c r="DM130" s="50" t="n"/>
      <c r="DN130" s="50" t="n"/>
      <c r="DO130" s="50" t="n"/>
      <c r="DP130" s="50" t="n"/>
      <c r="DQ130" s="50" t="n"/>
      <c r="DR130" s="50" t="n"/>
      <c r="DS130" s="50" t="n"/>
      <c r="DT130" s="50" t="n"/>
      <c r="DU130" s="50" t="n"/>
      <c r="DV130" s="50" t="n"/>
    </row>
    <row r="131">
      <c r="A131" s="47">
        <f>IF(Mitarbeiter!B131="","",Mitarbeiter!A131)</f>
        <v/>
      </c>
      <c r="B131" s="48">
        <f>IF(Mitarbeiter!B131="","",Mitarbeiter!B131)</f>
        <v/>
      </c>
      <c r="C131" s="49">
        <f>IF(Mitarbeiter!B131="","",Mitarbeiter!F131)</f>
        <v/>
      </c>
      <c r="D131" s="25">
        <f>IF(Mitarbeiter!B131="","",Berechnung!AD131)</f>
        <v/>
      </c>
      <c r="E131" s="25">
        <f>IF(Mitarbeiter!B131="","",SUM(G131:DV131))</f>
        <v/>
      </c>
      <c r="G131" s="50" t="n"/>
      <c r="H131" s="50" t="n"/>
      <c r="I131" s="50" t="n"/>
      <c r="J131" s="50" t="n"/>
      <c r="K131" s="50" t="n"/>
      <c r="L131" s="50" t="n"/>
      <c r="M131" s="50" t="n"/>
      <c r="N131" s="50" t="n"/>
      <c r="O131" s="50" t="n"/>
      <c r="P131" s="50" t="n"/>
      <c r="Q131" s="50" t="n"/>
      <c r="R131" s="50" t="n"/>
      <c r="S131" s="50" t="n"/>
      <c r="T131" s="50" t="n"/>
      <c r="U131" s="50" t="n"/>
      <c r="V131" s="50" t="n"/>
      <c r="W131" s="50" t="n"/>
      <c r="X131" s="50" t="n"/>
      <c r="Y131" s="50" t="n"/>
      <c r="Z131" s="50" t="n"/>
      <c r="AA131" s="50" t="n"/>
      <c r="AB131" s="50" t="n"/>
      <c r="AC131" s="50" t="n"/>
      <c r="AD131" s="50" t="n"/>
      <c r="AE131" s="50" t="n"/>
      <c r="AF131" s="50" t="n"/>
      <c r="AG131" s="50" t="n"/>
      <c r="AH131" s="50" t="n"/>
      <c r="AI131" s="50" t="n"/>
      <c r="AJ131" s="50" t="n"/>
      <c r="AK131" s="50" t="n"/>
      <c r="AL131" s="50" t="n"/>
      <c r="AM131" s="50" t="n"/>
      <c r="AN131" s="50" t="n"/>
      <c r="AO131" s="50" t="n"/>
      <c r="AP131" s="50" t="n"/>
      <c r="AQ131" s="50" t="n"/>
      <c r="AR131" s="50" t="n"/>
      <c r="AS131" s="50" t="n"/>
      <c r="AT131" s="50" t="n"/>
      <c r="AU131" s="50" t="n"/>
      <c r="AV131" s="50" t="n"/>
      <c r="AW131" s="50" t="n"/>
      <c r="AX131" s="50" t="n"/>
      <c r="AY131" s="50" t="n"/>
      <c r="AZ131" s="50" t="n"/>
      <c r="BA131" s="50" t="n"/>
      <c r="BB131" s="50" t="n"/>
      <c r="BC131" s="50" t="n"/>
      <c r="BD131" s="50" t="n"/>
      <c r="BE131" s="50" t="n"/>
      <c r="BF131" s="50" t="n"/>
      <c r="BG131" s="50" t="n"/>
      <c r="BH131" s="50" t="n"/>
      <c r="BI131" s="50" t="n"/>
      <c r="BJ131" s="50" t="n"/>
      <c r="BK131" s="50" t="n"/>
      <c r="BL131" s="50" t="n"/>
      <c r="BM131" s="50" t="n"/>
      <c r="BN131" s="50" t="n"/>
      <c r="BO131" s="50" t="n"/>
      <c r="BP131" s="50" t="n"/>
      <c r="BQ131" s="50" t="n"/>
      <c r="BR131" s="50" t="n"/>
      <c r="BS131" s="50" t="n"/>
      <c r="BT131" s="50" t="n"/>
      <c r="BU131" s="50" t="n"/>
      <c r="BV131" s="50" t="n"/>
      <c r="BW131" s="50" t="n"/>
      <c r="BX131" s="50" t="n"/>
      <c r="BY131" s="50" t="n"/>
      <c r="BZ131" s="50" t="n"/>
      <c r="CA131" s="50" t="n"/>
      <c r="CB131" s="50" t="n"/>
      <c r="CC131" s="50" t="n"/>
      <c r="CD131" s="50" t="n"/>
      <c r="CE131" s="50" t="n"/>
      <c r="CF131" s="50" t="n"/>
      <c r="CG131" s="50" t="n"/>
      <c r="CH131" s="50" t="n"/>
      <c r="CI131" s="50" t="n"/>
      <c r="CJ131" s="50" t="n"/>
      <c r="CK131" s="50" t="n"/>
      <c r="CL131" s="50" t="n"/>
      <c r="CM131" s="50" t="n"/>
      <c r="CN131" s="50" t="n"/>
      <c r="CO131" s="50" t="n"/>
      <c r="CP131" s="50" t="n"/>
      <c r="CQ131" s="50" t="n"/>
      <c r="CR131" s="50" t="n"/>
      <c r="CS131" s="50" t="n"/>
      <c r="CT131" s="50" t="n"/>
      <c r="CU131" s="50" t="n"/>
      <c r="CV131" s="50" t="n"/>
      <c r="CW131" s="50" t="n"/>
      <c r="CX131" s="50" t="n"/>
      <c r="CY131" s="50" t="n"/>
      <c r="CZ131" s="50" t="n"/>
      <c r="DA131" s="50" t="n"/>
      <c r="DB131" s="50" t="n"/>
      <c r="DC131" s="50" t="n"/>
      <c r="DD131" s="50" t="n"/>
      <c r="DE131" s="50" t="n"/>
      <c r="DF131" s="50" t="n"/>
      <c r="DG131" s="50" t="n"/>
      <c r="DH131" s="50" t="n"/>
      <c r="DI131" s="50" t="n"/>
      <c r="DJ131" s="50" t="n"/>
      <c r="DK131" s="50" t="n"/>
      <c r="DL131" s="50" t="n"/>
      <c r="DM131" s="50" t="n"/>
      <c r="DN131" s="50" t="n"/>
      <c r="DO131" s="50" t="n"/>
      <c r="DP131" s="50" t="n"/>
      <c r="DQ131" s="50" t="n"/>
      <c r="DR131" s="50" t="n"/>
      <c r="DS131" s="50" t="n"/>
      <c r="DT131" s="50" t="n"/>
      <c r="DU131" s="50" t="n"/>
      <c r="DV131" s="50" t="n"/>
    </row>
    <row r="132">
      <c r="A132" s="47">
        <f>IF(Mitarbeiter!B132="","",Mitarbeiter!A132)</f>
        <v/>
      </c>
      <c r="B132" s="48">
        <f>IF(Mitarbeiter!B132="","",Mitarbeiter!B132)</f>
        <v/>
      </c>
      <c r="C132" s="49">
        <f>IF(Mitarbeiter!B132="","",Mitarbeiter!F132)</f>
        <v/>
      </c>
      <c r="D132" s="25">
        <f>IF(Mitarbeiter!B132="","",Berechnung!AD132)</f>
        <v/>
      </c>
      <c r="E132" s="25">
        <f>IF(Mitarbeiter!B132="","",SUM(G132:DV132))</f>
        <v/>
      </c>
      <c r="G132" s="50" t="n"/>
      <c r="H132" s="50" t="n"/>
      <c r="I132" s="50" t="n"/>
      <c r="J132" s="50" t="n"/>
      <c r="K132" s="50" t="n"/>
      <c r="L132" s="50" t="n"/>
      <c r="M132" s="50" t="n"/>
      <c r="N132" s="50" t="n"/>
      <c r="O132" s="50" t="n"/>
      <c r="P132" s="50" t="n"/>
      <c r="Q132" s="50" t="n"/>
      <c r="R132" s="50" t="n"/>
      <c r="S132" s="50" t="n"/>
      <c r="T132" s="50" t="n"/>
      <c r="U132" s="50" t="n"/>
      <c r="V132" s="50" t="n"/>
      <c r="W132" s="50" t="n"/>
      <c r="X132" s="50" t="n"/>
      <c r="Y132" s="50" t="n"/>
      <c r="Z132" s="50" t="n"/>
      <c r="AA132" s="50" t="n"/>
      <c r="AB132" s="50" t="n"/>
      <c r="AC132" s="50" t="n"/>
      <c r="AD132" s="50" t="n"/>
      <c r="AE132" s="50" t="n"/>
      <c r="AF132" s="50" t="n"/>
      <c r="AG132" s="50" t="n"/>
      <c r="AH132" s="50" t="n"/>
      <c r="AI132" s="50" t="n"/>
      <c r="AJ132" s="50" t="n"/>
      <c r="AK132" s="50" t="n"/>
      <c r="AL132" s="50" t="n"/>
      <c r="AM132" s="50" t="n"/>
      <c r="AN132" s="50" t="n"/>
      <c r="AO132" s="50" t="n"/>
      <c r="AP132" s="50" t="n"/>
      <c r="AQ132" s="50" t="n"/>
      <c r="AR132" s="50" t="n"/>
      <c r="AS132" s="50" t="n"/>
      <c r="AT132" s="50" t="n"/>
      <c r="AU132" s="50" t="n"/>
      <c r="AV132" s="50" t="n"/>
      <c r="AW132" s="50" t="n"/>
      <c r="AX132" s="50" t="n"/>
      <c r="AY132" s="50" t="n"/>
      <c r="AZ132" s="50" t="n"/>
      <c r="BA132" s="50" t="n"/>
      <c r="BB132" s="50" t="n"/>
      <c r="BC132" s="50" t="n"/>
      <c r="BD132" s="50" t="n"/>
      <c r="BE132" s="50" t="n"/>
      <c r="BF132" s="50" t="n"/>
      <c r="BG132" s="50" t="n"/>
      <c r="BH132" s="50" t="n"/>
      <c r="BI132" s="50" t="n"/>
      <c r="BJ132" s="50" t="n"/>
      <c r="BK132" s="50" t="n"/>
      <c r="BL132" s="50" t="n"/>
      <c r="BM132" s="50" t="n"/>
      <c r="BN132" s="50" t="n"/>
      <c r="BO132" s="50" t="n"/>
      <c r="BP132" s="50" t="n"/>
      <c r="BQ132" s="50" t="n"/>
      <c r="BR132" s="50" t="n"/>
      <c r="BS132" s="50" t="n"/>
      <c r="BT132" s="50" t="n"/>
      <c r="BU132" s="50" t="n"/>
      <c r="BV132" s="50" t="n"/>
      <c r="BW132" s="50" t="n"/>
      <c r="BX132" s="50" t="n"/>
      <c r="BY132" s="50" t="n"/>
      <c r="BZ132" s="50" t="n"/>
      <c r="CA132" s="50" t="n"/>
      <c r="CB132" s="50" t="n"/>
      <c r="CC132" s="50" t="n"/>
      <c r="CD132" s="50" t="n"/>
      <c r="CE132" s="50" t="n"/>
      <c r="CF132" s="50" t="n"/>
      <c r="CG132" s="50" t="n"/>
      <c r="CH132" s="50" t="n"/>
      <c r="CI132" s="50" t="n"/>
      <c r="CJ132" s="50" t="n"/>
      <c r="CK132" s="50" t="n"/>
      <c r="CL132" s="50" t="n"/>
      <c r="CM132" s="50" t="n"/>
      <c r="CN132" s="50" t="n"/>
      <c r="CO132" s="50" t="n"/>
      <c r="CP132" s="50" t="n"/>
      <c r="CQ132" s="50" t="n"/>
      <c r="CR132" s="50" t="n"/>
      <c r="CS132" s="50" t="n"/>
      <c r="CT132" s="50" t="n"/>
      <c r="CU132" s="50" t="n"/>
      <c r="CV132" s="50" t="n"/>
      <c r="CW132" s="50" t="n"/>
      <c r="CX132" s="50" t="n"/>
      <c r="CY132" s="50" t="n"/>
      <c r="CZ132" s="50" t="n"/>
      <c r="DA132" s="50" t="n"/>
      <c r="DB132" s="50" t="n"/>
      <c r="DC132" s="50" t="n"/>
      <c r="DD132" s="50" t="n"/>
      <c r="DE132" s="50" t="n"/>
      <c r="DF132" s="50" t="n"/>
      <c r="DG132" s="50" t="n"/>
      <c r="DH132" s="50" t="n"/>
      <c r="DI132" s="50" t="n"/>
      <c r="DJ132" s="50" t="n"/>
      <c r="DK132" s="50" t="n"/>
      <c r="DL132" s="50" t="n"/>
      <c r="DM132" s="50" t="n"/>
      <c r="DN132" s="50" t="n"/>
      <c r="DO132" s="50" t="n"/>
      <c r="DP132" s="50" t="n"/>
      <c r="DQ132" s="50" t="n"/>
      <c r="DR132" s="50" t="n"/>
      <c r="DS132" s="50" t="n"/>
      <c r="DT132" s="50" t="n"/>
      <c r="DU132" s="50" t="n"/>
      <c r="DV132" s="50" t="n"/>
    </row>
    <row r="133">
      <c r="A133" s="47">
        <f>IF(Mitarbeiter!B133="","",Mitarbeiter!A133)</f>
        <v/>
      </c>
      <c r="B133" s="48">
        <f>IF(Mitarbeiter!B133="","",Mitarbeiter!B133)</f>
        <v/>
      </c>
      <c r="C133" s="49">
        <f>IF(Mitarbeiter!B133="","",Mitarbeiter!F133)</f>
        <v/>
      </c>
      <c r="D133" s="25">
        <f>IF(Mitarbeiter!B133="","",Berechnung!AD133)</f>
        <v/>
      </c>
      <c r="E133" s="25">
        <f>IF(Mitarbeiter!B133="","",SUM(G133:DV133))</f>
        <v/>
      </c>
      <c r="G133" s="50" t="n"/>
      <c r="H133" s="50" t="n"/>
      <c r="I133" s="50" t="n"/>
      <c r="J133" s="50" t="n"/>
      <c r="K133" s="50" t="n"/>
      <c r="L133" s="50" t="n"/>
      <c r="M133" s="50" t="n"/>
      <c r="N133" s="50" t="n"/>
      <c r="O133" s="50" t="n"/>
      <c r="P133" s="50" t="n"/>
      <c r="Q133" s="50" t="n"/>
      <c r="R133" s="50" t="n"/>
      <c r="S133" s="50" t="n"/>
      <c r="T133" s="50" t="n"/>
      <c r="U133" s="50" t="n"/>
      <c r="V133" s="50" t="n"/>
      <c r="W133" s="50" t="n"/>
      <c r="X133" s="50" t="n"/>
      <c r="Y133" s="50" t="n"/>
      <c r="Z133" s="50" t="n"/>
      <c r="AA133" s="50" t="n"/>
      <c r="AB133" s="50" t="n"/>
      <c r="AC133" s="50" t="n"/>
      <c r="AD133" s="50" t="n"/>
      <c r="AE133" s="50" t="n"/>
      <c r="AF133" s="50" t="n"/>
      <c r="AG133" s="50" t="n"/>
      <c r="AH133" s="50" t="n"/>
      <c r="AI133" s="50" t="n"/>
      <c r="AJ133" s="50" t="n"/>
      <c r="AK133" s="50" t="n"/>
      <c r="AL133" s="50" t="n"/>
      <c r="AM133" s="50" t="n"/>
      <c r="AN133" s="50" t="n"/>
      <c r="AO133" s="50" t="n"/>
      <c r="AP133" s="50" t="n"/>
      <c r="AQ133" s="50" t="n"/>
      <c r="AR133" s="50" t="n"/>
      <c r="AS133" s="50" t="n"/>
      <c r="AT133" s="50" t="n"/>
      <c r="AU133" s="50" t="n"/>
      <c r="AV133" s="50" t="n"/>
      <c r="AW133" s="50" t="n"/>
      <c r="AX133" s="50" t="n"/>
      <c r="AY133" s="50" t="n"/>
      <c r="AZ133" s="50" t="n"/>
      <c r="BA133" s="50" t="n"/>
      <c r="BB133" s="50" t="n"/>
      <c r="BC133" s="50" t="n"/>
      <c r="BD133" s="50" t="n"/>
      <c r="BE133" s="50" t="n"/>
      <c r="BF133" s="50" t="n"/>
      <c r="BG133" s="50" t="n"/>
      <c r="BH133" s="50" t="n"/>
      <c r="BI133" s="50" t="n"/>
      <c r="BJ133" s="50" t="n"/>
      <c r="BK133" s="50" t="n"/>
      <c r="BL133" s="50" t="n"/>
      <c r="BM133" s="50" t="n"/>
      <c r="BN133" s="50" t="n"/>
      <c r="BO133" s="50" t="n"/>
      <c r="BP133" s="50" t="n"/>
      <c r="BQ133" s="50" t="n"/>
      <c r="BR133" s="50" t="n"/>
      <c r="BS133" s="50" t="n"/>
      <c r="BT133" s="50" t="n"/>
      <c r="BU133" s="50" t="n"/>
      <c r="BV133" s="50" t="n"/>
      <c r="BW133" s="50" t="n"/>
      <c r="BX133" s="50" t="n"/>
      <c r="BY133" s="50" t="n"/>
      <c r="BZ133" s="50" t="n"/>
      <c r="CA133" s="50" t="n"/>
      <c r="CB133" s="50" t="n"/>
      <c r="CC133" s="50" t="n"/>
      <c r="CD133" s="50" t="n"/>
      <c r="CE133" s="50" t="n"/>
      <c r="CF133" s="50" t="n"/>
      <c r="CG133" s="50" t="n"/>
      <c r="CH133" s="50" t="n"/>
      <c r="CI133" s="50" t="n"/>
      <c r="CJ133" s="50" t="n"/>
      <c r="CK133" s="50" t="n"/>
      <c r="CL133" s="50" t="n"/>
      <c r="CM133" s="50" t="n"/>
      <c r="CN133" s="50" t="n"/>
      <c r="CO133" s="50" t="n"/>
      <c r="CP133" s="50" t="n"/>
      <c r="CQ133" s="50" t="n"/>
      <c r="CR133" s="50" t="n"/>
      <c r="CS133" s="50" t="n"/>
      <c r="CT133" s="50" t="n"/>
      <c r="CU133" s="50" t="n"/>
      <c r="CV133" s="50" t="n"/>
      <c r="CW133" s="50" t="n"/>
      <c r="CX133" s="50" t="n"/>
      <c r="CY133" s="50" t="n"/>
      <c r="CZ133" s="50" t="n"/>
      <c r="DA133" s="50" t="n"/>
      <c r="DB133" s="50" t="n"/>
      <c r="DC133" s="50" t="n"/>
      <c r="DD133" s="50" t="n"/>
      <c r="DE133" s="50" t="n"/>
      <c r="DF133" s="50" t="n"/>
      <c r="DG133" s="50" t="n"/>
      <c r="DH133" s="50" t="n"/>
      <c r="DI133" s="50" t="n"/>
      <c r="DJ133" s="50" t="n"/>
      <c r="DK133" s="50" t="n"/>
      <c r="DL133" s="50" t="n"/>
      <c r="DM133" s="50" t="n"/>
      <c r="DN133" s="50" t="n"/>
      <c r="DO133" s="50" t="n"/>
      <c r="DP133" s="50" t="n"/>
      <c r="DQ133" s="50" t="n"/>
      <c r="DR133" s="50" t="n"/>
      <c r="DS133" s="50" t="n"/>
      <c r="DT133" s="50" t="n"/>
      <c r="DU133" s="50" t="n"/>
      <c r="DV133" s="50" t="n"/>
    </row>
    <row r="134">
      <c r="A134" s="47">
        <f>IF(Mitarbeiter!B134="","",Mitarbeiter!A134)</f>
        <v/>
      </c>
      <c r="B134" s="48">
        <f>IF(Mitarbeiter!B134="","",Mitarbeiter!B134)</f>
        <v/>
      </c>
      <c r="C134" s="49">
        <f>IF(Mitarbeiter!B134="","",Mitarbeiter!F134)</f>
        <v/>
      </c>
      <c r="D134" s="25">
        <f>IF(Mitarbeiter!B134="","",Berechnung!AD134)</f>
        <v/>
      </c>
      <c r="E134" s="25">
        <f>IF(Mitarbeiter!B134="","",SUM(G134:DV134))</f>
        <v/>
      </c>
      <c r="G134" s="50" t="n"/>
      <c r="H134" s="50" t="n"/>
      <c r="I134" s="50" t="n"/>
      <c r="J134" s="50" t="n"/>
      <c r="K134" s="50" t="n"/>
      <c r="L134" s="50" t="n"/>
      <c r="M134" s="50" t="n"/>
      <c r="N134" s="50" t="n"/>
      <c r="O134" s="50" t="n"/>
      <c r="P134" s="50" t="n"/>
      <c r="Q134" s="50" t="n"/>
      <c r="R134" s="50" t="n"/>
      <c r="S134" s="50" t="n"/>
      <c r="T134" s="50" t="n"/>
      <c r="U134" s="50" t="n"/>
      <c r="V134" s="50" t="n"/>
      <c r="W134" s="50" t="n"/>
      <c r="X134" s="50" t="n"/>
      <c r="Y134" s="50" t="n"/>
      <c r="Z134" s="50" t="n"/>
      <c r="AA134" s="50" t="n"/>
      <c r="AB134" s="50" t="n"/>
      <c r="AC134" s="50" t="n"/>
      <c r="AD134" s="50" t="n"/>
      <c r="AE134" s="50" t="n"/>
      <c r="AF134" s="50" t="n"/>
      <c r="AG134" s="50" t="n"/>
      <c r="AH134" s="50" t="n"/>
      <c r="AI134" s="50" t="n"/>
      <c r="AJ134" s="50" t="n"/>
      <c r="AK134" s="50" t="n"/>
      <c r="AL134" s="50" t="n"/>
      <c r="AM134" s="50" t="n"/>
      <c r="AN134" s="50" t="n"/>
      <c r="AO134" s="50" t="n"/>
      <c r="AP134" s="50" t="n"/>
      <c r="AQ134" s="50" t="n"/>
      <c r="AR134" s="50" t="n"/>
      <c r="AS134" s="50" t="n"/>
      <c r="AT134" s="50" t="n"/>
      <c r="AU134" s="50" t="n"/>
      <c r="AV134" s="50" t="n"/>
      <c r="AW134" s="50" t="n"/>
      <c r="AX134" s="50" t="n"/>
      <c r="AY134" s="50" t="n"/>
      <c r="AZ134" s="50" t="n"/>
      <c r="BA134" s="50" t="n"/>
      <c r="BB134" s="50" t="n"/>
      <c r="BC134" s="50" t="n"/>
      <c r="BD134" s="50" t="n"/>
      <c r="BE134" s="50" t="n"/>
      <c r="BF134" s="50" t="n"/>
      <c r="BG134" s="50" t="n"/>
      <c r="BH134" s="50" t="n"/>
      <c r="BI134" s="50" t="n"/>
      <c r="BJ134" s="50" t="n"/>
      <c r="BK134" s="50" t="n"/>
      <c r="BL134" s="50" t="n"/>
      <c r="BM134" s="50" t="n"/>
      <c r="BN134" s="50" t="n"/>
      <c r="BO134" s="50" t="n"/>
      <c r="BP134" s="50" t="n"/>
      <c r="BQ134" s="50" t="n"/>
      <c r="BR134" s="50" t="n"/>
      <c r="BS134" s="50" t="n"/>
      <c r="BT134" s="50" t="n"/>
      <c r="BU134" s="50" t="n"/>
      <c r="BV134" s="50" t="n"/>
      <c r="BW134" s="50" t="n"/>
      <c r="BX134" s="50" t="n"/>
      <c r="BY134" s="50" t="n"/>
      <c r="BZ134" s="50" t="n"/>
      <c r="CA134" s="50" t="n"/>
      <c r="CB134" s="50" t="n"/>
      <c r="CC134" s="50" t="n"/>
      <c r="CD134" s="50" t="n"/>
      <c r="CE134" s="50" t="n"/>
      <c r="CF134" s="50" t="n"/>
      <c r="CG134" s="50" t="n"/>
      <c r="CH134" s="50" t="n"/>
      <c r="CI134" s="50" t="n"/>
      <c r="CJ134" s="50" t="n"/>
      <c r="CK134" s="50" t="n"/>
      <c r="CL134" s="50" t="n"/>
      <c r="CM134" s="50" t="n"/>
      <c r="CN134" s="50" t="n"/>
      <c r="CO134" s="50" t="n"/>
      <c r="CP134" s="50" t="n"/>
      <c r="CQ134" s="50" t="n"/>
      <c r="CR134" s="50" t="n"/>
      <c r="CS134" s="50" t="n"/>
      <c r="CT134" s="50" t="n"/>
      <c r="CU134" s="50" t="n"/>
      <c r="CV134" s="50" t="n"/>
      <c r="CW134" s="50" t="n"/>
      <c r="CX134" s="50" t="n"/>
      <c r="CY134" s="50" t="n"/>
      <c r="CZ134" s="50" t="n"/>
      <c r="DA134" s="50" t="n"/>
      <c r="DB134" s="50" t="n"/>
      <c r="DC134" s="50" t="n"/>
      <c r="DD134" s="50" t="n"/>
      <c r="DE134" s="50" t="n"/>
      <c r="DF134" s="50" t="n"/>
      <c r="DG134" s="50" t="n"/>
      <c r="DH134" s="50" t="n"/>
      <c r="DI134" s="50" t="n"/>
      <c r="DJ134" s="50" t="n"/>
      <c r="DK134" s="50" t="n"/>
      <c r="DL134" s="50" t="n"/>
      <c r="DM134" s="50" t="n"/>
      <c r="DN134" s="50" t="n"/>
      <c r="DO134" s="50" t="n"/>
      <c r="DP134" s="50" t="n"/>
      <c r="DQ134" s="50" t="n"/>
      <c r="DR134" s="50" t="n"/>
      <c r="DS134" s="50" t="n"/>
      <c r="DT134" s="50" t="n"/>
      <c r="DU134" s="50" t="n"/>
      <c r="DV134" s="50" t="n"/>
    </row>
    <row r="135">
      <c r="A135" s="47">
        <f>IF(Mitarbeiter!B135="","",Mitarbeiter!A135)</f>
        <v/>
      </c>
      <c r="B135" s="48">
        <f>IF(Mitarbeiter!B135="","",Mitarbeiter!B135)</f>
        <v/>
      </c>
      <c r="C135" s="49">
        <f>IF(Mitarbeiter!B135="","",Mitarbeiter!F135)</f>
        <v/>
      </c>
      <c r="D135" s="25">
        <f>IF(Mitarbeiter!B135="","",Berechnung!AD135)</f>
        <v/>
      </c>
      <c r="E135" s="25">
        <f>IF(Mitarbeiter!B135="","",SUM(G135:DV135))</f>
        <v/>
      </c>
      <c r="G135" s="50" t="n"/>
      <c r="H135" s="50" t="n"/>
      <c r="I135" s="50" t="n"/>
      <c r="J135" s="50" t="n"/>
      <c r="K135" s="50" t="n"/>
      <c r="L135" s="50" t="n"/>
      <c r="M135" s="50" t="n"/>
      <c r="N135" s="50" t="n"/>
      <c r="O135" s="50" t="n"/>
      <c r="P135" s="50" t="n"/>
      <c r="Q135" s="50" t="n"/>
      <c r="R135" s="50" t="n"/>
      <c r="S135" s="50" t="n"/>
      <c r="T135" s="50" t="n"/>
      <c r="U135" s="50" t="n"/>
      <c r="V135" s="50" t="n"/>
      <c r="W135" s="50" t="n"/>
      <c r="X135" s="50" t="n"/>
      <c r="Y135" s="50" t="n"/>
      <c r="Z135" s="50" t="n"/>
      <c r="AA135" s="50" t="n"/>
      <c r="AB135" s="50" t="n"/>
      <c r="AC135" s="50" t="n"/>
      <c r="AD135" s="50" t="n"/>
      <c r="AE135" s="50" t="n"/>
      <c r="AF135" s="50" t="n"/>
      <c r="AG135" s="50" t="n"/>
      <c r="AH135" s="50" t="n"/>
      <c r="AI135" s="50" t="n"/>
      <c r="AJ135" s="50" t="n"/>
      <c r="AK135" s="50" t="n"/>
      <c r="AL135" s="50" t="n"/>
      <c r="AM135" s="50" t="n"/>
      <c r="AN135" s="50" t="n"/>
      <c r="AO135" s="50" t="n"/>
      <c r="AP135" s="50" t="n"/>
      <c r="AQ135" s="50" t="n"/>
      <c r="AR135" s="50" t="n"/>
      <c r="AS135" s="50" t="n"/>
      <c r="AT135" s="50" t="n"/>
      <c r="AU135" s="50" t="n"/>
      <c r="AV135" s="50" t="n"/>
      <c r="AW135" s="50" t="n"/>
      <c r="AX135" s="50" t="n"/>
      <c r="AY135" s="50" t="n"/>
      <c r="AZ135" s="50" t="n"/>
      <c r="BA135" s="50" t="n"/>
      <c r="BB135" s="50" t="n"/>
      <c r="BC135" s="50" t="n"/>
      <c r="BD135" s="50" t="n"/>
      <c r="BE135" s="50" t="n"/>
      <c r="BF135" s="50" t="n"/>
      <c r="BG135" s="50" t="n"/>
      <c r="BH135" s="50" t="n"/>
      <c r="BI135" s="50" t="n"/>
      <c r="BJ135" s="50" t="n"/>
      <c r="BK135" s="50" t="n"/>
      <c r="BL135" s="50" t="n"/>
      <c r="BM135" s="50" t="n"/>
      <c r="BN135" s="50" t="n"/>
      <c r="BO135" s="50" t="n"/>
      <c r="BP135" s="50" t="n"/>
      <c r="BQ135" s="50" t="n"/>
      <c r="BR135" s="50" t="n"/>
      <c r="BS135" s="50" t="n"/>
      <c r="BT135" s="50" t="n"/>
      <c r="BU135" s="50" t="n"/>
      <c r="BV135" s="50" t="n"/>
      <c r="BW135" s="50" t="n"/>
      <c r="BX135" s="50" t="n"/>
      <c r="BY135" s="50" t="n"/>
      <c r="BZ135" s="50" t="n"/>
      <c r="CA135" s="50" t="n"/>
      <c r="CB135" s="50" t="n"/>
      <c r="CC135" s="50" t="n"/>
      <c r="CD135" s="50" t="n"/>
      <c r="CE135" s="50" t="n"/>
      <c r="CF135" s="50" t="n"/>
      <c r="CG135" s="50" t="n"/>
      <c r="CH135" s="50" t="n"/>
      <c r="CI135" s="50" t="n"/>
      <c r="CJ135" s="50" t="n"/>
      <c r="CK135" s="50" t="n"/>
      <c r="CL135" s="50" t="n"/>
      <c r="CM135" s="50" t="n"/>
      <c r="CN135" s="50" t="n"/>
      <c r="CO135" s="50" t="n"/>
      <c r="CP135" s="50" t="n"/>
      <c r="CQ135" s="50" t="n"/>
      <c r="CR135" s="50" t="n"/>
      <c r="CS135" s="50" t="n"/>
      <c r="CT135" s="50" t="n"/>
      <c r="CU135" s="50" t="n"/>
      <c r="CV135" s="50" t="n"/>
      <c r="CW135" s="50" t="n"/>
      <c r="CX135" s="50" t="n"/>
      <c r="CY135" s="50" t="n"/>
      <c r="CZ135" s="50" t="n"/>
      <c r="DA135" s="50" t="n"/>
      <c r="DB135" s="50" t="n"/>
      <c r="DC135" s="50" t="n"/>
      <c r="DD135" s="50" t="n"/>
      <c r="DE135" s="50" t="n"/>
      <c r="DF135" s="50" t="n"/>
      <c r="DG135" s="50" t="n"/>
      <c r="DH135" s="50" t="n"/>
      <c r="DI135" s="50" t="n"/>
      <c r="DJ135" s="50" t="n"/>
      <c r="DK135" s="50" t="n"/>
      <c r="DL135" s="50" t="n"/>
      <c r="DM135" s="50" t="n"/>
      <c r="DN135" s="50" t="n"/>
      <c r="DO135" s="50" t="n"/>
      <c r="DP135" s="50" t="n"/>
      <c r="DQ135" s="50" t="n"/>
      <c r="DR135" s="50" t="n"/>
      <c r="DS135" s="50" t="n"/>
      <c r="DT135" s="50" t="n"/>
      <c r="DU135" s="50" t="n"/>
      <c r="DV135" s="50" t="n"/>
    </row>
    <row r="136">
      <c r="A136" s="47">
        <f>IF(Mitarbeiter!B136="","",Mitarbeiter!A136)</f>
        <v/>
      </c>
      <c r="B136" s="48">
        <f>IF(Mitarbeiter!B136="","",Mitarbeiter!B136)</f>
        <v/>
      </c>
      <c r="C136" s="49">
        <f>IF(Mitarbeiter!B136="","",Mitarbeiter!F136)</f>
        <v/>
      </c>
      <c r="D136" s="25">
        <f>IF(Mitarbeiter!B136="","",Berechnung!AD136)</f>
        <v/>
      </c>
      <c r="E136" s="25">
        <f>IF(Mitarbeiter!B136="","",SUM(G136:DV136))</f>
        <v/>
      </c>
      <c r="G136" s="50" t="n"/>
      <c r="H136" s="50" t="n"/>
      <c r="I136" s="50" t="n"/>
      <c r="J136" s="50" t="n"/>
      <c r="K136" s="50" t="n"/>
      <c r="L136" s="50" t="n"/>
      <c r="M136" s="50" t="n"/>
      <c r="N136" s="50" t="n"/>
      <c r="O136" s="50" t="n"/>
      <c r="P136" s="50" t="n"/>
      <c r="Q136" s="50" t="n"/>
      <c r="R136" s="50" t="n"/>
      <c r="S136" s="50" t="n"/>
      <c r="T136" s="50" t="n"/>
      <c r="U136" s="50" t="n"/>
      <c r="V136" s="50" t="n"/>
      <c r="W136" s="50" t="n"/>
      <c r="X136" s="50" t="n"/>
      <c r="Y136" s="50" t="n"/>
      <c r="Z136" s="50" t="n"/>
      <c r="AA136" s="50" t="n"/>
      <c r="AB136" s="50" t="n"/>
      <c r="AC136" s="50" t="n"/>
      <c r="AD136" s="50" t="n"/>
      <c r="AE136" s="50" t="n"/>
      <c r="AF136" s="50" t="n"/>
      <c r="AG136" s="50" t="n"/>
      <c r="AH136" s="50" t="n"/>
      <c r="AI136" s="50" t="n"/>
      <c r="AJ136" s="50" t="n"/>
      <c r="AK136" s="50" t="n"/>
      <c r="AL136" s="50" t="n"/>
      <c r="AM136" s="50" t="n"/>
      <c r="AN136" s="50" t="n"/>
      <c r="AO136" s="50" t="n"/>
      <c r="AP136" s="50" t="n"/>
      <c r="AQ136" s="50" t="n"/>
      <c r="AR136" s="50" t="n"/>
      <c r="AS136" s="50" t="n"/>
      <c r="AT136" s="50" t="n"/>
      <c r="AU136" s="50" t="n"/>
      <c r="AV136" s="50" t="n"/>
      <c r="AW136" s="50" t="n"/>
      <c r="AX136" s="50" t="n"/>
      <c r="AY136" s="50" t="n"/>
      <c r="AZ136" s="50" t="n"/>
      <c r="BA136" s="50" t="n"/>
      <c r="BB136" s="50" t="n"/>
      <c r="BC136" s="50" t="n"/>
      <c r="BD136" s="50" t="n"/>
      <c r="BE136" s="50" t="n"/>
      <c r="BF136" s="50" t="n"/>
      <c r="BG136" s="50" t="n"/>
      <c r="BH136" s="50" t="n"/>
      <c r="BI136" s="50" t="n"/>
      <c r="BJ136" s="50" t="n"/>
      <c r="BK136" s="50" t="n"/>
      <c r="BL136" s="50" t="n"/>
      <c r="BM136" s="50" t="n"/>
      <c r="BN136" s="50" t="n"/>
      <c r="BO136" s="50" t="n"/>
      <c r="BP136" s="50" t="n"/>
      <c r="BQ136" s="50" t="n"/>
      <c r="BR136" s="50" t="n"/>
      <c r="BS136" s="50" t="n"/>
      <c r="BT136" s="50" t="n"/>
      <c r="BU136" s="50" t="n"/>
      <c r="BV136" s="50" t="n"/>
      <c r="BW136" s="50" t="n"/>
      <c r="BX136" s="50" t="n"/>
      <c r="BY136" s="50" t="n"/>
      <c r="BZ136" s="50" t="n"/>
      <c r="CA136" s="50" t="n"/>
      <c r="CB136" s="50" t="n"/>
      <c r="CC136" s="50" t="n"/>
      <c r="CD136" s="50" t="n"/>
      <c r="CE136" s="50" t="n"/>
      <c r="CF136" s="50" t="n"/>
      <c r="CG136" s="50" t="n"/>
      <c r="CH136" s="50" t="n"/>
      <c r="CI136" s="50" t="n"/>
      <c r="CJ136" s="50" t="n"/>
      <c r="CK136" s="50" t="n"/>
      <c r="CL136" s="50" t="n"/>
      <c r="CM136" s="50" t="n"/>
      <c r="CN136" s="50" t="n"/>
      <c r="CO136" s="50" t="n"/>
      <c r="CP136" s="50" t="n"/>
      <c r="CQ136" s="50" t="n"/>
      <c r="CR136" s="50" t="n"/>
      <c r="CS136" s="50" t="n"/>
      <c r="CT136" s="50" t="n"/>
      <c r="CU136" s="50" t="n"/>
      <c r="CV136" s="50" t="n"/>
      <c r="CW136" s="50" t="n"/>
      <c r="CX136" s="50" t="n"/>
      <c r="CY136" s="50" t="n"/>
      <c r="CZ136" s="50" t="n"/>
      <c r="DA136" s="50" t="n"/>
      <c r="DB136" s="50" t="n"/>
      <c r="DC136" s="50" t="n"/>
      <c r="DD136" s="50" t="n"/>
      <c r="DE136" s="50" t="n"/>
      <c r="DF136" s="50" t="n"/>
      <c r="DG136" s="50" t="n"/>
      <c r="DH136" s="50" t="n"/>
      <c r="DI136" s="50" t="n"/>
      <c r="DJ136" s="50" t="n"/>
      <c r="DK136" s="50" t="n"/>
      <c r="DL136" s="50" t="n"/>
      <c r="DM136" s="50" t="n"/>
      <c r="DN136" s="50" t="n"/>
      <c r="DO136" s="50" t="n"/>
      <c r="DP136" s="50" t="n"/>
      <c r="DQ136" s="50" t="n"/>
      <c r="DR136" s="50" t="n"/>
      <c r="DS136" s="50" t="n"/>
      <c r="DT136" s="50" t="n"/>
      <c r="DU136" s="50" t="n"/>
      <c r="DV136" s="50" t="n"/>
    </row>
    <row r="137">
      <c r="A137" s="47">
        <f>IF(Mitarbeiter!B137="","",Mitarbeiter!A137)</f>
        <v/>
      </c>
      <c r="B137" s="48">
        <f>IF(Mitarbeiter!B137="","",Mitarbeiter!B137)</f>
        <v/>
      </c>
      <c r="C137" s="49">
        <f>IF(Mitarbeiter!B137="","",Mitarbeiter!F137)</f>
        <v/>
      </c>
      <c r="D137" s="25">
        <f>IF(Mitarbeiter!B137="","",Berechnung!AD137)</f>
        <v/>
      </c>
      <c r="E137" s="25">
        <f>IF(Mitarbeiter!B137="","",SUM(G137:DV137))</f>
        <v/>
      </c>
      <c r="G137" s="50" t="n"/>
      <c r="H137" s="50" t="n"/>
      <c r="I137" s="50" t="n"/>
      <c r="J137" s="50" t="n"/>
      <c r="K137" s="50" t="n"/>
      <c r="L137" s="50" t="n"/>
      <c r="M137" s="50" t="n"/>
      <c r="N137" s="50" t="n"/>
      <c r="O137" s="50" t="n"/>
      <c r="P137" s="50" t="n"/>
      <c r="Q137" s="50" t="n"/>
      <c r="R137" s="50" t="n"/>
      <c r="S137" s="50" t="n"/>
      <c r="T137" s="50" t="n"/>
      <c r="U137" s="50" t="n"/>
      <c r="V137" s="50" t="n"/>
      <c r="W137" s="50" t="n"/>
      <c r="X137" s="50" t="n"/>
      <c r="Y137" s="50" t="n"/>
      <c r="Z137" s="50" t="n"/>
      <c r="AA137" s="50" t="n"/>
      <c r="AB137" s="50" t="n"/>
      <c r="AC137" s="50" t="n"/>
      <c r="AD137" s="50" t="n"/>
      <c r="AE137" s="50" t="n"/>
      <c r="AF137" s="50" t="n"/>
      <c r="AG137" s="50" t="n"/>
      <c r="AH137" s="50" t="n"/>
      <c r="AI137" s="50" t="n"/>
      <c r="AJ137" s="50" t="n"/>
      <c r="AK137" s="50" t="n"/>
      <c r="AL137" s="50" t="n"/>
      <c r="AM137" s="50" t="n"/>
      <c r="AN137" s="50" t="n"/>
      <c r="AO137" s="50" t="n"/>
      <c r="AP137" s="50" t="n"/>
      <c r="AQ137" s="50" t="n"/>
      <c r="AR137" s="50" t="n"/>
      <c r="AS137" s="50" t="n"/>
      <c r="AT137" s="50" t="n"/>
      <c r="AU137" s="50" t="n"/>
      <c r="AV137" s="50" t="n"/>
      <c r="AW137" s="50" t="n"/>
      <c r="AX137" s="50" t="n"/>
      <c r="AY137" s="50" t="n"/>
      <c r="AZ137" s="50" t="n"/>
      <c r="BA137" s="50" t="n"/>
      <c r="BB137" s="50" t="n"/>
      <c r="BC137" s="50" t="n"/>
      <c r="BD137" s="50" t="n"/>
      <c r="BE137" s="50" t="n"/>
      <c r="BF137" s="50" t="n"/>
      <c r="BG137" s="50" t="n"/>
      <c r="BH137" s="50" t="n"/>
      <c r="BI137" s="50" t="n"/>
      <c r="BJ137" s="50" t="n"/>
      <c r="BK137" s="50" t="n"/>
      <c r="BL137" s="50" t="n"/>
      <c r="BM137" s="50" t="n"/>
      <c r="BN137" s="50" t="n"/>
      <c r="BO137" s="50" t="n"/>
      <c r="BP137" s="50" t="n"/>
      <c r="BQ137" s="50" t="n"/>
      <c r="BR137" s="50" t="n"/>
      <c r="BS137" s="50" t="n"/>
      <c r="BT137" s="50" t="n"/>
      <c r="BU137" s="50" t="n"/>
      <c r="BV137" s="50" t="n"/>
      <c r="BW137" s="50" t="n"/>
      <c r="BX137" s="50" t="n"/>
      <c r="BY137" s="50" t="n"/>
      <c r="BZ137" s="50" t="n"/>
      <c r="CA137" s="50" t="n"/>
      <c r="CB137" s="50" t="n"/>
      <c r="CC137" s="50" t="n"/>
      <c r="CD137" s="50" t="n"/>
      <c r="CE137" s="50" t="n"/>
      <c r="CF137" s="50" t="n"/>
      <c r="CG137" s="50" t="n"/>
      <c r="CH137" s="50" t="n"/>
      <c r="CI137" s="50" t="n"/>
      <c r="CJ137" s="50" t="n"/>
      <c r="CK137" s="50" t="n"/>
      <c r="CL137" s="50" t="n"/>
      <c r="CM137" s="50" t="n"/>
      <c r="CN137" s="50" t="n"/>
      <c r="CO137" s="50" t="n"/>
      <c r="CP137" s="50" t="n"/>
      <c r="CQ137" s="50" t="n"/>
      <c r="CR137" s="50" t="n"/>
      <c r="CS137" s="50" t="n"/>
      <c r="CT137" s="50" t="n"/>
      <c r="CU137" s="50" t="n"/>
      <c r="CV137" s="50" t="n"/>
      <c r="CW137" s="50" t="n"/>
      <c r="CX137" s="50" t="n"/>
      <c r="CY137" s="50" t="n"/>
      <c r="CZ137" s="50" t="n"/>
      <c r="DA137" s="50" t="n"/>
      <c r="DB137" s="50" t="n"/>
      <c r="DC137" s="50" t="n"/>
      <c r="DD137" s="50" t="n"/>
      <c r="DE137" s="50" t="n"/>
      <c r="DF137" s="50" t="n"/>
      <c r="DG137" s="50" t="n"/>
      <c r="DH137" s="50" t="n"/>
      <c r="DI137" s="50" t="n"/>
      <c r="DJ137" s="50" t="n"/>
      <c r="DK137" s="50" t="n"/>
      <c r="DL137" s="50" t="n"/>
      <c r="DM137" s="50" t="n"/>
      <c r="DN137" s="50" t="n"/>
      <c r="DO137" s="50" t="n"/>
      <c r="DP137" s="50" t="n"/>
      <c r="DQ137" s="50" t="n"/>
      <c r="DR137" s="50" t="n"/>
      <c r="DS137" s="50" t="n"/>
      <c r="DT137" s="50" t="n"/>
      <c r="DU137" s="50" t="n"/>
      <c r="DV137" s="50" t="n"/>
    </row>
    <row r="138">
      <c r="A138" s="47">
        <f>IF(Mitarbeiter!B138="","",Mitarbeiter!A138)</f>
        <v/>
      </c>
      <c r="B138" s="48">
        <f>IF(Mitarbeiter!B138="","",Mitarbeiter!B138)</f>
        <v/>
      </c>
      <c r="C138" s="49">
        <f>IF(Mitarbeiter!B138="","",Mitarbeiter!F138)</f>
        <v/>
      </c>
      <c r="D138" s="25">
        <f>IF(Mitarbeiter!B138="","",Berechnung!AD138)</f>
        <v/>
      </c>
      <c r="E138" s="25">
        <f>IF(Mitarbeiter!B138="","",SUM(G138:DV138))</f>
        <v/>
      </c>
      <c r="G138" s="50" t="n"/>
      <c r="H138" s="50" t="n"/>
      <c r="I138" s="50" t="n"/>
      <c r="J138" s="50" t="n"/>
      <c r="K138" s="50" t="n"/>
      <c r="L138" s="50" t="n"/>
      <c r="M138" s="50" t="n"/>
      <c r="N138" s="50" t="n"/>
      <c r="O138" s="50" t="n"/>
      <c r="P138" s="50" t="n"/>
      <c r="Q138" s="50" t="n"/>
      <c r="R138" s="50" t="n"/>
      <c r="S138" s="50" t="n"/>
      <c r="T138" s="50" t="n"/>
      <c r="U138" s="50" t="n"/>
      <c r="V138" s="50" t="n"/>
      <c r="W138" s="50" t="n"/>
      <c r="X138" s="50" t="n"/>
      <c r="Y138" s="50" t="n"/>
      <c r="Z138" s="50" t="n"/>
      <c r="AA138" s="50" t="n"/>
      <c r="AB138" s="50" t="n"/>
      <c r="AC138" s="50" t="n"/>
      <c r="AD138" s="50" t="n"/>
      <c r="AE138" s="50" t="n"/>
      <c r="AF138" s="50" t="n"/>
      <c r="AG138" s="50" t="n"/>
      <c r="AH138" s="50" t="n"/>
      <c r="AI138" s="50" t="n"/>
      <c r="AJ138" s="50" t="n"/>
      <c r="AK138" s="50" t="n"/>
      <c r="AL138" s="50" t="n"/>
      <c r="AM138" s="50" t="n"/>
      <c r="AN138" s="50" t="n"/>
      <c r="AO138" s="50" t="n"/>
      <c r="AP138" s="50" t="n"/>
      <c r="AQ138" s="50" t="n"/>
      <c r="AR138" s="50" t="n"/>
      <c r="AS138" s="50" t="n"/>
      <c r="AT138" s="50" t="n"/>
      <c r="AU138" s="50" t="n"/>
      <c r="AV138" s="50" t="n"/>
      <c r="AW138" s="50" t="n"/>
      <c r="AX138" s="50" t="n"/>
      <c r="AY138" s="50" t="n"/>
      <c r="AZ138" s="50" t="n"/>
      <c r="BA138" s="50" t="n"/>
      <c r="BB138" s="50" t="n"/>
      <c r="BC138" s="50" t="n"/>
      <c r="BD138" s="50" t="n"/>
      <c r="BE138" s="50" t="n"/>
      <c r="BF138" s="50" t="n"/>
      <c r="BG138" s="50" t="n"/>
      <c r="BH138" s="50" t="n"/>
      <c r="BI138" s="50" t="n"/>
      <c r="BJ138" s="50" t="n"/>
      <c r="BK138" s="50" t="n"/>
      <c r="BL138" s="50" t="n"/>
      <c r="BM138" s="50" t="n"/>
      <c r="BN138" s="50" t="n"/>
      <c r="BO138" s="50" t="n"/>
      <c r="BP138" s="50" t="n"/>
      <c r="BQ138" s="50" t="n"/>
      <c r="BR138" s="50" t="n"/>
      <c r="BS138" s="50" t="n"/>
      <c r="BT138" s="50" t="n"/>
      <c r="BU138" s="50" t="n"/>
      <c r="BV138" s="50" t="n"/>
      <c r="BW138" s="50" t="n"/>
      <c r="BX138" s="50" t="n"/>
      <c r="BY138" s="50" t="n"/>
      <c r="BZ138" s="50" t="n"/>
      <c r="CA138" s="50" t="n"/>
      <c r="CB138" s="50" t="n"/>
      <c r="CC138" s="50" t="n"/>
      <c r="CD138" s="50" t="n"/>
      <c r="CE138" s="50" t="n"/>
      <c r="CF138" s="50" t="n"/>
      <c r="CG138" s="50" t="n"/>
      <c r="CH138" s="50" t="n"/>
      <c r="CI138" s="50" t="n"/>
      <c r="CJ138" s="50" t="n"/>
      <c r="CK138" s="50" t="n"/>
      <c r="CL138" s="50" t="n"/>
      <c r="CM138" s="50" t="n"/>
      <c r="CN138" s="50" t="n"/>
      <c r="CO138" s="50" t="n"/>
      <c r="CP138" s="50" t="n"/>
      <c r="CQ138" s="50" t="n"/>
      <c r="CR138" s="50" t="n"/>
      <c r="CS138" s="50" t="n"/>
      <c r="CT138" s="50" t="n"/>
      <c r="CU138" s="50" t="n"/>
      <c r="CV138" s="50" t="n"/>
      <c r="CW138" s="50" t="n"/>
      <c r="CX138" s="50" t="n"/>
      <c r="CY138" s="50" t="n"/>
      <c r="CZ138" s="50" t="n"/>
      <c r="DA138" s="50" t="n"/>
      <c r="DB138" s="50" t="n"/>
      <c r="DC138" s="50" t="n"/>
      <c r="DD138" s="50" t="n"/>
      <c r="DE138" s="50" t="n"/>
      <c r="DF138" s="50" t="n"/>
      <c r="DG138" s="50" t="n"/>
      <c r="DH138" s="50" t="n"/>
      <c r="DI138" s="50" t="n"/>
      <c r="DJ138" s="50" t="n"/>
      <c r="DK138" s="50" t="n"/>
      <c r="DL138" s="50" t="n"/>
      <c r="DM138" s="50" t="n"/>
      <c r="DN138" s="50" t="n"/>
      <c r="DO138" s="50" t="n"/>
      <c r="DP138" s="50" t="n"/>
      <c r="DQ138" s="50" t="n"/>
      <c r="DR138" s="50" t="n"/>
      <c r="DS138" s="50" t="n"/>
      <c r="DT138" s="50" t="n"/>
      <c r="DU138" s="50" t="n"/>
      <c r="DV138" s="50" t="n"/>
    </row>
    <row r="139">
      <c r="A139" s="47">
        <f>IF(Mitarbeiter!B139="","",Mitarbeiter!A139)</f>
        <v/>
      </c>
      <c r="B139" s="48">
        <f>IF(Mitarbeiter!B139="","",Mitarbeiter!B139)</f>
        <v/>
      </c>
      <c r="C139" s="49">
        <f>IF(Mitarbeiter!B139="","",Mitarbeiter!F139)</f>
        <v/>
      </c>
      <c r="D139" s="25">
        <f>IF(Mitarbeiter!B139="","",Berechnung!AD139)</f>
        <v/>
      </c>
      <c r="E139" s="25">
        <f>IF(Mitarbeiter!B139="","",SUM(G139:DV139))</f>
        <v/>
      </c>
      <c r="G139" s="50" t="n"/>
      <c r="H139" s="50" t="n"/>
      <c r="I139" s="50" t="n"/>
      <c r="J139" s="50" t="n"/>
      <c r="K139" s="50" t="n"/>
      <c r="L139" s="50" t="n"/>
      <c r="M139" s="50" t="n"/>
      <c r="N139" s="50" t="n"/>
      <c r="O139" s="50" t="n"/>
      <c r="P139" s="50" t="n"/>
      <c r="Q139" s="50" t="n"/>
      <c r="R139" s="50" t="n"/>
      <c r="S139" s="50" t="n"/>
      <c r="T139" s="50" t="n"/>
      <c r="U139" s="50" t="n"/>
      <c r="V139" s="50" t="n"/>
      <c r="W139" s="50" t="n"/>
      <c r="X139" s="50" t="n"/>
      <c r="Y139" s="50" t="n"/>
      <c r="Z139" s="50" t="n"/>
      <c r="AA139" s="50" t="n"/>
      <c r="AB139" s="50" t="n"/>
      <c r="AC139" s="50" t="n"/>
      <c r="AD139" s="50" t="n"/>
      <c r="AE139" s="50" t="n"/>
      <c r="AF139" s="50" t="n"/>
      <c r="AG139" s="50" t="n"/>
      <c r="AH139" s="50" t="n"/>
      <c r="AI139" s="50" t="n"/>
      <c r="AJ139" s="50" t="n"/>
      <c r="AK139" s="50" t="n"/>
      <c r="AL139" s="50" t="n"/>
      <c r="AM139" s="50" t="n"/>
      <c r="AN139" s="50" t="n"/>
      <c r="AO139" s="50" t="n"/>
      <c r="AP139" s="50" t="n"/>
      <c r="AQ139" s="50" t="n"/>
      <c r="AR139" s="50" t="n"/>
      <c r="AS139" s="50" t="n"/>
      <c r="AT139" s="50" t="n"/>
      <c r="AU139" s="50" t="n"/>
      <c r="AV139" s="50" t="n"/>
      <c r="AW139" s="50" t="n"/>
      <c r="AX139" s="50" t="n"/>
      <c r="AY139" s="50" t="n"/>
      <c r="AZ139" s="50" t="n"/>
      <c r="BA139" s="50" t="n"/>
      <c r="BB139" s="50" t="n"/>
      <c r="BC139" s="50" t="n"/>
      <c r="BD139" s="50" t="n"/>
      <c r="BE139" s="50" t="n"/>
      <c r="BF139" s="50" t="n"/>
      <c r="BG139" s="50" t="n"/>
      <c r="BH139" s="50" t="n"/>
      <c r="BI139" s="50" t="n"/>
      <c r="BJ139" s="50" t="n"/>
      <c r="BK139" s="50" t="n"/>
      <c r="BL139" s="50" t="n"/>
      <c r="BM139" s="50" t="n"/>
      <c r="BN139" s="50" t="n"/>
      <c r="BO139" s="50" t="n"/>
      <c r="BP139" s="50" t="n"/>
      <c r="BQ139" s="50" t="n"/>
      <c r="BR139" s="50" t="n"/>
      <c r="BS139" s="50" t="n"/>
      <c r="BT139" s="50" t="n"/>
      <c r="BU139" s="50" t="n"/>
      <c r="BV139" s="50" t="n"/>
      <c r="BW139" s="50" t="n"/>
      <c r="BX139" s="50" t="n"/>
      <c r="BY139" s="50" t="n"/>
      <c r="BZ139" s="50" t="n"/>
      <c r="CA139" s="50" t="n"/>
      <c r="CB139" s="50" t="n"/>
      <c r="CC139" s="50" t="n"/>
      <c r="CD139" s="50" t="n"/>
      <c r="CE139" s="50" t="n"/>
      <c r="CF139" s="50" t="n"/>
      <c r="CG139" s="50" t="n"/>
      <c r="CH139" s="50" t="n"/>
      <c r="CI139" s="50" t="n"/>
      <c r="CJ139" s="50" t="n"/>
      <c r="CK139" s="50" t="n"/>
      <c r="CL139" s="50" t="n"/>
      <c r="CM139" s="50" t="n"/>
      <c r="CN139" s="50" t="n"/>
      <c r="CO139" s="50" t="n"/>
      <c r="CP139" s="50" t="n"/>
      <c r="CQ139" s="50" t="n"/>
      <c r="CR139" s="50" t="n"/>
      <c r="CS139" s="50" t="n"/>
      <c r="CT139" s="50" t="n"/>
      <c r="CU139" s="50" t="n"/>
      <c r="CV139" s="50" t="n"/>
      <c r="CW139" s="50" t="n"/>
      <c r="CX139" s="50" t="n"/>
      <c r="CY139" s="50" t="n"/>
      <c r="CZ139" s="50" t="n"/>
      <c r="DA139" s="50" t="n"/>
      <c r="DB139" s="50" t="n"/>
      <c r="DC139" s="50" t="n"/>
      <c r="DD139" s="50" t="n"/>
      <c r="DE139" s="50" t="n"/>
      <c r="DF139" s="50" t="n"/>
      <c r="DG139" s="50" t="n"/>
      <c r="DH139" s="50" t="n"/>
      <c r="DI139" s="50" t="n"/>
      <c r="DJ139" s="50" t="n"/>
      <c r="DK139" s="50" t="n"/>
      <c r="DL139" s="50" t="n"/>
      <c r="DM139" s="50" t="n"/>
      <c r="DN139" s="50" t="n"/>
      <c r="DO139" s="50" t="n"/>
      <c r="DP139" s="50" t="n"/>
      <c r="DQ139" s="50" t="n"/>
      <c r="DR139" s="50" t="n"/>
      <c r="DS139" s="50" t="n"/>
      <c r="DT139" s="50" t="n"/>
      <c r="DU139" s="50" t="n"/>
      <c r="DV139" s="50" t="n"/>
    </row>
    <row r="140">
      <c r="A140" s="47">
        <f>IF(Mitarbeiter!B140="","",Mitarbeiter!A140)</f>
        <v/>
      </c>
      <c r="B140" s="48">
        <f>IF(Mitarbeiter!B140="","",Mitarbeiter!B140)</f>
        <v/>
      </c>
      <c r="C140" s="49">
        <f>IF(Mitarbeiter!B140="","",Mitarbeiter!F140)</f>
        <v/>
      </c>
      <c r="D140" s="25">
        <f>IF(Mitarbeiter!B140="","",Berechnung!AD140)</f>
        <v/>
      </c>
      <c r="E140" s="25">
        <f>IF(Mitarbeiter!B140="","",SUM(G140:DV140))</f>
        <v/>
      </c>
      <c r="G140" s="50" t="n"/>
      <c r="H140" s="50" t="n"/>
      <c r="I140" s="50" t="n"/>
      <c r="J140" s="50" t="n"/>
      <c r="K140" s="50" t="n"/>
      <c r="L140" s="50" t="n"/>
      <c r="M140" s="50" t="n"/>
      <c r="N140" s="50" t="n"/>
      <c r="O140" s="50" t="n"/>
      <c r="P140" s="50" t="n"/>
      <c r="Q140" s="50" t="n"/>
      <c r="R140" s="50" t="n"/>
      <c r="S140" s="50" t="n"/>
      <c r="T140" s="50" t="n"/>
      <c r="U140" s="50" t="n"/>
      <c r="V140" s="50" t="n"/>
      <c r="W140" s="50" t="n"/>
      <c r="X140" s="50" t="n"/>
      <c r="Y140" s="50" t="n"/>
      <c r="Z140" s="50" t="n"/>
      <c r="AA140" s="50" t="n"/>
      <c r="AB140" s="50" t="n"/>
      <c r="AC140" s="50" t="n"/>
      <c r="AD140" s="50" t="n"/>
      <c r="AE140" s="50" t="n"/>
      <c r="AF140" s="50" t="n"/>
      <c r="AG140" s="50" t="n"/>
      <c r="AH140" s="50" t="n"/>
      <c r="AI140" s="50" t="n"/>
      <c r="AJ140" s="50" t="n"/>
      <c r="AK140" s="50" t="n"/>
      <c r="AL140" s="50" t="n"/>
      <c r="AM140" s="50" t="n"/>
      <c r="AN140" s="50" t="n"/>
      <c r="AO140" s="50" t="n"/>
      <c r="AP140" s="50" t="n"/>
      <c r="AQ140" s="50" t="n"/>
      <c r="AR140" s="50" t="n"/>
      <c r="AS140" s="50" t="n"/>
      <c r="AT140" s="50" t="n"/>
      <c r="AU140" s="50" t="n"/>
      <c r="AV140" s="50" t="n"/>
      <c r="AW140" s="50" t="n"/>
      <c r="AX140" s="50" t="n"/>
      <c r="AY140" s="50" t="n"/>
      <c r="AZ140" s="50" t="n"/>
      <c r="BA140" s="50" t="n"/>
      <c r="BB140" s="50" t="n"/>
      <c r="BC140" s="50" t="n"/>
      <c r="BD140" s="50" t="n"/>
      <c r="BE140" s="50" t="n"/>
      <c r="BF140" s="50" t="n"/>
      <c r="BG140" s="50" t="n"/>
      <c r="BH140" s="50" t="n"/>
      <c r="BI140" s="50" t="n"/>
      <c r="BJ140" s="50" t="n"/>
      <c r="BK140" s="50" t="n"/>
      <c r="BL140" s="50" t="n"/>
      <c r="BM140" s="50" t="n"/>
      <c r="BN140" s="50" t="n"/>
      <c r="BO140" s="50" t="n"/>
      <c r="BP140" s="50" t="n"/>
      <c r="BQ140" s="50" t="n"/>
      <c r="BR140" s="50" t="n"/>
      <c r="BS140" s="50" t="n"/>
      <c r="BT140" s="50" t="n"/>
      <c r="BU140" s="50" t="n"/>
      <c r="BV140" s="50" t="n"/>
      <c r="BW140" s="50" t="n"/>
      <c r="BX140" s="50" t="n"/>
      <c r="BY140" s="50" t="n"/>
      <c r="BZ140" s="50" t="n"/>
      <c r="CA140" s="50" t="n"/>
      <c r="CB140" s="50" t="n"/>
      <c r="CC140" s="50" t="n"/>
      <c r="CD140" s="50" t="n"/>
      <c r="CE140" s="50" t="n"/>
      <c r="CF140" s="50" t="n"/>
      <c r="CG140" s="50" t="n"/>
      <c r="CH140" s="50" t="n"/>
      <c r="CI140" s="50" t="n"/>
      <c r="CJ140" s="50" t="n"/>
      <c r="CK140" s="50" t="n"/>
      <c r="CL140" s="50" t="n"/>
      <c r="CM140" s="50" t="n"/>
      <c r="CN140" s="50" t="n"/>
      <c r="CO140" s="50" t="n"/>
      <c r="CP140" s="50" t="n"/>
      <c r="CQ140" s="50" t="n"/>
      <c r="CR140" s="50" t="n"/>
      <c r="CS140" s="50" t="n"/>
      <c r="CT140" s="50" t="n"/>
      <c r="CU140" s="50" t="n"/>
      <c r="CV140" s="50" t="n"/>
      <c r="CW140" s="50" t="n"/>
      <c r="CX140" s="50" t="n"/>
      <c r="CY140" s="50" t="n"/>
      <c r="CZ140" s="50" t="n"/>
      <c r="DA140" s="50" t="n"/>
      <c r="DB140" s="50" t="n"/>
      <c r="DC140" s="50" t="n"/>
      <c r="DD140" s="50" t="n"/>
      <c r="DE140" s="50" t="n"/>
      <c r="DF140" s="50" t="n"/>
      <c r="DG140" s="50" t="n"/>
      <c r="DH140" s="50" t="n"/>
      <c r="DI140" s="50" t="n"/>
      <c r="DJ140" s="50" t="n"/>
      <c r="DK140" s="50" t="n"/>
      <c r="DL140" s="50" t="n"/>
      <c r="DM140" s="50" t="n"/>
      <c r="DN140" s="50" t="n"/>
      <c r="DO140" s="50" t="n"/>
      <c r="DP140" s="50" t="n"/>
      <c r="DQ140" s="50" t="n"/>
      <c r="DR140" s="50" t="n"/>
      <c r="DS140" s="50" t="n"/>
      <c r="DT140" s="50" t="n"/>
      <c r="DU140" s="50" t="n"/>
      <c r="DV140" s="50" t="n"/>
    </row>
    <row r="141">
      <c r="A141" s="47">
        <f>IF(Mitarbeiter!B141="","",Mitarbeiter!A141)</f>
        <v/>
      </c>
      <c r="B141" s="48">
        <f>IF(Mitarbeiter!B141="","",Mitarbeiter!B141)</f>
        <v/>
      </c>
      <c r="C141" s="49">
        <f>IF(Mitarbeiter!B141="","",Mitarbeiter!F141)</f>
        <v/>
      </c>
      <c r="D141" s="25">
        <f>IF(Mitarbeiter!B141="","",Berechnung!AD141)</f>
        <v/>
      </c>
      <c r="E141" s="25">
        <f>IF(Mitarbeiter!B141="","",SUM(G141:DV141))</f>
        <v/>
      </c>
      <c r="G141" s="50" t="n"/>
      <c r="H141" s="50" t="n"/>
      <c r="I141" s="50" t="n"/>
      <c r="J141" s="50" t="n"/>
      <c r="K141" s="50" t="n"/>
      <c r="L141" s="50" t="n"/>
      <c r="M141" s="50" t="n"/>
      <c r="N141" s="50" t="n"/>
      <c r="O141" s="50" t="n"/>
      <c r="P141" s="50" t="n"/>
      <c r="Q141" s="50" t="n"/>
      <c r="R141" s="50" t="n"/>
      <c r="S141" s="50" t="n"/>
      <c r="T141" s="50" t="n"/>
      <c r="U141" s="50" t="n"/>
      <c r="V141" s="50" t="n"/>
      <c r="W141" s="50" t="n"/>
      <c r="X141" s="50" t="n"/>
      <c r="Y141" s="50" t="n"/>
      <c r="Z141" s="50" t="n"/>
      <c r="AA141" s="50" t="n"/>
      <c r="AB141" s="50" t="n"/>
      <c r="AC141" s="50" t="n"/>
      <c r="AD141" s="50" t="n"/>
      <c r="AE141" s="50" t="n"/>
      <c r="AF141" s="50" t="n"/>
      <c r="AG141" s="50" t="n"/>
      <c r="AH141" s="50" t="n"/>
      <c r="AI141" s="50" t="n"/>
      <c r="AJ141" s="50" t="n"/>
      <c r="AK141" s="50" t="n"/>
      <c r="AL141" s="50" t="n"/>
      <c r="AM141" s="50" t="n"/>
      <c r="AN141" s="50" t="n"/>
      <c r="AO141" s="50" t="n"/>
      <c r="AP141" s="50" t="n"/>
      <c r="AQ141" s="50" t="n"/>
      <c r="AR141" s="50" t="n"/>
      <c r="AS141" s="50" t="n"/>
      <c r="AT141" s="50" t="n"/>
      <c r="AU141" s="50" t="n"/>
      <c r="AV141" s="50" t="n"/>
      <c r="AW141" s="50" t="n"/>
      <c r="AX141" s="50" t="n"/>
      <c r="AY141" s="50" t="n"/>
      <c r="AZ141" s="50" t="n"/>
      <c r="BA141" s="50" t="n"/>
      <c r="BB141" s="50" t="n"/>
      <c r="BC141" s="50" t="n"/>
      <c r="BD141" s="50" t="n"/>
      <c r="BE141" s="50" t="n"/>
      <c r="BF141" s="50" t="n"/>
      <c r="BG141" s="50" t="n"/>
      <c r="BH141" s="50" t="n"/>
      <c r="BI141" s="50" t="n"/>
      <c r="BJ141" s="50" t="n"/>
      <c r="BK141" s="50" t="n"/>
      <c r="BL141" s="50" t="n"/>
      <c r="BM141" s="50" t="n"/>
      <c r="BN141" s="50" t="n"/>
      <c r="BO141" s="50" t="n"/>
      <c r="BP141" s="50" t="n"/>
      <c r="BQ141" s="50" t="n"/>
      <c r="BR141" s="50" t="n"/>
      <c r="BS141" s="50" t="n"/>
      <c r="BT141" s="50" t="n"/>
      <c r="BU141" s="50" t="n"/>
      <c r="BV141" s="50" t="n"/>
      <c r="BW141" s="50" t="n"/>
      <c r="BX141" s="50" t="n"/>
      <c r="BY141" s="50" t="n"/>
      <c r="BZ141" s="50" t="n"/>
      <c r="CA141" s="50" t="n"/>
      <c r="CB141" s="50" t="n"/>
      <c r="CC141" s="50" t="n"/>
      <c r="CD141" s="50" t="n"/>
      <c r="CE141" s="50" t="n"/>
      <c r="CF141" s="50" t="n"/>
      <c r="CG141" s="50" t="n"/>
      <c r="CH141" s="50" t="n"/>
      <c r="CI141" s="50" t="n"/>
      <c r="CJ141" s="50" t="n"/>
      <c r="CK141" s="50" t="n"/>
      <c r="CL141" s="50" t="n"/>
      <c r="CM141" s="50" t="n"/>
      <c r="CN141" s="50" t="n"/>
      <c r="CO141" s="50" t="n"/>
      <c r="CP141" s="50" t="n"/>
      <c r="CQ141" s="50" t="n"/>
      <c r="CR141" s="50" t="n"/>
      <c r="CS141" s="50" t="n"/>
      <c r="CT141" s="50" t="n"/>
      <c r="CU141" s="50" t="n"/>
      <c r="CV141" s="50" t="n"/>
      <c r="CW141" s="50" t="n"/>
      <c r="CX141" s="50" t="n"/>
      <c r="CY141" s="50" t="n"/>
      <c r="CZ141" s="50" t="n"/>
      <c r="DA141" s="50" t="n"/>
      <c r="DB141" s="50" t="n"/>
      <c r="DC141" s="50" t="n"/>
      <c r="DD141" s="50" t="n"/>
      <c r="DE141" s="50" t="n"/>
      <c r="DF141" s="50" t="n"/>
      <c r="DG141" s="50" t="n"/>
      <c r="DH141" s="50" t="n"/>
      <c r="DI141" s="50" t="n"/>
      <c r="DJ141" s="50" t="n"/>
      <c r="DK141" s="50" t="n"/>
      <c r="DL141" s="50" t="n"/>
      <c r="DM141" s="50" t="n"/>
      <c r="DN141" s="50" t="n"/>
      <c r="DO141" s="50" t="n"/>
      <c r="DP141" s="50" t="n"/>
      <c r="DQ141" s="50" t="n"/>
      <c r="DR141" s="50" t="n"/>
      <c r="DS141" s="50" t="n"/>
      <c r="DT141" s="50" t="n"/>
      <c r="DU141" s="50" t="n"/>
      <c r="DV141" s="50" t="n"/>
    </row>
    <row r="142">
      <c r="A142" s="47">
        <f>IF(Mitarbeiter!B142="","",Mitarbeiter!A142)</f>
        <v/>
      </c>
      <c r="B142" s="48">
        <f>IF(Mitarbeiter!B142="","",Mitarbeiter!B142)</f>
        <v/>
      </c>
      <c r="C142" s="49">
        <f>IF(Mitarbeiter!B142="","",Mitarbeiter!F142)</f>
        <v/>
      </c>
      <c r="D142" s="25">
        <f>IF(Mitarbeiter!B142="","",Berechnung!AD142)</f>
        <v/>
      </c>
      <c r="E142" s="25">
        <f>IF(Mitarbeiter!B142="","",SUM(G142:DV142))</f>
        <v/>
      </c>
      <c r="G142" s="50" t="n"/>
      <c r="H142" s="50" t="n"/>
      <c r="I142" s="50" t="n"/>
      <c r="J142" s="50" t="n"/>
      <c r="K142" s="50" t="n"/>
      <c r="L142" s="50" t="n"/>
      <c r="M142" s="50" t="n"/>
      <c r="N142" s="50" t="n"/>
      <c r="O142" s="50" t="n"/>
      <c r="P142" s="50" t="n"/>
      <c r="Q142" s="50" t="n"/>
      <c r="R142" s="50" t="n"/>
      <c r="S142" s="50" t="n"/>
      <c r="T142" s="50" t="n"/>
      <c r="U142" s="50" t="n"/>
      <c r="V142" s="50" t="n"/>
      <c r="W142" s="50" t="n"/>
      <c r="X142" s="50" t="n"/>
      <c r="Y142" s="50" t="n"/>
      <c r="Z142" s="50" t="n"/>
      <c r="AA142" s="50" t="n"/>
      <c r="AB142" s="50" t="n"/>
      <c r="AC142" s="50" t="n"/>
      <c r="AD142" s="50" t="n"/>
      <c r="AE142" s="50" t="n"/>
      <c r="AF142" s="50" t="n"/>
      <c r="AG142" s="50" t="n"/>
      <c r="AH142" s="50" t="n"/>
      <c r="AI142" s="50" t="n"/>
      <c r="AJ142" s="50" t="n"/>
      <c r="AK142" s="50" t="n"/>
      <c r="AL142" s="50" t="n"/>
      <c r="AM142" s="50" t="n"/>
      <c r="AN142" s="50" t="n"/>
      <c r="AO142" s="50" t="n"/>
      <c r="AP142" s="50" t="n"/>
      <c r="AQ142" s="50" t="n"/>
      <c r="AR142" s="50" t="n"/>
      <c r="AS142" s="50" t="n"/>
      <c r="AT142" s="50" t="n"/>
      <c r="AU142" s="50" t="n"/>
      <c r="AV142" s="50" t="n"/>
      <c r="AW142" s="50" t="n"/>
      <c r="AX142" s="50" t="n"/>
      <c r="AY142" s="50" t="n"/>
      <c r="AZ142" s="50" t="n"/>
      <c r="BA142" s="50" t="n"/>
      <c r="BB142" s="50" t="n"/>
      <c r="BC142" s="50" t="n"/>
      <c r="BD142" s="50" t="n"/>
      <c r="BE142" s="50" t="n"/>
      <c r="BF142" s="50" t="n"/>
      <c r="BG142" s="50" t="n"/>
      <c r="BH142" s="50" t="n"/>
      <c r="BI142" s="50" t="n"/>
      <c r="BJ142" s="50" t="n"/>
      <c r="BK142" s="50" t="n"/>
      <c r="BL142" s="50" t="n"/>
      <c r="BM142" s="50" t="n"/>
      <c r="BN142" s="50" t="n"/>
      <c r="BO142" s="50" t="n"/>
      <c r="BP142" s="50" t="n"/>
      <c r="BQ142" s="50" t="n"/>
      <c r="BR142" s="50" t="n"/>
      <c r="BS142" s="50" t="n"/>
      <c r="BT142" s="50" t="n"/>
      <c r="BU142" s="50" t="n"/>
      <c r="BV142" s="50" t="n"/>
      <c r="BW142" s="50" t="n"/>
      <c r="BX142" s="50" t="n"/>
      <c r="BY142" s="50" t="n"/>
      <c r="BZ142" s="50" t="n"/>
      <c r="CA142" s="50" t="n"/>
      <c r="CB142" s="50" t="n"/>
      <c r="CC142" s="50" t="n"/>
      <c r="CD142" s="50" t="n"/>
      <c r="CE142" s="50" t="n"/>
      <c r="CF142" s="50" t="n"/>
      <c r="CG142" s="50" t="n"/>
      <c r="CH142" s="50" t="n"/>
      <c r="CI142" s="50" t="n"/>
      <c r="CJ142" s="50" t="n"/>
      <c r="CK142" s="50" t="n"/>
      <c r="CL142" s="50" t="n"/>
      <c r="CM142" s="50" t="n"/>
      <c r="CN142" s="50" t="n"/>
      <c r="CO142" s="50" t="n"/>
      <c r="CP142" s="50" t="n"/>
      <c r="CQ142" s="50" t="n"/>
      <c r="CR142" s="50" t="n"/>
      <c r="CS142" s="50" t="n"/>
      <c r="CT142" s="50" t="n"/>
      <c r="CU142" s="50" t="n"/>
      <c r="CV142" s="50" t="n"/>
      <c r="CW142" s="50" t="n"/>
      <c r="CX142" s="50" t="n"/>
      <c r="CY142" s="50" t="n"/>
      <c r="CZ142" s="50" t="n"/>
      <c r="DA142" s="50" t="n"/>
      <c r="DB142" s="50" t="n"/>
      <c r="DC142" s="50" t="n"/>
      <c r="DD142" s="50" t="n"/>
      <c r="DE142" s="50" t="n"/>
      <c r="DF142" s="50" t="n"/>
      <c r="DG142" s="50" t="n"/>
      <c r="DH142" s="50" t="n"/>
      <c r="DI142" s="50" t="n"/>
      <c r="DJ142" s="50" t="n"/>
      <c r="DK142" s="50" t="n"/>
      <c r="DL142" s="50" t="n"/>
      <c r="DM142" s="50" t="n"/>
      <c r="DN142" s="50" t="n"/>
      <c r="DO142" s="50" t="n"/>
      <c r="DP142" s="50" t="n"/>
      <c r="DQ142" s="50" t="n"/>
      <c r="DR142" s="50" t="n"/>
      <c r="DS142" s="50" t="n"/>
      <c r="DT142" s="50" t="n"/>
      <c r="DU142" s="50" t="n"/>
      <c r="DV142" s="50" t="n"/>
    </row>
    <row r="143">
      <c r="A143" s="47">
        <f>IF(Mitarbeiter!B143="","",Mitarbeiter!A143)</f>
        <v/>
      </c>
      <c r="B143" s="48">
        <f>IF(Mitarbeiter!B143="","",Mitarbeiter!B143)</f>
        <v/>
      </c>
      <c r="C143" s="49">
        <f>IF(Mitarbeiter!B143="","",Mitarbeiter!F143)</f>
        <v/>
      </c>
      <c r="D143" s="25">
        <f>IF(Mitarbeiter!B143="","",Berechnung!AD143)</f>
        <v/>
      </c>
      <c r="E143" s="25">
        <f>IF(Mitarbeiter!B143="","",SUM(G143:DV143))</f>
        <v/>
      </c>
      <c r="G143" s="50" t="n"/>
      <c r="H143" s="50" t="n"/>
      <c r="I143" s="50" t="n"/>
      <c r="J143" s="50" t="n"/>
      <c r="K143" s="50" t="n"/>
      <c r="L143" s="50" t="n"/>
      <c r="M143" s="50" t="n"/>
      <c r="N143" s="50" t="n"/>
      <c r="O143" s="50" t="n"/>
      <c r="P143" s="50" t="n"/>
      <c r="Q143" s="50" t="n"/>
      <c r="R143" s="50" t="n"/>
      <c r="S143" s="50" t="n"/>
      <c r="T143" s="50" t="n"/>
      <c r="U143" s="50" t="n"/>
      <c r="V143" s="50" t="n"/>
      <c r="W143" s="50" t="n"/>
      <c r="X143" s="50" t="n"/>
      <c r="Y143" s="50" t="n"/>
      <c r="Z143" s="50" t="n"/>
      <c r="AA143" s="50" t="n"/>
      <c r="AB143" s="50" t="n"/>
      <c r="AC143" s="50" t="n"/>
      <c r="AD143" s="50" t="n"/>
      <c r="AE143" s="50" t="n"/>
      <c r="AF143" s="50" t="n"/>
      <c r="AG143" s="50" t="n"/>
      <c r="AH143" s="50" t="n"/>
      <c r="AI143" s="50" t="n"/>
      <c r="AJ143" s="50" t="n"/>
      <c r="AK143" s="50" t="n"/>
      <c r="AL143" s="50" t="n"/>
      <c r="AM143" s="50" t="n"/>
      <c r="AN143" s="50" t="n"/>
      <c r="AO143" s="50" t="n"/>
      <c r="AP143" s="50" t="n"/>
      <c r="AQ143" s="50" t="n"/>
      <c r="AR143" s="50" t="n"/>
      <c r="AS143" s="50" t="n"/>
      <c r="AT143" s="50" t="n"/>
      <c r="AU143" s="50" t="n"/>
      <c r="AV143" s="50" t="n"/>
      <c r="AW143" s="50" t="n"/>
      <c r="AX143" s="50" t="n"/>
      <c r="AY143" s="50" t="n"/>
      <c r="AZ143" s="50" t="n"/>
      <c r="BA143" s="50" t="n"/>
      <c r="BB143" s="50" t="n"/>
      <c r="BC143" s="50" t="n"/>
      <c r="BD143" s="50" t="n"/>
      <c r="BE143" s="50" t="n"/>
      <c r="BF143" s="50" t="n"/>
      <c r="BG143" s="50" t="n"/>
      <c r="BH143" s="50" t="n"/>
      <c r="BI143" s="50" t="n"/>
      <c r="BJ143" s="50" t="n"/>
      <c r="BK143" s="50" t="n"/>
      <c r="BL143" s="50" t="n"/>
      <c r="BM143" s="50" t="n"/>
      <c r="BN143" s="50" t="n"/>
      <c r="BO143" s="50" t="n"/>
      <c r="BP143" s="50" t="n"/>
      <c r="BQ143" s="50" t="n"/>
      <c r="BR143" s="50" t="n"/>
      <c r="BS143" s="50" t="n"/>
      <c r="BT143" s="50" t="n"/>
      <c r="BU143" s="50" t="n"/>
      <c r="BV143" s="50" t="n"/>
      <c r="BW143" s="50" t="n"/>
      <c r="BX143" s="50" t="n"/>
      <c r="BY143" s="50" t="n"/>
      <c r="BZ143" s="50" t="n"/>
      <c r="CA143" s="50" t="n"/>
      <c r="CB143" s="50" t="n"/>
      <c r="CC143" s="50" t="n"/>
      <c r="CD143" s="50" t="n"/>
      <c r="CE143" s="50" t="n"/>
      <c r="CF143" s="50" t="n"/>
      <c r="CG143" s="50" t="n"/>
      <c r="CH143" s="50" t="n"/>
      <c r="CI143" s="50" t="n"/>
      <c r="CJ143" s="50" t="n"/>
      <c r="CK143" s="50" t="n"/>
      <c r="CL143" s="50" t="n"/>
      <c r="CM143" s="50" t="n"/>
      <c r="CN143" s="50" t="n"/>
      <c r="CO143" s="50" t="n"/>
      <c r="CP143" s="50" t="n"/>
      <c r="CQ143" s="50" t="n"/>
      <c r="CR143" s="50" t="n"/>
      <c r="CS143" s="50" t="n"/>
      <c r="CT143" s="50" t="n"/>
      <c r="CU143" s="50" t="n"/>
      <c r="CV143" s="50" t="n"/>
      <c r="CW143" s="50" t="n"/>
      <c r="CX143" s="50" t="n"/>
      <c r="CY143" s="50" t="n"/>
      <c r="CZ143" s="50" t="n"/>
      <c r="DA143" s="50" t="n"/>
      <c r="DB143" s="50" t="n"/>
      <c r="DC143" s="50" t="n"/>
      <c r="DD143" s="50" t="n"/>
      <c r="DE143" s="50" t="n"/>
      <c r="DF143" s="50" t="n"/>
      <c r="DG143" s="50" t="n"/>
      <c r="DH143" s="50" t="n"/>
      <c r="DI143" s="50" t="n"/>
      <c r="DJ143" s="50" t="n"/>
      <c r="DK143" s="50" t="n"/>
      <c r="DL143" s="50" t="n"/>
      <c r="DM143" s="50" t="n"/>
      <c r="DN143" s="50" t="n"/>
      <c r="DO143" s="50" t="n"/>
      <c r="DP143" s="50" t="n"/>
      <c r="DQ143" s="50" t="n"/>
      <c r="DR143" s="50" t="n"/>
      <c r="DS143" s="50" t="n"/>
      <c r="DT143" s="50" t="n"/>
      <c r="DU143" s="50" t="n"/>
      <c r="DV143" s="50" t="n"/>
    </row>
    <row r="144">
      <c r="A144" s="47">
        <f>IF(Mitarbeiter!B144="","",Mitarbeiter!A144)</f>
        <v/>
      </c>
      <c r="B144" s="48">
        <f>IF(Mitarbeiter!B144="","",Mitarbeiter!B144)</f>
        <v/>
      </c>
      <c r="C144" s="49">
        <f>IF(Mitarbeiter!B144="","",Mitarbeiter!F144)</f>
        <v/>
      </c>
      <c r="D144" s="25">
        <f>IF(Mitarbeiter!B144="","",Berechnung!AD144)</f>
        <v/>
      </c>
      <c r="E144" s="25">
        <f>IF(Mitarbeiter!B144="","",SUM(G144:DV144))</f>
        <v/>
      </c>
      <c r="G144" s="50" t="n"/>
      <c r="H144" s="50" t="n"/>
      <c r="I144" s="50" t="n"/>
      <c r="J144" s="50" t="n"/>
      <c r="K144" s="50" t="n"/>
      <c r="L144" s="50" t="n"/>
      <c r="M144" s="50" t="n"/>
      <c r="N144" s="50" t="n"/>
      <c r="O144" s="50" t="n"/>
      <c r="P144" s="50" t="n"/>
      <c r="Q144" s="50" t="n"/>
      <c r="R144" s="50" t="n"/>
      <c r="S144" s="50" t="n"/>
      <c r="T144" s="50" t="n"/>
      <c r="U144" s="50" t="n"/>
      <c r="V144" s="50" t="n"/>
      <c r="W144" s="50" t="n"/>
      <c r="X144" s="50" t="n"/>
      <c r="Y144" s="50" t="n"/>
      <c r="Z144" s="50" t="n"/>
      <c r="AA144" s="50" t="n"/>
      <c r="AB144" s="50" t="n"/>
      <c r="AC144" s="50" t="n"/>
      <c r="AD144" s="50" t="n"/>
      <c r="AE144" s="50" t="n"/>
      <c r="AF144" s="50" t="n"/>
      <c r="AG144" s="50" t="n"/>
      <c r="AH144" s="50" t="n"/>
      <c r="AI144" s="50" t="n"/>
      <c r="AJ144" s="50" t="n"/>
      <c r="AK144" s="50" t="n"/>
      <c r="AL144" s="50" t="n"/>
      <c r="AM144" s="50" t="n"/>
      <c r="AN144" s="50" t="n"/>
      <c r="AO144" s="50" t="n"/>
      <c r="AP144" s="50" t="n"/>
      <c r="AQ144" s="50" t="n"/>
      <c r="AR144" s="50" t="n"/>
      <c r="AS144" s="50" t="n"/>
      <c r="AT144" s="50" t="n"/>
      <c r="AU144" s="50" t="n"/>
      <c r="AV144" s="50" t="n"/>
      <c r="AW144" s="50" t="n"/>
      <c r="AX144" s="50" t="n"/>
      <c r="AY144" s="50" t="n"/>
      <c r="AZ144" s="50" t="n"/>
      <c r="BA144" s="50" t="n"/>
      <c r="BB144" s="50" t="n"/>
      <c r="BC144" s="50" t="n"/>
      <c r="BD144" s="50" t="n"/>
      <c r="BE144" s="50" t="n"/>
      <c r="BF144" s="50" t="n"/>
      <c r="BG144" s="50" t="n"/>
      <c r="BH144" s="50" t="n"/>
      <c r="BI144" s="50" t="n"/>
      <c r="BJ144" s="50" t="n"/>
      <c r="BK144" s="50" t="n"/>
      <c r="BL144" s="50" t="n"/>
      <c r="BM144" s="50" t="n"/>
      <c r="BN144" s="50" t="n"/>
      <c r="BO144" s="50" t="n"/>
      <c r="BP144" s="50" t="n"/>
      <c r="BQ144" s="50" t="n"/>
      <c r="BR144" s="50" t="n"/>
      <c r="BS144" s="50" t="n"/>
      <c r="BT144" s="50" t="n"/>
      <c r="BU144" s="50" t="n"/>
      <c r="BV144" s="50" t="n"/>
      <c r="BW144" s="50" t="n"/>
      <c r="BX144" s="50" t="n"/>
      <c r="BY144" s="50" t="n"/>
      <c r="BZ144" s="50" t="n"/>
      <c r="CA144" s="50" t="n"/>
      <c r="CB144" s="50" t="n"/>
      <c r="CC144" s="50" t="n"/>
      <c r="CD144" s="50" t="n"/>
      <c r="CE144" s="50" t="n"/>
      <c r="CF144" s="50" t="n"/>
      <c r="CG144" s="50" t="n"/>
      <c r="CH144" s="50" t="n"/>
      <c r="CI144" s="50" t="n"/>
      <c r="CJ144" s="50" t="n"/>
      <c r="CK144" s="50" t="n"/>
      <c r="CL144" s="50" t="n"/>
      <c r="CM144" s="50" t="n"/>
      <c r="CN144" s="50" t="n"/>
      <c r="CO144" s="50" t="n"/>
      <c r="CP144" s="50" t="n"/>
      <c r="CQ144" s="50" t="n"/>
      <c r="CR144" s="50" t="n"/>
      <c r="CS144" s="50" t="n"/>
      <c r="CT144" s="50" t="n"/>
      <c r="CU144" s="50" t="n"/>
      <c r="CV144" s="50" t="n"/>
      <c r="CW144" s="50" t="n"/>
      <c r="CX144" s="50" t="n"/>
      <c r="CY144" s="50" t="n"/>
      <c r="CZ144" s="50" t="n"/>
      <c r="DA144" s="50" t="n"/>
      <c r="DB144" s="50" t="n"/>
      <c r="DC144" s="50" t="n"/>
      <c r="DD144" s="50" t="n"/>
      <c r="DE144" s="50" t="n"/>
      <c r="DF144" s="50" t="n"/>
      <c r="DG144" s="50" t="n"/>
      <c r="DH144" s="50" t="n"/>
      <c r="DI144" s="50" t="n"/>
      <c r="DJ144" s="50" t="n"/>
      <c r="DK144" s="50" t="n"/>
      <c r="DL144" s="50" t="n"/>
      <c r="DM144" s="50" t="n"/>
      <c r="DN144" s="50" t="n"/>
      <c r="DO144" s="50" t="n"/>
      <c r="DP144" s="50" t="n"/>
      <c r="DQ144" s="50" t="n"/>
      <c r="DR144" s="50" t="n"/>
      <c r="DS144" s="50" t="n"/>
      <c r="DT144" s="50" t="n"/>
      <c r="DU144" s="50" t="n"/>
      <c r="DV144" s="50" t="n"/>
    </row>
    <row r="145">
      <c r="A145" s="47">
        <f>IF(Mitarbeiter!B145="","",Mitarbeiter!A145)</f>
        <v/>
      </c>
      <c r="B145" s="48">
        <f>IF(Mitarbeiter!B145="","",Mitarbeiter!B145)</f>
        <v/>
      </c>
      <c r="C145" s="49">
        <f>IF(Mitarbeiter!B145="","",Mitarbeiter!F145)</f>
        <v/>
      </c>
      <c r="D145" s="25">
        <f>IF(Mitarbeiter!B145="","",Berechnung!AD145)</f>
        <v/>
      </c>
      <c r="E145" s="25">
        <f>IF(Mitarbeiter!B145="","",SUM(G145:DV145))</f>
        <v/>
      </c>
      <c r="G145" s="50" t="n"/>
      <c r="H145" s="50" t="n"/>
      <c r="I145" s="50" t="n"/>
      <c r="J145" s="50" t="n"/>
      <c r="K145" s="50" t="n"/>
      <c r="L145" s="50" t="n"/>
      <c r="M145" s="50" t="n"/>
      <c r="N145" s="50" t="n"/>
      <c r="O145" s="50" t="n"/>
      <c r="P145" s="50" t="n"/>
      <c r="Q145" s="50" t="n"/>
      <c r="R145" s="50" t="n"/>
      <c r="S145" s="50" t="n"/>
      <c r="T145" s="50" t="n"/>
      <c r="U145" s="50" t="n"/>
      <c r="V145" s="50" t="n"/>
      <c r="W145" s="50" t="n"/>
      <c r="X145" s="50" t="n"/>
      <c r="Y145" s="50" t="n"/>
      <c r="Z145" s="50" t="n"/>
      <c r="AA145" s="50" t="n"/>
      <c r="AB145" s="50" t="n"/>
      <c r="AC145" s="50" t="n"/>
      <c r="AD145" s="50" t="n"/>
      <c r="AE145" s="50" t="n"/>
      <c r="AF145" s="50" t="n"/>
      <c r="AG145" s="50" t="n"/>
      <c r="AH145" s="50" t="n"/>
      <c r="AI145" s="50" t="n"/>
      <c r="AJ145" s="50" t="n"/>
      <c r="AK145" s="50" t="n"/>
      <c r="AL145" s="50" t="n"/>
      <c r="AM145" s="50" t="n"/>
      <c r="AN145" s="50" t="n"/>
      <c r="AO145" s="50" t="n"/>
      <c r="AP145" s="50" t="n"/>
      <c r="AQ145" s="50" t="n"/>
      <c r="AR145" s="50" t="n"/>
      <c r="AS145" s="50" t="n"/>
      <c r="AT145" s="50" t="n"/>
      <c r="AU145" s="50" t="n"/>
      <c r="AV145" s="50" t="n"/>
      <c r="AW145" s="50" t="n"/>
      <c r="AX145" s="50" t="n"/>
      <c r="AY145" s="50" t="n"/>
      <c r="AZ145" s="50" t="n"/>
      <c r="BA145" s="50" t="n"/>
      <c r="BB145" s="50" t="n"/>
      <c r="BC145" s="50" t="n"/>
      <c r="BD145" s="50" t="n"/>
      <c r="BE145" s="50" t="n"/>
      <c r="BF145" s="50" t="n"/>
      <c r="BG145" s="50" t="n"/>
      <c r="BH145" s="50" t="n"/>
      <c r="BI145" s="50" t="n"/>
      <c r="BJ145" s="50" t="n"/>
      <c r="BK145" s="50" t="n"/>
      <c r="BL145" s="50" t="n"/>
      <c r="BM145" s="50" t="n"/>
      <c r="BN145" s="50" t="n"/>
      <c r="BO145" s="50" t="n"/>
      <c r="BP145" s="50" t="n"/>
      <c r="BQ145" s="50" t="n"/>
      <c r="BR145" s="50" t="n"/>
      <c r="BS145" s="50" t="n"/>
      <c r="BT145" s="50" t="n"/>
      <c r="BU145" s="50" t="n"/>
      <c r="BV145" s="50" t="n"/>
      <c r="BW145" s="50" t="n"/>
      <c r="BX145" s="50" t="n"/>
      <c r="BY145" s="50" t="n"/>
      <c r="BZ145" s="50" t="n"/>
      <c r="CA145" s="50" t="n"/>
      <c r="CB145" s="50" t="n"/>
      <c r="CC145" s="50" t="n"/>
      <c r="CD145" s="50" t="n"/>
      <c r="CE145" s="50" t="n"/>
      <c r="CF145" s="50" t="n"/>
      <c r="CG145" s="50" t="n"/>
      <c r="CH145" s="50" t="n"/>
      <c r="CI145" s="50" t="n"/>
      <c r="CJ145" s="50" t="n"/>
      <c r="CK145" s="50" t="n"/>
      <c r="CL145" s="50" t="n"/>
      <c r="CM145" s="50" t="n"/>
      <c r="CN145" s="50" t="n"/>
      <c r="CO145" s="50" t="n"/>
      <c r="CP145" s="50" t="n"/>
      <c r="CQ145" s="50" t="n"/>
      <c r="CR145" s="50" t="n"/>
      <c r="CS145" s="50" t="n"/>
      <c r="CT145" s="50" t="n"/>
      <c r="CU145" s="50" t="n"/>
      <c r="CV145" s="50" t="n"/>
      <c r="CW145" s="50" t="n"/>
      <c r="CX145" s="50" t="n"/>
      <c r="CY145" s="50" t="n"/>
      <c r="CZ145" s="50" t="n"/>
      <c r="DA145" s="50" t="n"/>
      <c r="DB145" s="50" t="n"/>
      <c r="DC145" s="50" t="n"/>
      <c r="DD145" s="50" t="n"/>
      <c r="DE145" s="50" t="n"/>
      <c r="DF145" s="50" t="n"/>
      <c r="DG145" s="50" t="n"/>
      <c r="DH145" s="50" t="n"/>
      <c r="DI145" s="50" t="n"/>
      <c r="DJ145" s="50" t="n"/>
      <c r="DK145" s="50" t="n"/>
      <c r="DL145" s="50" t="n"/>
      <c r="DM145" s="50" t="n"/>
      <c r="DN145" s="50" t="n"/>
      <c r="DO145" s="50" t="n"/>
      <c r="DP145" s="50" t="n"/>
      <c r="DQ145" s="50" t="n"/>
      <c r="DR145" s="50" t="n"/>
      <c r="DS145" s="50" t="n"/>
      <c r="DT145" s="50" t="n"/>
      <c r="DU145" s="50" t="n"/>
      <c r="DV145" s="50" t="n"/>
    </row>
    <row r="146">
      <c r="A146" s="47">
        <f>IF(Mitarbeiter!B146="","",Mitarbeiter!A146)</f>
        <v/>
      </c>
      <c r="B146" s="48">
        <f>IF(Mitarbeiter!B146="","",Mitarbeiter!B146)</f>
        <v/>
      </c>
      <c r="C146" s="49">
        <f>IF(Mitarbeiter!B146="","",Mitarbeiter!F146)</f>
        <v/>
      </c>
      <c r="D146" s="25">
        <f>IF(Mitarbeiter!B146="","",Berechnung!AD146)</f>
        <v/>
      </c>
      <c r="E146" s="25">
        <f>IF(Mitarbeiter!B146="","",SUM(G146:DV146))</f>
        <v/>
      </c>
      <c r="G146" s="50" t="n"/>
      <c r="H146" s="50" t="n"/>
      <c r="I146" s="50" t="n"/>
      <c r="J146" s="50" t="n"/>
      <c r="K146" s="50" t="n"/>
      <c r="L146" s="50" t="n"/>
      <c r="M146" s="50" t="n"/>
      <c r="N146" s="50" t="n"/>
      <c r="O146" s="50" t="n"/>
      <c r="P146" s="50" t="n"/>
      <c r="Q146" s="50" t="n"/>
      <c r="R146" s="50" t="n"/>
      <c r="S146" s="50" t="n"/>
      <c r="T146" s="50" t="n"/>
      <c r="U146" s="50" t="n"/>
      <c r="V146" s="50" t="n"/>
      <c r="W146" s="50" t="n"/>
      <c r="X146" s="50" t="n"/>
      <c r="Y146" s="50" t="n"/>
      <c r="Z146" s="50" t="n"/>
      <c r="AA146" s="50" t="n"/>
      <c r="AB146" s="50" t="n"/>
      <c r="AC146" s="50" t="n"/>
      <c r="AD146" s="50" t="n"/>
      <c r="AE146" s="50" t="n"/>
      <c r="AF146" s="50" t="n"/>
      <c r="AG146" s="50" t="n"/>
      <c r="AH146" s="50" t="n"/>
      <c r="AI146" s="50" t="n"/>
      <c r="AJ146" s="50" t="n"/>
      <c r="AK146" s="50" t="n"/>
      <c r="AL146" s="50" t="n"/>
      <c r="AM146" s="50" t="n"/>
      <c r="AN146" s="50" t="n"/>
      <c r="AO146" s="50" t="n"/>
      <c r="AP146" s="50" t="n"/>
      <c r="AQ146" s="50" t="n"/>
      <c r="AR146" s="50" t="n"/>
      <c r="AS146" s="50" t="n"/>
      <c r="AT146" s="50" t="n"/>
      <c r="AU146" s="50" t="n"/>
      <c r="AV146" s="50" t="n"/>
      <c r="AW146" s="50" t="n"/>
      <c r="AX146" s="50" t="n"/>
      <c r="AY146" s="50" t="n"/>
      <c r="AZ146" s="50" t="n"/>
      <c r="BA146" s="50" t="n"/>
      <c r="BB146" s="50" t="n"/>
      <c r="BC146" s="50" t="n"/>
      <c r="BD146" s="50" t="n"/>
      <c r="BE146" s="50" t="n"/>
      <c r="BF146" s="50" t="n"/>
      <c r="BG146" s="50" t="n"/>
      <c r="BH146" s="50" t="n"/>
      <c r="BI146" s="50" t="n"/>
      <c r="BJ146" s="50" t="n"/>
      <c r="BK146" s="50" t="n"/>
      <c r="BL146" s="50" t="n"/>
      <c r="BM146" s="50" t="n"/>
      <c r="BN146" s="50" t="n"/>
      <c r="BO146" s="50" t="n"/>
      <c r="BP146" s="50" t="n"/>
      <c r="BQ146" s="50" t="n"/>
      <c r="BR146" s="50" t="n"/>
      <c r="BS146" s="50" t="n"/>
      <c r="BT146" s="50" t="n"/>
      <c r="BU146" s="50" t="n"/>
      <c r="BV146" s="50" t="n"/>
      <c r="BW146" s="50" t="n"/>
      <c r="BX146" s="50" t="n"/>
      <c r="BY146" s="50" t="n"/>
      <c r="BZ146" s="50" t="n"/>
      <c r="CA146" s="50" t="n"/>
      <c r="CB146" s="50" t="n"/>
      <c r="CC146" s="50" t="n"/>
      <c r="CD146" s="50" t="n"/>
      <c r="CE146" s="50" t="n"/>
      <c r="CF146" s="50" t="n"/>
      <c r="CG146" s="50" t="n"/>
      <c r="CH146" s="50" t="n"/>
      <c r="CI146" s="50" t="n"/>
      <c r="CJ146" s="50" t="n"/>
      <c r="CK146" s="50" t="n"/>
      <c r="CL146" s="50" t="n"/>
      <c r="CM146" s="50" t="n"/>
      <c r="CN146" s="50" t="n"/>
      <c r="CO146" s="50" t="n"/>
      <c r="CP146" s="50" t="n"/>
      <c r="CQ146" s="50" t="n"/>
      <c r="CR146" s="50" t="n"/>
      <c r="CS146" s="50" t="n"/>
      <c r="CT146" s="50" t="n"/>
      <c r="CU146" s="50" t="n"/>
      <c r="CV146" s="50" t="n"/>
      <c r="CW146" s="50" t="n"/>
      <c r="CX146" s="50" t="n"/>
      <c r="CY146" s="50" t="n"/>
      <c r="CZ146" s="50" t="n"/>
      <c r="DA146" s="50" t="n"/>
      <c r="DB146" s="50" t="n"/>
      <c r="DC146" s="50" t="n"/>
      <c r="DD146" s="50" t="n"/>
      <c r="DE146" s="50" t="n"/>
      <c r="DF146" s="50" t="n"/>
      <c r="DG146" s="50" t="n"/>
      <c r="DH146" s="50" t="n"/>
      <c r="DI146" s="50" t="n"/>
      <c r="DJ146" s="50" t="n"/>
      <c r="DK146" s="50" t="n"/>
      <c r="DL146" s="50" t="n"/>
      <c r="DM146" s="50" t="n"/>
      <c r="DN146" s="50" t="n"/>
      <c r="DO146" s="50" t="n"/>
      <c r="DP146" s="50" t="n"/>
      <c r="DQ146" s="50" t="n"/>
      <c r="DR146" s="50" t="n"/>
      <c r="DS146" s="50" t="n"/>
      <c r="DT146" s="50" t="n"/>
      <c r="DU146" s="50" t="n"/>
      <c r="DV146" s="50" t="n"/>
    </row>
    <row r="147">
      <c r="A147" s="47">
        <f>IF(Mitarbeiter!B147="","",Mitarbeiter!A147)</f>
        <v/>
      </c>
      <c r="B147" s="48">
        <f>IF(Mitarbeiter!B147="","",Mitarbeiter!B147)</f>
        <v/>
      </c>
      <c r="C147" s="49">
        <f>IF(Mitarbeiter!B147="","",Mitarbeiter!F147)</f>
        <v/>
      </c>
      <c r="D147" s="25">
        <f>IF(Mitarbeiter!B147="","",Berechnung!AD147)</f>
        <v/>
      </c>
      <c r="E147" s="25">
        <f>IF(Mitarbeiter!B147="","",SUM(G147:DV147))</f>
        <v/>
      </c>
      <c r="G147" s="50" t="n"/>
      <c r="H147" s="50" t="n"/>
      <c r="I147" s="50" t="n"/>
      <c r="J147" s="50" t="n"/>
      <c r="K147" s="50" t="n"/>
      <c r="L147" s="50" t="n"/>
      <c r="M147" s="50" t="n"/>
      <c r="N147" s="50" t="n"/>
      <c r="O147" s="50" t="n"/>
      <c r="P147" s="50" t="n"/>
      <c r="Q147" s="50" t="n"/>
      <c r="R147" s="50" t="n"/>
      <c r="S147" s="50" t="n"/>
      <c r="T147" s="50" t="n"/>
      <c r="U147" s="50" t="n"/>
      <c r="V147" s="50" t="n"/>
      <c r="W147" s="50" t="n"/>
      <c r="X147" s="50" t="n"/>
      <c r="Y147" s="50" t="n"/>
      <c r="Z147" s="50" t="n"/>
      <c r="AA147" s="50" t="n"/>
      <c r="AB147" s="50" t="n"/>
      <c r="AC147" s="50" t="n"/>
      <c r="AD147" s="50" t="n"/>
      <c r="AE147" s="50" t="n"/>
      <c r="AF147" s="50" t="n"/>
      <c r="AG147" s="50" t="n"/>
      <c r="AH147" s="50" t="n"/>
      <c r="AI147" s="50" t="n"/>
      <c r="AJ147" s="50" t="n"/>
      <c r="AK147" s="50" t="n"/>
      <c r="AL147" s="50" t="n"/>
      <c r="AM147" s="50" t="n"/>
      <c r="AN147" s="50" t="n"/>
      <c r="AO147" s="50" t="n"/>
      <c r="AP147" s="50" t="n"/>
      <c r="AQ147" s="50" t="n"/>
      <c r="AR147" s="50" t="n"/>
      <c r="AS147" s="50" t="n"/>
      <c r="AT147" s="50" t="n"/>
      <c r="AU147" s="50" t="n"/>
      <c r="AV147" s="50" t="n"/>
      <c r="AW147" s="50" t="n"/>
      <c r="AX147" s="50" t="n"/>
      <c r="AY147" s="50" t="n"/>
      <c r="AZ147" s="50" t="n"/>
      <c r="BA147" s="50" t="n"/>
      <c r="BB147" s="50" t="n"/>
      <c r="BC147" s="50" t="n"/>
      <c r="BD147" s="50" t="n"/>
      <c r="BE147" s="50" t="n"/>
      <c r="BF147" s="50" t="n"/>
      <c r="BG147" s="50" t="n"/>
      <c r="BH147" s="50" t="n"/>
      <c r="BI147" s="50" t="n"/>
      <c r="BJ147" s="50" t="n"/>
      <c r="BK147" s="50" t="n"/>
      <c r="BL147" s="50" t="n"/>
      <c r="BM147" s="50" t="n"/>
      <c r="BN147" s="50" t="n"/>
      <c r="BO147" s="50" t="n"/>
      <c r="BP147" s="50" t="n"/>
      <c r="BQ147" s="50" t="n"/>
      <c r="BR147" s="50" t="n"/>
      <c r="BS147" s="50" t="n"/>
      <c r="BT147" s="50" t="n"/>
      <c r="BU147" s="50" t="n"/>
      <c r="BV147" s="50" t="n"/>
      <c r="BW147" s="50" t="n"/>
      <c r="BX147" s="50" t="n"/>
      <c r="BY147" s="50" t="n"/>
      <c r="BZ147" s="50" t="n"/>
      <c r="CA147" s="50" t="n"/>
      <c r="CB147" s="50" t="n"/>
      <c r="CC147" s="50" t="n"/>
      <c r="CD147" s="50" t="n"/>
      <c r="CE147" s="50" t="n"/>
      <c r="CF147" s="50" t="n"/>
      <c r="CG147" s="50" t="n"/>
      <c r="CH147" s="50" t="n"/>
      <c r="CI147" s="50" t="n"/>
      <c r="CJ147" s="50" t="n"/>
      <c r="CK147" s="50" t="n"/>
      <c r="CL147" s="50" t="n"/>
      <c r="CM147" s="50" t="n"/>
      <c r="CN147" s="50" t="n"/>
      <c r="CO147" s="50" t="n"/>
      <c r="CP147" s="50" t="n"/>
      <c r="CQ147" s="50" t="n"/>
      <c r="CR147" s="50" t="n"/>
      <c r="CS147" s="50" t="n"/>
      <c r="CT147" s="50" t="n"/>
      <c r="CU147" s="50" t="n"/>
      <c r="CV147" s="50" t="n"/>
      <c r="CW147" s="50" t="n"/>
      <c r="CX147" s="50" t="n"/>
      <c r="CY147" s="50" t="n"/>
      <c r="CZ147" s="50" t="n"/>
      <c r="DA147" s="50" t="n"/>
      <c r="DB147" s="50" t="n"/>
      <c r="DC147" s="50" t="n"/>
      <c r="DD147" s="50" t="n"/>
      <c r="DE147" s="50" t="n"/>
      <c r="DF147" s="50" t="n"/>
      <c r="DG147" s="50" t="n"/>
      <c r="DH147" s="50" t="n"/>
      <c r="DI147" s="50" t="n"/>
      <c r="DJ147" s="50" t="n"/>
      <c r="DK147" s="50" t="n"/>
      <c r="DL147" s="50" t="n"/>
      <c r="DM147" s="50" t="n"/>
      <c r="DN147" s="50" t="n"/>
      <c r="DO147" s="50" t="n"/>
      <c r="DP147" s="50" t="n"/>
      <c r="DQ147" s="50" t="n"/>
      <c r="DR147" s="50" t="n"/>
      <c r="DS147" s="50" t="n"/>
      <c r="DT147" s="50" t="n"/>
      <c r="DU147" s="50" t="n"/>
      <c r="DV147" s="50" t="n"/>
    </row>
    <row r="148">
      <c r="A148" s="47">
        <f>IF(Mitarbeiter!B148="","",Mitarbeiter!A148)</f>
        <v/>
      </c>
      <c r="B148" s="48">
        <f>IF(Mitarbeiter!B148="","",Mitarbeiter!B148)</f>
        <v/>
      </c>
      <c r="C148" s="49">
        <f>IF(Mitarbeiter!B148="","",Mitarbeiter!F148)</f>
        <v/>
      </c>
      <c r="D148" s="25">
        <f>IF(Mitarbeiter!B148="","",Berechnung!AD148)</f>
        <v/>
      </c>
      <c r="E148" s="25">
        <f>IF(Mitarbeiter!B148="","",SUM(G148:DV148))</f>
        <v/>
      </c>
      <c r="G148" s="50" t="n"/>
      <c r="H148" s="50" t="n"/>
      <c r="I148" s="50" t="n"/>
      <c r="J148" s="50" t="n"/>
      <c r="K148" s="50" t="n"/>
      <c r="L148" s="50" t="n"/>
      <c r="M148" s="50" t="n"/>
      <c r="N148" s="50" t="n"/>
      <c r="O148" s="50" t="n"/>
      <c r="P148" s="50" t="n"/>
      <c r="Q148" s="50" t="n"/>
      <c r="R148" s="50" t="n"/>
      <c r="S148" s="50" t="n"/>
      <c r="T148" s="50" t="n"/>
      <c r="U148" s="50" t="n"/>
      <c r="V148" s="50" t="n"/>
      <c r="W148" s="50" t="n"/>
      <c r="X148" s="50" t="n"/>
      <c r="Y148" s="50" t="n"/>
      <c r="Z148" s="50" t="n"/>
      <c r="AA148" s="50" t="n"/>
      <c r="AB148" s="50" t="n"/>
      <c r="AC148" s="50" t="n"/>
      <c r="AD148" s="50" t="n"/>
      <c r="AE148" s="50" t="n"/>
      <c r="AF148" s="50" t="n"/>
      <c r="AG148" s="50" t="n"/>
      <c r="AH148" s="50" t="n"/>
      <c r="AI148" s="50" t="n"/>
      <c r="AJ148" s="50" t="n"/>
      <c r="AK148" s="50" t="n"/>
      <c r="AL148" s="50" t="n"/>
      <c r="AM148" s="50" t="n"/>
      <c r="AN148" s="50" t="n"/>
      <c r="AO148" s="50" t="n"/>
      <c r="AP148" s="50" t="n"/>
      <c r="AQ148" s="50" t="n"/>
      <c r="AR148" s="50" t="n"/>
      <c r="AS148" s="50" t="n"/>
      <c r="AT148" s="50" t="n"/>
      <c r="AU148" s="50" t="n"/>
      <c r="AV148" s="50" t="n"/>
      <c r="AW148" s="50" t="n"/>
      <c r="AX148" s="50" t="n"/>
      <c r="AY148" s="50" t="n"/>
      <c r="AZ148" s="50" t="n"/>
      <c r="BA148" s="50" t="n"/>
      <c r="BB148" s="50" t="n"/>
      <c r="BC148" s="50" t="n"/>
      <c r="BD148" s="50" t="n"/>
      <c r="BE148" s="50" t="n"/>
      <c r="BF148" s="50" t="n"/>
      <c r="BG148" s="50" t="n"/>
      <c r="BH148" s="50" t="n"/>
      <c r="BI148" s="50" t="n"/>
      <c r="BJ148" s="50" t="n"/>
      <c r="BK148" s="50" t="n"/>
      <c r="BL148" s="50" t="n"/>
      <c r="BM148" s="50" t="n"/>
      <c r="BN148" s="50" t="n"/>
      <c r="BO148" s="50" t="n"/>
      <c r="BP148" s="50" t="n"/>
      <c r="BQ148" s="50" t="n"/>
      <c r="BR148" s="50" t="n"/>
      <c r="BS148" s="50" t="n"/>
      <c r="BT148" s="50" t="n"/>
      <c r="BU148" s="50" t="n"/>
      <c r="BV148" s="50" t="n"/>
      <c r="BW148" s="50" t="n"/>
      <c r="BX148" s="50" t="n"/>
      <c r="BY148" s="50" t="n"/>
      <c r="BZ148" s="50" t="n"/>
      <c r="CA148" s="50" t="n"/>
      <c r="CB148" s="50" t="n"/>
      <c r="CC148" s="50" t="n"/>
      <c r="CD148" s="50" t="n"/>
      <c r="CE148" s="50" t="n"/>
      <c r="CF148" s="50" t="n"/>
      <c r="CG148" s="50" t="n"/>
      <c r="CH148" s="50" t="n"/>
      <c r="CI148" s="50" t="n"/>
      <c r="CJ148" s="50" t="n"/>
      <c r="CK148" s="50" t="n"/>
      <c r="CL148" s="50" t="n"/>
      <c r="CM148" s="50" t="n"/>
      <c r="CN148" s="50" t="n"/>
      <c r="CO148" s="50" t="n"/>
      <c r="CP148" s="50" t="n"/>
      <c r="CQ148" s="50" t="n"/>
      <c r="CR148" s="50" t="n"/>
      <c r="CS148" s="50" t="n"/>
      <c r="CT148" s="50" t="n"/>
      <c r="CU148" s="50" t="n"/>
      <c r="CV148" s="50" t="n"/>
      <c r="CW148" s="50" t="n"/>
      <c r="CX148" s="50" t="n"/>
      <c r="CY148" s="50" t="n"/>
      <c r="CZ148" s="50" t="n"/>
      <c r="DA148" s="50" t="n"/>
      <c r="DB148" s="50" t="n"/>
      <c r="DC148" s="50" t="n"/>
      <c r="DD148" s="50" t="n"/>
      <c r="DE148" s="50" t="n"/>
      <c r="DF148" s="50" t="n"/>
      <c r="DG148" s="50" t="n"/>
      <c r="DH148" s="50" t="n"/>
      <c r="DI148" s="50" t="n"/>
      <c r="DJ148" s="50" t="n"/>
      <c r="DK148" s="50" t="n"/>
      <c r="DL148" s="50" t="n"/>
      <c r="DM148" s="50" t="n"/>
      <c r="DN148" s="50" t="n"/>
      <c r="DO148" s="50" t="n"/>
      <c r="DP148" s="50" t="n"/>
      <c r="DQ148" s="50" t="n"/>
      <c r="DR148" s="50" t="n"/>
      <c r="DS148" s="50" t="n"/>
      <c r="DT148" s="50" t="n"/>
      <c r="DU148" s="50" t="n"/>
      <c r="DV148" s="50" t="n"/>
    </row>
    <row r="149">
      <c r="A149" s="47">
        <f>IF(Mitarbeiter!B149="","",Mitarbeiter!A149)</f>
        <v/>
      </c>
      <c r="B149" s="48">
        <f>IF(Mitarbeiter!B149="","",Mitarbeiter!B149)</f>
        <v/>
      </c>
      <c r="C149" s="49">
        <f>IF(Mitarbeiter!B149="","",Mitarbeiter!F149)</f>
        <v/>
      </c>
      <c r="D149" s="25">
        <f>IF(Mitarbeiter!B149="","",Berechnung!AD149)</f>
        <v/>
      </c>
      <c r="E149" s="25">
        <f>IF(Mitarbeiter!B149="","",SUM(G149:DV149))</f>
        <v/>
      </c>
      <c r="G149" s="50" t="n"/>
      <c r="H149" s="50" t="n"/>
      <c r="I149" s="50" t="n"/>
      <c r="J149" s="50" t="n"/>
      <c r="K149" s="50" t="n"/>
      <c r="L149" s="50" t="n"/>
      <c r="M149" s="50" t="n"/>
      <c r="N149" s="50" t="n"/>
      <c r="O149" s="50" t="n"/>
      <c r="P149" s="50" t="n"/>
      <c r="Q149" s="50" t="n"/>
      <c r="R149" s="50" t="n"/>
      <c r="S149" s="50" t="n"/>
      <c r="T149" s="50" t="n"/>
      <c r="U149" s="50" t="n"/>
      <c r="V149" s="50" t="n"/>
      <c r="W149" s="50" t="n"/>
      <c r="X149" s="50" t="n"/>
      <c r="Y149" s="50" t="n"/>
      <c r="Z149" s="50" t="n"/>
      <c r="AA149" s="50" t="n"/>
      <c r="AB149" s="50" t="n"/>
      <c r="AC149" s="50" t="n"/>
      <c r="AD149" s="50" t="n"/>
      <c r="AE149" s="50" t="n"/>
      <c r="AF149" s="50" t="n"/>
      <c r="AG149" s="50" t="n"/>
      <c r="AH149" s="50" t="n"/>
      <c r="AI149" s="50" t="n"/>
      <c r="AJ149" s="50" t="n"/>
      <c r="AK149" s="50" t="n"/>
      <c r="AL149" s="50" t="n"/>
      <c r="AM149" s="50" t="n"/>
      <c r="AN149" s="50" t="n"/>
      <c r="AO149" s="50" t="n"/>
      <c r="AP149" s="50" t="n"/>
      <c r="AQ149" s="50" t="n"/>
      <c r="AR149" s="50" t="n"/>
      <c r="AS149" s="50" t="n"/>
      <c r="AT149" s="50" t="n"/>
      <c r="AU149" s="50" t="n"/>
      <c r="AV149" s="50" t="n"/>
      <c r="AW149" s="50" t="n"/>
      <c r="AX149" s="50" t="n"/>
      <c r="AY149" s="50" t="n"/>
      <c r="AZ149" s="50" t="n"/>
      <c r="BA149" s="50" t="n"/>
      <c r="BB149" s="50" t="n"/>
      <c r="BC149" s="50" t="n"/>
      <c r="BD149" s="50" t="n"/>
      <c r="BE149" s="50" t="n"/>
      <c r="BF149" s="50" t="n"/>
      <c r="BG149" s="50" t="n"/>
      <c r="BH149" s="50" t="n"/>
      <c r="BI149" s="50" t="n"/>
      <c r="BJ149" s="50" t="n"/>
      <c r="BK149" s="50" t="n"/>
      <c r="BL149" s="50" t="n"/>
      <c r="BM149" s="50" t="n"/>
      <c r="BN149" s="50" t="n"/>
      <c r="BO149" s="50" t="n"/>
      <c r="BP149" s="50" t="n"/>
      <c r="BQ149" s="50" t="n"/>
      <c r="BR149" s="50" t="n"/>
      <c r="BS149" s="50" t="n"/>
      <c r="BT149" s="50" t="n"/>
      <c r="BU149" s="50" t="n"/>
      <c r="BV149" s="50" t="n"/>
      <c r="BW149" s="50" t="n"/>
      <c r="BX149" s="50" t="n"/>
      <c r="BY149" s="50" t="n"/>
      <c r="BZ149" s="50" t="n"/>
      <c r="CA149" s="50" t="n"/>
      <c r="CB149" s="50" t="n"/>
      <c r="CC149" s="50" t="n"/>
      <c r="CD149" s="50" t="n"/>
      <c r="CE149" s="50" t="n"/>
      <c r="CF149" s="50" t="n"/>
      <c r="CG149" s="50" t="n"/>
      <c r="CH149" s="50" t="n"/>
      <c r="CI149" s="50" t="n"/>
      <c r="CJ149" s="50" t="n"/>
      <c r="CK149" s="50" t="n"/>
      <c r="CL149" s="50" t="n"/>
      <c r="CM149" s="50" t="n"/>
      <c r="CN149" s="50" t="n"/>
      <c r="CO149" s="50" t="n"/>
      <c r="CP149" s="50" t="n"/>
      <c r="CQ149" s="50" t="n"/>
      <c r="CR149" s="50" t="n"/>
      <c r="CS149" s="50" t="n"/>
      <c r="CT149" s="50" t="n"/>
      <c r="CU149" s="50" t="n"/>
      <c r="CV149" s="50" t="n"/>
      <c r="CW149" s="50" t="n"/>
      <c r="CX149" s="50" t="n"/>
      <c r="CY149" s="50" t="n"/>
      <c r="CZ149" s="50" t="n"/>
      <c r="DA149" s="50" t="n"/>
      <c r="DB149" s="50" t="n"/>
      <c r="DC149" s="50" t="n"/>
      <c r="DD149" s="50" t="n"/>
      <c r="DE149" s="50" t="n"/>
      <c r="DF149" s="50" t="n"/>
      <c r="DG149" s="50" t="n"/>
      <c r="DH149" s="50" t="n"/>
      <c r="DI149" s="50" t="n"/>
      <c r="DJ149" s="50" t="n"/>
      <c r="DK149" s="50" t="n"/>
      <c r="DL149" s="50" t="n"/>
      <c r="DM149" s="50" t="n"/>
      <c r="DN149" s="50" t="n"/>
      <c r="DO149" s="50" t="n"/>
      <c r="DP149" s="50" t="n"/>
      <c r="DQ149" s="50" t="n"/>
      <c r="DR149" s="50" t="n"/>
      <c r="DS149" s="50" t="n"/>
      <c r="DT149" s="50" t="n"/>
      <c r="DU149" s="50" t="n"/>
      <c r="DV149" s="50" t="n"/>
    </row>
    <row r="150">
      <c r="A150" s="47">
        <f>IF(Mitarbeiter!B150="","",Mitarbeiter!A150)</f>
        <v/>
      </c>
      <c r="B150" s="48">
        <f>IF(Mitarbeiter!B150="","",Mitarbeiter!B150)</f>
        <v/>
      </c>
      <c r="C150" s="49">
        <f>IF(Mitarbeiter!B150="","",Mitarbeiter!F150)</f>
        <v/>
      </c>
      <c r="D150" s="25">
        <f>IF(Mitarbeiter!B150="","",Berechnung!AD150)</f>
        <v/>
      </c>
      <c r="E150" s="25">
        <f>IF(Mitarbeiter!B150="","",SUM(G150:DV150))</f>
        <v/>
      </c>
      <c r="G150" s="50" t="n"/>
      <c r="H150" s="50" t="n"/>
      <c r="I150" s="50" t="n"/>
      <c r="J150" s="50" t="n"/>
      <c r="K150" s="50" t="n"/>
      <c r="L150" s="50" t="n"/>
      <c r="M150" s="50" t="n"/>
      <c r="N150" s="50" t="n"/>
      <c r="O150" s="50" t="n"/>
      <c r="P150" s="50" t="n"/>
      <c r="Q150" s="50" t="n"/>
      <c r="R150" s="50" t="n"/>
      <c r="S150" s="50" t="n"/>
      <c r="T150" s="50" t="n"/>
      <c r="U150" s="50" t="n"/>
      <c r="V150" s="50" t="n"/>
      <c r="W150" s="50" t="n"/>
      <c r="X150" s="50" t="n"/>
      <c r="Y150" s="50" t="n"/>
      <c r="Z150" s="50" t="n"/>
      <c r="AA150" s="50" t="n"/>
      <c r="AB150" s="50" t="n"/>
      <c r="AC150" s="50" t="n"/>
      <c r="AD150" s="50" t="n"/>
      <c r="AE150" s="50" t="n"/>
      <c r="AF150" s="50" t="n"/>
      <c r="AG150" s="50" t="n"/>
      <c r="AH150" s="50" t="n"/>
      <c r="AI150" s="50" t="n"/>
      <c r="AJ150" s="50" t="n"/>
      <c r="AK150" s="50" t="n"/>
      <c r="AL150" s="50" t="n"/>
      <c r="AM150" s="50" t="n"/>
      <c r="AN150" s="50" t="n"/>
      <c r="AO150" s="50" t="n"/>
      <c r="AP150" s="50" t="n"/>
      <c r="AQ150" s="50" t="n"/>
      <c r="AR150" s="50" t="n"/>
      <c r="AS150" s="50" t="n"/>
      <c r="AT150" s="50" t="n"/>
      <c r="AU150" s="50" t="n"/>
      <c r="AV150" s="50" t="n"/>
      <c r="AW150" s="50" t="n"/>
      <c r="AX150" s="50" t="n"/>
      <c r="AY150" s="50" t="n"/>
      <c r="AZ150" s="50" t="n"/>
      <c r="BA150" s="50" t="n"/>
      <c r="BB150" s="50" t="n"/>
      <c r="BC150" s="50" t="n"/>
      <c r="BD150" s="50" t="n"/>
      <c r="BE150" s="50" t="n"/>
      <c r="BF150" s="50" t="n"/>
      <c r="BG150" s="50" t="n"/>
      <c r="BH150" s="50" t="n"/>
      <c r="BI150" s="50" t="n"/>
      <c r="BJ150" s="50" t="n"/>
      <c r="BK150" s="50" t="n"/>
      <c r="BL150" s="50" t="n"/>
      <c r="BM150" s="50" t="n"/>
      <c r="BN150" s="50" t="n"/>
      <c r="BO150" s="50" t="n"/>
      <c r="BP150" s="50" t="n"/>
      <c r="BQ150" s="50" t="n"/>
      <c r="BR150" s="50" t="n"/>
      <c r="BS150" s="50" t="n"/>
      <c r="BT150" s="50" t="n"/>
      <c r="BU150" s="50" t="n"/>
      <c r="BV150" s="50" t="n"/>
      <c r="BW150" s="50" t="n"/>
      <c r="BX150" s="50" t="n"/>
      <c r="BY150" s="50" t="n"/>
      <c r="BZ150" s="50" t="n"/>
      <c r="CA150" s="50" t="n"/>
      <c r="CB150" s="50" t="n"/>
      <c r="CC150" s="50" t="n"/>
      <c r="CD150" s="50" t="n"/>
      <c r="CE150" s="50" t="n"/>
      <c r="CF150" s="50" t="n"/>
      <c r="CG150" s="50" t="n"/>
      <c r="CH150" s="50" t="n"/>
      <c r="CI150" s="50" t="n"/>
      <c r="CJ150" s="50" t="n"/>
      <c r="CK150" s="50" t="n"/>
      <c r="CL150" s="50" t="n"/>
      <c r="CM150" s="50" t="n"/>
      <c r="CN150" s="50" t="n"/>
      <c r="CO150" s="50" t="n"/>
      <c r="CP150" s="50" t="n"/>
      <c r="CQ150" s="50" t="n"/>
      <c r="CR150" s="50" t="n"/>
      <c r="CS150" s="50" t="n"/>
      <c r="CT150" s="50" t="n"/>
      <c r="CU150" s="50" t="n"/>
      <c r="CV150" s="50" t="n"/>
      <c r="CW150" s="50" t="n"/>
      <c r="CX150" s="50" t="n"/>
      <c r="CY150" s="50" t="n"/>
      <c r="CZ150" s="50" t="n"/>
      <c r="DA150" s="50" t="n"/>
      <c r="DB150" s="50" t="n"/>
      <c r="DC150" s="50" t="n"/>
      <c r="DD150" s="50" t="n"/>
      <c r="DE150" s="50" t="n"/>
      <c r="DF150" s="50" t="n"/>
      <c r="DG150" s="50" t="n"/>
      <c r="DH150" s="50" t="n"/>
      <c r="DI150" s="50" t="n"/>
      <c r="DJ150" s="50" t="n"/>
      <c r="DK150" s="50" t="n"/>
      <c r="DL150" s="50" t="n"/>
      <c r="DM150" s="50" t="n"/>
      <c r="DN150" s="50" t="n"/>
      <c r="DO150" s="50" t="n"/>
      <c r="DP150" s="50" t="n"/>
      <c r="DQ150" s="50" t="n"/>
      <c r="DR150" s="50" t="n"/>
      <c r="DS150" s="50" t="n"/>
      <c r="DT150" s="50" t="n"/>
      <c r="DU150" s="50" t="n"/>
      <c r="DV150" s="50" t="n"/>
    </row>
    <row r="151">
      <c r="A151" s="47">
        <f>IF(Mitarbeiter!B151="","",Mitarbeiter!A151)</f>
        <v/>
      </c>
      <c r="B151" s="48">
        <f>IF(Mitarbeiter!B151="","",Mitarbeiter!B151)</f>
        <v/>
      </c>
      <c r="C151" s="49">
        <f>IF(Mitarbeiter!B151="","",Mitarbeiter!F151)</f>
        <v/>
      </c>
      <c r="D151" s="25">
        <f>IF(Mitarbeiter!B151="","",Berechnung!AD151)</f>
        <v/>
      </c>
      <c r="E151" s="25">
        <f>IF(Mitarbeiter!B151="","",SUM(G151:DV151))</f>
        <v/>
      </c>
      <c r="G151" s="50" t="n"/>
      <c r="H151" s="50" t="n"/>
      <c r="I151" s="50" t="n"/>
      <c r="J151" s="50" t="n"/>
      <c r="K151" s="50" t="n"/>
      <c r="L151" s="50" t="n"/>
      <c r="M151" s="50" t="n"/>
      <c r="N151" s="50" t="n"/>
      <c r="O151" s="50" t="n"/>
      <c r="P151" s="50" t="n"/>
      <c r="Q151" s="50" t="n"/>
      <c r="R151" s="50" t="n"/>
      <c r="S151" s="50" t="n"/>
      <c r="T151" s="50" t="n"/>
      <c r="U151" s="50" t="n"/>
      <c r="V151" s="50" t="n"/>
      <c r="W151" s="50" t="n"/>
      <c r="X151" s="50" t="n"/>
      <c r="Y151" s="50" t="n"/>
      <c r="Z151" s="50" t="n"/>
      <c r="AA151" s="50" t="n"/>
      <c r="AB151" s="50" t="n"/>
      <c r="AC151" s="50" t="n"/>
      <c r="AD151" s="50" t="n"/>
      <c r="AE151" s="50" t="n"/>
      <c r="AF151" s="50" t="n"/>
      <c r="AG151" s="50" t="n"/>
      <c r="AH151" s="50" t="n"/>
      <c r="AI151" s="50" t="n"/>
      <c r="AJ151" s="50" t="n"/>
      <c r="AK151" s="50" t="n"/>
      <c r="AL151" s="50" t="n"/>
      <c r="AM151" s="50" t="n"/>
      <c r="AN151" s="50" t="n"/>
      <c r="AO151" s="50" t="n"/>
      <c r="AP151" s="50" t="n"/>
      <c r="AQ151" s="50" t="n"/>
      <c r="AR151" s="50" t="n"/>
      <c r="AS151" s="50" t="n"/>
      <c r="AT151" s="50" t="n"/>
      <c r="AU151" s="50" t="n"/>
      <c r="AV151" s="50" t="n"/>
      <c r="AW151" s="50" t="n"/>
      <c r="AX151" s="50" t="n"/>
      <c r="AY151" s="50" t="n"/>
      <c r="AZ151" s="50" t="n"/>
      <c r="BA151" s="50" t="n"/>
      <c r="BB151" s="50" t="n"/>
      <c r="BC151" s="50" t="n"/>
      <c r="BD151" s="50" t="n"/>
      <c r="BE151" s="50" t="n"/>
      <c r="BF151" s="50" t="n"/>
      <c r="BG151" s="50" t="n"/>
      <c r="BH151" s="50" t="n"/>
      <c r="BI151" s="50" t="n"/>
      <c r="BJ151" s="50" t="n"/>
      <c r="BK151" s="50" t="n"/>
      <c r="BL151" s="50" t="n"/>
      <c r="BM151" s="50" t="n"/>
      <c r="BN151" s="50" t="n"/>
      <c r="BO151" s="50" t="n"/>
      <c r="BP151" s="50" t="n"/>
      <c r="BQ151" s="50" t="n"/>
      <c r="BR151" s="50" t="n"/>
      <c r="BS151" s="50" t="n"/>
      <c r="BT151" s="50" t="n"/>
      <c r="BU151" s="50" t="n"/>
      <c r="BV151" s="50" t="n"/>
      <c r="BW151" s="50" t="n"/>
      <c r="BX151" s="50" t="n"/>
      <c r="BY151" s="50" t="n"/>
      <c r="BZ151" s="50" t="n"/>
      <c r="CA151" s="50" t="n"/>
      <c r="CB151" s="50" t="n"/>
      <c r="CC151" s="50" t="n"/>
      <c r="CD151" s="50" t="n"/>
      <c r="CE151" s="50" t="n"/>
      <c r="CF151" s="50" t="n"/>
      <c r="CG151" s="50" t="n"/>
      <c r="CH151" s="50" t="n"/>
      <c r="CI151" s="50" t="n"/>
      <c r="CJ151" s="50" t="n"/>
      <c r="CK151" s="50" t="n"/>
      <c r="CL151" s="50" t="n"/>
      <c r="CM151" s="50" t="n"/>
      <c r="CN151" s="50" t="n"/>
      <c r="CO151" s="50" t="n"/>
      <c r="CP151" s="50" t="n"/>
      <c r="CQ151" s="50" t="n"/>
      <c r="CR151" s="50" t="n"/>
      <c r="CS151" s="50" t="n"/>
      <c r="CT151" s="50" t="n"/>
      <c r="CU151" s="50" t="n"/>
      <c r="CV151" s="50" t="n"/>
      <c r="CW151" s="50" t="n"/>
      <c r="CX151" s="50" t="n"/>
      <c r="CY151" s="50" t="n"/>
      <c r="CZ151" s="50" t="n"/>
      <c r="DA151" s="50" t="n"/>
      <c r="DB151" s="50" t="n"/>
      <c r="DC151" s="50" t="n"/>
      <c r="DD151" s="50" t="n"/>
      <c r="DE151" s="50" t="n"/>
      <c r="DF151" s="50" t="n"/>
      <c r="DG151" s="50" t="n"/>
      <c r="DH151" s="50" t="n"/>
      <c r="DI151" s="50" t="n"/>
      <c r="DJ151" s="50" t="n"/>
      <c r="DK151" s="50" t="n"/>
      <c r="DL151" s="50" t="n"/>
      <c r="DM151" s="50" t="n"/>
      <c r="DN151" s="50" t="n"/>
      <c r="DO151" s="50" t="n"/>
      <c r="DP151" s="50" t="n"/>
      <c r="DQ151" s="50" t="n"/>
      <c r="DR151" s="50" t="n"/>
      <c r="DS151" s="50" t="n"/>
      <c r="DT151" s="50" t="n"/>
      <c r="DU151" s="50" t="n"/>
      <c r="DV151" s="50" t="n"/>
    </row>
    <row r="152">
      <c r="A152" s="47">
        <f>IF(Mitarbeiter!B152="","",Mitarbeiter!A152)</f>
        <v/>
      </c>
      <c r="B152" s="48">
        <f>IF(Mitarbeiter!B152="","",Mitarbeiter!B152)</f>
        <v/>
      </c>
      <c r="C152" s="49">
        <f>IF(Mitarbeiter!B152="","",Mitarbeiter!F152)</f>
        <v/>
      </c>
      <c r="D152" s="25">
        <f>IF(Mitarbeiter!B152="","",Berechnung!AD152)</f>
        <v/>
      </c>
      <c r="E152" s="25">
        <f>IF(Mitarbeiter!B152="","",SUM(G152:DV152))</f>
        <v/>
      </c>
      <c r="G152" s="50" t="n"/>
      <c r="H152" s="50" t="n"/>
      <c r="I152" s="50" t="n"/>
      <c r="J152" s="50" t="n"/>
      <c r="K152" s="50" t="n"/>
      <c r="L152" s="50" t="n"/>
      <c r="M152" s="50" t="n"/>
      <c r="N152" s="50" t="n"/>
      <c r="O152" s="50" t="n"/>
      <c r="P152" s="50" t="n"/>
      <c r="Q152" s="50" t="n"/>
      <c r="R152" s="50" t="n"/>
      <c r="S152" s="50" t="n"/>
      <c r="T152" s="50" t="n"/>
      <c r="U152" s="50" t="n"/>
      <c r="V152" s="50" t="n"/>
      <c r="W152" s="50" t="n"/>
      <c r="X152" s="50" t="n"/>
      <c r="Y152" s="50" t="n"/>
      <c r="Z152" s="50" t="n"/>
      <c r="AA152" s="50" t="n"/>
      <c r="AB152" s="50" t="n"/>
      <c r="AC152" s="50" t="n"/>
      <c r="AD152" s="50" t="n"/>
      <c r="AE152" s="50" t="n"/>
      <c r="AF152" s="50" t="n"/>
      <c r="AG152" s="50" t="n"/>
      <c r="AH152" s="50" t="n"/>
      <c r="AI152" s="50" t="n"/>
      <c r="AJ152" s="50" t="n"/>
      <c r="AK152" s="50" t="n"/>
      <c r="AL152" s="50" t="n"/>
      <c r="AM152" s="50" t="n"/>
      <c r="AN152" s="50" t="n"/>
      <c r="AO152" s="50" t="n"/>
      <c r="AP152" s="50" t="n"/>
      <c r="AQ152" s="50" t="n"/>
      <c r="AR152" s="50" t="n"/>
      <c r="AS152" s="50" t="n"/>
      <c r="AT152" s="50" t="n"/>
      <c r="AU152" s="50" t="n"/>
      <c r="AV152" s="50" t="n"/>
      <c r="AW152" s="50" t="n"/>
      <c r="AX152" s="50" t="n"/>
      <c r="AY152" s="50" t="n"/>
      <c r="AZ152" s="50" t="n"/>
      <c r="BA152" s="50" t="n"/>
      <c r="BB152" s="50" t="n"/>
      <c r="BC152" s="50" t="n"/>
      <c r="BD152" s="50" t="n"/>
      <c r="BE152" s="50" t="n"/>
      <c r="BF152" s="50" t="n"/>
      <c r="BG152" s="50" t="n"/>
      <c r="BH152" s="50" t="n"/>
      <c r="BI152" s="50" t="n"/>
      <c r="BJ152" s="50" t="n"/>
      <c r="BK152" s="50" t="n"/>
      <c r="BL152" s="50" t="n"/>
      <c r="BM152" s="50" t="n"/>
      <c r="BN152" s="50" t="n"/>
      <c r="BO152" s="50" t="n"/>
      <c r="BP152" s="50" t="n"/>
      <c r="BQ152" s="50" t="n"/>
      <c r="BR152" s="50" t="n"/>
      <c r="BS152" s="50" t="n"/>
      <c r="BT152" s="50" t="n"/>
      <c r="BU152" s="50" t="n"/>
      <c r="BV152" s="50" t="n"/>
      <c r="BW152" s="50" t="n"/>
      <c r="BX152" s="50" t="n"/>
      <c r="BY152" s="50" t="n"/>
      <c r="BZ152" s="50" t="n"/>
      <c r="CA152" s="50" t="n"/>
      <c r="CB152" s="50" t="n"/>
      <c r="CC152" s="50" t="n"/>
      <c r="CD152" s="50" t="n"/>
      <c r="CE152" s="50" t="n"/>
      <c r="CF152" s="50" t="n"/>
      <c r="CG152" s="50" t="n"/>
      <c r="CH152" s="50" t="n"/>
      <c r="CI152" s="50" t="n"/>
      <c r="CJ152" s="50" t="n"/>
      <c r="CK152" s="50" t="n"/>
      <c r="CL152" s="50" t="n"/>
      <c r="CM152" s="50" t="n"/>
      <c r="CN152" s="50" t="n"/>
      <c r="CO152" s="50" t="n"/>
      <c r="CP152" s="50" t="n"/>
      <c r="CQ152" s="50" t="n"/>
      <c r="CR152" s="50" t="n"/>
      <c r="CS152" s="50" t="n"/>
      <c r="CT152" s="50" t="n"/>
      <c r="CU152" s="50" t="n"/>
      <c r="CV152" s="50" t="n"/>
      <c r="CW152" s="50" t="n"/>
      <c r="CX152" s="50" t="n"/>
      <c r="CY152" s="50" t="n"/>
      <c r="CZ152" s="50" t="n"/>
      <c r="DA152" s="50" t="n"/>
      <c r="DB152" s="50" t="n"/>
      <c r="DC152" s="50" t="n"/>
      <c r="DD152" s="50" t="n"/>
      <c r="DE152" s="50" t="n"/>
      <c r="DF152" s="50" t="n"/>
      <c r="DG152" s="50" t="n"/>
      <c r="DH152" s="50" t="n"/>
      <c r="DI152" s="50" t="n"/>
      <c r="DJ152" s="50" t="n"/>
      <c r="DK152" s="50" t="n"/>
      <c r="DL152" s="50" t="n"/>
      <c r="DM152" s="50" t="n"/>
      <c r="DN152" s="50" t="n"/>
      <c r="DO152" s="50" t="n"/>
      <c r="DP152" s="50" t="n"/>
      <c r="DQ152" s="50" t="n"/>
      <c r="DR152" s="50" t="n"/>
      <c r="DS152" s="50" t="n"/>
      <c r="DT152" s="50" t="n"/>
      <c r="DU152" s="50" t="n"/>
      <c r="DV152" s="50" t="n"/>
    </row>
    <row r="153">
      <c r="A153" s="47">
        <f>IF(Mitarbeiter!B153="","",Mitarbeiter!A153)</f>
        <v/>
      </c>
      <c r="B153" s="48">
        <f>IF(Mitarbeiter!B153="","",Mitarbeiter!B153)</f>
        <v/>
      </c>
      <c r="C153" s="49">
        <f>IF(Mitarbeiter!B153="","",Mitarbeiter!F153)</f>
        <v/>
      </c>
      <c r="D153" s="25">
        <f>IF(Mitarbeiter!B153="","",Berechnung!AD153)</f>
        <v/>
      </c>
      <c r="E153" s="25">
        <f>IF(Mitarbeiter!B153="","",SUM(G153:DV153))</f>
        <v/>
      </c>
      <c r="G153" s="50" t="n"/>
      <c r="H153" s="50" t="n"/>
      <c r="I153" s="50" t="n"/>
      <c r="J153" s="50" t="n"/>
      <c r="K153" s="50" t="n"/>
      <c r="L153" s="50" t="n"/>
      <c r="M153" s="50" t="n"/>
      <c r="N153" s="50" t="n"/>
      <c r="O153" s="50" t="n"/>
      <c r="P153" s="50" t="n"/>
      <c r="Q153" s="50" t="n"/>
      <c r="R153" s="50" t="n"/>
      <c r="S153" s="50" t="n"/>
      <c r="T153" s="50" t="n"/>
      <c r="U153" s="50" t="n"/>
      <c r="V153" s="50" t="n"/>
      <c r="W153" s="50" t="n"/>
      <c r="X153" s="50" t="n"/>
      <c r="Y153" s="50" t="n"/>
      <c r="Z153" s="50" t="n"/>
      <c r="AA153" s="50" t="n"/>
      <c r="AB153" s="50" t="n"/>
      <c r="AC153" s="50" t="n"/>
      <c r="AD153" s="50" t="n"/>
      <c r="AE153" s="50" t="n"/>
      <c r="AF153" s="50" t="n"/>
      <c r="AG153" s="50" t="n"/>
      <c r="AH153" s="50" t="n"/>
      <c r="AI153" s="50" t="n"/>
      <c r="AJ153" s="50" t="n"/>
      <c r="AK153" s="50" t="n"/>
      <c r="AL153" s="50" t="n"/>
      <c r="AM153" s="50" t="n"/>
      <c r="AN153" s="50" t="n"/>
      <c r="AO153" s="50" t="n"/>
      <c r="AP153" s="50" t="n"/>
      <c r="AQ153" s="50" t="n"/>
      <c r="AR153" s="50" t="n"/>
      <c r="AS153" s="50" t="n"/>
      <c r="AT153" s="50" t="n"/>
      <c r="AU153" s="50" t="n"/>
      <c r="AV153" s="50" t="n"/>
      <c r="AW153" s="50" t="n"/>
      <c r="AX153" s="50" t="n"/>
      <c r="AY153" s="50" t="n"/>
      <c r="AZ153" s="50" t="n"/>
      <c r="BA153" s="50" t="n"/>
      <c r="BB153" s="50" t="n"/>
      <c r="BC153" s="50" t="n"/>
      <c r="BD153" s="50" t="n"/>
      <c r="BE153" s="50" t="n"/>
      <c r="BF153" s="50" t="n"/>
      <c r="BG153" s="50" t="n"/>
      <c r="BH153" s="50" t="n"/>
      <c r="BI153" s="50" t="n"/>
      <c r="BJ153" s="50" t="n"/>
      <c r="BK153" s="50" t="n"/>
      <c r="BL153" s="50" t="n"/>
      <c r="BM153" s="50" t="n"/>
      <c r="BN153" s="50" t="n"/>
      <c r="BO153" s="50" t="n"/>
      <c r="BP153" s="50" t="n"/>
      <c r="BQ153" s="50" t="n"/>
      <c r="BR153" s="50" t="n"/>
      <c r="BS153" s="50" t="n"/>
      <c r="BT153" s="50" t="n"/>
      <c r="BU153" s="50" t="n"/>
      <c r="BV153" s="50" t="n"/>
      <c r="BW153" s="50" t="n"/>
      <c r="BX153" s="50" t="n"/>
      <c r="BY153" s="50" t="n"/>
      <c r="BZ153" s="50" t="n"/>
      <c r="CA153" s="50" t="n"/>
      <c r="CB153" s="50" t="n"/>
      <c r="CC153" s="50" t="n"/>
      <c r="CD153" s="50" t="n"/>
      <c r="CE153" s="50" t="n"/>
      <c r="CF153" s="50" t="n"/>
      <c r="CG153" s="50" t="n"/>
      <c r="CH153" s="50" t="n"/>
      <c r="CI153" s="50" t="n"/>
      <c r="CJ153" s="50" t="n"/>
      <c r="CK153" s="50" t="n"/>
      <c r="CL153" s="50" t="n"/>
      <c r="CM153" s="50" t="n"/>
      <c r="CN153" s="50" t="n"/>
      <c r="CO153" s="50" t="n"/>
      <c r="CP153" s="50" t="n"/>
      <c r="CQ153" s="50" t="n"/>
      <c r="CR153" s="50" t="n"/>
      <c r="CS153" s="50" t="n"/>
      <c r="CT153" s="50" t="n"/>
      <c r="CU153" s="50" t="n"/>
      <c r="CV153" s="50" t="n"/>
      <c r="CW153" s="50" t="n"/>
      <c r="CX153" s="50" t="n"/>
      <c r="CY153" s="50" t="n"/>
      <c r="CZ153" s="50" t="n"/>
      <c r="DA153" s="50" t="n"/>
      <c r="DB153" s="50" t="n"/>
      <c r="DC153" s="50" t="n"/>
      <c r="DD153" s="50" t="n"/>
      <c r="DE153" s="50" t="n"/>
      <c r="DF153" s="50" t="n"/>
      <c r="DG153" s="50" t="n"/>
      <c r="DH153" s="50" t="n"/>
      <c r="DI153" s="50" t="n"/>
      <c r="DJ153" s="50" t="n"/>
      <c r="DK153" s="50" t="n"/>
      <c r="DL153" s="50" t="n"/>
      <c r="DM153" s="50" t="n"/>
      <c r="DN153" s="50" t="n"/>
      <c r="DO153" s="50" t="n"/>
      <c r="DP153" s="50" t="n"/>
      <c r="DQ153" s="50" t="n"/>
      <c r="DR153" s="50" t="n"/>
      <c r="DS153" s="50" t="n"/>
      <c r="DT153" s="50" t="n"/>
      <c r="DU153" s="50" t="n"/>
      <c r="DV153" s="50" t="n"/>
    </row>
    <row r="154">
      <c r="A154" s="47">
        <f>IF(Mitarbeiter!B154="","",Mitarbeiter!A154)</f>
        <v/>
      </c>
      <c r="B154" s="48">
        <f>IF(Mitarbeiter!B154="","",Mitarbeiter!B154)</f>
        <v/>
      </c>
      <c r="C154" s="49">
        <f>IF(Mitarbeiter!B154="","",Mitarbeiter!F154)</f>
        <v/>
      </c>
      <c r="D154" s="25">
        <f>IF(Mitarbeiter!B154="","",Berechnung!AD154)</f>
        <v/>
      </c>
      <c r="E154" s="25">
        <f>IF(Mitarbeiter!B154="","",SUM(G154:DV154))</f>
        <v/>
      </c>
      <c r="G154" s="50" t="n"/>
      <c r="H154" s="50" t="n"/>
      <c r="I154" s="50" t="n"/>
      <c r="J154" s="50" t="n"/>
      <c r="K154" s="50" t="n"/>
      <c r="L154" s="50" t="n"/>
      <c r="M154" s="50" t="n"/>
      <c r="N154" s="50" t="n"/>
      <c r="O154" s="50" t="n"/>
      <c r="P154" s="50" t="n"/>
      <c r="Q154" s="50" t="n"/>
      <c r="R154" s="50" t="n"/>
      <c r="S154" s="50" t="n"/>
      <c r="T154" s="50" t="n"/>
      <c r="U154" s="50" t="n"/>
      <c r="V154" s="50" t="n"/>
      <c r="W154" s="50" t="n"/>
      <c r="X154" s="50" t="n"/>
      <c r="Y154" s="50" t="n"/>
      <c r="Z154" s="50" t="n"/>
      <c r="AA154" s="50" t="n"/>
      <c r="AB154" s="50" t="n"/>
      <c r="AC154" s="50" t="n"/>
      <c r="AD154" s="50" t="n"/>
      <c r="AE154" s="50" t="n"/>
      <c r="AF154" s="50" t="n"/>
      <c r="AG154" s="50" t="n"/>
      <c r="AH154" s="50" t="n"/>
      <c r="AI154" s="50" t="n"/>
      <c r="AJ154" s="50" t="n"/>
      <c r="AK154" s="50" t="n"/>
      <c r="AL154" s="50" t="n"/>
      <c r="AM154" s="50" t="n"/>
      <c r="AN154" s="50" t="n"/>
      <c r="AO154" s="50" t="n"/>
      <c r="AP154" s="50" t="n"/>
      <c r="AQ154" s="50" t="n"/>
      <c r="AR154" s="50" t="n"/>
      <c r="AS154" s="50" t="n"/>
      <c r="AT154" s="50" t="n"/>
      <c r="AU154" s="50" t="n"/>
      <c r="AV154" s="50" t="n"/>
      <c r="AW154" s="50" t="n"/>
      <c r="AX154" s="50" t="n"/>
      <c r="AY154" s="50" t="n"/>
      <c r="AZ154" s="50" t="n"/>
      <c r="BA154" s="50" t="n"/>
      <c r="BB154" s="50" t="n"/>
      <c r="BC154" s="50" t="n"/>
      <c r="BD154" s="50" t="n"/>
      <c r="BE154" s="50" t="n"/>
      <c r="BF154" s="50" t="n"/>
      <c r="BG154" s="50" t="n"/>
      <c r="BH154" s="50" t="n"/>
      <c r="BI154" s="50" t="n"/>
      <c r="BJ154" s="50" t="n"/>
      <c r="BK154" s="50" t="n"/>
      <c r="BL154" s="50" t="n"/>
      <c r="BM154" s="50" t="n"/>
      <c r="BN154" s="50" t="n"/>
      <c r="BO154" s="50" t="n"/>
      <c r="BP154" s="50" t="n"/>
      <c r="BQ154" s="50" t="n"/>
      <c r="BR154" s="50" t="n"/>
      <c r="BS154" s="50" t="n"/>
      <c r="BT154" s="50" t="n"/>
      <c r="BU154" s="50" t="n"/>
      <c r="BV154" s="50" t="n"/>
      <c r="BW154" s="50" t="n"/>
      <c r="BX154" s="50" t="n"/>
      <c r="BY154" s="50" t="n"/>
      <c r="BZ154" s="50" t="n"/>
      <c r="CA154" s="50" t="n"/>
      <c r="CB154" s="50" t="n"/>
      <c r="CC154" s="50" t="n"/>
      <c r="CD154" s="50" t="n"/>
      <c r="CE154" s="50" t="n"/>
      <c r="CF154" s="50" t="n"/>
      <c r="CG154" s="50" t="n"/>
      <c r="CH154" s="50" t="n"/>
      <c r="CI154" s="50" t="n"/>
      <c r="CJ154" s="50" t="n"/>
      <c r="CK154" s="50" t="n"/>
      <c r="CL154" s="50" t="n"/>
      <c r="CM154" s="50" t="n"/>
      <c r="CN154" s="50" t="n"/>
      <c r="CO154" s="50" t="n"/>
      <c r="CP154" s="50" t="n"/>
      <c r="CQ154" s="50" t="n"/>
      <c r="CR154" s="50" t="n"/>
      <c r="CS154" s="50" t="n"/>
      <c r="CT154" s="50" t="n"/>
      <c r="CU154" s="50" t="n"/>
      <c r="CV154" s="50" t="n"/>
      <c r="CW154" s="50" t="n"/>
      <c r="CX154" s="50" t="n"/>
      <c r="CY154" s="50" t="n"/>
      <c r="CZ154" s="50" t="n"/>
      <c r="DA154" s="50" t="n"/>
      <c r="DB154" s="50" t="n"/>
      <c r="DC154" s="50" t="n"/>
      <c r="DD154" s="50" t="n"/>
      <c r="DE154" s="50" t="n"/>
      <c r="DF154" s="50" t="n"/>
      <c r="DG154" s="50" t="n"/>
      <c r="DH154" s="50" t="n"/>
      <c r="DI154" s="50" t="n"/>
      <c r="DJ154" s="50" t="n"/>
      <c r="DK154" s="50" t="n"/>
      <c r="DL154" s="50" t="n"/>
      <c r="DM154" s="50" t="n"/>
      <c r="DN154" s="50" t="n"/>
      <c r="DO154" s="50" t="n"/>
      <c r="DP154" s="50" t="n"/>
      <c r="DQ154" s="50" t="n"/>
      <c r="DR154" s="50" t="n"/>
      <c r="DS154" s="50" t="n"/>
      <c r="DT154" s="50" t="n"/>
      <c r="DU154" s="50" t="n"/>
      <c r="DV154" s="50" t="n"/>
    </row>
    <row r="155">
      <c r="A155" s="47">
        <f>IF(Mitarbeiter!B155="","",Mitarbeiter!A155)</f>
        <v/>
      </c>
      <c r="B155" s="48">
        <f>IF(Mitarbeiter!B155="","",Mitarbeiter!B155)</f>
        <v/>
      </c>
      <c r="C155" s="49">
        <f>IF(Mitarbeiter!B155="","",Mitarbeiter!F155)</f>
        <v/>
      </c>
      <c r="D155" s="25">
        <f>IF(Mitarbeiter!B155="","",Berechnung!AD155)</f>
        <v/>
      </c>
      <c r="E155" s="25">
        <f>IF(Mitarbeiter!B155="","",SUM(G155:DV155))</f>
        <v/>
      </c>
      <c r="G155" s="50" t="n"/>
      <c r="H155" s="50" t="n"/>
      <c r="I155" s="50" t="n"/>
      <c r="J155" s="50" t="n"/>
      <c r="K155" s="50" t="n"/>
      <c r="L155" s="50" t="n"/>
      <c r="M155" s="50" t="n"/>
      <c r="N155" s="50" t="n"/>
      <c r="O155" s="50" t="n"/>
      <c r="P155" s="50" t="n"/>
      <c r="Q155" s="50" t="n"/>
      <c r="R155" s="50" t="n"/>
      <c r="S155" s="50" t="n"/>
      <c r="T155" s="50" t="n"/>
      <c r="U155" s="50" t="n"/>
      <c r="V155" s="50" t="n"/>
      <c r="W155" s="50" t="n"/>
      <c r="X155" s="50" t="n"/>
      <c r="Y155" s="50" t="n"/>
      <c r="Z155" s="50" t="n"/>
      <c r="AA155" s="50" t="n"/>
      <c r="AB155" s="50" t="n"/>
      <c r="AC155" s="50" t="n"/>
      <c r="AD155" s="50" t="n"/>
      <c r="AE155" s="50" t="n"/>
      <c r="AF155" s="50" t="n"/>
      <c r="AG155" s="50" t="n"/>
      <c r="AH155" s="50" t="n"/>
      <c r="AI155" s="50" t="n"/>
      <c r="AJ155" s="50" t="n"/>
      <c r="AK155" s="50" t="n"/>
      <c r="AL155" s="50" t="n"/>
      <c r="AM155" s="50" t="n"/>
      <c r="AN155" s="50" t="n"/>
      <c r="AO155" s="50" t="n"/>
      <c r="AP155" s="50" t="n"/>
      <c r="AQ155" s="50" t="n"/>
      <c r="AR155" s="50" t="n"/>
      <c r="AS155" s="50" t="n"/>
      <c r="AT155" s="50" t="n"/>
      <c r="AU155" s="50" t="n"/>
      <c r="AV155" s="50" t="n"/>
      <c r="AW155" s="50" t="n"/>
      <c r="AX155" s="50" t="n"/>
      <c r="AY155" s="50" t="n"/>
      <c r="AZ155" s="50" t="n"/>
      <c r="BA155" s="50" t="n"/>
      <c r="BB155" s="50" t="n"/>
      <c r="BC155" s="50" t="n"/>
      <c r="BD155" s="50" t="n"/>
      <c r="BE155" s="50" t="n"/>
      <c r="BF155" s="50" t="n"/>
      <c r="BG155" s="50" t="n"/>
      <c r="BH155" s="50" t="n"/>
      <c r="BI155" s="50" t="n"/>
      <c r="BJ155" s="50" t="n"/>
      <c r="BK155" s="50" t="n"/>
      <c r="BL155" s="50" t="n"/>
      <c r="BM155" s="50" t="n"/>
      <c r="BN155" s="50" t="n"/>
      <c r="BO155" s="50" t="n"/>
      <c r="BP155" s="50" t="n"/>
      <c r="BQ155" s="50" t="n"/>
      <c r="BR155" s="50" t="n"/>
      <c r="BS155" s="50" t="n"/>
      <c r="BT155" s="50" t="n"/>
      <c r="BU155" s="50" t="n"/>
      <c r="BV155" s="50" t="n"/>
      <c r="BW155" s="50" t="n"/>
      <c r="BX155" s="50" t="n"/>
      <c r="BY155" s="50" t="n"/>
      <c r="BZ155" s="50" t="n"/>
      <c r="CA155" s="50" t="n"/>
      <c r="CB155" s="50" t="n"/>
      <c r="CC155" s="50" t="n"/>
      <c r="CD155" s="50" t="n"/>
      <c r="CE155" s="50" t="n"/>
      <c r="CF155" s="50" t="n"/>
      <c r="CG155" s="50" t="n"/>
      <c r="CH155" s="50" t="n"/>
      <c r="CI155" s="50" t="n"/>
      <c r="CJ155" s="50" t="n"/>
      <c r="CK155" s="50" t="n"/>
      <c r="CL155" s="50" t="n"/>
      <c r="CM155" s="50" t="n"/>
      <c r="CN155" s="50" t="n"/>
      <c r="CO155" s="50" t="n"/>
      <c r="CP155" s="50" t="n"/>
      <c r="CQ155" s="50" t="n"/>
      <c r="CR155" s="50" t="n"/>
      <c r="CS155" s="50" t="n"/>
      <c r="CT155" s="50" t="n"/>
      <c r="CU155" s="50" t="n"/>
      <c r="CV155" s="50" t="n"/>
      <c r="CW155" s="50" t="n"/>
      <c r="CX155" s="50" t="n"/>
      <c r="CY155" s="50" t="n"/>
      <c r="CZ155" s="50" t="n"/>
      <c r="DA155" s="50" t="n"/>
      <c r="DB155" s="50" t="n"/>
      <c r="DC155" s="50" t="n"/>
      <c r="DD155" s="50" t="n"/>
      <c r="DE155" s="50" t="n"/>
      <c r="DF155" s="50" t="n"/>
      <c r="DG155" s="50" t="n"/>
      <c r="DH155" s="50" t="n"/>
      <c r="DI155" s="50" t="n"/>
      <c r="DJ155" s="50" t="n"/>
      <c r="DK155" s="50" t="n"/>
      <c r="DL155" s="50" t="n"/>
      <c r="DM155" s="50" t="n"/>
      <c r="DN155" s="50" t="n"/>
      <c r="DO155" s="50" t="n"/>
      <c r="DP155" s="50" t="n"/>
      <c r="DQ155" s="50" t="n"/>
      <c r="DR155" s="50" t="n"/>
      <c r="DS155" s="50" t="n"/>
      <c r="DT155" s="50" t="n"/>
      <c r="DU155" s="50" t="n"/>
      <c r="DV155" s="50" t="n"/>
    </row>
    <row r="156">
      <c r="A156" s="47">
        <f>IF(Mitarbeiter!B156="","",Mitarbeiter!A156)</f>
        <v/>
      </c>
      <c r="B156" s="48">
        <f>IF(Mitarbeiter!B156="","",Mitarbeiter!B156)</f>
        <v/>
      </c>
      <c r="C156" s="49">
        <f>IF(Mitarbeiter!B156="","",Mitarbeiter!F156)</f>
        <v/>
      </c>
      <c r="D156" s="25">
        <f>IF(Mitarbeiter!B156="","",Berechnung!AD156)</f>
        <v/>
      </c>
      <c r="E156" s="25">
        <f>IF(Mitarbeiter!B156="","",SUM(G156:DV156))</f>
        <v/>
      </c>
      <c r="G156" s="50" t="n"/>
      <c r="H156" s="50" t="n"/>
      <c r="I156" s="50" t="n"/>
      <c r="J156" s="50" t="n"/>
      <c r="K156" s="50" t="n"/>
      <c r="L156" s="50" t="n"/>
      <c r="M156" s="50" t="n"/>
      <c r="N156" s="50" t="n"/>
      <c r="O156" s="50" t="n"/>
      <c r="P156" s="50" t="n"/>
      <c r="Q156" s="50" t="n"/>
      <c r="R156" s="50" t="n"/>
      <c r="S156" s="50" t="n"/>
      <c r="T156" s="50" t="n"/>
      <c r="U156" s="50" t="n"/>
      <c r="V156" s="50" t="n"/>
      <c r="W156" s="50" t="n"/>
      <c r="X156" s="50" t="n"/>
      <c r="Y156" s="50" t="n"/>
      <c r="Z156" s="50" t="n"/>
      <c r="AA156" s="50" t="n"/>
      <c r="AB156" s="50" t="n"/>
      <c r="AC156" s="50" t="n"/>
      <c r="AD156" s="50" t="n"/>
      <c r="AE156" s="50" t="n"/>
      <c r="AF156" s="50" t="n"/>
      <c r="AG156" s="50" t="n"/>
      <c r="AH156" s="50" t="n"/>
      <c r="AI156" s="50" t="n"/>
      <c r="AJ156" s="50" t="n"/>
      <c r="AK156" s="50" t="n"/>
      <c r="AL156" s="50" t="n"/>
      <c r="AM156" s="50" t="n"/>
      <c r="AN156" s="50" t="n"/>
      <c r="AO156" s="50" t="n"/>
      <c r="AP156" s="50" t="n"/>
      <c r="AQ156" s="50" t="n"/>
      <c r="AR156" s="50" t="n"/>
      <c r="AS156" s="50" t="n"/>
      <c r="AT156" s="50" t="n"/>
      <c r="AU156" s="50" t="n"/>
      <c r="AV156" s="50" t="n"/>
      <c r="AW156" s="50" t="n"/>
      <c r="AX156" s="50" t="n"/>
      <c r="AY156" s="50" t="n"/>
      <c r="AZ156" s="50" t="n"/>
      <c r="BA156" s="50" t="n"/>
      <c r="BB156" s="50" t="n"/>
      <c r="BC156" s="50" t="n"/>
      <c r="BD156" s="50" t="n"/>
      <c r="BE156" s="50" t="n"/>
      <c r="BF156" s="50" t="n"/>
      <c r="BG156" s="50" t="n"/>
      <c r="BH156" s="50" t="n"/>
      <c r="BI156" s="50" t="n"/>
      <c r="BJ156" s="50" t="n"/>
      <c r="BK156" s="50" t="n"/>
      <c r="BL156" s="50" t="n"/>
      <c r="BM156" s="50" t="n"/>
      <c r="BN156" s="50" t="n"/>
      <c r="BO156" s="50" t="n"/>
      <c r="BP156" s="50" t="n"/>
      <c r="BQ156" s="50" t="n"/>
      <c r="BR156" s="50" t="n"/>
      <c r="BS156" s="50" t="n"/>
      <c r="BT156" s="50" t="n"/>
      <c r="BU156" s="50" t="n"/>
      <c r="BV156" s="50" t="n"/>
      <c r="BW156" s="50" t="n"/>
      <c r="BX156" s="50" t="n"/>
      <c r="BY156" s="50" t="n"/>
      <c r="BZ156" s="50" t="n"/>
      <c r="CA156" s="50" t="n"/>
      <c r="CB156" s="50" t="n"/>
      <c r="CC156" s="50" t="n"/>
      <c r="CD156" s="50" t="n"/>
      <c r="CE156" s="50" t="n"/>
      <c r="CF156" s="50" t="n"/>
      <c r="CG156" s="50" t="n"/>
      <c r="CH156" s="50" t="n"/>
      <c r="CI156" s="50" t="n"/>
      <c r="CJ156" s="50" t="n"/>
      <c r="CK156" s="50" t="n"/>
      <c r="CL156" s="50" t="n"/>
      <c r="CM156" s="50" t="n"/>
      <c r="CN156" s="50" t="n"/>
      <c r="CO156" s="50" t="n"/>
      <c r="CP156" s="50" t="n"/>
      <c r="CQ156" s="50" t="n"/>
      <c r="CR156" s="50" t="n"/>
      <c r="CS156" s="50" t="n"/>
      <c r="CT156" s="50" t="n"/>
      <c r="CU156" s="50" t="n"/>
      <c r="CV156" s="50" t="n"/>
      <c r="CW156" s="50" t="n"/>
      <c r="CX156" s="50" t="n"/>
      <c r="CY156" s="50" t="n"/>
      <c r="CZ156" s="50" t="n"/>
      <c r="DA156" s="50" t="n"/>
      <c r="DB156" s="50" t="n"/>
      <c r="DC156" s="50" t="n"/>
      <c r="DD156" s="50" t="n"/>
      <c r="DE156" s="50" t="n"/>
      <c r="DF156" s="50" t="n"/>
      <c r="DG156" s="50" t="n"/>
      <c r="DH156" s="50" t="n"/>
      <c r="DI156" s="50" t="n"/>
      <c r="DJ156" s="50" t="n"/>
      <c r="DK156" s="50" t="n"/>
      <c r="DL156" s="50" t="n"/>
      <c r="DM156" s="50" t="n"/>
      <c r="DN156" s="50" t="n"/>
      <c r="DO156" s="50" t="n"/>
      <c r="DP156" s="50" t="n"/>
      <c r="DQ156" s="50" t="n"/>
      <c r="DR156" s="50" t="n"/>
      <c r="DS156" s="50" t="n"/>
      <c r="DT156" s="50" t="n"/>
      <c r="DU156" s="50" t="n"/>
      <c r="DV156" s="50" t="n"/>
    </row>
    <row r="157">
      <c r="A157" s="47">
        <f>IF(Mitarbeiter!B157="","",Mitarbeiter!A157)</f>
        <v/>
      </c>
      <c r="B157" s="48">
        <f>IF(Mitarbeiter!B157="","",Mitarbeiter!B157)</f>
        <v/>
      </c>
      <c r="C157" s="49">
        <f>IF(Mitarbeiter!B157="","",Mitarbeiter!F157)</f>
        <v/>
      </c>
      <c r="D157" s="25">
        <f>IF(Mitarbeiter!B157="","",Berechnung!AD157)</f>
        <v/>
      </c>
      <c r="E157" s="25">
        <f>IF(Mitarbeiter!B157="","",SUM(G157:DV157))</f>
        <v/>
      </c>
      <c r="G157" s="50" t="n"/>
      <c r="H157" s="50" t="n"/>
      <c r="I157" s="50" t="n"/>
      <c r="J157" s="50" t="n"/>
      <c r="K157" s="50" t="n"/>
      <c r="L157" s="50" t="n"/>
      <c r="M157" s="50" t="n"/>
      <c r="N157" s="50" t="n"/>
      <c r="O157" s="50" t="n"/>
      <c r="P157" s="50" t="n"/>
      <c r="Q157" s="50" t="n"/>
      <c r="R157" s="50" t="n"/>
      <c r="S157" s="50" t="n"/>
      <c r="T157" s="50" t="n"/>
      <c r="U157" s="50" t="n"/>
      <c r="V157" s="50" t="n"/>
      <c r="W157" s="50" t="n"/>
      <c r="X157" s="50" t="n"/>
      <c r="Y157" s="50" t="n"/>
      <c r="Z157" s="50" t="n"/>
      <c r="AA157" s="50" t="n"/>
      <c r="AB157" s="50" t="n"/>
      <c r="AC157" s="50" t="n"/>
      <c r="AD157" s="50" t="n"/>
      <c r="AE157" s="50" t="n"/>
      <c r="AF157" s="50" t="n"/>
      <c r="AG157" s="50" t="n"/>
      <c r="AH157" s="50" t="n"/>
      <c r="AI157" s="50" t="n"/>
      <c r="AJ157" s="50" t="n"/>
      <c r="AK157" s="50" t="n"/>
      <c r="AL157" s="50" t="n"/>
      <c r="AM157" s="50" t="n"/>
      <c r="AN157" s="50" t="n"/>
      <c r="AO157" s="50" t="n"/>
      <c r="AP157" s="50" t="n"/>
      <c r="AQ157" s="50" t="n"/>
      <c r="AR157" s="50" t="n"/>
      <c r="AS157" s="50" t="n"/>
      <c r="AT157" s="50" t="n"/>
      <c r="AU157" s="50" t="n"/>
      <c r="AV157" s="50" t="n"/>
      <c r="AW157" s="50" t="n"/>
      <c r="AX157" s="50" t="n"/>
      <c r="AY157" s="50" t="n"/>
      <c r="AZ157" s="50" t="n"/>
      <c r="BA157" s="50" t="n"/>
      <c r="BB157" s="50" t="n"/>
      <c r="BC157" s="50" t="n"/>
      <c r="BD157" s="50" t="n"/>
      <c r="BE157" s="50" t="n"/>
      <c r="BF157" s="50" t="n"/>
      <c r="BG157" s="50" t="n"/>
      <c r="BH157" s="50" t="n"/>
      <c r="BI157" s="50" t="n"/>
      <c r="BJ157" s="50" t="n"/>
      <c r="BK157" s="50" t="n"/>
      <c r="BL157" s="50" t="n"/>
      <c r="BM157" s="50" t="n"/>
      <c r="BN157" s="50" t="n"/>
      <c r="BO157" s="50" t="n"/>
      <c r="BP157" s="50" t="n"/>
      <c r="BQ157" s="50" t="n"/>
      <c r="BR157" s="50" t="n"/>
      <c r="BS157" s="50" t="n"/>
      <c r="BT157" s="50" t="n"/>
      <c r="BU157" s="50" t="n"/>
      <c r="BV157" s="50" t="n"/>
      <c r="BW157" s="50" t="n"/>
      <c r="BX157" s="50" t="n"/>
      <c r="BY157" s="50" t="n"/>
      <c r="BZ157" s="50" t="n"/>
      <c r="CA157" s="50" t="n"/>
      <c r="CB157" s="50" t="n"/>
      <c r="CC157" s="50" t="n"/>
      <c r="CD157" s="50" t="n"/>
      <c r="CE157" s="50" t="n"/>
      <c r="CF157" s="50" t="n"/>
      <c r="CG157" s="50" t="n"/>
      <c r="CH157" s="50" t="n"/>
      <c r="CI157" s="50" t="n"/>
      <c r="CJ157" s="50" t="n"/>
      <c r="CK157" s="50" t="n"/>
      <c r="CL157" s="50" t="n"/>
      <c r="CM157" s="50" t="n"/>
      <c r="CN157" s="50" t="n"/>
      <c r="CO157" s="50" t="n"/>
      <c r="CP157" s="50" t="n"/>
      <c r="CQ157" s="50" t="n"/>
      <c r="CR157" s="50" t="n"/>
      <c r="CS157" s="50" t="n"/>
      <c r="CT157" s="50" t="n"/>
      <c r="CU157" s="50" t="n"/>
      <c r="CV157" s="50" t="n"/>
      <c r="CW157" s="50" t="n"/>
      <c r="CX157" s="50" t="n"/>
      <c r="CY157" s="50" t="n"/>
      <c r="CZ157" s="50" t="n"/>
      <c r="DA157" s="50" t="n"/>
      <c r="DB157" s="50" t="n"/>
      <c r="DC157" s="50" t="n"/>
      <c r="DD157" s="50" t="n"/>
      <c r="DE157" s="50" t="n"/>
      <c r="DF157" s="50" t="n"/>
      <c r="DG157" s="50" t="n"/>
      <c r="DH157" s="50" t="n"/>
      <c r="DI157" s="50" t="n"/>
      <c r="DJ157" s="50" t="n"/>
      <c r="DK157" s="50" t="n"/>
      <c r="DL157" s="50" t="n"/>
      <c r="DM157" s="50" t="n"/>
      <c r="DN157" s="50" t="n"/>
      <c r="DO157" s="50" t="n"/>
      <c r="DP157" s="50" t="n"/>
      <c r="DQ157" s="50" t="n"/>
      <c r="DR157" s="50" t="n"/>
      <c r="DS157" s="50" t="n"/>
      <c r="DT157" s="50" t="n"/>
      <c r="DU157" s="50" t="n"/>
      <c r="DV157" s="50" t="n"/>
    </row>
    <row r="158">
      <c r="A158" s="47">
        <f>IF(Mitarbeiter!B158="","",Mitarbeiter!A158)</f>
        <v/>
      </c>
      <c r="B158" s="48">
        <f>IF(Mitarbeiter!B158="","",Mitarbeiter!B158)</f>
        <v/>
      </c>
      <c r="C158" s="49">
        <f>IF(Mitarbeiter!B158="","",Mitarbeiter!F158)</f>
        <v/>
      </c>
      <c r="D158" s="25">
        <f>IF(Mitarbeiter!B158="","",Berechnung!AD158)</f>
        <v/>
      </c>
      <c r="E158" s="25">
        <f>IF(Mitarbeiter!B158="","",SUM(G158:DV158))</f>
        <v/>
      </c>
      <c r="G158" s="50" t="n"/>
      <c r="H158" s="50" t="n"/>
      <c r="I158" s="50" t="n"/>
      <c r="J158" s="50" t="n"/>
      <c r="K158" s="50" t="n"/>
      <c r="L158" s="50" t="n"/>
      <c r="M158" s="50" t="n"/>
      <c r="N158" s="50" t="n"/>
      <c r="O158" s="50" t="n"/>
      <c r="P158" s="50" t="n"/>
      <c r="Q158" s="50" t="n"/>
      <c r="R158" s="50" t="n"/>
      <c r="S158" s="50" t="n"/>
      <c r="T158" s="50" t="n"/>
      <c r="U158" s="50" t="n"/>
      <c r="V158" s="50" t="n"/>
      <c r="W158" s="50" t="n"/>
      <c r="X158" s="50" t="n"/>
      <c r="Y158" s="50" t="n"/>
      <c r="Z158" s="50" t="n"/>
      <c r="AA158" s="50" t="n"/>
      <c r="AB158" s="50" t="n"/>
      <c r="AC158" s="50" t="n"/>
      <c r="AD158" s="50" t="n"/>
      <c r="AE158" s="50" t="n"/>
      <c r="AF158" s="50" t="n"/>
      <c r="AG158" s="50" t="n"/>
      <c r="AH158" s="50" t="n"/>
      <c r="AI158" s="50" t="n"/>
      <c r="AJ158" s="50" t="n"/>
      <c r="AK158" s="50" t="n"/>
      <c r="AL158" s="50" t="n"/>
      <c r="AM158" s="50" t="n"/>
      <c r="AN158" s="50" t="n"/>
      <c r="AO158" s="50" t="n"/>
      <c r="AP158" s="50" t="n"/>
      <c r="AQ158" s="50" t="n"/>
      <c r="AR158" s="50" t="n"/>
      <c r="AS158" s="50" t="n"/>
      <c r="AT158" s="50" t="n"/>
      <c r="AU158" s="50" t="n"/>
      <c r="AV158" s="50" t="n"/>
      <c r="AW158" s="50" t="n"/>
      <c r="AX158" s="50" t="n"/>
      <c r="AY158" s="50" t="n"/>
      <c r="AZ158" s="50" t="n"/>
      <c r="BA158" s="50" t="n"/>
      <c r="BB158" s="50" t="n"/>
      <c r="BC158" s="50" t="n"/>
      <c r="BD158" s="50" t="n"/>
      <c r="BE158" s="50" t="n"/>
      <c r="BF158" s="50" t="n"/>
      <c r="BG158" s="50" t="n"/>
      <c r="BH158" s="50" t="n"/>
      <c r="BI158" s="50" t="n"/>
      <c r="BJ158" s="50" t="n"/>
      <c r="BK158" s="50" t="n"/>
      <c r="BL158" s="50" t="n"/>
      <c r="BM158" s="50" t="n"/>
      <c r="BN158" s="50" t="n"/>
      <c r="BO158" s="50" t="n"/>
      <c r="BP158" s="50" t="n"/>
      <c r="BQ158" s="50" t="n"/>
      <c r="BR158" s="50" t="n"/>
      <c r="BS158" s="50" t="n"/>
      <c r="BT158" s="50" t="n"/>
      <c r="BU158" s="50" t="n"/>
      <c r="BV158" s="50" t="n"/>
      <c r="BW158" s="50" t="n"/>
      <c r="BX158" s="50" t="n"/>
      <c r="BY158" s="50" t="n"/>
      <c r="BZ158" s="50" t="n"/>
      <c r="CA158" s="50" t="n"/>
      <c r="CB158" s="50" t="n"/>
      <c r="CC158" s="50" t="n"/>
      <c r="CD158" s="50" t="n"/>
      <c r="CE158" s="50" t="n"/>
      <c r="CF158" s="50" t="n"/>
      <c r="CG158" s="50" t="n"/>
      <c r="CH158" s="50" t="n"/>
      <c r="CI158" s="50" t="n"/>
      <c r="CJ158" s="50" t="n"/>
      <c r="CK158" s="50" t="n"/>
      <c r="CL158" s="50" t="n"/>
      <c r="CM158" s="50" t="n"/>
      <c r="CN158" s="50" t="n"/>
      <c r="CO158" s="50" t="n"/>
      <c r="CP158" s="50" t="n"/>
      <c r="CQ158" s="50" t="n"/>
      <c r="CR158" s="50" t="n"/>
      <c r="CS158" s="50" t="n"/>
      <c r="CT158" s="50" t="n"/>
      <c r="CU158" s="50" t="n"/>
      <c r="CV158" s="50" t="n"/>
      <c r="CW158" s="50" t="n"/>
      <c r="CX158" s="50" t="n"/>
      <c r="CY158" s="50" t="n"/>
      <c r="CZ158" s="50" t="n"/>
      <c r="DA158" s="50" t="n"/>
      <c r="DB158" s="50" t="n"/>
      <c r="DC158" s="50" t="n"/>
      <c r="DD158" s="50" t="n"/>
      <c r="DE158" s="50" t="n"/>
      <c r="DF158" s="50" t="n"/>
      <c r="DG158" s="50" t="n"/>
      <c r="DH158" s="50" t="n"/>
      <c r="DI158" s="50" t="n"/>
      <c r="DJ158" s="50" t="n"/>
      <c r="DK158" s="50" t="n"/>
      <c r="DL158" s="50" t="n"/>
      <c r="DM158" s="50" t="n"/>
      <c r="DN158" s="50" t="n"/>
      <c r="DO158" s="50" t="n"/>
      <c r="DP158" s="50" t="n"/>
      <c r="DQ158" s="50" t="n"/>
      <c r="DR158" s="50" t="n"/>
      <c r="DS158" s="50" t="n"/>
      <c r="DT158" s="50" t="n"/>
      <c r="DU158" s="50" t="n"/>
      <c r="DV158" s="50" t="n"/>
    </row>
    <row r="159">
      <c r="A159" s="47">
        <f>IF(Mitarbeiter!B159="","",Mitarbeiter!A159)</f>
        <v/>
      </c>
      <c r="B159" s="48">
        <f>IF(Mitarbeiter!B159="","",Mitarbeiter!B159)</f>
        <v/>
      </c>
      <c r="C159" s="49">
        <f>IF(Mitarbeiter!B159="","",Mitarbeiter!F159)</f>
        <v/>
      </c>
      <c r="D159" s="25">
        <f>IF(Mitarbeiter!B159="","",Berechnung!AD159)</f>
        <v/>
      </c>
      <c r="E159" s="25">
        <f>IF(Mitarbeiter!B159="","",SUM(G159:DV159))</f>
        <v/>
      </c>
      <c r="G159" s="50" t="n"/>
      <c r="H159" s="50" t="n"/>
      <c r="I159" s="50" t="n"/>
      <c r="J159" s="50" t="n"/>
      <c r="K159" s="50" t="n"/>
      <c r="L159" s="50" t="n"/>
      <c r="M159" s="50" t="n"/>
      <c r="N159" s="50" t="n"/>
      <c r="O159" s="50" t="n"/>
      <c r="P159" s="50" t="n"/>
      <c r="Q159" s="50" t="n"/>
      <c r="R159" s="50" t="n"/>
      <c r="S159" s="50" t="n"/>
      <c r="T159" s="50" t="n"/>
      <c r="U159" s="50" t="n"/>
      <c r="V159" s="50" t="n"/>
      <c r="W159" s="50" t="n"/>
      <c r="X159" s="50" t="n"/>
      <c r="Y159" s="50" t="n"/>
      <c r="Z159" s="50" t="n"/>
      <c r="AA159" s="50" t="n"/>
      <c r="AB159" s="50" t="n"/>
      <c r="AC159" s="50" t="n"/>
      <c r="AD159" s="50" t="n"/>
      <c r="AE159" s="50" t="n"/>
      <c r="AF159" s="50" t="n"/>
      <c r="AG159" s="50" t="n"/>
      <c r="AH159" s="50" t="n"/>
      <c r="AI159" s="50" t="n"/>
      <c r="AJ159" s="50" t="n"/>
      <c r="AK159" s="50" t="n"/>
      <c r="AL159" s="50" t="n"/>
      <c r="AM159" s="50" t="n"/>
      <c r="AN159" s="50" t="n"/>
      <c r="AO159" s="50" t="n"/>
      <c r="AP159" s="50" t="n"/>
      <c r="AQ159" s="50" t="n"/>
      <c r="AR159" s="50" t="n"/>
      <c r="AS159" s="50" t="n"/>
      <c r="AT159" s="50" t="n"/>
      <c r="AU159" s="50" t="n"/>
      <c r="AV159" s="50" t="n"/>
      <c r="AW159" s="50" t="n"/>
      <c r="AX159" s="50" t="n"/>
      <c r="AY159" s="50" t="n"/>
      <c r="AZ159" s="50" t="n"/>
      <c r="BA159" s="50" t="n"/>
      <c r="BB159" s="50" t="n"/>
      <c r="BC159" s="50" t="n"/>
      <c r="BD159" s="50" t="n"/>
      <c r="BE159" s="50" t="n"/>
      <c r="BF159" s="50" t="n"/>
      <c r="BG159" s="50" t="n"/>
      <c r="BH159" s="50" t="n"/>
      <c r="BI159" s="50" t="n"/>
      <c r="BJ159" s="50" t="n"/>
      <c r="BK159" s="50" t="n"/>
      <c r="BL159" s="50" t="n"/>
      <c r="BM159" s="50" t="n"/>
      <c r="BN159" s="50" t="n"/>
      <c r="BO159" s="50" t="n"/>
      <c r="BP159" s="50" t="n"/>
      <c r="BQ159" s="50" t="n"/>
      <c r="BR159" s="50" t="n"/>
      <c r="BS159" s="50" t="n"/>
      <c r="BT159" s="50" t="n"/>
      <c r="BU159" s="50" t="n"/>
      <c r="BV159" s="50" t="n"/>
      <c r="BW159" s="50" t="n"/>
      <c r="BX159" s="50" t="n"/>
      <c r="BY159" s="50" t="n"/>
      <c r="BZ159" s="50" t="n"/>
      <c r="CA159" s="50" t="n"/>
      <c r="CB159" s="50" t="n"/>
      <c r="CC159" s="50" t="n"/>
      <c r="CD159" s="50" t="n"/>
      <c r="CE159" s="50" t="n"/>
      <c r="CF159" s="50" t="n"/>
      <c r="CG159" s="50" t="n"/>
      <c r="CH159" s="50" t="n"/>
      <c r="CI159" s="50" t="n"/>
      <c r="CJ159" s="50" t="n"/>
      <c r="CK159" s="50" t="n"/>
      <c r="CL159" s="50" t="n"/>
      <c r="CM159" s="50" t="n"/>
      <c r="CN159" s="50" t="n"/>
      <c r="CO159" s="50" t="n"/>
      <c r="CP159" s="50" t="n"/>
      <c r="CQ159" s="50" t="n"/>
      <c r="CR159" s="50" t="n"/>
      <c r="CS159" s="50" t="n"/>
      <c r="CT159" s="50" t="n"/>
      <c r="CU159" s="50" t="n"/>
      <c r="CV159" s="50" t="n"/>
      <c r="CW159" s="50" t="n"/>
      <c r="CX159" s="50" t="n"/>
      <c r="CY159" s="50" t="n"/>
      <c r="CZ159" s="50" t="n"/>
      <c r="DA159" s="50" t="n"/>
      <c r="DB159" s="50" t="n"/>
      <c r="DC159" s="50" t="n"/>
      <c r="DD159" s="50" t="n"/>
      <c r="DE159" s="50" t="n"/>
      <c r="DF159" s="50" t="n"/>
      <c r="DG159" s="50" t="n"/>
      <c r="DH159" s="50" t="n"/>
      <c r="DI159" s="50" t="n"/>
      <c r="DJ159" s="50" t="n"/>
      <c r="DK159" s="50" t="n"/>
      <c r="DL159" s="50" t="n"/>
      <c r="DM159" s="50" t="n"/>
      <c r="DN159" s="50" t="n"/>
      <c r="DO159" s="50" t="n"/>
      <c r="DP159" s="50" t="n"/>
      <c r="DQ159" s="50" t="n"/>
      <c r="DR159" s="50" t="n"/>
      <c r="DS159" s="50" t="n"/>
      <c r="DT159" s="50" t="n"/>
      <c r="DU159" s="50" t="n"/>
      <c r="DV159" s="50" t="n"/>
    </row>
    <row r="160">
      <c r="A160" s="47">
        <f>IF(Mitarbeiter!B160="","",Mitarbeiter!A160)</f>
        <v/>
      </c>
      <c r="B160" s="48">
        <f>IF(Mitarbeiter!B160="","",Mitarbeiter!B160)</f>
        <v/>
      </c>
      <c r="C160" s="49">
        <f>IF(Mitarbeiter!B160="","",Mitarbeiter!F160)</f>
        <v/>
      </c>
      <c r="D160" s="25">
        <f>IF(Mitarbeiter!B160="","",Berechnung!AD160)</f>
        <v/>
      </c>
      <c r="E160" s="25">
        <f>IF(Mitarbeiter!B160="","",SUM(G160:DV160))</f>
        <v/>
      </c>
      <c r="G160" s="50" t="n"/>
      <c r="H160" s="50" t="n"/>
      <c r="I160" s="50" t="n"/>
      <c r="J160" s="50" t="n"/>
      <c r="K160" s="50" t="n"/>
      <c r="L160" s="50" t="n"/>
      <c r="M160" s="50" t="n"/>
      <c r="N160" s="50" t="n"/>
      <c r="O160" s="50" t="n"/>
      <c r="P160" s="50" t="n"/>
      <c r="Q160" s="50" t="n"/>
      <c r="R160" s="50" t="n"/>
      <c r="S160" s="50" t="n"/>
      <c r="T160" s="50" t="n"/>
      <c r="U160" s="50" t="n"/>
      <c r="V160" s="50" t="n"/>
      <c r="W160" s="50" t="n"/>
      <c r="X160" s="50" t="n"/>
      <c r="Y160" s="50" t="n"/>
      <c r="Z160" s="50" t="n"/>
      <c r="AA160" s="50" t="n"/>
      <c r="AB160" s="50" t="n"/>
      <c r="AC160" s="50" t="n"/>
      <c r="AD160" s="50" t="n"/>
      <c r="AE160" s="50" t="n"/>
      <c r="AF160" s="50" t="n"/>
      <c r="AG160" s="50" t="n"/>
      <c r="AH160" s="50" t="n"/>
      <c r="AI160" s="50" t="n"/>
      <c r="AJ160" s="50" t="n"/>
      <c r="AK160" s="50" t="n"/>
      <c r="AL160" s="50" t="n"/>
      <c r="AM160" s="50" t="n"/>
      <c r="AN160" s="50" t="n"/>
      <c r="AO160" s="50" t="n"/>
      <c r="AP160" s="50" t="n"/>
      <c r="AQ160" s="50" t="n"/>
      <c r="AR160" s="50" t="n"/>
      <c r="AS160" s="50" t="n"/>
      <c r="AT160" s="50" t="n"/>
      <c r="AU160" s="50" t="n"/>
      <c r="AV160" s="50" t="n"/>
      <c r="AW160" s="50" t="n"/>
      <c r="AX160" s="50" t="n"/>
      <c r="AY160" s="50" t="n"/>
      <c r="AZ160" s="50" t="n"/>
      <c r="BA160" s="50" t="n"/>
      <c r="BB160" s="50" t="n"/>
      <c r="BC160" s="50" t="n"/>
      <c r="BD160" s="50" t="n"/>
      <c r="BE160" s="50" t="n"/>
      <c r="BF160" s="50" t="n"/>
      <c r="BG160" s="50" t="n"/>
      <c r="BH160" s="50" t="n"/>
      <c r="BI160" s="50" t="n"/>
      <c r="BJ160" s="50" t="n"/>
      <c r="BK160" s="50" t="n"/>
      <c r="BL160" s="50" t="n"/>
      <c r="BM160" s="50" t="n"/>
      <c r="BN160" s="50" t="n"/>
      <c r="BO160" s="50" t="n"/>
      <c r="BP160" s="50" t="n"/>
      <c r="BQ160" s="50" t="n"/>
      <c r="BR160" s="50" t="n"/>
      <c r="BS160" s="50" t="n"/>
      <c r="BT160" s="50" t="n"/>
      <c r="BU160" s="50" t="n"/>
      <c r="BV160" s="50" t="n"/>
      <c r="BW160" s="50" t="n"/>
      <c r="BX160" s="50" t="n"/>
      <c r="BY160" s="50" t="n"/>
      <c r="BZ160" s="50" t="n"/>
      <c r="CA160" s="50" t="n"/>
      <c r="CB160" s="50" t="n"/>
      <c r="CC160" s="50" t="n"/>
      <c r="CD160" s="50" t="n"/>
      <c r="CE160" s="50" t="n"/>
      <c r="CF160" s="50" t="n"/>
      <c r="CG160" s="50" t="n"/>
      <c r="CH160" s="50" t="n"/>
      <c r="CI160" s="50" t="n"/>
      <c r="CJ160" s="50" t="n"/>
      <c r="CK160" s="50" t="n"/>
      <c r="CL160" s="50" t="n"/>
      <c r="CM160" s="50" t="n"/>
      <c r="CN160" s="50" t="n"/>
      <c r="CO160" s="50" t="n"/>
      <c r="CP160" s="50" t="n"/>
      <c r="CQ160" s="50" t="n"/>
      <c r="CR160" s="50" t="n"/>
      <c r="CS160" s="50" t="n"/>
      <c r="CT160" s="50" t="n"/>
      <c r="CU160" s="50" t="n"/>
      <c r="CV160" s="50" t="n"/>
      <c r="CW160" s="50" t="n"/>
      <c r="CX160" s="50" t="n"/>
      <c r="CY160" s="50" t="n"/>
      <c r="CZ160" s="50" t="n"/>
      <c r="DA160" s="50" t="n"/>
      <c r="DB160" s="50" t="n"/>
      <c r="DC160" s="50" t="n"/>
      <c r="DD160" s="50" t="n"/>
      <c r="DE160" s="50" t="n"/>
      <c r="DF160" s="50" t="n"/>
      <c r="DG160" s="50" t="n"/>
      <c r="DH160" s="50" t="n"/>
      <c r="DI160" s="50" t="n"/>
      <c r="DJ160" s="50" t="n"/>
      <c r="DK160" s="50" t="n"/>
      <c r="DL160" s="50" t="n"/>
      <c r="DM160" s="50" t="n"/>
      <c r="DN160" s="50" t="n"/>
      <c r="DO160" s="50" t="n"/>
      <c r="DP160" s="50" t="n"/>
      <c r="DQ160" s="50" t="n"/>
      <c r="DR160" s="50" t="n"/>
      <c r="DS160" s="50" t="n"/>
      <c r="DT160" s="50" t="n"/>
      <c r="DU160" s="50" t="n"/>
      <c r="DV160" s="50" t="n"/>
    </row>
    <row r="161">
      <c r="A161" s="47">
        <f>IF(Mitarbeiter!B161="","",Mitarbeiter!A161)</f>
        <v/>
      </c>
      <c r="B161" s="48">
        <f>IF(Mitarbeiter!B161="","",Mitarbeiter!B161)</f>
        <v/>
      </c>
      <c r="C161" s="49">
        <f>IF(Mitarbeiter!B161="","",Mitarbeiter!F161)</f>
        <v/>
      </c>
      <c r="D161" s="25">
        <f>IF(Mitarbeiter!B161="","",Berechnung!AD161)</f>
        <v/>
      </c>
      <c r="E161" s="25">
        <f>IF(Mitarbeiter!B161="","",SUM(G161:DV161))</f>
        <v/>
      </c>
      <c r="G161" s="50" t="n"/>
      <c r="H161" s="50" t="n"/>
      <c r="I161" s="50" t="n"/>
      <c r="J161" s="50" t="n"/>
      <c r="K161" s="50" t="n"/>
      <c r="L161" s="50" t="n"/>
      <c r="M161" s="50" t="n"/>
      <c r="N161" s="50" t="n"/>
      <c r="O161" s="50" t="n"/>
      <c r="P161" s="50" t="n"/>
      <c r="Q161" s="50" t="n"/>
      <c r="R161" s="50" t="n"/>
      <c r="S161" s="50" t="n"/>
      <c r="T161" s="50" t="n"/>
      <c r="U161" s="50" t="n"/>
      <c r="V161" s="50" t="n"/>
      <c r="W161" s="50" t="n"/>
      <c r="X161" s="50" t="n"/>
      <c r="Y161" s="50" t="n"/>
      <c r="Z161" s="50" t="n"/>
      <c r="AA161" s="50" t="n"/>
      <c r="AB161" s="50" t="n"/>
      <c r="AC161" s="50" t="n"/>
      <c r="AD161" s="50" t="n"/>
      <c r="AE161" s="50" t="n"/>
      <c r="AF161" s="50" t="n"/>
      <c r="AG161" s="50" t="n"/>
      <c r="AH161" s="50" t="n"/>
      <c r="AI161" s="50" t="n"/>
      <c r="AJ161" s="50" t="n"/>
      <c r="AK161" s="50" t="n"/>
      <c r="AL161" s="50" t="n"/>
      <c r="AM161" s="50" t="n"/>
      <c r="AN161" s="50" t="n"/>
      <c r="AO161" s="50" t="n"/>
      <c r="AP161" s="50" t="n"/>
      <c r="AQ161" s="50" t="n"/>
      <c r="AR161" s="50" t="n"/>
      <c r="AS161" s="50" t="n"/>
      <c r="AT161" s="50" t="n"/>
      <c r="AU161" s="50" t="n"/>
      <c r="AV161" s="50" t="n"/>
      <c r="AW161" s="50" t="n"/>
      <c r="AX161" s="50" t="n"/>
      <c r="AY161" s="50" t="n"/>
      <c r="AZ161" s="50" t="n"/>
      <c r="BA161" s="50" t="n"/>
      <c r="BB161" s="50" t="n"/>
      <c r="BC161" s="50" t="n"/>
      <c r="BD161" s="50" t="n"/>
      <c r="BE161" s="50" t="n"/>
      <c r="BF161" s="50" t="n"/>
      <c r="BG161" s="50" t="n"/>
      <c r="BH161" s="50" t="n"/>
      <c r="BI161" s="50" t="n"/>
      <c r="BJ161" s="50" t="n"/>
      <c r="BK161" s="50" t="n"/>
      <c r="BL161" s="50" t="n"/>
      <c r="BM161" s="50" t="n"/>
      <c r="BN161" s="50" t="n"/>
      <c r="BO161" s="50" t="n"/>
      <c r="BP161" s="50" t="n"/>
      <c r="BQ161" s="50" t="n"/>
      <c r="BR161" s="50" t="n"/>
      <c r="BS161" s="50" t="n"/>
      <c r="BT161" s="50" t="n"/>
      <c r="BU161" s="50" t="n"/>
      <c r="BV161" s="50" t="n"/>
      <c r="BW161" s="50" t="n"/>
      <c r="BX161" s="50" t="n"/>
      <c r="BY161" s="50" t="n"/>
      <c r="BZ161" s="50" t="n"/>
      <c r="CA161" s="50" t="n"/>
      <c r="CB161" s="50" t="n"/>
      <c r="CC161" s="50" t="n"/>
      <c r="CD161" s="50" t="n"/>
      <c r="CE161" s="50" t="n"/>
      <c r="CF161" s="50" t="n"/>
      <c r="CG161" s="50" t="n"/>
      <c r="CH161" s="50" t="n"/>
      <c r="CI161" s="50" t="n"/>
      <c r="CJ161" s="50" t="n"/>
      <c r="CK161" s="50" t="n"/>
      <c r="CL161" s="50" t="n"/>
      <c r="CM161" s="50" t="n"/>
      <c r="CN161" s="50" t="n"/>
      <c r="CO161" s="50" t="n"/>
      <c r="CP161" s="50" t="n"/>
      <c r="CQ161" s="50" t="n"/>
      <c r="CR161" s="50" t="n"/>
      <c r="CS161" s="50" t="n"/>
      <c r="CT161" s="50" t="n"/>
      <c r="CU161" s="50" t="n"/>
      <c r="CV161" s="50" t="n"/>
      <c r="CW161" s="50" t="n"/>
      <c r="CX161" s="50" t="n"/>
      <c r="CY161" s="50" t="n"/>
      <c r="CZ161" s="50" t="n"/>
      <c r="DA161" s="50" t="n"/>
      <c r="DB161" s="50" t="n"/>
      <c r="DC161" s="50" t="n"/>
      <c r="DD161" s="50" t="n"/>
      <c r="DE161" s="50" t="n"/>
      <c r="DF161" s="50" t="n"/>
      <c r="DG161" s="50" t="n"/>
      <c r="DH161" s="50" t="n"/>
      <c r="DI161" s="50" t="n"/>
      <c r="DJ161" s="50" t="n"/>
      <c r="DK161" s="50" t="n"/>
      <c r="DL161" s="50" t="n"/>
      <c r="DM161" s="50" t="n"/>
      <c r="DN161" s="50" t="n"/>
      <c r="DO161" s="50" t="n"/>
      <c r="DP161" s="50" t="n"/>
      <c r="DQ161" s="50" t="n"/>
      <c r="DR161" s="50" t="n"/>
      <c r="DS161" s="50" t="n"/>
      <c r="DT161" s="50" t="n"/>
      <c r="DU161" s="50" t="n"/>
      <c r="DV161" s="50" t="n"/>
    </row>
    <row r="162">
      <c r="A162" s="47">
        <f>IF(Mitarbeiter!B162="","",Mitarbeiter!A162)</f>
        <v/>
      </c>
      <c r="B162" s="48">
        <f>IF(Mitarbeiter!B162="","",Mitarbeiter!B162)</f>
        <v/>
      </c>
      <c r="C162" s="49">
        <f>IF(Mitarbeiter!B162="","",Mitarbeiter!F162)</f>
        <v/>
      </c>
      <c r="D162" s="25">
        <f>IF(Mitarbeiter!B162="","",Berechnung!AD162)</f>
        <v/>
      </c>
      <c r="E162" s="25">
        <f>IF(Mitarbeiter!B162="","",SUM(G162:DV162))</f>
        <v/>
      </c>
      <c r="G162" s="50" t="n"/>
      <c r="H162" s="50" t="n"/>
      <c r="I162" s="50" t="n"/>
      <c r="J162" s="50" t="n"/>
      <c r="K162" s="50" t="n"/>
      <c r="L162" s="50" t="n"/>
      <c r="M162" s="50" t="n"/>
      <c r="N162" s="50" t="n"/>
      <c r="O162" s="50" t="n"/>
      <c r="P162" s="50" t="n"/>
      <c r="Q162" s="50" t="n"/>
      <c r="R162" s="50" t="n"/>
      <c r="S162" s="50" t="n"/>
      <c r="T162" s="50" t="n"/>
      <c r="U162" s="50" t="n"/>
      <c r="V162" s="50" t="n"/>
      <c r="W162" s="50" t="n"/>
      <c r="X162" s="50" t="n"/>
      <c r="Y162" s="50" t="n"/>
      <c r="Z162" s="50" t="n"/>
      <c r="AA162" s="50" t="n"/>
      <c r="AB162" s="50" t="n"/>
      <c r="AC162" s="50" t="n"/>
      <c r="AD162" s="50" t="n"/>
      <c r="AE162" s="50" t="n"/>
      <c r="AF162" s="50" t="n"/>
      <c r="AG162" s="50" t="n"/>
      <c r="AH162" s="50" t="n"/>
      <c r="AI162" s="50" t="n"/>
      <c r="AJ162" s="50" t="n"/>
      <c r="AK162" s="50" t="n"/>
      <c r="AL162" s="50" t="n"/>
      <c r="AM162" s="50" t="n"/>
      <c r="AN162" s="50" t="n"/>
      <c r="AO162" s="50" t="n"/>
      <c r="AP162" s="50" t="n"/>
      <c r="AQ162" s="50" t="n"/>
      <c r="AR162" s="50" t="n"/>
      <c r="AS162" s="50" t="n"/>
      <c r="AT162" s="50" t="n"/>
      <c r="AU162" s="50" t="n"/>
      <c r="AV162" s="50" t="n"/>
      <c r="AW162" s="50" t="n"/>
      <c r="AX162" s="50" t="n"/>
      <c r="AY162" s="50" t="n"/>
      <c r="AZ162" s="50" t="n"/>
      <c r="BA162" s="50" t="n"/>
      <c r="BB162" s="50" t="n"/>
      <c r="BC162" s="50" t="n"/>
      <c r="BD162" s="50" t="n"/>
      <c r="BE162" s="50" t="n"/>
      <c r="BF162" s="50" t="n"/>
      <c r="BG162" s="50" t="n"/>
      <c r="BH162" s="50" t="n"/>
      <c r="BI162" s="50" t="n"/>
      <c r="BJ162" s="50" t="n"/>
      <c r="BK162" s="50" t="n"/>
      <c r="BL162" s="50" t="n"/>
      <c r="BM162" s="50" t="n"/>
      <c r="BN162" s="50" t="n"/>
      <c r="BO162" s="50" t="n"/>
      <c r="BP162" s="50" t="n"/>
      <c r="BQ162" s="50" t="n"/>
      <c r="BR162" s="50" t="n"/>
      <c r="BS162" s="50" t="n"/>
      <c r="BT162" s="50" t="n"/>
      <c r="BU162" s="50" t="n"/>
      <c r="BV162" s="50" t="n"/>
      <c r="BW162" s="50" t="n"/>
      <c r="BX162" s="50" t="n"/>
      <c r="BY162" s="50" t="n"/>
      <c r="BZ162" s="50" t="n"/>
      <c r="CA162" s="50" t="n"/>
      <c r="CB162" s="50" t="n"/>
      <c r="CC162" s="50" t="n"/>
      <c r="CD162" s="50" t="n"/>
      <c r="CE162" s="50" t="n"/>
      <c r="CF162" s="50" t="n"/>
      <c r="CG162" s="50" t="n"/>
      <c r="CH162" s="50" t="n"/>
      <c r="CI162" s="50" t="n"/>
      <c r="CJ162" s="50" t="n"/>
      <c r="CK162" s="50" t="n"/>
      <c r="CL162" s="50" t="n"/>
      <c r="CM162" s="50" t="n"/>
      <c r="CN162" s="50" t="n"/>
      <c r="CO162" s="50" t="n"/>
      <c r="CP162" s="50" t="n"/>
      <c r="CQ162" s="50" t="n"/>
      <c r="CR162" s="50" t="n"/>
      <c r="CS162" s="50" t="n"/>
      <c r="CT162" s="50" t="n"/>
      <c r="CU162" s="50" t="n"/>
      <c r="CV162" s="50" t="n"/>
      <c r="CW162" s="50" t="n"/>
      <c r="CX162" s="50" t="n"/>
      <c r="CY162" s="50" t="n"/>
      <c r="CZ162" s="50" t="n"/>
      <c r="DA162" s="50" t="n"/>
      <c r="DB162" s="50" t="n"/>
      <c r="DC162" s="50" t="n"/>
      <c r="DD162" s="50" t="n"/>
      <c r="DE162" s="50" t="n"/>
      <c r="DF162" s="50" t="n"/>
      <c r="DG162" s="50" t="n"/>
      <c r="DH162" s="50" t="n"/>
      <c r="DI162" s="50" t="n"/>
      <c r="DJ162" s="50" t="n"/>
      <c r="DK162" s="50" t="n"/>
      <c r="DL162" s="50" t="n"/>
      <c r="DM162" s="50" t="n"/>
      <c r="DN162" s="50" t="n"/>
      <c r="DO162" s="50" t="n"/>
      <c r="DP162" s="50" t="n"/>
      <c r="DQ162" s="50" t="n"/>
      <c r="DR162" s="50" t="n"/>
      <c r="DS162" s="50" t="n"/>
      <c r="DT162" s="50" t="n"/>
      <c r="DU162" s="50" t="n"/>
      <c r="DV162" s="50" t="n"/>
    </row>
    <row r="163">
      <c r="A163" s="47">
        <f>IF(Mitarbeiter!B163="","",Mitarbeiter!A163)</f>
        <v/>
      </c>
      <c r="B163" s="48">
        <f>IF(Mitarbeiter!B163="","",Mitarbeiter!B163)</f>
        <v/>
      </c>
      <c r="C163" s="49">
        <f>IF(Mitarbeiter!B163="","",Mitarbeiter!F163)</f>
        <v/>
      </c>
      <c r="D163" s="25">
        <f>IF(Mitarbeiter!B163="","",Berechnung!AD163)</f>
        <v/>
      </c>
      <c r="E163" s="25">
        <f>IF(Mitarbeiter!B163="","",SUM(G163:DV163))</f>
        <v/>
      </c>
      <c r="G163" s="50" t="n"/>
      <c r="H163" s="50" t="n"/>
      <c r="I163" s="50" t="n"/>
      <c r="J163" s="50" t="n"/>
      <c r="K163" s="50" t="n"/>
      <c r="L163" s="50" t="n"/>
      <c r="M163" s="50" t="n"/>
      <c r="N163" s="50" t="n"/>
      <c r="O163" s="50" t="n"/>
      <c r="P163" s="50" t="n"/>
      <c r="Q163" s="50" t="n"/>
      <c r="R163" s="50" t="n"/>
      <c r="S163" s="50" t="n"/>
      <c r="T163" s="50" t="n"/>
      <c r="U163" s="50" t="n"/>
      <c r="V163" s="50" t="n"/>
      <c r="W163" s="50" t="n"/>
      <c r="X163" s="50" t="n"/>
      <c r="Y163" s="50" t="n"/>
      <c r="Z163" s="50" t="n"/>
      <c r="AA163" s="50" t="n"/>
      <c r="AB163" s="50" t="n"/>
      <c r="AC163" s="50" t="n"/>
      <c r="AD163" s="50" t="n"/>
      <c r="AE163" s="50" t="n"/>
      <c r="AF163" s="50" t="n"/>
      <c r="AG163" s="50" t="n"/>
      <c r="AH163" s="50" t="n"/>
      <c r="AI163" s="50" t="n"/>
      <c r="AJ163" s="50" t="n"/>
      <c r="AK163" s="50" t="n"/>
      <c r="AL163" s="50" t="n"/>
      <c r="AM163" s="50" t="n"/>
      <c r="AN163" s="50" t="n"/>
      <c r="AO163" s="50" t="n"/>
      <c r="AP163" s="50" t="n"/>
      <c r="AQ163" s="50" t="n"/>
      <c r="AR163" s="50" t="n"/>
      <c r="AS163" s="50" t="n"/>
      <c r="AT163" s="50" t="n"/>
      <c r="AU163" s="50" t="n"/>
      <c r="AV163" s="50" t="n"/>
      <c r="AW163" s="50" t="n"/>
      <c r="AX163" s="50" t="n"/>
      <c r="AY163" s="50" t="n"/>
      <c r="AZ163" s="50" t="n"/>
      <c r="BA163" s="50" t="n"/>
      <c r="BB163" s="50" t="n"/>
      <c r="BC163" s="50" t="n"/>
      <c r="BD163" s="50" t="n"/>
      <c r="BE163" s="50" t="n"/>
      <c r="BF163" s="50" t="n"/>
      <c r="BG163" s="50" t="n"/>
      <c r="BH163" s="50" t="n"/>
      <c r="BI163" s="50" t="n"/>
      <c r="BJ163" s="50" t="n"/>
      <c r="BK163" s="50" t="n"/>
      <c r="BL163" s="50" t="n"/>
      <c r="BM163" s="50" t="n"/>
      <c r="BN163" s="50" t="n"/>
      <c r="BO163" s="50" t="n"/>
      <c r="BP163" s="50" t="n"/>
      <c r="BQ163" s="50" t="n"/>
      <c r="BR163" s="50" t="n"/>
      <c r="BS163" s="50" t="n"/>
      <c r="BT163" s="50" t="n"/>
      <c r="BU163" s="50" t="n"/>
      <c r="BV163" s="50" t="n"/>
      <c r="BW163" s="50" t="n"/>
      <c r="BX163" s="50" t="n"/>
      <c r="BY163" s="50" t="n"/>
      <c r="BZ163" s="50" t="n"/>
      <c r="CA163" s="50" t="n"/>
      <c r="CB163" s="50" t="n"/>
      <c r="CC163" s="50" t="n"/>
      <c r="CD163" s="50" t="n"/>
      <c r="CE163" s="50" t="n"/>
      <c r="CF163" s="50" t="n"/>
      <c r="CG163" s="50" t="n"/>
      <c r="CH163" s="50" t="n"/>
      <c r="CI163" s="50" t="n"/>
      <c r="CJ163" s="50" t="n"/>
      <c r="CK163" s="50" t="n"/>
      <c r="CL163" s="50" t="n"/>
      <c r="CM163" s="50" t="n"/>
      <c r="CN163" s="50" t="n"/>
      <c r="CO163" s="50" t="n"/>
      <c r="CP163" s="50" t="n"/>
      <c r="CQ163" s="50" t="n"/>
      <c r="CR163" s="50" t="n"/>
      <c r="CS163" s="50" t="n"/>
      <c r="CT163" s="50" t="n"/>
      <c r="CU163" s="50" t="n"/>
      <c r="CV163" s="50" t="n"/>
      <c r="CW163" s="50" t="n"/>
      <c r="CX163" s="50" t="n"/>
      <c r="CY163" s="50" t="n"/>
      <c r="CZ163" s="50" t="n"/>
      <c r="DA163" s="50" t="n"/>
      <c r="DB163" s="50" t="n"/>
      <c r="DC163" s="50" t="n"/>
      <c r="DD163" s="50" t="n"/>
      <c r="DE163" s="50" t="n"/>
      <c r="DF163" s="50" t="n"/>
      <c r="DG163" s="50" t="n"/>
      <c r="DH163" s="50" t="n"/>
      <c r="DI163" s="50" t="n"/>
      <c r="DJ163" s="50" t="n"/>
      <c r="DK163" s="50" t="n"/>
      <c r="DL163" s="50" t="n"/>
      <c r="DM163" s="50" t="n"/>
      <c r="DN163" s="50" t="n"/>
      <c r="DO163" s="50" t="n"/>
      <c r="DP163" s="50" t="n"/>
      <c r="DQ163" s="50" t="n"/>
      <c r="DR163" s="50" t="n"/>
      <c r="DS163" s="50" t="n"/>
      <c r="DT163" s="50" t="n"/>
      <c r="DU163" s="50" t="n"/>
      <c r="DV163" s="50" t="n"/>
    </row>
    <row r="164">
      <c r="A164" s="47">
        <f>IF(Mitarbeiter!B164="","",Mitarbeiter!A164)</f>
        <v/>
      </c>
      <c r="B164" s="48">
        <f>IF(Mitarbeiter!B164="","",Mitarbeiter!B164)</f>
        <v/>
      </c>
      <c r="C164" s="49">
        <f>IF(Mitarbeiter!B164="","",Mitarbeiter!F164)</f>
        <v/>
      </c>
      <c r="D164" s="25">
        <f>IF(Mitarbeiter!B164="","",Berechnung!AD164)</f>
        <v/>
      </c>
      <c r="E164" s="25">
        <f>IF(Mitarbeiter!B164="","",SUM(G164:DV164))</f>
        <v/>
      </c>
      <c r="G164" s="50" t="n"/>
      <c r="H164" s="50" t="n"/>
      <c r="I164" s="50" t="n"/>
      <c r="J164" s="50" t="n"/>
      <c r="K164" s="50" t="n"/>
      <c r="L164" s="50" t="n"/>
      <c r="M164" s="50" t="n"/>
      <c r="N164" s="50" t="n"/>
      <c r="O164" s="50" t="n"/>
      <c r="P164" s="50" t="n"/>
      <c r="Q164" s="50" t="n"/>
      <c r="R164" s="50" t="n"/>
      <c r="S164" s="50" t="n"/>
      <c r="T164" s="50" t="n"/>
      <c r="U164" s="50" t="n"/>
      <c r="V164" s="50" t="n"/>
      <c r="W164" s="50" t="n"/>
      <c r="X164" s="50" t="n"/>
      <c r="Y164" s="50" t="n"/>
      <c r="Z164" s="50" t="n"/>
      <c r="AA164" s="50" t="n"/>
      <c r="AB164" s="50" t="n"/>
      <c r="AC164" s="50" t="n"/>
      <c r="AD164" s="50" t="n"/>
      <c r="AE164" s="50" t="n"/>
      <c r="AF164" s="50" t="n"/>
      <c r="AG164" s="50" t="n"/>
      <c r="AH164" s="50" t="n"/>
      <c r="AI164" s="50" t="n"/>
      <c r="AJ164" s="50" t="n"/>
      <c r="AK164" s="50" t="n"/>
      <c r="AL164" s="50" t="n"/>
      <c r="AM164" s="50" t="n"/>
      <c r="AN164" s="50" t="n"/>
      <c r="AO164" s="50" t="n"/>
      <c r="AP164" s="50" t="n"/>
      <c r="AQ164" s="50" t="n"/>
      <c r="AR164" s="50" t="n"/>
      <c r="AS164" s="50" t="n"/>
      <c r="AT164" s="50" t="n"/>
      <c r="AU164" s="50" t="n"/>
      <c r="AV164" s="50" t="n"/>
      <c r="AW164" s="50" t="n"/>
      <c r="AX164" s="50" t="n"/>
      <c r="AY164" s="50" t="n"/>
      <c r="AZ164" s="50" t="n"/>
      <c r="BA164" s="50" t="n"/>
      <c r="BB164" s="50" t="n"/>
      <c r="BC164" s="50" t="n"/>
      <c r="BD164" s="50" t="n"/>
      <c r="BE164" s="50" t="n"/>
      <c r="BF164" s="50" t="n"/>
      <c r="BG164" s="50" t="n"/>
      <c r="BH164" s="50" t="n"/>
      <c r="BI164" s="50" t="n"/>
      <c r="BJ164" s="50" t="n"/>
      <c r="BK164" s="50" t="n"/>
      <c r="BL164" s="50" t="n"/>
      <c r="BM164" s="50" t="n"/>
      <c r="BN164" s="50" t="n"/>
      <c r="BO164" s="50" t="n"/>
      <c r="BP164" s="50" t="n"/>
      <c r="BQ164" s="50" t="n"/>
      <c r="BR164" s="50" t="n"/>
      <c r="BS164" s="50" t="n"/>
      <c r="BT164" s="50" t="n"/>
      <c r="BU164" s="50" t="n"/>
      <c r="BV164" s="50" t="n"/>
      <c r="BW164" s="50" t="n"/>
      <c r="BX164" s="50" t="n"/>
      <c r="BY164" s="50" t="n"/>
      <c r="BZ164" s="50" t="n"/>
      <c r="CA164" s="50" t="n"/>
      <c r="CB164" s="50" t="n"/>
      <c r="CC164" s="50" t="n"/>
      <c r="CD164" s="50" t="n"/>
      <c r="CE164" s="50" t="n"/>
      <c r="CF164" s="50" t="n"/>
      <c r="CG164" s="50" t="n"/>
      <c r="CH164" s="50" t="n"/>
      <c r="CI164" s="50" t="n"/>
      <c r="CJ164" s="50" t="n"/>
      <c r="CK164" s="50" t="n"/>
      <c r="CL164" s="50" t="n"/>
      <c r="CM164" s="50" t="n"/>
      <c r="CN164" s="50" t="n"/>
      <c r="CO164" s="50" t="n"/>
      <c r="CP164" s="50" t="n"/>
      <c r="CQ164" s="50" t="n"/>
      <c r="CR164" s="50" t="n"/>
      <c r="CS164" s="50" t="n"/>
      <c r="CT164" s="50" t="n"/>
      <c r="CU164" s="50" t="n"/>
      <c r="CV164" s="50" t="n"/>
      <c r="CW164" s="50" t="n"/>
      <c r="CX164" s="50" t="n"/>
      <c r="CY164" s="50" t="n"/>
      <c r="CZ164" s="50" t="n"/>
      <c r="DA164" s="50" t="n"/>
      <c r="DB164" s="50" t="n"/>
      <c r="DC164" s="50" t="n"/>
      <c r="DD164" s="50" t="n"/>
      <c r="DE164" s="50" t="n"/>
      <c r="DF164" s="50" t="n"/>
      <c r="DG164" s="50" t="n"/>
      <c r="DH164" s="50" t="n"/>
      <c r="DI164" s="50" t="n"/>
      <c r="DJ164" s="50" t="n"/>
      <c r="DK164" s="50" t="n"/>
      <c r="DL164" s="50" t="n"/>
      <c r="DM164" s="50" t="n"/>
      <c r="DN164" s="50" t="n"/>
      <c r="DO164" s="50" t="n"/>
      <c r="DP164" s="50" t="n"/>
      <c r="DQ164" s="50" t="n"/>
      <c r="DR164" s="50" t="n"/>
      <c r="DS164" s="50" t="n"/>
      <c r="DT164" s="50" t="n"/>
      <c r="DU164" s="50" t="n"/>
      <c r="DV164" s="50" t="n"/>
    </row>
    <row r="165">
      <c r="A165" s="47">
        <f>IF(Mitarbeiter!B165="","",Mitarbeiter!A165)</f>
        <v/>
      </c>
      <c r="B165" s="48">
        <f>IF(Mitarbeiter!B165="","",Mitarbeiter!B165)</f>
        <v/>
      </c>
      <c r="C165" s="49">
        <f>IF(Mitarbeiter!B165="","",Mitarbeiter!F165)</f>
        <v/>
      </c>
      <c r="D165" s="25">
        <f>IF(Mitarbeiter!B165="","",Berechnung!AD165)</f>
        <v/>
      </c>
      <c r="E165" s="25">
        <f>IF(Mitarbeiter!B165="","",SUM(G165:DV165))</f>
        <v/>
      </c>
      <c r="G165" s="50" t="n"/>
      <c r="H165" s="50" t="n"/>
      <c r="I165" s="50" t="n"/>
      <c r="J165" s="50" t="n"/>
      <c r="K165" s="50" t="n"/>
      <c r="L165" s="50" t="n"/>
      <c r="M165" s="50" t="n"/>
      <c r="N165" s="50" t="n"/>
      <c r="O165" s="50" t="n"/>
      <c r="P165" s="50" t="n"/>
      <c r="Q165" s="50" t="n"/>
      <c r="R165" s="50" t="n"/>
      <c r="S165" s="50" t="n"/>
      <c r="T165" s="50" t="n"/>
      <c r="U165" s="50" t="n"/>
      <c r="V165" s="50" t="n"/>
      <c r="W165" s="50" t="n"/>
      <c r="X165" s="50" t="n"/>
      <c r="Y165" s="50" t="n"/>
      <c r="Z165" s="50" t="n"/>
      <c r="AA165" s="50" t="n"/>
      <c r="AB165" s="50" t="n"/>
      <c r="AC165" s="50" t="n"/>
      <c r="AD165" s="50" t="n"/>
      <c r="AE165" s="50" t="n"/>
      <c r="AF165" s="50" t="n"/>
      <c r="AG165" s="50" t="n"/>
      <c r="AH165" s="50" t="n"/>
      <c r="AI165" s="50" t="n"/>
      <c r="AJ165" s="50" t="n"/>
      <c r="AK165" s="50" t="n"/>
      <c r="AL165" s="50" t="n"/>
      <c r="AM165" s="50" t="n"/>
      <c r="AN165" s="50" t="n"/>
      <c r="AO165" s="50" t="n"/>
      <c r="AP165" s="50" t="n"/>
      <c r="AQ165" s="50" t="n"/>
      <c r="AR165" s="50" t="n"/>
      <c r="AS165" s="50" t="n"/>
      <c r="AT165" s="50" t="n"/>
      <c r="AU165" s="50" t="n"/>
      <c r="AV165" s="50" t="n"/>
      <c r="AW165" s="50" t="n"/>
      <c r="AX165" s="50" t="n"/>
      <c r="AY165" s="50" t="n"/>
      <c r="AZ165" s="50" t="n"/>
      <c r="BA165" s="50" t="n"/>
      <c r="BB165" s="50" t="n"/>
      <c r="BC165" s="50" t="n"/>
      <c r="BD165" s="50" t="n"/>
      <c r="BE165" s="50" t="n"/>
      <c r="BF165" s="50" t="n"/>
      <c r="BG165" s="50" t="n"/>
      <c r="BH165" s="50" t="n"/>
      <c r="BI165" s="50" t="n"/>
      <c r="BJ165" s="50" t="n"/>
      <c r="BK165" s="50" t="n"/>
      <c r="BL165" s="50" t="n"/>
      <c r="BM165" s="50" t="n"/>
      <c r="BN165" s="50" t="n"/>
      <c r="BO165" s="50" t="n"/>
      <c r="BP165" s="50" t="n"/>
      <c r="BQ165" s="50" t="n"/>
      <c r="BR165" s="50" t="n"/>
      <c r="BS165" s="50" t="n"/>
      <c r="BT165" s="50" t="n"/>
      <c r="BU165" s="50" t="n"/>
      <c r="BV165" s="50" t="n"/>
      <c r="BW165" s="50" t="n"/>
      <c r="BX165" s="50" t="n"/>
      <c r="BY165" s="50" t="n"/>
      <c r="BZ165" s="50" t="n"/>
      <c r="CA165" s="50" t="n"/>
      <c r="CB165" s="50" t="n"/>
      <c r="CC165" s="50" t="n"/>
      <c r="CD165" s="50" t="n"/>
      <c r="CE165" s="50" t="n"/>
      <c r="CF165" s="50" t="n"/>
      <c r="CG165" s="50" t="n"/>
      <c r="CH165" s="50" t="n"/>
      <c r="CI165" s="50" t="n"/>
      <c r="CJ165" s="50" t="n"/>
      <c r="CK165" s="50" t="n"/>
      <c r="CL165" s="50" t="n"/>
      <c r="CM165" s="50" t="n"/>
      <c r="CN165" s="50" t="n"/>
      <c r="CO165" s="50" t="n"/>
      <c r="CP165" s="50" t="n"/>
      <c r="CQ165" s="50" t="n"/>
      <c r="CR165" s="50" t="n"/>
      <c r="CS165" s="50" t="n"/>
      <c r="CT165" s="50" t="n"/>
      <c r="CU165" s="50" t="n"/>
      <c r="CV165" s="50" t="n"/>
      <c r="CW165" s="50" t="n"/>
      <c r="CX165" s="50" t="n"/>
      <c r="CY165" s="50" t="n"/>
      <c r="CZ165" s="50" t="n"/>
      <c r="DA165" s="50" t="n"/>
      <c r="DB165" s="50" t="n"/>
      <c r="DC165" s="50" t="n"/>
      <c r="DD165" s="50" t="n"/>
      <c r="DE165" s="50" t="n"/>
      <c r="DF165" s="50" t="n"/>
      <c r="DG165" s="50" t="n"/>
      <c r="DH165" s="50" t="n"/>
      <c r="DI165" s="50" t="n"/>
      <c r="DJ165" s="50" t="n"/>
      <c r="DK165" s="50" t="n"/>
      <c r="DL165" s="50" t="n"/>
      <c r="DM165" s="50" t="n"/>
      <c r="DN165" s="50" t="n"/>
      <c r="DO165" s="50" t="n"/>
      <c r="DP165" s="50" t="n"/>
      <c r="DQ165" s="50" t="n"/>
      <c r="DR165" s="50" t="n"/>
      <c r="DS165" s="50" t="n"/>
      <c r="DT165" s="50" t="n"/>
      <c r="DU165" s="50" t="n"/>
      <c r="DV165" s="50" t="n"/>
    </row>
    <row r="166">
      <c r="A166" s="47">
        <f>IF(Mitarbeiter!B166="","",Mitarbeiter!A166)</f>
        <v/>
      </c>
      <c r="B166" s="48">
        <f>IF(Mitarbeiter!B166="","",Mitarbeiter!B166)</f>
        <v/>
      </c>
      <c r="C166" s="49">
        <f>IF(Mitarbeiter!B166="","",Mitarbeiter!F166)</f>
        <v/>
      </c>
      <c r="D166" s="25">
        <f>IF(Mitarbeiter!B166="","",Berechnung!AD166)</f>
        <v/>
      </c>
      <c r="E166" s="25">
        <f>IF(Mitarbeiter!B166="","",SUM(G166:DV166))</f>
        <v/>
      </c>
      <c r="G166" s="50" t="n"/>
      <c r="H166" s="50" t="n"/>
      <c r="I166" s="50" t="n"/>
      <c r="J166" s="50" t="n"/>
      <c r="K166" s="50" t="n"/>
      <c r="L166" s="50" t="n"/>
      <c r="M166" s="50" t="n"/>
      <c r="N166" s="50" t="n"/>
      <c r="O166" s="50" t="n"/>
      <c r="P166" s="50" t="n"/>
      <c r="Q166" s="50" t="n"/>
      <c r="R166" s="50" t="n"/>
      <c r="S166" s="50" t="n"/>
      <c r="T166" s="50" t="n"/>
      <c r="U166" s="50" t="n"/>
      <c r="V166" s="50" t="n"/>
      <c r="W166" s="50" t="n"/>
      <c r="X166" s="50" t="n"/>
      <c r="Y166" s="50" t="n"/>
      <c r="Z166" s="50" t="n"/>
      <c r="AA166" s="50" t="n"/>
      <c r="AB166" s="50" t="n"/>
      <c r="AC166" s="50" t="n"/>
      <c r="AD166" s="50" t="n"/>
      <c r="AE166" s="50" t="n"/>
      <c r="AF166" s="50" t="n"/>
      <c r="AG166" s="50" t="n"/>
      <c r="AH166" s="50" t="n"/>
      <c r="AI166" s="50" t="n"/>
      <c r="AJ166" s="50" t="n"/>
      <c r="AK166" s="50" t="n"/>
      <c r="AL166" s="50" t="n"/>
      <c r="AM166" s="50" t="n"/>
      <c r="AN166" s="50" t="n"/>
      <c r="AO166" s="50" t="n"/>
      <c r="AP166" s="50" t="n"/>
      <c r="AQ166" s="50" t="n"/>
      <c r="AR166" s="50" t="n"/>
      <c r="AS166" s="50" t="n"/>
      <c r="AT166" s="50" t="n"/>
      <c r="AU166" s="50" t="n"/>
      <c r="AV166" s="50" t="n"/>
      <c r="AW166" s="50" t="n"/>
      <c r="AX166" s="50" t="n"/>
      <c r="AY166" s="50" t="n"/>
      <c r="AZ166" s="50" t="n"/>
      <c r="BA166" s="50" t="n"/>
      <c r="BB166" s="50" t="n"/>
      <c r="BC166" s="50" t="n"/>
      <c r="BD166" s="50" t="n"/>
      <c r="BE166" s="50" t="n"/>
      <c r="BF166" s="50" t="n"/>
      <c r="BG166" s="50" t="n"/>
      <c r="BH166" s="50" t="n"/>
      <c r="BI166" s="50" t="n"/>
      <c r="BJ166" s="50" t="n"/>
      <c r="BK166" s="50" t="n"/>
      <c r="BL166" s="50" t="n"/>
      <c r="BM166" s="50" t="n"/>
      <c r="BN166" s="50" t="n"/>
      <c r="BO166" s="50" t="n"/>
      <c r="BP166" s="50" t="n"/>
      <c r="BQ166" s="50" t="n"/>
      <c r="BR166" s="50" t="n"/>
      <c r="BS166" s="50" t="n"/>
      <c r="BT166" s="50" t="n"/>
      <c r="BU166" s="50" t="n"/>
      <c r="BV166" s="50" t="n"/>
      <c r="BW166" s="50" t="n"/>
      <c r="BX166" s="50" t="n"/>
      <c r="BY166" s="50" t="n"/>
      <c r="BZ166" s="50" t="n"/>
      <c r="CA166" s="50" t="n"/>
      <c r="CB166" s="50" t="n"/>
      <c r="CC166" s="50" t="n"/>
      <c r="CD166" s="50" t="n"/>
      <c r="CE166" s="50" t="n"/>
      <c r="CF166" s="50" t="n"/>
      <c r="CG166" s="50" t="n"/>
      <c r="CH166" s="50" t="n"/>
      <c r="CI166" s="50" t="n"/>
      <c r="CJ166" s="50" t="n"/>
      <c r="CK166" s="50" t="n"/>
      <c r="CL166" s="50" t="n"/>
      <c r="CM166" s="50" t="n"/>
      <c r="CN166" s="50" t="n"/>
      <c r="CO166" s="50" t="n"/>
      <c r="CP166" s="50" t="n"/>
      <c r="CQ166" s="50" t="n"/>
      <c r="CR166" s="50" t="n"/>
      <c r="CS166" s="50" t="n"/>
      <c r="CT166" s="50" t="n"/>
      <c r="CU166" s="50" t="n"/>
      <c r="CV166" s="50" t="n"/>
      <c r="CW166" s="50" t="n"/>
      <c r="CX166" s="50" t="n"/>
      <c r="CY166" s="50" t="n"/>
      <c r="CZ166" s="50" t="n"/>
      <c r="DA166" s="50" t="n"/>
      <c r="DB166" s="50" t="n"/>
      <c r="DC166" s="50" t="n"/>
      <c r="DD166" s="50" t="n"/>
      <c r="DE166" s="50" t="n"/>
      <c r="DF166" s="50" t="n"/>
      <c r="DG166" s="50" t="n"/>
      <c r="DH166" s="50" t="n"/>
      <c r="DI166" s="50" t="n"/>
      <c r="DJ166" s="50" t="n"/>
      <c r="DK166" s="50" t="n"/>
      <c r="DL166" s="50" t="n"/>
      <c r="DM166" s="50" t="n"/>
      <c r="DN166" s="50" t="n"/>
      <c r="DO166" s="50" t="n"/>
      <c r="DP166" s="50" t="n"/>
      <c r="DQ166" s="50" t="n"/>
      <c r="DR166" s="50" t="n"/>
      <c r="DS166" s="50" t="n"/>
      <c r="DT166" s="50" t="n"/>
      <c r="DU166" s="50" t="n"/>
      <c r="DV166" s="50" t="n"/>
    </row>
    <row r="167">
      <c r="A167" s="47">
        <f>IF(Mitarbeiter!B167="","",Mitarbeiter!A167)</f>
        <v/>
      </c>
      <c r="B167" s="48">
        <f>IF(Mitarbeiter!B167="","",Mitarbeiter!B167)</f>
        <v/>
      </c>
      <c r="C167" s="49">
        <f>IF(Mitarbeiter!B167="","",Mitarbeiter!F167)</f>
        <v/>
      </c>
      <c r="D167" s="25">
        <f>IF(Mitarbeiter!B167="","",Berechnung!AD167)</f>
        <v/>
      </c>
      <c r="E167" s="25">
        <f>IF(Mitarbeiter!B167="","",SUM(G167:DV167))</f>
        <v/>
      </c>
      <c r="G167" s="50" t="n"/>
      <c r="H167" s="50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0" t="n"/>
      <c r="S167" s="50" t="n"/>
      <c r="T167" s="50" t="n"/>
      <c r="U167" s="50" t="n"/>
      <c r="V167" s="50" t="n"/>
      <c r="W167" s="50" t="n"/>
      <c r="X167" s="50" t="n"/>
      <c r="Y167" s="50" t="n"/>
      <c r="Z167" s="50" t="n"/>
      <c r="AA167" s="50" t="n"/>
      <c r="AB167" s="50" t="n"/>
      <c r="AC167" s="50" t="n"/>
      <c r="AD167" s="50" t="n"/>
      <c r="AE167" s="50" t="n"/>
      <c r="AF167" s="50" t="n"/>
      <c r="AG167" s="50" t="n"/>
      <c r="AH167" s="50" t="n"/>
      <c r="AI167" s="50" t="n"/>
      <c r="AJ167" s="50" t="n"/>
      <c r="AK167" s="50" t="n"/>
      <c r="AL167" s="50" t="n"/>
      <c r="AM167" s="50" t="n"/>
      <c r="AN167" s="50" t="n"/>
      <c r="AO167" s="50" t="n"/>
      <c r="AP167" s="50" t="n"/>
      <c r="AQ167" s="50" t="n"/>
      <c r="AR167" s="50" t="n"/>
      <c r="AS167" s="50" t="n"/>
      <c r="AT167" s="50" t="n"/>
      <c r="AU167" s="50" t="n"/>
      <c r="AV167" s="50" t="n"/>
      <c r="AW167" s="50" t="n"/>
      <c r="AX167" s="50" t="n"/>
      <c r="AY167" s="50" t="n"/>
      <c r="AZ167" s="50" t="n"/>
      <c r="BA167" s="50" t="n"/>
      <c r="BB167" s="50" t="n"/>
      <c r="BC167" s="50" t="n"/>
      <c r="BD167" s="50" t="n"/>
      <c r="BE167" s="50" t="n"/>
      <c r="BF167" s="50" t="n"/>
      <c r="BG167" s="50" t="n"/>
      <c r="BH167" s="50" t="n"/>
      <c r="BI167" s="50" t="n"/>
      <c r="BJ167" s="50" t="n"/>
      <c r="BK167" s="50" t="n"/>
      <c r="BL167" s="50" t="n"/>
      <c r="BM167" s="50" t="n"/>
      <c r="BN167" s="50" t="n"/>
      <c r="BO167" s="50" t="n"/>
      <c r="BP167" s="50" t="n"/>
      <c r="BQ167" s="50" t="n"/>
      <c r="BR167" s="50" t="n"/>
      <c r="BS167" s="50" t="n"/>
      <c r="BT167" s="50" t="n"/>
      <c r="BU167" s="50" t="n"/>
      <c r="BV167" s="50" t="n"/>
      <c r="BW167" s="50" t="n"/>
      <c r="BX167" s="50" t="n"/>
      <c r="BY167" s="50" t="n"/>
      <c r="BZ167" s="50" t="n"/>
      <c r="CA167" s="50" t="n"/>
      <c r="CB167" s="50" t="n"/>
      <c r="CC167" s="50" t="n"/>
      <c r="CD167" s="50" t="n"/>
      <c r="CE167" s="50" t="n"/>
      <c r="CF167" s="50" t="n"/>
      <c r="CG167" s="50" t="n"/>
      <c r="CH167" s="50" t="n"/>
      <c r="CI167" s="50" t="n"/>
      <c r="CJ167" s="50" t="n"/>
      <c r="CK167" s="50" t="n"/>
      <c r="CL167" s="50" t="n"/>
      <c r="CM167" s="50" t="n"/>
      <c r="CN167" s="50" t="n"/>
      <c r="CO167" s="50" t="n"/>
      <c r="CP167" s="50" t="n"/>
      <c r="CQ167" s="50" t="n"/>
      <c r="CR167" s="50" t="n"/>
      <c r="CS167" s="50" t="n"/>
      <c r="CT167" s="50" t="n"/>
      <c r="CU167" s="50" t="n"/>
      <c r="CV167" s="50" t="n"/>
      <c r="CW167" s="50" t="n"/>
      <c r="CX167" s="50" t="n"/>
      <c r="CY167" s="50" t="n"/>
      <c r="CZ167" s="50" t="n"/>
      <c r="DA167" s="50" t="n"/>
      <c r="DB167" s="50" t="n"/>
      <c r="DC167" s="50" t="n"/>
      <c r="DD167" s="50" t="n"/>
      <c r="DE167" s="50" t="n"/>
      <c r="DF167" s="50" t="n"/>
      <c r="DG167" s="50" t="n"/>
      <c r="DH167" s="50" t="n"/>
      <c r="DI167" s="50" t="n"/>
      <c r="DJ167" s="50" t="n"/>
      <c r="DK167" s="50" t="n"/>
      <c r="DL167" s="50" t="n"/>
      <c r="DM167" s="50" t="n"/>
      <c r="DN167" s="50" t="n"/>
      <c r="DO167" s="50" t="n"/>
      <c r="DP167" s="50" t="n"/>
      <c r="DQ167" s="50" t="n"/>
      <c r="DR167" s="50" t="n"/>
      <c r="DS167" s="50" t="n"/>
      <c r="DT167" s="50" t="n"/>
      <c r="DU167" s="50" t="n"/>
      <c r="DV167" s="50" t="n"/>
    </row>
    <row r="168">
      <c r="A168" s="47">
        <f>IF(Mitarbeiter!B168="","",Mitarbeiter!A168)</f>
        <v/>
      </c>
      <c r="B168" s="48">
        <f>IF(Mitarbeiter!B168="","",Mitarbeiter!B168)</f>
        <v/>
      </c>
      <c r="C168" s="49">
        <f>IF(Mitarbeiter!B168="","",Mitarbeiter!F168)</f>
        <v/>
      </c>
      <c r="D168" s="25">
        <f>IF(Mitarbeiter!B168="","",Berechnung!AD168)</f>
        <v/>
      </c>
      <c r="E168" s="25">
        <f>IF(Mitarbeiter!B168="","",SUM(G168:DV168))</f>
        <v/>
      </c>
      <c r="G168" s="50" t="n"/>
      <c r="H168" s="50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0" t="n"/>
      <c r="S168" s="50" t="n"/>
      <c r="T168" s="50" t="n"/>
      <c r="U168" s="50" t="n"/>
      <c r="V168" s="50" t="n"/>
      <c r="W168" s="50" t="n"/>
      <c r="X168" s="50" t="n"/>
      <c r="Y168" s="50" t="n"/>
      <c r="Z168" s="50" t="n"/>
      <c r="AA168" s="50" t="n"/>
      <c r="AB168" s="50" t="n"/>
      <c r="AC168" s="50" t="n"/>
      <c r="AD168" s="50" t="n"/>
      <c r="AE168" s="50" t="n"/>
      <c r="AF168" s="50" t="n"/>
      <c r="AG168" s="50" t="n"/>
      <c r="AH168" s="50" t="n"/>
      <c r="AI168" s="50" t="n"/>
      <c r="AJ168" s="50" t="n"/>
      <c r="AK168" s="50" t="n"/>
      <c r="AL168" s="50" t="n"/>
      <c r="AM168" s="50" t="n"/>
      <c r="AN168" s="50" t="n"/>
      <c r="AO168" s="50" t="n"/>
      <c r="AP168" s="50" t="n"/>
      <c r="AQ168" s="50" t="n"/>
      <c r="AR168" s="50" t="n"/>
      <c r="AS168" s="50" t="n"/>
      <c r="AT168" s="50" t="n"/>
      <c r="AU168" s="50" t="n"/>
      <c r="AV168" s="50" t="n"/>
      <c r="AW168" s="50" t="n"/>
      <c r="AX168" s="50" t="n"/>
      <c r="AY168" s="50" t="n"/>
      <c r="AZ168" s="50" t="n"/>
      <c r="BA168" s="50" t="n"/>
      <c r="BB168" s="50" t="n"/>
      <c r="BC168" s="50" t="n"/>
      <c r="BD168" s="50" t="n"/>
      <c r="BE168" s="50" t="n"/>
      <c r="BF168" s="50" t="n"/>
      <c r="BG168" s="50" t="n"/>
      <c r="BH168" s="50" t="n"/>
      <c r="BI168" s="50" t="n"/>
      <c r="BJ168" s="50" t="n"/>
      <c r="BK168" s="50" t="n"/>
      <c r="BL168" s="50" t="n"/>
      <c r="BM168" s="50" t="n"/>
      <c r="BN168" s="50" t="n"/>
      <c r="BO168" s="50" t="n"/>
      <c r="BP168" s="50" t="n"/>
      <c r="BQ168" s="50" t="n"/>
      <c r="BR168" s="50" t="n"/>
      <c r="BS168" s="50" t="n"/>
      <c r="BT168" s="50" t="n"/>
      <c r="BU168" s="50" t="n"/>
      <c r="BV168" s="50" t="n"/>
      <c r="BW168" s="50" t="n"/>
      <c r="BX168" s="50" t="n"/>
      <c r="BY168" s="50" t="n"/>
      <c r="BZ168" s="50" t="n"/>
      <c r="CA168" s="50" t="n"/>
      <c r="CB168" s="50" t="n"/>
      <c r="CC168" s="50" t="n"/>
      <c r="CD168" s="50" t="n"/>
      <c r="CE168" s="50" t="n"/>
      <c r="CF168" s="50" t="n"/>
      <c r="CG168" s="50" t="n"/>
      <c r="CH168" s="50" t="n"/>
      <c r="CI168" s="50" t="n"/>
      <c r="CJ168" s="50" t="n"/>
      <c r="CK168" s="50" t="n"/>
      <c r="CL168" s="50" t="n"/>
      <c r="CM168" s="50" t="n"/>
      <c r="CN168" s="50" t="n"/>
      <c r="CO168" s="50" t="n"/>
      <c r="CP168" s="50" t="n"/>
      <c r="CQ168" s="50" t="n"/>
      <c r="CR168" s="50" t="n"/>
      <c r="CS168" s="50" t="n"/>
      <c r="CT168" s="50" t="n"/>
      <c r="CU168" s="50" t="n"/>
      <c r="CV168" s="50" t="n"/>
      <c r="CW168" s="50" t="n"/>
      <c r="CX168" s="50" t="n"/>
      <c r="CY168" s="50" t="n"/>
      <c r="CZ168" s="50" t="n"/>
      <c r="DA168" s="50" t="n"/>
      <c r="DB168" s="50" t="n"/>
      <c r="DC168" s="50" t="n"/>
      <c r="DD168" s="50" t="n"/>
      <c r="DE168" s="50" t="n"/>
      <c r="DF168" s="50" t="n"/>
      <c r="DG168" s="50" t="n"/>
      <c r="DH168" s="50" t="n"/>
      <c r="DI168" s="50" t="n"/>
      <c r="DJ168" s="50" t="n"/>
      <c r="DK168" s="50" t="n"/>
      <c r="DL168" s="50" t="n"/>
      <c r="DM168" s="50" t="n"/>
      <c r="DN168" s="50" t="n"/>
      <c r="DO168" s="50" t="n"/>
      <c r="DP168" s="50" t="n"/>
      <c r="DQ168" s="50" t="n"/>
      <c r="DR168" s="50" t="n"/>
      <c r="DS168" s="50" t="n"/>
      <c r="DT168" s="50" t="n"/>
      <c r="DU168" s="50" t="n"/>
      <c r="DV168" s="50" t="n"/>
    </row>
    <row r="169">
      <c r="A169" s="47">
        <f>IF(Mitarbeiter!B169="","",Mitarbeiter!A169)</f>
        <v/>
      </c>
      <c r="B169" s="48">
        <f>IF(Mitarbeiter!B169="","",Mitarbeiter!B169)</f>
        <v/>
      </c>
      <c r="C169" s="49">
        <f>IF(Mitarbeiter!B169="","",Mitarbeiter!F169)</f>
        <v/>
      </c>
      <c r="D169" s="25">
        <f>IF(Mitarbeiter!B169="","",Berechnung!AD169)</f>
        <v/>
      </c>
      <c r="E169" s="25">
        <f>IF(Mitarbeiter!B169="","",SUM(G169:DV169))</f>
        <v/>
      </c>
      <c r="G169" s="50" t="n"/>
      <c r="H169" s="50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0" t="n"/>
      <c r="S169" s="50" t="n"/>
      <c r="T169" s="50" t="n"/>
      <c r="U169" s="50" t="n"/>
      <c r="V169" s="50" t="n"/>
      <c r="W169" s="50" t="n"/>
      <c r="X169" s="50" t="n"/>
      <c r="Y169" s="50" t="n"/>
      <c r="Z169" s="50" t="n"/>
      <c r="AA169" s="50" t="n"/>
      <c r="AB169" s="50" t="n"/>
      <c r="AC169" s="50" t="n"/>
      <c r="AD169" s="50" t="n"/>
      <c r="AE169" s="50" t="n"/>
      <c r="AF169" s="50" t="n"/>
      <c r="AG169" s="50" t="n"/>
      <c r="AH169" s="50" t="n"/>
      <c r="AI169" s="50" t="n"/>
      <c r="AJ169" s="50" t="n"/>
      <c r="AK169" s="50" t="n"/>
      <c r="AL169" s="50" t="n"/>
      <c r="AM169" s="50" t="n"/>
      <c r="AN169" s="50" t="n"/>
      <c r="AO169" s="50" t="n"/>
      <c r="AP169" s="50" t="n"/>
      <c r="AQ169" s="50" t="n"/>
      <c r="AR169" s="50" t="n"/>
      <c r="AS169" s="50" t="n"/>
      <c r="AT169" s="50" t="n"/>
      <c r="AU169" s="50" t="n"/>
      <c r="AV169" s="50" t="n"/>
      <c r="AW169" s="50" t="n"/>
      <c r="AX169" s="50" t="n"/>
      <c r="AY169" s="50" t="n"/>
      <c r="AZ169" s="50" t="n"/>
      <c r="BA169" s="50" t="n"/>
      <c r="BB169" s="50" t="n"/>
      <c r="BC169" s="50" t="n"/>
      <c r="BD169" s="50" t="n"/>
      <c r="BE169" s="50" t="n"/>
      <c r="BF169" s="50" t="n"/>
      <c r="BG169" s="50" t="n"/>
      <c r="BH169" s="50" t="n"/>
      <c r="BI169" s="50" t="n"/>
      <c r="BJ169" s="50" t="n"/>
      <c r="BK169" s="50" t="n"/>
      <c r="BL169" s="50" t="n"/>
      <c r="BM169" s="50" t="n"/>
      <c r="BN169" s="50" t="n"/>
      <c r="BO169" s="50" t="n"/>
      <c r="BP169" s="50" t="n"/>
      <c r="BQ169" s="50" t="n"/>
      <c r="BR169" s="50" t="n"/>
      <c r="BS169" s="50" t="n"/>
      <c r="BT169" s="50" t="n"/>
      <c r="BU169" s="50" t="n"/>
      <c r="BV169" s="50" t="n"/>
      <c r="BW169" s="50" t="n"/>
      <c r="BX169" s="50" t="n"/>
      <c r="BY169" s="50" t="n"/>
      <c r="BZ169" s="50" t="n"/>
      <c r="CA169" s="50" t="n"/>
      <c r="CB169" s="50" t="n"/>
      <c r="CC169" s="50" t="n"/>
      <c r="CD169" s="50" t="n"/>
      <c r="CE169" s="50" t="n"/>
      <c r="CF169" s="50" t="n"/>
      <c r="CG169" s="50" t="n"/>
      <c r="CH169" s="50" t="n"/>
      <c r="CI169" s="50" t="n"/>
      <c r="CJ169" s="50" t="n"/>
      <c r="CK169" s="50" t="n"/>
      <c r="CL169" s="50" t="n"/>
      <c r="CM169" s="50" t="n"/>
      <c r="CN169" s="50" t="n"/>
      <c r="CO169" s="50" t="n"/>
      <c r="CP169" s="50" t="n"/>
      <c r="CQ169" s="50" t="n"/>
      <c r="CR169" s="50" t="n"/>
      <c r="CS169" s="50" t="n"/>
      <c r="CT169" s="50" t="n"/>
      <c r="CU169" s="50" t="n"/>
      <c r="CV169" s="50" t="n"/>
      <c r="CW169" s="50" t="n"/>
      <c r="CX169" s="50" t="n"/>
      <c r="CY169" s="50" t="n"/>
      <c r="CZ169" s="50" t="n"/>
      <c r="DA169" s="50" t="n"/>
      <c r="DB169" s="50" t="n"/>
      <c r="DC169" s="50" t="n"/>
      <c r="DD169" s="50" t="n"/>
      <c r="DE169" s="50" t="n"/>
      <c r="DF169" s="50" t="n"/>
      <c r="DG169" s="50" t="n"/>
      <c r="DH169" s="50" t="n"/>
      <c r="DI169" s="50" t="n"/>
      <c r="DJ169" s="50" t="n"/>
      <c r="DK169" s="50" t="n"/>
      <c r="DL169" s="50" t="n"/>
      <c r="DM169" s="50" t="n"/>
      <c r="DN169" s="50" t="n"/>
      <c r="DO169" s="50" t="n"/>
      <c r="DP169" s="50" t="n"/>
      <c r="DQ169" s="50" t="n"/>
      <c r="DR169" s="50" t="n"/>
      <c r="DS169" s="50" t="n"/>
      <c r="DT169" s="50" t="n"/>
      <c r="DU169" s="50" t="n"/>
      <c r="DV169" s="50" t="n"/>
    </row>
    <row r="170">
      <c r="A170" s="47">
        <f>IF(Mitarbeiter!B170="","",Mitarbeiter!A170)</f>
        <v/>
      </c>
      <c r="B170" s="48">
        <f>IF(Mitarbeiter!B170="","",Mitarbeiter!B170)</f>
        <v/>
      </c>
      <c r="C170" s="49">
        <f>IF(Mitarbeiter!B170="","",Mitarbeiter!F170)</f>
        <v/>
      </c>
      <c r="D170" s="25">
        <f>IF(Mitarbeiter!B170="","",Berechnung!AD170)</f>
        <v/>
      </c>
      <c r="E170" s="25">
        <f>IF(Mitarbeiter!B170="","",SUM(G170:DV170))</f>
        <v/>
      </c>
      <c r="G170" s="50" t="n"/>
      <c r="H170" s="50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0" t="n"/>
      <c r="S170" s="50" t="n"/>
      <c r="T170" s="50" t="n"/>
      <c r="U170" s="50" t="n"/>
      <c r="V170" s="50" t="n"/>
      <c r="W170" s="50" t="n"/>
      <c r="X170" s="50" t="n"/>
      <c r="Y170" s="50" t="n"/>
      <c r="Z170" s="50" t="n"/>
      <c r="AA170" s="50" t="n"/>
      <c r="AB170" s="50" t="n"/>
      <c r="AC170" s="50" t="n"/>
      <c r="AD170" s="50" t="n"/>
      <c r="AE170" s="50" t="n"/>
      <c r="AF170" s="50" t="n"/>
      <c r="AG170" s="50" t="n"/>
      <c r="AH170" s="50" t="n"/>
      <c r="AI170" s="50" t="n"/>
      <c r="AJ170" s="50" t="n"/>
      <c r="AK170" s="50" t="n"/>
      <c r="AL170" s="50" t="n"/>
      <c r="AM170" s="50" t="n"/>
      <c r="AN170" s="50" t="n"/>
      <c r="AO170" s="50" t="n"/>
      <c r="AP170" s="50" t="n"/>
      <c r="AQ170" s="50" t="n"/>
      <c r="AR170" s="50" t="n"/>
      <c r="AS170" s="50" t="n"/>
      <c r="AT170" s="50" t="n"/>
      <c r="AU170" s="50" t="n"/>
      <c r="AV170" s="50" t="n"/>
      <c r="AW170" s="50" t="n"/>
      <c r="AX170" s="50" t="n"/>
      <c r="AY170" s="50" t="n"/>
      <c r="AZ170" s="50" t="n"/>
      <c r="BA170" s="50" t="n"/>
      <c r="BB170" s="50" t="n"/>
      <c r="BC170" s="50" t="n"/>
      <c r="BD170" s="50" t="n"/>
      <c r="BE170" s="50" t="n"/>
      <c r="BF170" s="50" t="n"/>
      <c r="BG170" s="50" t="n"/>
      <c r="BH170" s="50" t="n"/>
      <c r="BI170" s="50" t="n"/>
      <c r="BJ170" s="50" t="n"/>
      <c r="BK170" s="50" t="n"/>
      <c r="BL170" s="50" t="n"/>
      <c r="BM170" s="50" t="n"/>
      <c r="BN170" s="50" t="n"/>
      <c r="BO170" s="50" t="n"/>
      <c r="BP170" s="50" t="n"/>
      <c r="BQ170" s="50" t="n"/>
      <c r="BR170" s="50" t="n"/>
      <c r="BS170" s="50" t="n"/>
      <c r="BT170" s="50" t="n"/>
      <c r="BU170" s="50" t="n"/>
      <c r="BV170" s="50" t="n"/>
      <c r="BW170" s="50" t="n"/>
      <c r="BX170" s="50" t="n"/>
      <c r="BY170" s="50" t="n"/>
      <c r="BZ170" s="50" t="n"/>
      <c r="CA170" s="50" t="n"/>
      <c r="CB170" s="50" t="n"/>
      <c r="CC170" s="50" t="n"/>
      <c r="CD170" s="50" t="n"/>
      <c r="CE170" s="50" t="n"/>
      <c r="CF170" s="50" t="n"/>
      <c r="CG170" s="50" t="n"/>
      <c r="CH170" s="50" t="n"/>
      <c r="CI170" s="50" t="n"/>
      <c r="CJ170" s="50" t="n"/>
      <c r="CK170" s="50" t="n"/>
      <c r="CL170" s="50" t="n"/>
      <c r="CM170" s="50" t="n"/>
      <c r="CN170" s="50" t="n"/>
      <c r="CO170" s="50" t="n"/>
      <c r="CP170" s="50" t="n"/>
      <c r="CQ170" s="50" t="n"/>
      <c r="CR170" s="50" t="n"/>
      <c r="CS170" s="50" t="n"/>
      <c r="CT170" s="50" t="n"/>
      <c r="CU170" s="50" t="n"/>
      <c r="CV170" s="50" t="n"/>
      <c r="CW170" s="50" t="n"/>
      <c r="CX170" s="50" t="n"/>
      <c r="CY170" s="50" t="n"/>
      <c r="CZ170" s="50" t="n"/>
      <c r="DA170" s="50" t="n"/>
      <c r="DB170" s="50" t="n"/>
      <c r="DC170" s="50" t="n"/>
      <c r="DD170" s="50" t="n"/>
      <c r="DE170" s="50" t="n"/>
      <c r="DF170" s="50" t="n"/>
      <c r="DG170" s="50" t="n"/>
      <c r="DH170" s="50" t="n"/>
      <c r="DI170" s="50" t="n"/>
      <c r="DJ170" s="50" t="n"/>
      <c r="DK170" s="50" t="n"/>
      <c r="DL170" s="50" t="n"/>
      <c r="DM170" s="50" t="n"/>
      <c r="DN170" s="50" t="n"/>
      <c r="DO170" s="50" t="n"/>
      <c r="DP170" s="50" t="n"/>
      <c r="DQ170" s="50" t="n"/>
      <c r="DR170" s="50" t="n"/>
      <c r="DS170" s="50" t="n"/>
      <c r="DT170" s="50" t="n"/>
      <c r="DU170" s="50" t="n"/>
      <c r="DV170" s="50" t="n"/>
    </row>
    <row r="171">
      <c r="A171" s="47">
        <f>IF(Mitarbeiter!B171="","",Mitarbeiter!A171)</f>
        <v/>
      </c>
      <c r="B171" s="48">
        <f>IF(Mitarbeiter!B171="","",Mitarbeiter!B171)</f>
        <v/>
      </c>
      <c r="C171" s="49">
        <f>IF(Mitarbeiter!B171="","",Mitarbeiter!F171)</f>
        <v/>
      </c>
      <c r="D171" s="25">
        <f>IF(Mitarbeiter!B171="","",Berechnung!AD171)</f>
        <v/>
      </c>
      <c r="E171" s="25">
        <f>IF(Mitarbeiter!B171="","",SUM(G171:DV171))</f>
        <v/>
      </c>
      <c r="G171" s="50" t="n"/>
      <c r="H171" s="50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0" t="n"/>
      <c r="S171" s="50" t="n"/>
      <c r="T171" s="50" t="n"/>
      <c r="U171" s="50" t="n"/>
      <c r="V171" s="50" t="n"/>
      <c r="W171" s="50" t="n"/>
      <c r="X171" s="50" t="n"/>
      <c r="Y171" s="50" t="n"/>
      <c r="Z171" s="50" t="n"/>
      <c r="AA171" s="50" t="n"/>
      <c r="AB171" s="50" t="n"/>
      <c r="AC171" s="50" t="n"/>
      <c r="AD171" s="50" t="n"/>
      <c r="AE171" s="50" t="n"/>
      <c r="AF171" s="50" t="n"/>
      <c r="AG171" s="50" t="n"/>
      <c r="AH171" s="50" t="n"/>
      <c r="AI171" s="50" t="n"/>
      <c r="AJ171" s="50" t="n"/>
      <c r="AK171" s="50" t="n"/>
      <c r="AL171" s="50" t="n"/>
      <c r="AM171" s="50" t="n"/>
      <c r="AN171" s="50" t="n"/>
      <c r="AO171" s="50" t="n"/>
      <c r="AP171" s="50" t="n"/>
      <c r="AQ171" s="50" t="n"/>
      <c r="AR171" s="50" t="n"/>
      <c r="AS171" s="50" t="n"/>
      <c r="AT171" s="50" t="n"/>
      <c r="AU171" s="50" t="n"/>
      <c r="AV171" s="50" t="n"/>
      <c r="AW171" s="50" t="n"/>
      <c r="AX171" s="50" t="n"/>
      <c r="AY171" s="50" t="n"/>
      <c r="AZ171" s="50" t="n"/>
      <c r="BA171" s="50" t="n"/>
      <c r="BB171" s="50" t="n"/>
      <c r="BC171" s="50" t="n"/>
      <c r="BD171" s="50" t="n"/>
      <c r="BE171" s="50" t="n"/>
      <c r="BF171" s="50" t="n"/>
      <c r="BG171" s="50" t="n"/>
      <c r="BH171" s="50" t="n"/>
      <c r="BI171" s="50" t="n"/>
      <c r="BJ171" s="50" t="n"/>
      <c r="BK171" s="50" t="n"/>
      <c r="BL171" s="50" t="n"/>
      <c r="BM171" s="50" t="n"/>
      <c r="BN171" s="50" t="n"/>
      <c r="BO171" s="50" t="n"/>
      <c r="BP171" s="50" t="n"/>
      <c r="BQ171" s="50" t="n"/>
      <c r="BR171" s="50" t="n"/>
      <c r="BS171" s="50" t="n"/>
      <c r="BT171" s="50" t="n"/>
      <c r="BU171" s="50" t="n"/>
      <c r="BV171" s="50" t="n"/>
      <c r="BW171" s="50" t="n"/>
      <c r="BX171" s="50" t="n"/>
      <c r="BY171" s="50" t="n"/>
      <c r="BZ171" s="50" t="n"/>
      <c r="CA171" s="50" t="n"/>
      <c r="CB171" s="50" t="n"/>
      <c r="CC171" s="50" t="n"/>
      <c r="CD171" s="50" t="n"/>
      <c r="CE171" s="50" t="n"/>
      <c r="CF171" s="50" t="n"/>
      <c r="CG171" s="50" t="n"/>
      <c r="CH171" s="50" t="n"/>
      <c r="CI171" s="50" t="n"/>
      <c r="CJ171" s="50" t="n"/>
      <c r="CK171" s="50" t="n"/>
      <c r="CL171" s="50" t="n"/>
      <c r="CM171" s="50" t="n"/>
      <c r="CN171" s="50" t="n"/>
      <c r="CO171" s="50" t="n"/>
      <c r="CP171" s="50" t="n"/>
      <c r="CQ171" s="50" t="n"/>
      <c r="CR171" s="50" t="n"/>
      <c r="CS171" s="50" t="n"/>
      <c r="CT171" s="50" t="n"/>
      <c r="CU171" s="50" t="n"/>
      <c r="CV171" s="50" t="n"/>
      <c r="CW171" s="50" t="n"/>
      <c r="CX171" s="50" t="n"/>
      <c r="CY171" s="50" t="n"/>
      <c r="CZ171" s="50" t="n"/>
      <c r="DA171" s="50" t="n"/>
      <c r="DB171" s="50" t="n"/>
      <c r="DC171" s="50" t="n"/>
      <c r="DD171" s="50" t="n"/>
      <c r="DE171" s="50" t="n"/>
      <c r="DF171" s="50" t="n"/>
      <c r="DG171" s="50" t="n"/>
      <c r="DH171" s="50" t="n"/>
      <c r="DI171" s="50" t="n"/>
      <c r="DJ171" s="50" t="n"/>
      <c r="DK171" s="50" t="n"/>
      <c r="DL171" s="50" t="n"/>
      <c r="DM171" s="50" t="n"/>
      <c r="DN171" s="50" t="n"/>
      <c r="DO171" s="50" t="n"/>
      <c r="DP171" s="50" t="n"/>
      <c r="DQ171" s="50" t="n"/>
      <c r="DR171" s="50" t="n"/>
      <c r="DS171" s="50" t="n"/>
      <c r="DT171" s="50" t="n"/>
      <c r="DU171" s="50" t="n"/>
      <c r="DV171" s="50" t="n"/>
    </row>
    <row r="172">
      <c r="A172" s="47">
        <f>IF(Mitarbeiter!B172="","",Mitarbeiter!A172)</f>
        <v/>
      </c>
      <c r="B172" s="48">
        <f>IF(Mitarbeiter!B172="","",Mitarbeiter!B172)</f>
        <v/>
      </c>
      <c r="C172" s="49">
        <f>IF(Mitarbeiter!B172="","",Mitarbeiter!F172)</f>
        <v/>
      </c>
      <c r="D172" s="25">
        <f>IF(Mitarbeiter!B172="","",Berechnung!AD172)</f>
        <v/>
      </c>
      <c r="E172" s="25">
        <f>IF(Mitarbeiter!B172="","",SUM(G172:DV172))</f>
        <v/>
      </c>
      <c r="G172" s="50" t="n"/>
      <c r="H172" s="50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  <c r="AB172" s="50" t="n"/>
      <c r="AC172" s="50" t="n"/>
      <c r="AD172" s="50" t="n"/>
      <c r="AE172" s="50" t="n"/>
      <c r="AF172" s="50" t="n"/>
      <c r="AG172" s="50" t="n"/>
      <c r="AH172" s="50" t="n"/>
      <c r="AI172" s="50" t="n"/>
      <c r="AJ172" s="50" t="n"/>
      <c r="AK172" s="50" t="n"/>
      <c r="AL172" s="50" t="n"/>
      <c r="AM172" s="50" t="n"/>
      <c r="AN172" s="50" t="n"/>
      <c r="AO172" s="50" t="n"/>
      <c r="AP172" s="50" t="n"/>
      <c r="AQ172" s="50" t="n"/>
      <c r="AR172" s="50" t="n"/>
      <c r="AS172" s="50" t="n"/>
      <c r="AT172" s="50" t="n"/>
      <c r="AU172" s="50" t="n"/>
      <c r="AV172" s="50" t="n"/>
      <c r="AW172" s="50" t="n"/>
      <c r="AX172" s="50" t="n"/>
      <c r="AY172" s="50" t="n"/>
      <c r="AZ172" s="50" t="n"/>
      <c r="BA172" s="50" t="n"/>
      <c r="BB172" s="50" t="n"/>
      <c r="BC172" s="50" t="n"/>
      <c r="BD172" s="50" t="n"/>
      <c r="BE172" s="50" t="n"/>
      <c r="BF172" s="50" t="n"/>
      <c r="BG172" s="50" t="n"/>
      <c r="BH172" s="50" t="n"/>
      <c r="BI172" s="50" t="n"/>
      <c r="BJ172" s="50" t="n"/>
      <c r="BK172" s="50" t="n"/>
      <c r="BL172" s="50" t="n"/>
      <c r="BM172" s="50" t="n"/>
      <c r="BN172" s="50" t="n"/>
      <c r="BO172" s="50" t="n"/>
      <c r="BP172" s="50" t="n"/>
      <c r="BQ172" s="50" t="n"/>
      <c r="BR172" s="50" t="n"/>
      <c r="BS172" s="50" t="n"/>
      <c r="BT172" s="50" t="n"/>
      <c r="BU172" s="50" t="n"/>
      <c r="BV172" s="50" t="n"/>
      <c r="BW172" s="50" t="n"/>
      <c r="BX172" s="50" t="n"/>
      <c r="BY172" s="50" t="n"/>
      <c r="BZ172" s="50" t="n"/>
      <c r="CA172" s="50" t="n"/>
      <c r="CB172" s="50" t="n"/>
      <c r="CC172" s="50" t="n"/>
      <c r="CD172" s="50" t="n"/>
      <c r="CE172" s="50" t="n"/>
      <c r="CF172" s="50" t="n"/>
      <c r="CG172" s="50" t="n"/>
      <c r="CH172" s="50" t="n"/>
      <c r="CI172" s="50" t="n"/>
      <c r="CJ172" s="50" t="n"/>
      <c r="CK172" s="50" t="n"/>
      <c r="CL172" s="50" t="n"/>
      <c r="CM172" s="50" t="n"/>
      <c r="CN172" s="50" t="n"/>
      <c r="CO172" s="50" t="n"/>
      <c r="CP172" s="50" t="n"/>
      <c r="CQ172" s="50" t="n"/>
      <c r="CR172" s="50" t="n"/>
      <c r="CS172" s="50" t="n"/>
      <c r="CT172" s="50" t="n"/>
      <c r="CU172" s="50" t="n"/>
      <c r="CV172" s="50" t="n"/>
      <c r="CW172" s="50" t="n"/>
      <c r="CX172" s="50" t="n"/>
      <c r="CY172" s="50" t="n"/>
      <c r="CZ172" s="50" t="n"/>
      <c r="DA172" s="50" t="n"/>
      <c r="DB172" s="50" t="n"/>
      <c r="DC172" s="50" t="n"/>
      <c r="DD172" s="50" t="n"/>
      <c r="DE172" s="50" t="n"/>
      <c r="DF172" s="50" t="n"/>
      <c r="DG172" s="50" t="n"/>
      <c r="DH172" s="50" t="n"/>
      <c r="DI172" s="50" t="n"/>
      <c r="DJ172" s="50" t="n"/>
      <c r="DK172" s="50" t="n"/>
      <c r="DL172" s="50" t="n"/>
      <c r="DM172" s="50" t="n"/>
      <c r="DN172" s="50" t="n"/>
      <c r="DO172" s="50" t="n"/>
      <c r="DP172" s="50" t="n"/>
      <c r="DQ172" s="50" t="n"/>
      <c r="DR172" s="50" t="n"/>
      <c r="DS172" s="50" t="n"/>
      <c r="DT172" s="50" t="n"/>
      <c r="DU172" s="50" t="n"/>
      <c r="DV172" s="50" t="n"/>
    </row>
    <row r="173">
      <c r="A173" s="47">
        <f>IF(Mitarbeiter!B173="","",Mitarbeiter!A173)</f>
        <v/>
      </c>
      <c r="B173" s="48">
        <f>IF(Mitarbeiter!B173="","",Mitarbeiter!B173)</f>
        <v/>
      </c>
      <c r="C173" s="49">
        <f>IF(Mitarbeiter!B173="","",Mitarbeiter!F173)</f>
        <v/>
      </c>
      <c r="D173" s="25">
        <f>IF(Mitarbeiter!B173="","",Berechnung!AD173)</f>
        <v/>
      </c>
      <c r="E173" s="25">
        <f>IF(Mitarbeiter!B173="","",SUM(G173:DV173))</f>
        <v/>
      </c>
      <c r="G173" s="50" t="n"/>
      <c r="H173" s="50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0" t="n"/>
      <c r="S173" s="50" t="n"/>
      <c r="T173" s="50" t="n"/>
      <c r="U173" s="50" t="n"/>
      <c r="V173" s="50" t="n"/>
      <c r="W173" s="50" t="n"/>
      <c r="X173" s="50" t="n"/>
      <c r="Y173" s="50" t="n"/>
      <c r="Z173" s="50" t="n"/>
      <c r="AA173" s="50" t="n"/>
      <c r="AB173" s="50" t="n"/>
      <c r="AC173" s="50" t="n"/>
      <c r="AD173" s="50" t="n"/>
      <c r="AE173" s="50" t="n"/>
      <c r="AF173" s="50" t="n"/>
      <c r="AG173" s="50" t="n"/>
      <c r="AH173" s="50" t="n"/>
      <c r="AI173" s="50" t="n"/>
      <c r="AJ173" s="50" t="n"/>
      <c r="AK173" s="50" t="n"/>
      <c r="AL173" s="50" t="n"/>
      <c r="AM173" s="50" t="n"/>
      <c r="AN173" s="50" t="n"/>
      <c r="AO173" s="50" t="n"/>
      <c r="AP173" s="50" t="n"/>
      <c r="AQ173" s="50" t="n"/>
      <c r="AR173" s="50" t="n"/>
      <c r="AS173" s="50" t="n"/>
      <c r="AT173" s="50" t="n"/>
      <c r="AU173" s="50" t="n"/>
      <c r="AV173" s="50" t="n"/>
      <c r="AW173" s="50" t="n"/>
      <c r="AX173" s="50" t="n"/>
      <c r="AY173" s="50" t="n"/>
      <c r="AZ173" s="50" t="n"/>
      <c r="BA173" s="50" t="n"/>
      <c r="BB173" s="50" t="n"/>
      <c r="BC173" s="50" t="n"/>
      <c r="BD173" s="50" t="n"/>
      <c r="BE173" s="50" t="n"/>
      <c r="BF173" s="50" t="n"/>
      <c r="BG173" s="50" t="n"/>
      <c r="BH173" s="50" t="n"/>
      <c r="BI173" s="50" t="n"/>
      <c r="BJ173" s="50" t="n"/>
      <c r="BK173" s="50" t="n"/>
      <c r="BL173" s="50" t="n"/>
      <c r="BM173" s="50" t="n"/>
      <c r="BN173" s="50" t="n"/>
      <c r="BO173" s="50" t="n"/>
      <c r="BP173" s="50" t="n"/>
      <c r="BQ173" s="50" t="n"/>
      <c r="BR173" s="50" t="n"/>
      <c r="BS173" s="50" t="n"/>
      <c r="BT173" s="50" t="n"/>
      <c r="BU173" s="50" t="n"/>
      <c r="BV173" s="50" t="n"/>
      <c r="BW173" s="50" t="n"/>
      <c r="BX173" s="50" t="n"/>
      <c r="BY173" s="50" t="n"/>
      <c r="BZ173" s="50" t="n"/>
      <c r="CA173" s="50" t="n"/>
      <c r="CB173" s="50" t="n"/>
      <c r="CC173" s="50" t="n"/>
      <c r="CD173" s="50" t="n"/>
      <c r="CE173" s="50" t="n"/>
      <c r="CF173" s="50" t="n"/>
      <c r="CG173" s="50" t="n"/>
      <c r="CH173" s="50" t="n"/>
      <c r="CI173" s="50" t="n"/>
      <c r="CJ173" s="50" t="n"/>
      <c r="CK173" s="50" t="n"/>
      <c r="CL173" s="50" t="n"/>
      <c r="CM173" s="50" t="n"/>
      <c r="CN173" s="50" t="n"/>
      <c r="CO173" s="50" t="n"/>
      <c r="CP173" s="50" t="n"/>
      <c r="CQ173" s="50" t="n"/>
      <c r="CR173" s="50" t="n"/>
      <c r="CS173" s="50" t="n"/>
      <c r="CT173" s="50" t="n"/>
      <c r="CU173" s="50" t="n"/>
      <c r="CV173" s="50" t="n"/>
      <c r="CW173" s="50" t="n"/>
      <c r="CX173" s="50" t="n"/>
      <c r="CY173" s="50" t="n"/>
      <c r="CZ173" s="50" t="n"/>
      <c r="DA173" s="50" t="n"/>
      <c r="DB173" s="50" t="n"/>
      <c r="DC173" s="50" t="n"/>
      <c r="DD173" s="50" t="n"/>
      <c r="DE173" s="50" t="n"/>
      <c r="DF173" s="50" t="n"/>
      <c r="DG173" s="50" t="n"/>
      <c r="DH173" s="50" t="n"/>
      <c r="DI173" s="50" t="n"/>
      <c r="DJ173" s="50" t="n"/>
      <c r="DK173" s="50" t="n"/>
      <c r="DL173" s="50" t="n"/>
      <c r="DM173" s="50" t="n"/>
      <c r="DN173" s="50" t="n"/>
      <c r="DO173" s="50" t="n"/>
      <c r="DP173" s="50" t="n"/>
      <c r="DQ173" s="50" t="n"/>
      <c r="DR173" s="50" t="n"/>
      <c r="DS173" s="50" t="n"/>
      <c r="DT173" s="50" t="n"/>
      <c r="DU173" s="50" t="n"/>
      <c r="DV173" s="50" t="n"/>
    </row>
    <row r="174">
      <c r="A174" s="47">
        <f>IF(Mitarbeiter!B174="","",Mitarbeiter!A174)</f>
        <v/>
      </c>
      <c r="B174" s="48">
        <f>IF(Mitarbeiter!B174="","",Mitarbeiter!B174)</f>
        <v/>
      </c>
      <c r="C174" s="49">
        <f>IF(Mitarbeiter!B174="","",Mitarbeiter!F174)</f>
        <v/>
      </c>
      <c r="D174" s="25">
        <f>IF(Mitarbeiter!B174="","",Berechnung!AD174)</f>
        <v/>
      </c>
      <c r="E174" s="25">
        <f>IF(Mitarbeiter!B174="","",SUM(G174:DV174))</f>
        <v/>
      </c>
      <c r="G174" s="50" t="n"/>
      <c r="H174" s="50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0" t="n"/>
      <c r="S174" s="50" t="n"/>
      <c r="T174" s="50" t="n"/>
      <c r="U174" s="50" t="n"/>
      <c r="V174" s="50" t="n"/>
      <c r="W174" s="50" t="n"/>
      <c r="X174" s="50" t="n"/>
      <c r="Y174" s="50" t="n"/>
      <c r="Z174" s="50" t="n"/>
      <c r="AA174" s="50" t="n"/>
      <c r="AB174" s="50" t="n"/>
      <c r="AC174" s="50" t="n"/>
      <c r="AD174" s="50" t="n"/>
      <c r="AE174" s="50" t="n"/>
      <c r="AF174" s="50" t="n"/>
      <c r="AG174" s="50" t="n"/>
      <c r="AH174" s="50" t="n"/>
      <c r="AI174" s="50" t="n"/>
      <c r="AJ174" s="50" t="n"/>
      <c r="AK174" s="50" t="n"/>
      <c r="AL174" s="50" t="n"/>
      <c r="AM174" s="50" t="n"/>
      <c r="AN174" s="50" t="n"/>
      <c r="AO174" s="50" t="n"/>
      <c r="AP174" s="50" t="n"/>
      <c r="AQ174" s="50" t="n"/>
      <c r="AR174" s="50" t="n"/>
      <c r="AS174" s="50" t="n"/>
      <c r="AT174" s="50" t="n"/>
      <c r="AU174" s="50" t="n"/>
      <c r="AV174" s="50" t="n"/>
      <c r="AW174" s="50" t="n"/>
      <c r="AX174" s="50" t="n"/>
      <c r="AY174" s="50" t="n"/>
      <c r="AZ174" s="50" t="n"/>
      <c r="BA174" s="50" t="n"/>
      <c r="BB174" s="50" t="n"/>
      <c r="BC174" s="50" t="n"/>
      <c r="BD174" s="50" t="n"/>
      <c r="BE174" s="50" t="n"/>
      <c r="BF174" s="50" t="n"/>
      <c r="BG174" s="50" t="n"/>
      <c r="BH174" s="50" t="n"/>
      <c r="BI174" s="50" t="n"/>
      <c r="BJ174" s="50" t="n"/>
      <c r="BK174" s="50" t="n"/>
      <c r="BL174" s="50" t="n"/>
      <c r="BM174" s="50" t="n"/>
      <c r="BN174" s="50" t="n"/>
      <c r="BO174" s="50" t="n"/>
      <c r="BP174" s="50" t="n"/>
      <c r="BQ174" s="50" t="n"/>
      <c r="BR174" s="50" t="n"/>
      <c r="BS174" s="50" t="n"/>
      <c r="BT174" s="50" t="n"/>
      <c r="BU174" s="50" t="n"/>
      <c r="BV174" s="50" t="n"/>
      <c r="BW174" s="50" t="n"/>
      <c r="BX174" s="50" t="n"/>
      <c r="BY174" s="50" t="n"/>
      <c r="BZ174" s="50" t="n"/>
      <c r="CA174" s="50" t="n"/>
      <c r="CB174" s="50" t="n"/>
      <c r="CC174" s="50" t="n"/>
      <c r="CD174" s="50" t="n"/>
      <c r="CE174" s="50" t="n"/>
      <c r="CF174" s="50" t="n"/>
      <c r="CG174" s="50" t="n"/>
      <c r="CH174" s="50" t="n"/>
      <c r="CI174" s="50" t="n"/>
      <c r="CJ174" s="50" t="n"/>
      <c r="CK174" s="50" t="n"/>
      <c r="CL174" s="50" t="n"/>
      <c r="CM174" s="50" t="n"/>
      <c r="CN174" s="50" t="n"/>
      <c r="CO174" s="50" t="n"/>
      <c r="CP174" s="50" t="n"/>
      <c r="CQ174" s="50" t="n"/>
      <c r="CR174" s="50" t="n"/>
      <c r="CS174" s="50" t="n"/>
      <c r="CT174" s="50" t="n"/>
      <c r="CU174" s="50" t="n"/>
      <c r="CV174" s="50" t="n"/>
      <c r="CW174" s="50" t="n"/>
      <c r="CX174" s="50" t="n"/>
      <c r="CY174" s="50" t="n"/>
      <c r="CZ174" s="50" t="n"/>
      <c r="DA174" s="50" t="n"/>
      <c r="DB174" s="50" t="n"/>
      <c r="DC174" s="50" t="n"/>
      <c r="DD174" s="50" t="n"/>
      <c r="DE174" s="50" t="n"/>
      <c r="DF174" s="50" t="n"/>
      <c r="DG174" s="50" t="n"/>
      <c r="DH174" s="50" t="n"/>
      <c r="DI174" s="50" t="n"/>
      <c r="DJ174" s="50" t="n"/>
      <c r="DK174" s="50" t="n"/>
      <c r="DL174" s="50" t="n"/>
      <c r="DM174" s="50" t="n"/>
      <c r="DN174" s="50" t="n"/>
      <c r="DO174" s="50" t="n"/>
      <c r="DP174" s="50" t="n"/>
      <c r="DQ174" s="50" t="n"/>
      <c r="DR174" s="50" t="n"/>
      <c r="DS174" s="50" t="n"/>
      <c r="DT174" s="50" t="n"/>
      <c r="DU174" s="50" t="n"/>
      <c r="DV174" s="50" t="n"/>
    </row>
    <row r="175">
      <c r="A175" s="47">
        <f>IF(Mitarbeiter!B175="","",Mitarbeiter!A175)</f>
        <v/>
      </c>
      <c r="B175" s="48">
        <f>IF(Mitarbeiter!B175="","",Mitarbeiter!B175)</f>
        <v/>
      </c>
      <c r="C175" s="49">
        <f>IF(Mitarbeiter!B175="","",Mitarbeiter!F175)</f>
        <v/>
      </c>
      <c r="D175" s="25">
        <f>IF(Mitarbeiter!B175="","",Berechnung!AD175)</f>
        <v/>
      </c>
      <c r="E175" s="25">
        <f>IF(Mitarbeiter!B175="","",SUM(G175:DV175))</f>
        <v/>
      </c>
      <c r="G175" s="50" t="n"/>
      <c r="H175" s="50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0" t="n"/>
      <c r="S175" s="50" t="n"/>
      <c r="T175" s="50" t="n"/>
      <c r="U175" s="50" t="n"/>
      <c r="V175" s="50" t="n"/>
      <c r="W175" s="50" t="n"/>
      <c r="X175" s="50" t="n"/>
      <c r="Y175" s="50" t="n"/>
      <c r="Z175" s="50" t="n"/>
      <c r="AA175" s="50" t="n"/>
      <c r="AB175" s="50" t="n"/>
      <c r="AC175" s="50" t="n"/>
      <c r="AD175" s="50" t="n"/>
      <c r="AE175" s="50" t="n"/>
      <c r="AF175" s="50" t="n"/>
      <c r="AG175" s="50" t="n"/>
      <c r="AH175" s="50" t="n"/>
      <c r="AI175" s="50" t="n"/>
      <c r="AJ175" s="50" t="n"/>
      <c r="AK175" s="50" t="n"/>
      <c r="AL175" s="50" t="n"/>
      <c r="AM175" s="50" t="n"/>
      <c r="AN175" s="50" t="n"/>
      <c r="AO175" s="50" t="n"/>
      <c r="AP175" s="50" t="n"/>
      <c r="AQ175" s="50" t="n"/>
      <c r="AR175" s="50" t="n"/>
      <c r="AS175" s="50" t="n"/>
      <c r="AT175" s="50" t="n"/>
      <c r="AU175" s="50" t="n"/>
      <c r="AV175" s="50" t="n"/>
      <c r="AW175" s="50" t="n"/>
      <c r="AX175" s="50" t="n"/>
      <c r="AY175" s="50" t="n"/>
      <c r="AZ175" s="50" t="n"/>
      <c r="BA175" s="50" t="n"/>
      <c r="BB175" s="50" t="n"/>
      <c r="BC175" s="50" t="n"/>
      <c r="BD175" s="50" t="n"/>
      <c r="BE175" s="50" t="n"/>
      <c r="BF175" s="50" t="n"/>
      <c r="BG175" s="50" t="n"/>
      <c r="BH175" s="50" t="n"/>
      <c r="BI175" s="50" t="n"/>
      <c r="BJ175" s="50" t="n"/>
      <c r="BK175" s="50" t="n"/>
      <c r="BL175" s="50" t="n"/>
      <c r="BM175" s="50" t="n"/>
      <c r="BN175" s="50" t="n"/>
      <c r="BO175" s="50" t="n"/>
      <c r="BP175" s="50" t="n"/>
      <c r="BQ175" s="50" t="n"/>
      <c r="BR175" s="50" t="n"/>
      <c r="BS175" s="50" t="n"/>
      <c r="BT175" s="50" t="n"/>
      <c r="BU175" s="50" t="n"/>
      <c r="BV175" s="50" t="n"/>
      <c r="BW175" s="50" t="n"/>
      <c r="BX175" s="50" t="n"/>
      <c r="BY175" s="50" t="n"/>
      <c r="BZ175" s="50" t="n"/>
      <c r="CA175" s="50" t="n"/>
      <c r="CB175" s="50" t="n"/>
      <c r="CC175" s="50" t="n"/>
      <c r="CD175" s="50" t="n"/>
      <c r="CE175" s="50" t="n"/>
      <c r="CF175" s="50" t="n"/>
      <c r="CG175" s="50" t="n"/>
      <c r="CH175" s="50" t="n"/>
      <c r="CI175" s="50" t="n"/>
      <c r="CJ175" s="50" t="n"/>
      <c r="CK175" s="50" t="n"/>
      <c r="CL175" s="50" t="n"/>
      <c r="CM175" s="50" t="n"/>
      <c r="CN175" s="50" t="n"/>
      <c r="CO175" s="50" t="n"/>
      <c r="CP175" s="50" t="n"/>
      <c r="CQ175" s="50" t="n"/>
      <c r="CR175" s="50" t="n"/>
      <c r="CS175" s="50" t="n"/>
      <c r="CT175" s="50" t="n"/>
      <c r="CU175" s="50" t="n"/>
      <c r="CV175" s="50" t="n"/>
      <c r="CW175" s="50" t="n"/>
      <c r="CX175" s="50" t="n"/>
      <c r="CY175" s="50" t="n"/>
      <c r="CZ175" s="50" t="n"/>
      <c r="DA175" s="50" t="n"/>
      <c r="DB175" s="50" t="n"/>
      <c r="DC175" s="50" t="n"/>
      <c r="DD175" s="50" t="n"/>
      <c r="DE175" s="50" t="n"/>
      <c r="DF175" s="50" t="n"/>
      <c r="DG175" s="50" t="n"/>
      <c r="DH175" s="50" t="n"/>
      <c r="DI175" s="50" t="n"/>
      <c r="DJ175" s="50" t="n"/>
      <c r="DK175" s="50" t="n"/>
      <c r="DL175" s="50" t="n"/>
      <c r="DM175" s="50" t="n"/>
      <c r="DN175" s="50" t="n"/>
      <c r="DO175" s="50" t="n"/>
      <c r="DP175" s="50" t="n"/>
      <c r="DQ175" s="50" t="n"/>
      <c r="DR175" s="50" t="n"/>
      <c r="DS175" s="50" t="n"/>
      <c r="DT175" s="50" t="n"/>
      <c r="DU175" s="50" t="n"/>
      <c r="DV175" s="50" t="n"/>
    </row>
    <row r="176">
      <c r="A176" s="47">
        <f>IF(Mitarbeiter!B176="","",Mitarbeiter!A176)</f>
        <v/>
      </c>
      <c r="B176" s="48">
        <f>IF(Mitarbeiter!B176="","",Mitarbeiter!B176)</f>
        <v/>
      </c>
      <c r="C176" s="49">
        <f>IF(Mitarbeiter!B176="","",Mitarbeiter!F176)</f>
        <v/>
      </c>
      <c r="D176" s="25">
        <f>IF(Mitarbeiter!B176="","",Berechnung!AD176)</f>
        <v/>
      </c>
      <c r="E176" s="25">
        <f>IF(Mitarbeiter!B176="","",SUM(G176:DV176))</f>
        <v/>
      </c>
      <c r="G176" s="50" t="n"/>
      <c r="H176" s="50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0" t="n"/>
      <c r="S176" s="50" t="n"/>
      <c r="T176" s="50" t="n"/>
      <c r="U176" s="50" t="n"/>
      <c r="V176" s="50" t="n"/>
      <c r="W176" s="50" t="n"/>
      <c r="X176" s="50" t="n"/>
      <c r="Y176" s="50" t="n"/>
      <c r="Z176" s="50" t="n"/>
      <c r="AA176" s="50" t="n"/>
      <c r="AB176" s="50" t="n"/>
      <c r="AC176" s="50" t="n"/>
      <c r="AD176" s="50" t="n"/>
      <c r="AE176" s="50" t="n"/>
      <c r="AF176" s="50" t="n"/>
      <c r="AG176" s="50" t="n"/>
      <c r="AH176" s="50" t="n"/>
      <c r="AI176" s="50" t="n"/>
      <c r="AJ176" s="50" t="n"/>
      <c r="AK176" s="50" t="n"/>
      <c r="AL176" s="50" t="n"/>
      <c r="AM176" s="50" t="n"/>
      <c r="AN176" s="50" t="n"/>
      <c r="AO176" s="50" t="n"/>
      <c r="AP176" s="50" t="n"/>
      <c r="AQ176" s="50" t="n"/>
      <c r="AR176" s="50" t="n"/>
      <c r="AS176" s="50" t="n"/>
      <c r="AT176" s="50" t="n"/>
      <c r="AU176" s="50" t="n"/>
      <c r="AV176" s="50" t="n"/>
      <c r="AW176" s="50" t="n"/>
      <c r="AX176" s="50" t="n"/>
      <c r="AY176" s="50" t="n"/>
      <c r="AZ176" s="50" t="n"/>
      <c r="BA176" s="50" t="n"/>
      <c r="BB176" s="50" t="n"/>
      <c r="BC176" s="50" t="n"/>
      <c r="BD176" s="50" t="n"/>
      <c r="BE176" s="50" t="n"/>
      <c r="BF176" s="50" t="n"/>
      <c r="BG176" s="50" t="n"/>
      <c r="BH176" s="50" t="n"/>
      <c r="BI176" s="50" t="n"/>
      <c r="BJ176" s="50" t="n"/>
      <c r="BK176" s="50" t="n"/>
      <c r="BL176" s="50" t="n"/>
      <c r="BM176" s="50" t="n"/>
      <c r="BN176" s="50" t="n"/>
      <c r="BO176" s="50" t="n"/>
      <c r="BP176" s="50" t="n"/>
      <c r="BQ176" s="50" t="n"/>
      <c r="BR176" s="50" t="n"/>
      <c r="BS176" s="50" t="n"/>
      <c r="BT176" s="50" t="n"/>
      <c r="BU176" s="50" t="n"/>
      <c r="BV176" s="50" t="n"/>
      <c r="BW176" s="50" t="n"/>
      <c r="BX176" s="50" t="n"/>
      <c r="BY176" s="50" t="n"/>
      <c r="BZ176" s="50" t="n"/>
      <c r="CA176" s="50" t="n"/>
      <c r="CB176" s="50" t="n"/>
      <c r="CC176" s="50" t="n"/>
      <c r="CD176" s="50" t="n"/>
      <c r="CE176" s="50" t="n"/>
      <c r="CF176" s="50" t="n"/>
      <c r="CG176" s="50" t="n"/>
      <c r="CH176" s="50" t="n"/>
      <c r="CI176" s="50" t="n"/>
      <c r="CJ176" s="50" t="n"/>
      <c r="CK176" s="50" t="n"/>
      <c r="CL176" s="50" t="n"/>
      <c r="CM176" s="50" t="n"/>
      <c r="CN176" s="50" t="n"/>
      <c r="CO176" s="50" t="n"/>
      <c r="CP176" s="50" t="n"/>
      <c r="CQ176" s="50" t="n"/>
      <c r="CR176" s="50" t="n"/>
      <c r="CS176" s="50" t="n"/>
      <c r="CT176" s="50" t="n"/>
      <c r="CU176" s="50" t="n"/>
      <c r="CV176" s="50" t="n"/>
      <c r="CW176" s="50" t="n"/>
      <c r="CX176" s="50" t="n"/>
      <c r="CY176" s="50" t="n"/>
      <c r="CZ176" s="50" t="n"/>
      <c r="DA176" s="50" t="n"/>
      <c r="DB176" s="50" t="n"/>
      <c r="DC176" s="50" t="n"/>
      <c r="DD176" s="50" t="n"/>
      <c r="DE176" s="50" t="n"/>
      <c r="DF176" s="50" t="n"/>
      <c r="DG176" s="50" t="n"/>
      <c r="DH176" s="50" t="n"/>
      <c r="DI176" s="50" t="n"/>
      <c r="DJ176" s="50" t="n"/>
      <c r="DK176" s="50" t="n"/>
      <c r="DL176" s="50" t="n"/>
      <c r="DM176" s="50" t="n"/>
      <c r="DN176" s="50" t="n"/>
      <c r="DO176" s="50" t="n"/>
      <c r="DP176" s="50" t="n"/>
      <c r="DQ176" s="50" t="n"/>
      <c r="DR176" s="50" t="n"/>
      <c r="DS176" s="50" t="n"/>
      <c r="DT176" s="50" t="n"/>
      <c r="DU176" s="50" t="n"/>
      <c r="DV176" s="50" t="n"/>
    </row>
    <row r="177">
      <c r="A177" s="47">
        <f>IF(Mitarbeiter!B177="","",Mitarbeiter!A177)</f>
        <v/>
      </c>
      <c r="B177" s="48">
        <f>IF(Mitarbeiter!B177="","",Mitarbeiter!B177)</f>
        <v/>
      </c>
      <c r="C177" s="49">
        <f>IF(Mitarbeiter!B177="","",Mitarbeiter!F177)</f>
        <v/>
      </c>
      <c r="D177" s="25">
        <f>IF(Mitarbeiter!B177="","",Berechnung!AD177)</f>
        <v/>
      </c>
      <c r="E177" s="25">
        <f>IF(Mitarbeiter!B177="","",SUM(G177:DV177))</f>
        <v/>
      </c>
      <c r="G177" s="50" t="n"/>
      <c r="H177" s="50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0" t="n"/>
      <c r="S177" s="50" t="n"/>
      <c r="T177" s="50" t="n"/>
      <c r="U177" s="50" t="n"/>
      <c r="V177" s="50" t="n"/>
      <c r="W177" s="50" t="n"/>
      <c r="X177" s="50" t="n"/>
      <c r="Y177" s="50" t="n"/>
      <c r="Z177" s="50" t="n"/>
      <c r="AA177" s="50" t="n"/>
      <c r="AB177" s="50" t="n"/>
      <c r="AC177" s="50" t="n"/>
      <c r="AD177" s="50" t="n"/>
      <c r="AE177" s="50" t="n"/>
      <c r="AF177" s="50" t="n"/>
      <c r="AG177" s="50" t="n"/>
      <c r="AH177" s="50" t="n"/>
      <c r="AI177" s="50" t="n"/>
      <c r="AJ177" s="50" t="n"/>
      <c r="AK177" s="50" t="n"/>
      <c r="AL177" s="50" t="n"/>
      <c r="AM177" s="50" t="n"/>
      <c r="AN177" s="50" t="n"/>
      <c r="AO177" s="50" t="n"/>
      <c r="AP177" s="50" t="n"/>
      <c r="AQ177" s="50" t="n"/>
      <c r="AR177" s="50" t="n"/>
      <c r="AS177" s="50" t="n"/>
      <c r="AT177" s="50" t="n"/>
      <c r="AU177" s="50" t="n"/>
      <c r="AV177" s="50" t="n"/>
      <c r="AW177" s="50" t="n"/>
      <c r="AX177" s="50" t="n"/>
      <c r="AY177" s="50" t="n"/>
      <c r="AZ177" s="50" t="n"/>
      <c r="BA177" s="50" t="n"/>
      <c r="BB177" s="50" t="n"/>
      <c r="BC177" s="50" t="n"/>
      <c r="BD177" s="50" t="n"/>
      <c r="BE177" s="50" t="n"/>
      <c r="BF177" s="50" t="n"/>
      <c r="BG177" s="50" t="n"/>
      <c r="BH177" s="50" t="n"/>
      <c r="BI177" s="50" t="n"/>
      <c r="BJ177" s="50" t="n"/>
      <c r="BK177" s="50" t="n"/>
      <c r="BL177" s="50" t="n"/>
      <c r="BM177" s="50" t="n"/>
      <c r="BN177" s="50" t="n"/>
      <c r="BO177" s="50" t="n"/>
      <c r="BP177" s="50" t="n"/>
      <c r="BQ177" s="50" t="n"/>
      <c r="BR177" s="50" t="n"/>
      <c r="BS177" s="50" t="n"/>
      <c r="BT177" s="50" t="n"/>
      <c r="BU177" s="50" t="n"/>
      <c r="BV177" s="50" t="n"/>
      <c r="BW177" s="50" t="n"/>
      <c r="BX177" s="50" t="n"/>
      <c r="BY177" s="50" t="n"/>
      <c r="BZ177" s="50" t="n"/>
      <c r="CA177" s="50" t="n"/>
      <c r="CB177" s="50" t="n"/>
      <c r="CC177" s="50" t="n"/>
      <c r="CD177" s="50" t="n"/>
      <c r="CE177" s="50" t="n"/>
      <c r="CF177" s="50" t="n"/>
      <c r="CG177" s="50" t="n"/>
      <c r="CH177" s="50" t="n"/>
      <c r="CI177" s="50" t="n"/>
      <c r="CJ177" s="50" t="n"/>
      <c r="CK177" s="50" t="n"/>
      <c r="CL177" s="50" t="n"/>
      <c r="CM177" s="50" t="n"/>
      <c r="CN177" s="50" t="n"/>
      <c r="CO177" s="50" t="n"/>
      <c r="CP177" s="50" t="n"/>
      <c r="CQ177" s="50" t="n"/>
      <c r="CR177" s="50" t="n"/>
      <c r="CS177" s="50" t="n"/>
      <c r="CT177" s="50" t="n"/>
      <c r="CU177" s="50" t="n"/>
      <c r="CV177" s="50" t="n"/>
      <c r="CW177" s="50" t="n"/>
      <c r="CX177" s="50" t="n"/>
      <c r="CY177" s="50" t="n"/>
      <c r="CZ177" s="50" t="n"/>
      <c r="DA177" s="50" t="n"/>
      <c r="DB177" s="50" t="n"/>
      <c r="DC177" s="50" t="n"/>
      <c r="DD177" s="50" t="n"/>
      <c r="DE177" s="50" t="n"/>
      <c r="DF177" s="50" t="n"/>
      <c r="DG177" s="50" t="n"/>
      <c r="DH177" s="50" t="n"/>
      <c r="DI177" s="50" t="n"/>
      <c r="DJ177" s="50" t="n"/>
      <c r="DK177" s="50" t="n"/>
      <c r="DL177" s="50" t="n"/>
      <c r="DM177" s="50" t="n"/>
      <c r="DN177" s="50" t="n"/>
      <c r="DO177" s="50" t="n"/>
      <c r="DP177" s="50" t="n"/>
      <c r="DQ177" s="50" t="n"/>
      <c r="DR177" s="50" t="n"/>
      <c r="DS177" s="50" t="n"/>
      <c r="DT177" s="50" t="n"/>
      <c r="DU177" s="50" t="n"/>
      <c r="DV177" s="50" t="n"/>
    </row>
    <row r="178">
      <c r="A178" s="47">
        <f>IF(Mitarbeiter!B178="","",Mitarbeiter!A178)</f>
        <v/>
      </c>
      <c r="B178" s="48">
        <f>IF(Mitarbeiter!B178="","",Mitarbeiter!B178)</f>
        <v/>
      </c>
      <c r="C178" s="49">
        <f>IF(Mitarbeiter!B178="","",Mitarbeiter!F178)</f>
        <v/>
      </c>
      <c r="D178" s="25">
        <f>IF(Mitarbeiter!B178="","",Berechnung!AD178)</f>
        <v/>
      </c>
      <c r="E178" s="25">
        <f>IF(Mitarbeiter!B178="","",SUM(G178:DV178))</f>
        <v/>
      </c>
      <c r="G178" s="50" t="n"/>
      <c r="H178" s="50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0" t="n"/>
      <c r="S178" s="50" t="n"/>
      <c r="T178" s="50" t="n"/>
      <c r="U178" s="50" t="n"/>
      <c r="V178" s="50" t="n"/>
      <c r="W178" s="50" t="n"/>
      <c r="X178" s="50" t="n"/>
      <c r="Y178" s="50" t="n"/>
      <c r="Z178" s="50" t="n"/>
      <c r="AA178" s="50" t="n"/>
      <c r="AB178" s="50" t="n"/>
      <c r="AC178" s="50" t="n"/>
      <c r="AD178" s="50" t="n"/>
      <c r="AE178" s="50" t="n"/>
      <c r="AF178" s="50" t="n"/>
      <c r="AG178" s="50" t="n"/>
      <c r="AH178" s="50" t="n"/>
      <c r="AI178" s="50" t="n"/>
      <c r="AJ178" s="50" t="n"/>
      <c r="AK178" s="50" t="n"/>
      <c r="AL178" s="50" t="n"/>
      <c r="AM178" s="50" t="n"/>
      <c r="AN178" s="50" t="n"/>
      <c r="AO178" s="50" t="n"/>
      <c r="AP178" s="50" t="n"/>
      <c r="AQ178" s="50" t="n"/>
      <c r="AR178" s="50" t="n"/>
      <c r="AS178" s="50" t="n"/>
      <c r="AT178" s="50" t="n"/>
      <c r="AU178" s="50" t="n"/>
      <c r="AV178" s="50" t="n"/>
      <c r="AW178" s="50" t="n"/>
      <c r="AX178" s="50" t="n"/>
      <c r="AY178" s="50" t="n"/>
      <c r="AZ178" s="50" t="n"/>
      <c r="BA178" s="50" t="n"/>
      <c r="BB178" s="50" t="n"/>
      <c r="BC178" s="50" t="n"/>
      <c r="BD178" s="50" t="n"/>
      <c r="BE178" s="50" t="n"/>
      <c r="BF178" s="50" t="n"/>
      <c r="BG178" s="50" t="n"/>
      <c r="BH178" s="50" t="n"/>
      <c r="BI178" s="50" t="n"/>
      <c r="BJ178" s="50" t="n"/>
      <c r="BK178" s="50" t="n"/>
      <c r="BL178" s="50" t="n"/>
      <c r="BM178" s="50" t="n"/>
      <c r="BN178" s="50" t="n"/>
      <c r="BO178" s="50" t="n"/>
      <c r="BP178" s="50" t="n"/>
      <c r="BQ178" s="50" t="n"/>
      <c r="BR178" s="50" t="n"/>
      <c r="BS178" s="50" t="n"/>
      <c r="BT178" s="50" t="n"/>
      <c r="BU178" s="50" t="n"/>
      <c r="BV178" s="50" t="n"/>
      <c r="BW178" s="50" t="n"/>
      <c r="BX178" s="50" t="n"/>
      <c r="BY178" s="50" t="n"/>
      <c r="BZ178" s="50" t="n"/>
      <c r="CA178" s="50" t="n"/>
      <c r="CB178" s="50" t="n"/>
      <c r="CC178" s="50" t="n"/>
      <c r="CD178" s="50" t="n"/>
      <c r="CE178" s="50" t="n"/>
      <c r="CF178" s="50" t="n"/>
      <c r="CG178" s="50" t="n"/>
      <c r="CH178" s="50" t="n"/>
      <c r="CI178" s="50" t="n"/>
      <c r="CJ178" s="50" t="n"/>
      <c r="CK178" s="50" t="n"/>
      <c r="CL178" s="50" t="n"/>
      <c r="CM178" s="50" t="n"/>
      <c r="CN178" s="50" t="n"/>
      <c r="CO178" s="50" t="n"/>
      <c r="CP178" s="50" t="n"/>
      <c r="CQ178" s="50" t="n"/>
      <c r="CR178" s="50" t="n"/>
      <c r="CS178" s="50" t="n"/>
      <c r="CT178" s="50" t="n"/>
      <c r="CU178" s="50" t="n"/>
      <c r="CV178" s="50" t="n"/>
      <c r="CW178" s="50" t="n"/>
      <c r="CX178" s="50" t="n"/>
      <c r="CY178" s="50" t="n"/>
      <c r="CZ178" s="50" t="n"/>
      <c r="DA178" s="50" t="n"/>
      <c r="DB178" s="50" t="n"/>
      <c r="DC178" s="50" t="n"/>
      <c r="DD178" s="50" t="n"/>
      <c r="DE178" s="50" t="n"/>
      <c r="DF178" s="50" t="n"/>
      <c r="DG178" s="50" t="n"/>
      <c r="DH178" s="50" t="n"/>
      <c r="DI178" s="50" t="n"/>
      <c r="DJ178" s="50" t="n"/>
      <c r="DK178" s="50" t="n"/>
      <c r="DL178" s="50" t="n"/>
      <c r="DM178" s="50" t="n"/>
      <c r="DN178" s="50" t="n"/>
      <c r="DO178" s="50" t="n"/>
      <c r="DP178" s="50" t="n"/>
      <c r="DQ178" s="50" t="n"/>
      <c r="DR178" s="50" t="n"/>
      <c r="DS178" s="50" t="n"/>
      <c r="DT178" s="50" t="n"/>
      <c r="DU178" s="50" t="n"/>
      <c r="DV178" s="50" t="n"/>
    </row>
    <row r="179">
      <c r="A179" s="47">
        <f>IF(Mitarbeiter!B179="","",Mitarbeiter!A179)</f>
        <v/>
      </c>
      <c r="B179" s="48">
        <f>IF(Mitarbeiter!B179="","",Mitarbeiter!B179)</f>
        <v/>
      </c>
      <c r="C179" s="49">
        <f>IF(Mitarbeiter!B179="","",Mitarbeiter!F179)</f>
        <v/>
      </c>
      <c r="D179" s="25">
        <f>IF(Mitarbeiter!B179="","",Berechnung!AD179)</f>
        <v/>
      </c>
      <c r="E179" s="25">
        <f>IF(Mitarbeiter!B179="","",SUM(G179:DV179))</f>
        <v/>
      </c>
      <c r="G179" s="50" t="n"/>
      <c r="H179" s="50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0" t="n"/>
      <c r="T179" s="50" t="n"/>
      <c r="U179" s="50" t="n"/>
      <c r="V179" s="50" t="n"/>
      <c r="W179" s="50" t="n"/>
      <c r="X179" s="50" t="n"/>
      <c r="Y179" s="50" t="n"/>
      <c r="Z179" s="50" t="n"/>
      <c r="AA179" s="50" t="n"/>
      <c r="AB179" s="50" t="n"/>
      <c r="AC179" s="50" t="n"/>
      <c r="AD179" s="50" t="n"/>
      <c r="AE179" s="50" t="n"/>
      <c r="AF179" s="50" t="n"/>
      <c r="AG179" s="50" t="n"/>
      <c r="AH179" s="50" t="n"/>
      <c r="AI179" s="50" t="n"/>
      <c r="AJ179" s="50" t="n"/>
      <c r="AK179" s="50" t="n"/>
      <c r="AL179" s="50" t="n"/>
      <c r="AM179" s="50" t="n"/>
      <c r="AN179" s="50" t="n"/>
      <c r="AO179" s="50" t="n"/>
      <c r="AP179" s="50" t="n"/>
      <c r="AQ179" s="50" t="n"/>
      <c r="AR179" s="50" t="n"/>
      <c r="AS179" s="50" t="n"/>
      <c r="AT179" s="50" t="n"/>
      <c r="AU179" s="50" t="n"/>
      <c r="AV179" s="50" t="n"/>
      <c r="AW179" s="50" t="n"/>
      <c r="AX179" s="50" t="n"/>
      <c r="AY179" s="50" t="n"/>
      <c r="AZ179" s="50" t="n"/>
      <c r="BA179" s="50" t="n"/>
      <c r="BB179" s="50" t="n"/>
      <c r="BC179" s="50" t="n"/>
      <c r="BD179" s="50" t="n"/>
      <c r="BE179" s="50" t="n"/>
      <c r="BF179" s="50" t="n"/>
      <c r="BG179" s="50" t="n"/>
      <c r="BH179" s="50" t="n"/>
      <c r="BI179" s="50" t="n"/>
      <c r="BJ179" s="50" t="n"/>
      <c r="BK179" s="50" t="n"/>
      <c r="BL179" s="50" t="n"/>
      <c r="BM179" s="50" t="n"/>
      <c r="BN179" s="50" t="n"/>
      <c r="BO179" s="50" t="n"/>
      <c r="BP179" s="50" t="n"/>
      <c r="BQ179" s="50" t="n"/>
      <c r="BR179" s="50" t="n"/>
      <c r="BS179" s="50" t="n"/>
      <c r="BT179" s="50" t="n"/>
      <c r="BU179" s="50" t="n"/>
      <c r="BV179" s="50" t="n"/>
      <c r="BW179" s="50" t="n"/>
      <c r="BX179" s="50" t="n"/>
      <c r="BY179" s="50" t="n"/>
      <c r="BZ179" s="50" t="n"/>
      <c r="CA179" s="50" t="n"/>
      <c r="CB179" s="50" t="n"/>
      <c r="CC179" s="50" t="n"/>
      <c r="CD179" s="50" t="n"/>
      <c r="CE179" s="50" t="n"/>
      <c r="CF179" s="50" t="n"/>
      <c r="CG179" s="50" t="n"/>
      <c r="CH179" s="50" t="n"/>
      <c r="CI179" s="50" t="n"/>
      <c r="CJ179" s="50" t="n"/>
      <c r="CK179" s="50" t="n"/>
      <c r="CL179" s="50" t="n"/>
      <c r="CM179" s="50" t="n"/>
      <c r="CN179" s="50" t="n"/>
      <c r="CO179" s="50" t="n"/>
      <c r="CP179" s="50" t="n"/>
      <c r="CQ179" s="50" t="n"/>
      <c r="CR179" s="50" t="n"/>
      <c r="CS179" s="50" t="n"/>
      <c r="CT179" s="50" t="n"/>
      <c r="CU179" s="50" t="n"/>
      <c r="CV179" s="50" t="n"/>
      <c r="CW179" s="50" t="n"/>
      <c r="CX179" s="50" t="n"/>
      <c r="CY179" s="50" t="n"/>
      <c r="CZ179" s="50" t="n"/>
      <c r="DA179" s="50" t="n"/>
      <c r="DB179" s="50" t="n"/>
      <c r="DC179" s="50" t="n"/>
      <c r="DD179" s="50" t="n"/>
      <c r="DE179" s="50" t="n"/>
      <c r="DF179" s="50" t="n"/>
      <c r="DG179" s="50" t="n"/>
      <c r="DH179" s="50" t="n"/>
      <c r="DI179" s="50" t="n"/>
      <c r="DJ179" s="50" t="n"/>
      <c r="DK179" s="50" t="n"/>
      <c r="DL179" s="50" t="n"/>
      <c r="DM179" s="50" t="n"/>
      <c r="DN179" s="50" t="n"/>
      <c r="DO179" s="50" t="n"/>
      <c r="DP179" s="50" t="n"/>
      <c r="DQ179" s="50" t="n"/>
      <c r="DR179" s="50" t="n"/>
      <c r="DS179" s="50" t="n"/>
      <c r="DT179" s="50" t="n"/>
      <c r="DU179" s="50" t="n"/>
      <c r="DV179" s="50" t="n"/>
    </row>
    <row r="180">
      <c r="A180" s="47">
        <f>IF(Mitarbeiter!B180="","",Mitarbeiter!A180)</f>
        <v/>
      </c>
      <c r="B180" s="48">
        <f>IF(Mitarbeiter!B180="","",Mitarbeiter!B180)</f>
        <v/>
      </c>
      <c r="C180" s="49">
        <f>IF(Mitarbeiter!B180="","",Mitarbeiter!F180)</f>
        <v/>
      </c>
      <c r="D180" s="25">
        <f>IF(Mitarbeiter!B180="","",Berechnung!AD180)</f>
        <v/>
      </c>
      <c r="E180" s="25">
        <f>IF(Mitarbeiter!B180="","",SUM(G180:DV180))</f>
        <v/>
      </c>
      <c r="G180" s="50" t="n"/>
      <c r="H180" s="50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0" t="n"/>
      <c r="T180" s="50" t="n"/>
      <c r="U180" s="50" t="n"/>
      <c r="V180" s="50" t="n"/>
      <c r="W180" s="50" t="n"/>
      <c r="X180" s="50" t="n"/>
      <c r="Y180" s="50" t="n"/>
      <c r="Z180" s="50" t="n"/>
      <c r="AA180" s="50" t="n"/>
      <c r="AB180" s="50" t="n"/>
      <c r="AC180" s="50" t="n"/>
      <c r="AD180" s="50" t="n"/>
      <c r="AE180" s="50" t="n"/>
      <c r="AF180" s="50" t="n"/>
      <c r="AG180" s="50" t="n"/>
      <c r="AH180" s="50" t="n"/>
      <c r="AI180" s="50" t="n"/>
      <c r="AJ180" s="50" t="n"/>
      <c r="AK180" s="50" t="n"/>
      <c r="AL180" s="50" t="n"/>
      <c r="AM180" s="50" t="n"/>
      <c r="AN180" s="50" t="n"/>
      <c r="AO180" s="50" t="n"/>
      <c r="AP180" s="50" t="n"/>
      <c r="AQ180" s="50" t="n"/>
      <c r="AR180" s="50" t="n"/>
      <c r="AS180" s="50" t="n"/>
      <c r="AT180" s="50" t="n"/>
      <c r="AU180" s="50" t="n"/>
      <c r="AV180" s="50" t="n"/>
      <c r="AW180" s="50" t="n"/>
      <c r="AX180" s="50" t="n"/>
      <c r="AY180" s="50" t="n"/>
      <c r="AZ180" s="50" t="n"/>
      <c r="BA180" s="50" t="n"/>
      <c r="BB180" s="50" t="n"/>
      <c r="BC180" s="50" t="n"/>
      <c r="BD180" s="50" t="n"/>
      <c r="BE180" s="50" t="n"/>
      <c r="BF180" s="50" t="n"/>
      <c r="BG180" s="50" t="n"/>
      <c r="BH180" s="50" t="n"/>
      <c r="BI180" s="50" t="n"/>
      <c r="BJ180" s="50" t="n"/>
      <c r="BK180" s="50" t="n"/>
      <c r="BL180" s="50" t="n"/>
      <c r="BM180" s="50" t="n"/>
      <c r="BN180" s="50" t="n"/>
      <c r="BO180" s="50" t="n"/>
      <c r="BP180" s="50" t="n"/>
      <c r="BQ180" s="50" t="n"/>
      <c r="BR180" s="50" t="n"/>
      <c r="BS180" s="50" t="n"/>
      <c r="BT180" s="50" t="n"/>
      <c r="BU180" s="50" t="n"/>
      <c r="BV180" s="50" t="n"/>
      <c r="BW180" s="50" t="n"/>
      <c r="BX180" s="50" t="n"/>
      <c r="BY180" s="50" t="n"/>
      <c r="BZ180" s="50" t="n"/>
      <c r="CA180" s="50" t="n"/>
      <c r="CB180" s="50" t="n"/>
      <c r="CC180" s="50" t="n"/>
      <c r="CD180" s="50" t="n"/>
      <c r="CE180" s="50" t="n"/>
      <c r="CF180" s="50" t="n"/>
      <c r="CG180" s="50" t="n"/>
      <c r="CH180" s="50" t="n"/>
      <c r="CI180" s="50" t="n"/>
      <c r="CJ180" s="50" t="n"/>
      <c r="CK180" s="50" t="n"/>
      <c r="CL180" s="50" t="n"/>
      <c r="CM180" s="50" t="n"/>
      <c r="CN180" s="50" t="n"/>
      <c r="CO180" s="50" t="n"/>
      <c r="CP180" s="50" t="n"/>
      <c r="CQ180" s="50" t="n"/>
      <c r="CR180" s="50" t="n"/>
      <c r="CS180" s="50" t="n"/>
      <c r="CT180" s="50" t="n"/>
      <c r="CU180" s="50" t="n"/>
      <c r="CV180" s="50" t="n"/>
      <c r="CW180" s="50" t="n"/>
      <c r="CX180" s="50" t="n"/>
      <c r="CY180" s="50" t="n"/>
      <c r="CZ180" s="50" t="n"/>
      <c r="DA180" s="50" t="n"/>
      <c r="DB180" s="50" t="n"/>
      <c r="DC180" s="50" t="n"/>
      <c r="DD180" s="50" t="n"/>
      <c r="DE180" s="50" t="n"/>
      <c r="DF180" s="50" t="n"/>
      <c r="DG180" s="50" t="n"/>
      <c r="DH180" s="50" t="n"/>
      <c r="DI180" s="50" t="n"/>
      <c r="DJ180" s="50" t="n"/>
      <c r="DK180" s="50" t="n"/>
      <c r="DL180" s="50" t="n"/>
      <c r="DM180" s="50" t="n"/>
      <c r="DN180" s="50" t="n"/>
      <c r="DO180" s="50" t="n"/>
      <c r="DP180" s="50" t="n"/>
      <c r="DQ180" s="50" t="n"/>
      <c r="DR180" s="50" t="n"/>
      <c r="DS180" s="50" t="n"/>
      <c r="DT180" s="50" t="n"/>
      <c r="DU180" s="50" t="n"/>
      <c r="DV180" s="50" t="n"/>
    </row>
    <row r="181">
      <c r="A181" s="47">
        <f>IF(Mitarbeiter!B181="","",Mitarbeiter!A181)</f>
        <v/>
      </c>
      <c r="B181" s="48">
        <f>IF(Mitarbeiter!B181="","",Mitarbeiter!B181)</f>
        <v/>
      </c>
      <c r="C181" s="49">
        <f>IF(Mitarbeiter!B181="","",Mitarbeiter!F181)</f>
        <v/>
      </c>
      <c r="D181" s="25">
        <f>IF(Mitarbeiter!B181="","",Berechnung!AD181)</f>
        <v/>
      </c>
      <c r="E181" s="25">
        <f>IF(Mitarbeiter!B181="","",SUM(G181:DV181))</f>
        <v/>
      </c>
      <c r="G181" s="50" t="n"/>
      <c r="H181" s="50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0" t="n"/>
      <c r="T181" s="50" t="n"/>
      <c r="U181" s="50" t="n"/>
      <c r="V181" s="50" t="n"/>
      <c r="W181" s="50" t="n"/>
      <c r="X181" s="50" t="n"/>
      <c r="Y181" s="50" t="n"/>
      <c r="Z181" s="50" t="n"/>
      <c r="AA181" s="50" t="n"/>
      <c r="AB181" s="50" t="n"/>
      <c r="AC181" s="50" t="n"/>
      <c r="AD181" s="50" t="n"/>
      <c r="AE181" s="50" t="n"/>
      <c r="AF181" s="50" t="n"/>
      <c r="AG181" s="50" t="n"/>
      <c r="AH181" s="50" t="n"/>
      <c r="AI181" s="50" t="n"/>
      <c r="AJ181" s="50" t="n"/>
      <c r="AK181" s="50" t="n"/>
      <c r="AL181" s="50" t="n"/>
      <c r="AM181" s="50" t="n"/>
      <c r="AN181" s="50" t="n"/>
      <c r="AO181" s="50" t="n"/>
      <c r="AP181" s="50" t="n"/>
      <c r="AQ181" s="50" t="n"/>
      <c r="AR181" s="50" t="n"/>
      <c r="AS181" s="50" t="n"/>
      <c r="AT181" s="50" t="n"/>
      <c r="AU181" s="50" t="n"/>
      <c r="AV181" s="50" t="n"/>
      <c r="AW181" s="50" t="n"/>
      <c r="AX181" s="50" t="n"/>
      <c r="AY181" s="50" t="n"/>
      <c r="AZ181" s="50" t="n"/>
      <c r="BA181" s="50" t="n"/>
      <c r="BB181" s="50" t="n"/>
      <c r="BC181" s="50" t="n"/>
      <c r="BD181" s="50" t="n"/>
      <c r="BE181" s="50" t="n"/>
      <c r="BF181" s="50" t="n"/>
      <c r="BG181" s="50" t="n"/>
      <c r="BH181" s="50" t="n"/>
      <c r="BI181" s="50" t="n"/>
      <c r="BJ181" s="50" t="n"/>
      <c r="BK181" s="50" t="n"/>
      <c r="BL181" s="50" t="n"/>
      <c r="BM181" s="50" t="n"/>
      <c r="BN181" s="50" t="n"/>
      <c r="BO181" s="50" t="n"/>
      <c r="BP181" s="50" t="n"/>
      <c r="BQ181" s="50" t="n"/>
      <c r="BR181" s="50" t="n"/>
      <c r="BS181" s="50" t="n"/>
      <c r="BT181" s="50" t="n"/>
      <c r="BU181" s="50" t="n"/>
      <c r="BV181" s="50" t="n"/>
      <c r="BW181" s="50" t="n"/>
      <c r="BX181" s="50" t="n"/>
      <c r="BY181" s="50" t="n"/>
      <c r="BZ181" s="50" t="n"/>
      <c r="CA181" s="50" t="n"/>
      <c r="CB181" s="50" t="n"/>
      <c r="CC181" s="50" t="n"/>
      <c r="CD181" s="50" t="n"/>
      <c r="CE181" s="50" t="n"/>
      <c r="CF181" s="50" t="n"/>
      <c r="CG181" s="50" t="n"/>
      <c r="CH181" s="50" t="n"/>
      <c r="CI181" s="50" t="n"/>
      <c r="CJ181" s="50" t="n"/>
      <c r="CK181" s="50" t="n"/>
      <c r="CL181" s="50" t="n"/>
      <c r="CM181" s="50" t="n"/>
      <c r="CN181" s="50" t="n"/>
      <c r="CO181" s="50" t="n"/>
      <c r="CP181" s="50" t="n"/>
      <c r="CQ181" s="50" t="n"/>
      <c r="CR181" s="50" t="n"/>
      <c r="CS181" s="50" t="n"/>
      <c r="CT181" s="50" t="n"/>
      <c r="CU181" s="50" t="n"/>
      <c r="CV181" s="50" t="n"/>
      <c r="CW181" s="50" t="n"/>
      <c r="CX181" s="50" t="n"/>
      <c r="CY181" s="50" t="n"/>
      <c r="CZ181" s="50" t="n"/>
      <c r="DA181" s="50" t="n"/>
      <c r="DB181" s="50" t="n"/>
      <c r="DC181" s="50" t="n"/>
      <c r="DD181" s="50" t="n"/>
      <c r="DE181" s="50" t="n"/>
      <c r="DF181" s="50" t="n"/>
      <c r="DG181" s="50" t="n"/>
      <c r="DH181" s="50" t="n"/>
      <c r="DI181" s="50" t="n"/>
      <c r="DJ181" s="50" t="n"/>
      <c r="DK181" s="50" t="n"/>
      <c r="DL181" s="50" t="n"/>
      <c r="DM181" s="50" t="n"/>
      <c r="DN181" s="50" t="n"/>
      <c r="DO181" s="50" t="n"/>
      <c r="DP181" s="50" t="n"/>
      <c r="DQ181" s="50" t="n"/>
      <c r="DR181" s="50" t="n"/>
      <c r="DS181" s="50" t="n"/>
      <c r="DT181" s="50" t="n"/>
      <c r="DU181" s="50" t="n"/>
      <c r="DV181" s="50" t="n"/>
    </row>
    <row r="182">
      <c r="A182" s="47">
        <f>IF(Mitarbeiter!B182="","",Mitarbeiter!A182)</f>
        <v/>
      </c>
      <c r="B182" s="48">
        <f>IF(Mitarbeiter!B182="","",Mitarbeiter!B182)</f>
        <v/>
      </c>
      <c r="C182" s="49">
        <f>IF(Mitarbeiter!B182="","",Mitarbeiter!F182)</f>
        <v/>
      </c>
      <c r="D182" s="25">
        <f>IF(Mitarbeiter!B182="","",Berechnung!AD182)</f>
        <v/>
      </c>
      <c r="E182" s="25">
        <f>IF(Mitarbeiter!B182="","",SUM(G182:DV182))</f>
        <v/>
      </c>
      <c r="G182" s="50" t="n"/>
      <c r="H182" s="50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0" t="n"/>
      <c r="T182" s="50" t="n"/>
      <c r="U182" s="50" t="n"/>
      <c r="V182" s="50" t="n"/>
      <c r="W182" s="50" t="n"/>
      <c r="X182" s="50" t="n"/>
      <c r="Y182" s="50" t="n"/>
      <c r="Z182" s="50" t="n"/>
      <c r="AA182" s="50" t="n"/>
      <c r="AB182" s="50" t="n"/>
      <c r="AC182" s="50" t="n"/>
      <c r="AD182" s="50" t="n"/>
      <c r="AE182" s="50" t="n"/>
      <c r="AF182" s="50" t="n"/>
      <c r="AG182" s="50" t="n"/>
      <c r="AH182" s="50" t="n"/>
      <c r="AI182" s="50" t="n"/>
      <c r="AJ182" s="50" t="n"/>
      <c r="AK182" s="50" t="n"/>
      <c r="AL182" s="50" t="n"/>
      <c r="AM182" s="50" t="n"/>
      <c r="AN182" s="50" t="n"/>
      <c r="AO182" s="50" t="n"/>
      <c r="AP182" s="50" t="n"/>
      <c r="AQ182" s="50" t="n"/>
      <c r="AR182" s="50" t="n"/>
      <c r="AS182" s="50" t="n"/>
      <c r="AT182" s="50" t="n"/>
      <c r="AU182" s="50" t="n"/>
      <c r="AV182" s="50" t="n"/>
      <c r="AW182" s="50" t="n"/>
      <c r="AX182" s="50" t="n"/>
      <c r="AY182" s="50" t="n"/>
      <c r="AZ182" s="50" t="n"/>
      <c r="BA182" s="50" t="n"/>
      <c r="BB182" s="50" t="n"/>
      <c r="BC182" s="50" t="n"/>
      <c r="BD182" s="50" t="n"/>
      <c r="BE182" s="50" t="n"/>
      <c r="BF182" s="50" t="n"/>
      <c r="BG182" s="50" t="n"/>
      <c r="BH182" s="50" t="n"/>
      <c r="BI182" s="50" t="n"/>
      <c r="BJ182" s="50" t="n"/>
      <c r="BK182" s="50" t="n"/>
      <c r="BL182" s="50" t="n"/>
      <c r="BM182" s="50" t="n"/>
      <c r="BN182" s="50" t="n"/>
      <c r="BO182" s="50" t="n"/>
      <c r="BP182" s="50" t="n"/>
      <c r="BQ182" s="50" t="n"/>
      <c r="BR182" s="50" t="n"/>
      <c r="BS182" s="50" t="n"/>
      <c r="BT182" s="50" t="n"/>
      <c r="BU182" s="50" t="n"/>
      <c r="BV182" s="50" t="n"/>
      <c r="BW182" s="50" t="n"/>
      <c r="BX182" s="50" t="n"/>
      <c r="BY182" s="50" t="n"/>
      <c r="BZ182" s="50" t="n"/>
      <c r="CA182" s="50" t="n"/>
      <c r="CB182" s="50" t="n"/>
      <c r="CC182" s="50" t="n"/>
      <c r="CD182" s="50" t="n"/>
      <c r="CE182" s="50" t="n"/>
      <c r="CF182" s="50" t="n"/>
      <c r="CG182" s="50" t="n"/>
      <c r="CH182" s="50" t="n"/>
      <c r="CI182" s="50" t="n"/>
      <c r="CJ182" s="50" t="n"/>
      <c r="CK182" s="50" t="n"/>
      <c r="CL182" s="50" t="n"/>
      <c r="CM182" s="50" t="n"/>
      <c r="CN182" s="50" t="n"/>
      <c r="CO182" s="50" t="n"/>
      <c r="CP182" s="50" t="n"/>
      <c r="CQ182" s="50" t="n"/>
      <c r="CR182" s="50" t="n"/>
      <c r="CS182" s="50" t="n"/>
      <c r="CT182" s="50" t="n"/>
      <c r="CU182" s="50" t="n"/>
      <c r="CV182" s="50" t="n"/>
      <c r="CW182" s="50" t="n"/>
      <c r="CX182" s="50" t="n"/>
      <c r="CY182" s="50" t="n"/>
      <c r="CZ182" s="50" t="n"/>
      <c r="DA182" s="50" t="n"/>
      <c r="DB182" s="50" t="n"/>
      <c r="DC182" s="50" t="n"/>
      <c r="DD182" s="50" t="n"/>
      <c r="DE182" s="50" t="n"/>
      <c r="DF182" s="50" t="n"/>
      <c r="DG182" s="50" t="n"/>
      <c r="DH182" s="50" t="n"/>
      <c r="DI182" s="50" t="n"/>
      <c r="DJ182" s="50" t="n"/>
      <c r="DK182" s="50" t="n"/>
      <c r="DL182" s="50" t="n"/>
      <c r="DM182" s="50" t="n"/>
      <c r="DN182" s="50" t="n"/>
      <c r="DO182" s="50" t="n"/>
      <c r="DP182" s="50" t="n"/>
      <c r="DQ182" s="50" t="n"/>
      <c r="DR182" s="50" t="n"/>
      <c r="DS182" s="50" t="n"/>
      <c r="DT182" s="50" t="n"/>
      <c r="DU182" s="50" t="n"/>
      <c r="DV182" s="50" t="n"/>
    </row>
    <row r="183">
      <c r="A183" s="47">
        <f>IF(Mitarbeiter!B183="","",Mitarbeiter!A183)</f>
        <v/>
      </c>
      <c r="B183" s="48">
        <f>IF(Mitarbeiter!B183="","",Mitarbeiter!B183)</f>
        <v/>
      </c>
      <c r="C183" s="49">
        <f>IF(Mitarbeiter!B183="","",Mitarbeiter!F183)</f>
        <v/>
      </c>
      <c r="D183" s="25">
        <f>IF(Mitarbeiter!B183="","",Berechnung!AD183)</f>
        <v/>
      </c>
      <c r="E183" s="25">
        <f>IF(Mitarbeiter!B183="","",SUM(G183:DV183))</f>
        <v/>
      </c>
      <c r="G183" s="50" t="n"/>
      <c r="H183" s="50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0" t="n"/>
      <c r="T183" s="50" t="n"/>
      <c r="U183" s="50" t="n"/>
      <c r="V183" s="50" t="n"/>
      <c r="W183" s="50" t="n"/>
      <c r="X183" s="50" t="n"/>
      <c r="Y183" s="50" t="n"/>
      <c r="Z183" s="50" t="n"/>
      <c r="AA183" s="50" t="n"/>
      <c r="AB183" s="50" t="n"/>
      <c r="AC183" s="50" t="n"/>
      <c r="AD183" s="50" t="n"/>
      <c r="AE183" s="50" t="n"/>
      <c r="AF183" s="50" t="n"/>
      <c r="AG183" s="50" t="n"/>
      <c r="AH183" s="50" t="n"/>
      <c r="AI183" s="50" t="n"/>
      <c r="AJ183" s="50" t="n"/>
      <c r="AK183" s="50" t="n"/>
      <c r="AL183" s="50" t="n"/>
      <c r="AM183" s="50" t="n"/>
      <c r="AN183" s="50" t="n"/>
      <c r="AO183" s="50" t="n"/>
      <c r="AP183" s="50" t="n"/>
      <c r="AQ183" s="50" t="n"/>
      <c r="AR183" s="50" t="n"/>
      <c r="AS183" s="50" t="n"/>
      <c r="AT183" s="50" t="n"/>
      <c r="AU183" s="50" t="n"/>
      <c r="AV183" s="50" t="n"/>
      <c r="AW183" s="50" t="n"/>
      <c r="AX183" s="50" t="n"/>
      <c r="AY183" s="50" t="n"/>
      <c r="AZ183" s="50" t="n"/>
      <c r="BA183" s="50" t="n"/>
      <c r="BB183" s="50" t="n"/>
      <c r="BC183" s="50" t="n"/>
      <c r="BD183" s="50" t="n"/>
      <c r="BE183" s="50" t="n"/>
      <c r="BF183" s="50" t="n"/>
      <c r="BG183" s="50" t="n"/>
      <c r="BH183" s="50" t="n"/>
      <c r="BI183" s="50" t="n"/>
      <c r="BJ183" s="50" t="n"/>
      <c r="BK183" s="50" t="n"/>
      <c r="BL183" s="50" t="n"/>
      <c r="BM183" s="50" t="n"/>
      <c r="BN183" s="50" t="n"/>
      <c r="BO183" s="50" t="n"/>
      <c r="BP183" s="50" t="n"/>
      <c r="BQ183" s="50" t="n"/>
      <c r="BR183" s="50" t="n"/>
      <c r="BS183" s="50" t="n"/>
      <c r="BT183" s="50" t="n"/>
      <c r="BU183" s="50" t="n"/>
      <c r="BV183" s="50" t="n"/>
      <c r="BW183" s="50" t="n"/>
      <c r="BX183" s="50" t="n"/>
      <c r="BY183" s="50" t="n"/>
      <c r="BZ183" s="50" t="n"/>
      <c r="CA183" s="50" t="n"/>
      <c r="CB183" s="50" t="n"/>
      <c r="CC183" s="50" t="n"/>
      <c r="CD183" s="50" t="n"/>
      <c r="CE183" s="50" t="n"/>
      <c r="CF183" s="50" t="n"/>
      <c r="CG183" s="50" t="n"/>
      <c r="CH183" s="50" t="n"/>
      <c r="CI183" s="50" t="n"/>
      <c r="CJ183" s="50" t="n"/>
      <c r="CK183" s="50" t="n"/>
      <c r="CL183" s="50" t="n"/>
      <c r="CM183" s="50" t="n"/>
      <c r="CN183" s="50" t="n"/>
      <c r="CO183" s="50" t="n"/>
      <c r="CP183" s="50" t="n"/>
      <c r="CQ183" s="50" t="n"/>
      <c r="CR183" s="50" t="n"/>
      <c r="CS183" s="50" t="n"/>
      <c r="CT183" s="50" t="n"/>
      <c r="CU183" s="50" t="n"/>
      <c r="CV183" s="50" t="n"/>
      <c r="CW183" s="50" t="n"/>
      <c r="CX183" s="50" t="n"/>
      <c r="CY183" s="50" t="n"/>
      <c r="CZ183" s="50" t="n"/>
      <c r="DA183" s="50" t="n"/>
      <c r="DB183" s="50" t="n"/>
      <c r="DC183" s="50" t="n"/>
      <c r="DD183" s="50" t="n"/>
      <c r="DE183" s="50" t="n"/>
      <c r="DF183" s="50" t="n"/>
      <c r="DG183" s="50" t="n"/>
      <c r="DH183" s="50" t="n"/>
      <c r="DI183" s="50" t="n"/>
      <c r="DJ183" s="50" t="n"/>
      <c r="DK183" s="50" t="n"/>
      <c r="DL183" s="50" t="n"/>
      <c r="DM183" s="50" t="n"/>
      <c r="DN183" s="50" t="n"/>
      <c r="DO183" s="50" t="n"/>
      <c r="DP183" s="50" t="n"/>
      <c r="DQ183" s="50" t="n"/>
      <c r="DR183" s="50" t="n"/>
      <c r="DS183" s="50" t="n"/>
      <c r="DT183" s="50" t="n"/>
      <c r="DU183" s="50" t="n"/>
      <c r="DV183" s="50" t="n"/>
    </row>
    <row r="184">
      <c r="A184" s="47">
        <f>IF(Mitarbeiter!B184="","",Mitarbeiter!A184)</f>
        <v/>
      </c>
      <c r="B184" s="48">
        <f>IF(Mitarbeiter!B184="","",Mitarbeiter!B184)</f>
        <v/>
      </c>
      <c r="C184" s="49">
        <f>IF(Mitarbeiter!B184="","",Mitarbeiter!F184)</f>
        <v/>
      </c>
      <c r="D184" s="25">
        <f>IF(Mitarbeiter!B184="","",Berechnung!AD184)</f>
        <v/>
      </c>
      <c r="E184" s="25">
        <f>IF(Mitarbeiter!B184="","",SUM(G184:DV184))</f>
        <v/>
      </c>
      <c r="G184" s="50" t="n"/>
      <c r="H184" s="50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0" t="n"/>
      <c r="T184" s="50" t="n"/>
      <c r="U184" s="50" t="n"/>
      <c r="V184" s="50" t="n"/>
      <c r="W184" s="50" t="n"/>
      <c r="X184" s="50" t="n"/>
      <c r="Y184" s="50" t="n"/>
      <c r="Z184" s="50" t="n"/>
      <c r="AA184" s="50" t="n"/>
      <c r="AB184" s="50" t="n"/>
      <c r="AC184" s="50" t="n"/>
      <c r="AD184" s="50" t="n"/>
      <c r="AE184" s="50" t="n"/>
      <c r="AF184" s="50" t="n"/>
      <c r="AG184" s="50" t="n"/>
      <c r="AH184" s="50" t="n"/>
      <c r="AI184" s="50" t="n"/>
      <c r="AJ184" s="50" t="n"/>
      <c r="AK184" s="50" t="n"/>
      <c r="AL184" s="50" t="n"/>
      <c r="AM184" s="50" t="n"/>
      <c r="AN184" s="50" t="n"/>
      <c r="AO184" s="50" t="n"/>
      <c r="AP184" s="50" t="n"/>
      <c r="AQ184" s="50" t="n"/>
      <c r="AR184" s="50" t="n"/>
      <c r="AS184" s="50" t="n"/>
      <c r="AT184" s="50" t="n"/>
      <c r="AU184" s="50" t="n"/>
      <c r="AV184" s="50" t="n"/>
      <c r="AW184" s="50" t="n"/>
      <c r="AX184" s="50" t="n"/>
      <c r="AY184" s="50" t="n"/>
      <c r="AZ184" s="50" t="n"/>
      <c r="BA184" s="50" t="n"/>
      <c r="BB184" s="50" t="n"/>
      <c r="BC184" s="50" t="n"/>
      <c r="BD184" s="50" t="n"/>
      <c r="BE184" s="50" t="n"/>
      <c r="BF184" s="50" t="n"/>
      <c r="BG184" s="50" t="n"/>
      <c r="BH184" s="50" t="n"/>
      <c r="BI184" s="50" t="n"/>
      <c r="BJ184" s="50" t="n"/>
      <c r="BK184" s="50" t="n"/>
      <c r="BL184" s="50" t="n"/>
      <c r="BM184" s="50" t="n"/>
      <c r="BN184" s="50" t="n"/>
      <c r="BO184" s="50" t="n"/>
      <c r="BP184" s="50" t="n"/>
      <c r="BQ184" s="50" t="n"/>
      <c r="BR184" s="50" t="n"/>
      <c r="BS184" s="50" t="n"/>
      <c r="BT184" s="50" t="n"/>
      <c r="BU184" s="50" t="n"/>
      <c r="BV184" s="50" t="n"/>
      <c r="BW184" s="50" t="n"/>
      <c r="BX184" s="50" t="n"/>
      <c r="BY184" s="50" t="n"/>
      <c r="BZ184" s="50" t="n"/>
      <c r="CA184" s="50" t="n"/>
      <c r="CB184" s="50" t="n"/>
      <c r="CC184" s="50" t="n"/>
      <c r="CD184" s="50" t="n"/>
      <c r="CE184" s="50" t="n"/>
      <c r="CF184" s="50" t="n"/>
      <c r="CG184" s="50" t="n"/>
      <c r="CH184" s="50" t="n"/>
      <c r="CI184" s="50" t="n"/>
      <c r="CJ184" s="50" t="n"/>
      <c r="CK184" s="50" t="n"/>
      <c r="CL184" s="50" t="n"/>
      <c r="CM184" s="50" t="n"/>
      <c r="CN184" s="50" t="n"/>
      <c r="CO184" s="50" t="n"/>
      <c r="CP184" s="50" t="n"/>
      <c r="CQ184" s="50" t="n"/>
      <c r="CR184" s="50" t="n"/>
      <c r="CS184" s="50" t="n"/>
      <c r="CT184" s="50" t="n"/>
      <c r="CU184" s="50" t="n"/>
      <c r="CV184" s="50" t="n"/>
      <c r="CW184" s="50" t="n"/>
      <c r="CX184" s="50" t="n"/>
      <c r="CY184" s="50" t="n"/>
      <c r="CZ184" s="50" t="n"/>
      <c r="DA184" s="50" t="n"/>
      <c r="DB184" s="50" t="n"/>
      <c r="DC184" s="50" t="n"/>
      <c r="DD184" s="50" t="n"/>
      <c r="DE184" s="50" t="n"/>
      <c r="DF184" s="50" t="n"/>
      <c r="DG184" s="50" t="n"/>
      <c r="DH184" s="50" t="n"/>
      <c r="DI184" s="50" t="n"/>
      <c r="DJ184" s="50" t="n"/>
      <c r="DK184" s="50" t="n"/>
      <c r="DL184" s="50" t="n"/>
      <c r="DM184" s="50" t="n"/>
      <c r="DN184" s="50" t="n"/>
      <c r="DO184" s="50" t="n"/>
      <c r="DP184" s="50" t="n"/>
      <c r="DQ184" s="50" t="n"/>
      <c r="DR184" s="50" t="n"/>
      <c r="DS184" s="50" t="n"/>
      <c r="DT184" s="50" t="n"/>
      <c r="DU184" s="50" t="n"/>
      <c r="DV184" s="50" t="n"/>
    </row>
    <row r="185">
      <c r="A185" s="47">
        <f>IF(Mitarbeiter!B185="","",Mitarbeiter!A185)</f>
        <v/>
      </c>
      <c r="B185" s="48">
        <f>IF(Mitarbeiter!B185="","",Mitarbeiter!B185)</f>
        <v/>
      </c>
      <c r="C185" s="49">
        <f>IF(Mitarbeiter!B185="","",Mitarbeiter!F185)</f>
        <v/>
      </c>
      <c r="D185" s="25">
        <f>IF(Mitarbeiter!B185="","",Berechnung!AD185)</f>
        <v/>
      </c>
      <c r="E185" s="25">
        <f>IF(Mitarbeiter!B185="","",SUM(G185:DV185))</f>
        <v/>
      </c>
      <c r="G185" s="50" t="n"/>
      <c r="H185" s="50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0" t="n"/>
      <c r="T185" s="50" t="n"/>
      <c r="U185" s="50" t="n"/>
      <c r="V185" s="50" t="n"/>
      <c r="W185" s="50" t="n"/>
      <c r="X185" s="50" t="n"/>
      <c r="Y185" s="50" t="n"/>
      <c r="Z185" s="50" t="n"/>
      <c r="AA185" s="50" t="n"/>
      <c r="AB185" s="50" t="n"/>
      <c r="AC185" s="50" t="n"/>
      <c r="AD185" s="50" t="n"/>
      <c r="AE185" s="50" t="n"/>
      <c r="AF185" s="50" t="n"/>
      <c r="AG185" s="50" t="n"/>
      <c r="AH185" s="50" t="n"/>
      <c r="AI185" s="50" t="n"/>
      <c r="AJ185" s="50" t="n"/>
      <c r="AK185" s="50" t="n"/>
      <c r="AL185" s="50" t="n"/>
      <c r="AM185" s="50" t="n"/>
      <c r="AN185" s="50" t="n"/>
      <c r="AO185" s="50" t="n"/>
      <c r="AP185" s="50" t="n"/>
      <c r="AQ185" s="50" t="n"/>
      <c r="AR185" s="50" t="n"/>
      <c r="AS185" s="50" t="n"/>
      <c r="AT185" s="50" t="n"/>
      <c r="AU185" s="50" t="n"/>
      <c r="AV185" s="50" t="n"/>
      <c r="AW185" s="50" t="n"/>
      <c r="AX185" s="50" t="n"/>
      <c r="AY185" s="50" t="n"/>
      <c r="AZ185" s="50" t="n"/>
      <c r="BA185" s="50" t="n"/>
      <c r="BB185" s="50" t="n"/>
      <c r="BC185" s="50" t="n"/>
      <c r="BD185" s="50" t="n"/>
      <c r="BE185" s="50" t="n"/>
      <c r="BF185" s="50" t="n"/>
      <c r="BG185" s="50" t="n"/>
      <c r="BH185" s="50" t="n"/>
      <c r="BI185" s="50" t="n"/>
      <c r="BJ185" s="50" t="n"/>
      <c r="BK185" s="50" t="n"/>
      <c r="BL185" s="50" t="n"/>
      <c r="BM185" s="50" t="n"/>
      <c r="BN185" s="50" t="n"/>
      <c r="BO185" s="50" t="n"/>
      <c r="BP185" s="50" t="n"/>
      <c r="BQ185" s="50" t="n"/>
      <c r="BR185" s="50" t="n"/>
      <c r="BS185" s="50" t="n"/>
      <c r="BT185" s="50" t="n"/>
      <c r="BU185" s="50" t="n"/>
      <c r="BV185" s="50" t="n"/>
      <c r="BW185" s="50" t="n"/>
      <c r="BX185" s="50" t="n"/>
      <c r="BY185" s="50" t="n"/>
      <c r="BZ185" s="50" t="n"/>
      <c r="CA185" s="50" t="n"/>
      <c r="CB185" s="50" t="n"/>
      <c r="CC185" s="50" t="n"/>
      <c r="CD185" s="50" t="n"/>
      <c r="CE185" s="50" t="n"/>
      <c r="CF185" s="50" t="n"/>
      <c r="CG185" s="50" t="n"/>
      <c r="CH185" s="50" t="n"/>
      <c r="CI185" s="50" t="n"/>
      <c r="CJ185" s="50" t="n"/>
      <c r="CK185" s="50" t="n"/>
      <c r="CL185" s="50" t="n"/>
      <c r="CM185" s="50" t="n"/>
      <c r="CN185" s="50" t="n"/>
      <c r="CO185" s="50" t="n"/>
      <c r="CP185" s="50" t="n"/>
      <c r="CQ185" s="50" t="n"/>
      <c r="CR185" s="50" t="n"/>
      <c r="CS185" s="50" t="n"/>
      <c r="CT185" s="50" t="n"/>
      <c r="CU185" s="50" t="n"/>
      <c r="CV185" s="50" t="n"/>
      <c r="CW185" s="50" t="n"/>
      <c r="CX185" s="50" t="n"/>
      <c r="CY185" s="50" t="n"/>
      <c r="CZ185" s="50" t="n"/>
      <c r="DA185" s="50" t="n"/>
      <c r="DB185" s="50" t="n"/>
      <c r="DC185" s="50" t="n"/>
      <c r="DD185" s="50" t="n"/>
      <c r="DE185" s="50" t="n"/>
      <c r="DF185" s="50" t="n"/>
      <c r="DG185" s="50" t="n"/>
      <c r="DH185" s="50" t="n"/>
      <c r="DI185" s="50" t="n"/>
      <c r="DJ185" s="50" t="n"/>
      <c r="DK185" s="50" t="n"/>
      <c r="DL185" s="50" t="n"/>
      <c r="DM185" s="50" t="n"/>
      <c r="DN185" s="50" t="n"/>
      <c r="DO185" s="50" t="n"/>
      <c r="DP185" s="50" t="n"/>
      <c r="DQ185" s="50" t="n"/>
      <c r="DR185" s="50" t="n"/>
      <c r="DS185" s="50" t="n"/>
      <c r="DT185" s="50" t="n"/>
      <c r="DU185" s="50" t="n"/>
      <c r="DV185" s="50" t="n"/>
    </row>
    <row r="186">
      <c r="A186" s="47">
        <f>IF(Mitarbeiter!B186="","",Mitarbeiter!A186)</f>
        <v/>
      </c>
      <c r="B186" s="48">
        <f>IF(Mitarbeiter!B186="","",Mitarbeiter!B186)</f>
        <v/>
      </c>
      <c r="C186" s="49">
        <f>IF(Mitarbeiter!B186="","",Mitarbeiter!F186)</f>
        <v/>
      </c>
      <c r="D186" s="25">
        <f>IF(Mitarbeiter!B186="","",Berechnung!AD186)</f>
        <v/>
      </c>
      <c r="E186" s="25">
        <f>IF(Mitarbeiter!B186="","",SUM(G186:DV186))</f>
        <v/>
      </c>
      <c r="G186" s="50" t="n"/>
      <c r="H186" s="50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0" t="n"/>
      <c r="T186" s="50" t="n"/>
      <c r="U186" s="50" t="n"/>
      <c r="V186" s="50" t="n"/>
      <c r="W186" s="50" t="n"/>
      <c r="X186" s="50" t="n"/>
      <c r="Y186" s="50" t="n"/>
      <c r="Z186" s="50" t="n"/>
      <c r="AA186" s="50" t="n"/>
      <c r="AB186" s="50" t="n"/>
      <c r="AC186" s="50" t="n"/>
      <c r="AD186" s="50" t="n"/>
      <c r="AE186" s="50" t="n"/>
      <c r="AF186" s="50" t="n"/>
      <c r="AG186" s="50" t="n"/>
      <c r="AH186" s="50" t="n"/>
      <c r="AI186" s="50" t="n"/>
      <c r="AJ186" s="50" t="n"/>
      <c r="AK186" s="50" t="n"/>
      <c r="AL186" s="50" t="n"/>
      <c r="AM186" s="50" t="n"/>
      <c r="AN186" s="50" t="n"/>
      <c r="AO186" s="50" t="n"/>
      <c r="AP186" s="50" t="n"/>
      <c r="AQ186" s="50" t="n"/>
      <c r="AR186" s="50" t="n"/>
      <c r="AS186" s="50" t="n"/>
      <c r="AT186" s="50" t="n"/>
      <c r="AU186" s="50" t="n"/>
      <c r="AV186" s="50" t="n"/>
      <c r="AW186" s="50" t="n"/>
      <c r="AX186" s="50" t="n"/>
      <c r="AY186" s="50" t="n"/>
      <c r="AZ186" s="50" t="n"/>
      <c r="BA186" s="50" t="n"/>
      <c r="BB186" s="50" t="n"/>
      <c r="BC186" s="50" t="n"/>
      <c r="BD186" s="50" t="n"/>
      <c r="BE186" s="50" t="n"/>
      <c r="BF186" s="50" t="n"/>
      <c r="BG186" s="50" t="n"/>
      <c r="BH186" s="50" t="n"/>
      <c r="BI186" s="50" t="n"/>
      <c r="BJ186" s="50" t="n"/>
      <c r="BK186" s="50" t="n"/>
      <c r="BL186" s="50" t="n"/>
      <c r="BM186" s="50" t="n"/>
      <c r="BN186" s="50" t="n"/>
      <c r="BO186" s="50" t="n"/>
      <c r="BP186" s="50" t="n"/>
      <c r="BQ186" s="50" t="n"/>
      <c r="BR186" s="50" t="n"/>
      <c r="BS186" s="50" t="n"/>
      <c r="BT186" s="50" t="n"/>
      <c r="BU186" s="50" t="n"/>
      <c r="BV186" s="50" t="n"/>
      <c r="BW186" s="50" t="n"/>
      <c r="BX186" s="50" t="n"/>
      <c r="BY186" s="50" t="n"/>
      <c r="BZ186" s="50" t="n"/>
      <c r="CA186" s="50" t="n"/>
      <c r="CB186" s="50" t="n"/>
      <c r="CC186" s="50" t="n"/>
      <c r="CD186" s="50" t="n"/>
      <c r="CE186" s="50" t="n"/>
      <c r="CF186" s="50" t="n"/>
      <c r="CG186" s="50" t="n"/>
      <c r="CH186" s="50" t="n"/>
      <c r="CI186" s="50" t="n"/>
      <c r="CJ186" s="50" t="n"/>
      <c r="CK186" s="50" t="n"/>
      <c r="CL186" s="50" t="n"/>
      <c r="CM186" s="50" t="n"/>
      <c r="CN186" s="50" t="n"/>
      <c r="CO186" s="50" t="n"/>
      <c r="CP186" s="50" t="n"/>
      <c r="CQ186" s="50" t="n"/>
      <c r="CR186" s="50" t="n"/>
      <c r="CS186" s="50" t="n"/>
      <c r="CT186" s="50" t="n"/>
      <c r="CU186" s="50" t="n"/>
      <c r="CV186" s="50" t="n"/>
      <c r="CW186" s="50" t="n"/>
      <c r="CX186" s="50" t="n"/>
      <c r="CY186" s="50" t="n"/>
      <c r="CZ186" s="50" t="n"/>
      <c r="DA186" s="50" t="n"/>
      <c r="DB186" s="50" t="n"/>
      <c r="DC186" s="50" t="n"/>
      <c r="DD186" s="50" t="n"/>
      <c r="DE186" s="50" t="n"/>
      <c r="DF186" s="50" t="n"/>
      <c r="DG186" s="50" t="n"/>
      <c r="DH186" s="50" t="n"/>
      <c r="DI186" s="50" t="n"/>
      <c r="DJ186" s="50" t="n"/>
      <c r="DK186" s="50" t="n"/>
      <c r="DL186" s="50" t="n"/>
      <c r="DM186" s="50" t="n"/>
      <c r="DN186" s="50" t="n"/>
      <c r="DO186" s="50" t="n"/>
      <c r="DP186" s="50" t="n"/>
      <c r="DQ186" s="50" t="n"/>
      <c r="DR186" s="50" t="n"/>
      <c r="DS186" s="50" t="n"/>
      <c r="DT186" s="50" t="n"/>
      <c r="DU186" s="50" t="n"/>
      <c r="DV186" s="50" t="n"/>
    </row>
    <row r="187">
      <c r="A187" s="47">
        <f>IF(Mitarbeiter!B187="","",Mitarbeiter!A187)</f>
        <v/>
      </c>
      <c r="B187" s="48">
        <f>IF(Mitarbeiter!B187="","",Mitarbeiter!B187)</f>
        <v/>
      </c>
      <c r="C187" s="49">
        <f>IF(Mitarbeiter!B187="","",Mitarbeiter!F187)</f>
        <v/>
      </c>
      <c r="D187" s="25">
        <f>IF(Mitarbeiter!B187="","",Berechnung!AD187)</f>
        <v/>
      </c>
      <c r="E187" s="25">
        <f>IF(Mitarbeiter!B187="","",SUM(G187:DV187))</f>
        <v/>
      </c>
      <c r="G187" s="50" t="n"/>
      <c r="H187" s="50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0" t="n"/>
      <c r="T187" s="50" t="n"/>
      <c r="U187" s="50" t="n"/>
      <c r="V187" s="50" t="n"/>
      <c r="W187" s="50" t="n"/>
      <c r="X187" s="50" t="n"/>
      <c r="Y187" s="50" t="n"/>
      <c r="Z187" s="50" t="n"/>
      <c r="AA187" s="50" t="n"/>
      <c r="AB187" s="50" t="n"/>
      <c r="AC187" s="50" t="n"/>
      <c r="AD187" s="50" t="n"/>
      <c r="AE187" s="50" t="n"/>
      <c r="AF187" s="50" t="n"/>
      <c r="AG187" s="50" t="n"/>
      <c r="AH187" s="50" t="n"/>
      <c r="AI187" s="50" t="n"/>
      <c r="AJ187" s="50" t="n"/>
      <c r="AK187" s="50" t="n"/>
      <c r="AL187" s="50" t="n"/>
      <c r="AM187" s="50" t="n"/>
      <c r="AN187" s="50" t="n"/>
      <c r="AO187" s="50" t="n"/>
      <c r="AP187" s="50" t="n"/>
      <c r="AQ187" s="50" t="n"/>
      <c r="AR187" s="50" t="n"/>
      <c r="AS187" s="50" t="n"/>
      <c r="AT187" s="50" t="n"/>
      <c r="AU187" s="50" t="n"/>
      <c r="AV187" s="50" t="n"/>
      <c r="AW187" s="50" t="n"/>
      <c r="AX187" s="50" t="n"/>
      <c r="AY187" s="50" t="n"/>
      <c r="AZ187" s="50" t="n"/>
      <c r="BA187" s="50" t="n"/>
      <c r="BB187" s="50" t="n"/>
      <c r="BC187" s="50" t="n"/>
      <c r="BD187" s="50" t="n"/>
      <c r="BE187" s="50" t="n"/>
      <c r="BF187" s="50" t="n"/>
      <c r="BG187" s="50" t="n"/>
      <c r="BH187" s="50" t="n"/>
      <c r="BI187" s="50" t="n"/>
      <c r="BJ187" s="50" t="n"/>
      <c r="BK187" s="50" t="n"/>
      <c r="BL187" s="50" t="n"/>
      <c r="BM187" s="50" t="n"/>
      <c r="BN187" s="50" t="n"/>
      <c r="BO187" s="50" t="n"/>
      <c r="BP187" s="50" t="n"/>
      <c r="BQ187" s="50" t="n"/>
      <c r="BR187" s="50" t="n"/>
      <c r="BS187" s="50" t="n"/>
      <c r="BT187" s="50" t="n"/>
      <c r="BU187" s="50" t="n"/>
      <c r="BV187" s="50" t="n"/>
      <c r="BW187" s="50" t="n"/>
      <c r="BX187" s="50" t="n"/>
      <c r="BY187" s="50" t="n"/>
      <c r="BZ187" s="50" t="n"/>
      <c r="CA187" s="50" t="n"/>
      <c r="CB187" s="50" t="n"/>
      <c r="CC187" s="50" t="n"/>
      <c r="CD187" s="50" t="n"/>
      <c r="CE187" s="50" t="n"/>
      <c r="CF187" s="50" t="n"/>
      <c r="CG187" s="50" t="n"/>
      <c r="CH187" s="50" t="n"/>
      <c r="CI187" s="50" t="n"/>
      <c r="CJ187" s="50" t="n"/>
      <c r="CK187" s="50" t="n"/>
      <c r="CL187" s="50" t="n"/>
      <c r="CM187" s="50" t="n"/>
      <c r="CN187" s="50" t="n"/>
      <c r="CO187" s="50" t="n"/>
      <c r="CP187" s="50" t="n"/>
      <c r="CQ187" s="50" t="n"/>
      <c r="CR187" s="50" t="n"/>
      <c r="CS187" s="50" t="n"/>
      <c r="CT187" s="50" t="n"/>
      <c r="CU187" s="50" t="n"/>
      <c r="CV187" s="50" t="n"/>
      <c r="CW187" s="50" t="n"/>
      <c r="CX187" s="50" t="n"/>
      <c r="CY187" s="50" t="n"/>
      <c r="CZ187" s="50" t="n"/>
      <c r="DA187" s="50" t="n"/>
      <c r="DB187" s="50" t="n"/>
      <c r="DC187" s="50" t="n"/>
      <c r="DD187" s="50" t="n"/>
      <c r="DE187" s="50" t="n"/>
      <c r="DF187" s="50" t="n"/>
      <c r="DG187" s="50" t="n"/>
      <c r="DH187" s="50" t="n"/>
      <c r="DI187" s="50" t="n"/>
      <c r="DJ187" s="50" t="n"/>
      <c r="DK187" s="50" t="n"/>
      <c r="DL187" s="50" t="n"/>
      <c r="DM187" s="50" t="n"/>
      <c r="DN187" s="50" t="n"/>
      <c r="DO187" s="50" t="n"/>
      <c r="DP187" s="50" t="n"/>
      <c r="DQ187" s="50" t="n"/>
      <c r="DR187" s="50" t="n"/>
      <c r="DS187" s="50" t="n"/>
      <c r="DT187" s="50" t="n"/>
      <c r="DU187" s="50" t="n"/>
      <c r="DV187" s="50" t="n"/>
    </row>
    <row r="188">
      <c r="A188" s="47">
        <f>IF(Mitarbeiter!B188="","",Mitarbeiter!A188)</f>
        <v/>
      </c>
      <c r="B188" s="48">
        <f>IF(Mitarbeiter!B188="","",Mitarbeiter!B188)</f>
        <v/>
      </c>
      <c r="C188" s="49">
        <f>IF(Mitarbeiter!B188="","",Mitarbeiter!F188)</f>
        <v/>
      </c>
      <c r="D188" s="25">
        <f>IF(Mitarbeiter!B188="","",Berechnung!AD188)</f>
        <v/>
      </c>
      <c r="E188" s="25">
        <f>IF(Mitarbeiter!B188="","",SUM(G188:DV188))</f>
        <v/>
      </c>
      <c r="G188" s="50" t="n"/>
      <c r="H188" s="50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0" t="n"/>
      <c r="T188" s="50" t="n"/>
      <c r="U188" s="50" t="n"/>
      <c r="V188" s="50" t="n"/>
      <c r="W188" s="50" t="n"/>
      <c r="X188" s="50" t="n"/>
      <c r="Y188" s="50" t="n"/>
      <c r="Z188" s="50" t="n"/>
      <c r="AA188" s="50" t="n"/>
      <c r="AB188" s="50" t="n"/>
      <c r="AC188" s="50" t="n"/>
      <c r="AD188" s="50" t="n"/>
      <c r="AE188" s="50" t="n"/>
      <c r="AF188" s="50" t="n"/>
      <c r="AG188" s="50" t="n"/>
      <c r="AH188" s="50" t="n"/>
      <c r="AI188" s="50" t="n"/>
      <c r="AJ188" s="50" t="n"/>
      <c r="AK188" s="50" t="n"/>
      <c r="AL188" s="50" t="n"/>
      <c r="AM188" s="50" t="n"/>
      <c r="AN188" s="50" t="n"/>
      <c r="AO188" s="50" t="n"/>
      <c r="AP188" s="50" t="n"/>
      <c r="AQ188" s="50" t="n"/>
      <c r="AR188" s="50" t="n"/>
      <c r="AS188" s="50" t="n"/>
      <c r="AT188" s="50" t="n"/>
      <c r="AU188" s="50" t="n"/>
      <c r="AV188" s="50" t="n"/>
      <c r="AW188" s="50" t="n"/>
      <c r="AX188" s="50" t="n"/>
      <c r="AY188" s="50" t="n"/>
      <c r="AZ188" s="50" t="n"/>
      <c r="BA188" s="50" t="n"/>
      <c r="BB188" s="50" t="n"/>
      <c r="BC188" s="50" t="n"/>
      <c r="BD188" s="50" t="n"/>
      <c r="BE188" s="50" t="n"/>
      <c r="BF188" s="50" t="n"/>
      <c r="BG188" s="50" t="n"/>
      <c r="BH188" s="50" t="n"/>
      <c r="BI188" s="50" t="n"/>
      <c r="BJ188" s="50" t="n"/>
      <c r="BK188" s="50" t="n"/>
      <c r="BL188" s="50" t="n"/>
      <c r="BM188" s="50" t="n"/>
      <c r="BN188" s="50" t="n"/>
      <c r="BO188" s="50" t="n"/>
      <c r="BP188" s="50" t="n"/>
      <c r="BQ188" s="50" t="n"/>
      <c r="BR188" s="50" t="n"/>
      <c r="BS188" s="50" t="n"/>
      <c r="BT188" s="50" t="n"/>
      <c r="BU188" s="50" t="n"/>
      <c r="BV188" s="50" t="n"/>
      <c r="BW188" s="50" t="n"/>
      <c r="BX188" s="50" t="n"/>
      <c r="BY188" s="50" t="n"/>
      <c r="BZ188" s="50" t="n"/>
      <c r="CA188" s="50" t="n"/>
      <c r="CB188" s="50" t="n"/>
      <c r="CC188" s="50" t="n"/>
      <c r="CD188" s="50" t="n"/>
      <c r="CE188" s="50" t="n"/>
      <c r="CF188" s="50" t="n"/>
      <c r="CG188" s="50" t="n"/>
      <c r="CH188" s="50" t="n"/>
      <c r="CI188" s="50" t="n"/>
      <c r="CJ188" s="50" t="n"/>
      <c r="CK188" s="50" t="n"/>
      <c r="CL188" s="50" t="n"/>
      <c r="CM188" s="50" t="n"/>
      <c r="CN188" s="50" t="n"/>
      <c r="CO188" s="50" t="n"/>
      <c r="CP188" s="50" t="n"/>
      <c r="CQ188" s="50" t="n"/>
      <c r="CR188" s="50" t="n"/>
      <c r="CS188" s="50" t="n"/>
      <c r="CT188" s="50" t="n"/>
      <c r="CU188" s="50" t="n"/>
      <c r="CV188" s="50" t="n"/>
      <c r="CW188" s="50" t="n"/>
      <c r="CX188" s="50" t="n"/>
      <c r="CY188" s="50" t="n"/>
      <c r="CZ188" s="50" t="n"/>
      <c r="DA188" s="50" t="n"/>
      <c r="DB188" s="50" t="n"/>
      <c r="DC188" s="50" t="n"/>
      <c r="DD188" s="50" t="n"/>
      <c r="DE188" s="50" t="n"/>
      <c r="DF188" s="50" t="n"/>
      <c r="DG188" s="50" t="n"/>
      <c r="DH188" s="50" t="n"/>
      <c r="DI188" s="50" t="n"/>
      <c r="DJ188" s="50" t="n"/>
      <c r="DK188" s="50" t="n"/>
      <c r="DL188" s="50" t="n"/>
      <c r="DM188" s="50" t="n"/>
      <c r="DN188" s="50" t="n"/>
      <c r="DO188" s="50" t="n"/>
      <c r="DP188" s="50" t="n"/>
      <c r="DQ188" s="50" t="n"/>
      <c r="DR188" s="50" t="n"/>
      <c r="DS188" s="50" t="n"/>
      <c r="DT188" s="50" t="n"/>
      <c r="DU188" s="50" t="n"/>
      <c r="DV188" s="50" t="n"/>
    </row>
    <row r="189">
      <c r="A189" s="47">
        <f>IF(Mitarbeiter!B189="","",Mitarbeiter!A189)</f>
        <v/>
      </c>
      <c r="B189" s="48">
        <f>IF(Mitarbeiter!B189="","",Mitarbeiter!B189)</f>
        <v/>
      </c>
      <c r="C189" s="49">
        <f>IF(Mitarbeiter!B189="","",Mitarbeiter!F189)</f>
        <v/>
      </c>
      <c r="D189" s="25">
        <f>IF(Mitarbeiter!B189="","",Berechnung!AD189)</f>
        <v/>
      </c>
      <c r="E189" s="25">
        <f>IF(Mitarbeiter!B189="","",SUM(G189:DV189))</f>
        <v/>
      </c>
      <c r="G189" s="50" t="n"/>
      <c r="H189" s="50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0" t="n"/>
      <c r="T189" s="50" t="n"/>
      <c r="U189" s="50" t="n"/>
      <c r="V189" s="50" t="n"/>
      <c r="W189" s="50" t="n"/>
      <c r="X189" s="50" t="n"/>
      <c r="Y189" s="50" t="n"/>
      <c r="Z189" s="50" t="n"/>
      <c r="AA189" s="50" t="n"/>
      <c r="AB189" s="50" t="n"/>
      <c r="AC189" s="50" t="n"/>
      <c r="AD189" s="50" t="n"/>
      <c r="AE189" s="50" t="n"/>
      <c r="AF189" s="50" t="n"/>
      <c r="AG189" s="50" t="n"/>
      <c r="AH189" s="50" t="n"/>
      <c r="AI189" s="50" t="n"/>
      <c r="AJ189" s="50" t="n"/>
      <c r="AK189" s="50" t="n"/>
      <c r="AL189" s="50" t="n"/>
      <c r="AM189" s="50" t="n"/>
      <c r="AN189" s="50" t="n"/>
      <c r="AO189" s="50" t="n"/>
      <c r="AP189" s="50" t="n"/>
      <c r="AQ189" s="50" t="n"/>
      <c r="AR189" s="50" t="n"/>
      <c r="AS189" s="50" t="n"/>
      <c r="AT189" s="50" t="n"/>
      <c r="AU189" s="50" t="n"/>
      <c r="AV189" s="50" t="n"/>
      <c r="AW189" s="50" t="n"/>
      <c r="AX189" s="50" t="n"/>
      <c r="AY189" s="50" t="n"/>
      <c r="AZ189" s="50" t="n"/>
      <c r="BA189" s="50" t="n"/>
      <c r="BB189" s="50" t="n"/>
      <c r="BC189" s="50" t="n"/>
      <c r="BD189" s="50" t="n"/>
      <c r="BE189" s="50" t="n"/>
      <c r="BF189" s="50" t="n"/>
      <c r="BG189" s="50" t="n"/>
      <c r="BH189" s="50" t="n"/>
      <c r="BI189" s="50" t="n"/>
      <c r="BJ189" s="50" t="n"/>
      <c r="BK189" s="50" t="n"/>
      <c r="BL189" s="50" t="n"/>
      <c r="BM189" s="50" t="n"/>
      <c r="BN189" s="50" t="n"/>
      <c r="BO189" s="50" t="n"/>
      <c r="BP189" s="50" t="n"/>
      <c r="BQ189" s="50" t="n"/>
      <c r="BR189" s="50" t="n"/>
      <c r="BS189" s="50" t="n"/>
      <c r="BT189" s="50" t="n"/>
      <c r="BU189" s="50" t="n"/>
      <c r="BV189" s="50" t="n"/>
      <c r="BW189" s="50" t="n"/>
      <c r="BX189" s="50" t="n"/>
      <c r="BY189" s="50" t="n"/>
      <c r="BZ189" s="50" t="n"/>
      <c r="CA189" s="50" t="n"/>
      <c r="CB189" s="50" t="n"/>
      <c r="CC189" s="50" t="n"/>
      <c r="CD189" s="50" t="n"/>
      <c r="CE189" s="50" t="n"/>
      <c r="CF189" s="50" t="n"/>
      <c r="CG189" s="50" t="n"/>
      <c r="CH189" s="50" t="n"/>
      <c r="CI189" s="50" t="n"/>
      <c r="CJ189" s="50" t="n"/>
      <c r="CK189" s="50" t="n"/>
      <c r="CL189" s="50" t="n"/>
      <c r="CM189" s="50" t="n"/>
      <c r="CN189" s="50" t="n"/>
      <c r="CO189" s="50" t="n"/>
      <c r="CP189" s="50" t="n"/>
      <c r="CQ189" s="50" t="n"/>
      <c r="CR189" s="50" t="n"/>
      <c r="CS189" s="50" t="n"/>
      <c r="CT189" s="50" t="n"/>
      <c r="CU189" s="50" t="n"/>
      <c r="CV189" s="50" t="n"/>
      <c r="CW189" s="50" t="n"/>
      <c r="CX189" s="50" t="n"/>
      <c r="CY189" s="50" t="n"/>
      <c r="CZ189" s="50" t="n"/>
      <c r="DA189" s="50" t="n"/>
      <c r="DB189" s="50" t="n"/>
      <c r="DC189" s="50" t="n"/>
      <c r="DD189" s="50" t="n"/>
      <c r="DE189" s="50" t="n"/>
      <c r="DF189" s="50" t="n"/>
      <c r="DG189" s="50" t="n"/>
      <c r="DH189" s="50" t="n"/>
      <c r="DI189" s="50" t="n"/>
      <c r="DJ189" s="50" t="n"/>
      <c r="DK189" s="50" t="n"/>
      <c r="DL189" s="50" t="n"/>
      <c r="DM189" s="50" t="n"/>
      <c r="DN189" s="50" t="n"/>
      <c r="DO189" s="50" t="n"/>
      <c r="DP189" s="50" t="n"/>
      <c r="DQ189" s="50" t="n"/>
      <c r="DR189" s="50" t="n"/>
      <c r="DS189" s="50" t="n"/>
      <c r="DT189" s="50" t="n"/>
      <c r="DU189" s="50" t="n"/>
      <c r="DV189" s="50" t="n"/>
    </row>
    <row r="190">
      <c r="A190" s="47">
        <f>IF(Mitarbeiter!B190="","",Mitarbeiter!A190)</f>
        <v/>
      </c>
      <c r="B190" s="48">
        <f>IF(Mitarbeiter!B190="","",Mitarbeiter!B190)</f>
        <v/>
      </c>
      <c r="C190" s="49">
        <f>IF(Mitarbeiter!B190="","",Mitarbeiter!F190)</f>
        <v/>
      </c>
      <c r="D190" s="25">
        <f>IF(Mitarbeiter!B190="","",Berechnung!AD190)</f>
        <v/>
      </c>
      <c r="E190" s="25">
        <f>IF(Mitarbeiter!B190="","",SUM(G190:DV190))</f>
        <v/>
      </c>
      <c r="G190" s="50" t="n"/>
      <c r="H190" s="50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0" t="n"/>
      <c r="T190" s="50" t="n"/>
      <c r="U190" s="50" t="n"/>
      <c r="V190" s="50" t="n"/>
      <c r="W190" s="50" t="n"/>
      <c r="X190" s="50" t="n"/>
      <c r="Y190" s="50" t="n"/>
      <c r="Z190" s="50" t="n"/>
      <c r="AA190" s="50" t="n"/>
      <c r="AB190" s="50" t="n"/>
      <c r="AC190" s="50" t="n"/>
      <c r="AD190" s="50" t="n"/>
      <c r="AE190" s="50" t="n"/>
      <c r="AF190" s="50" t="n"/>
      <c r="AG190" s="50" t="n"/>
      <c r="AH190" s="50" t="n"/>
      <c r="AI190" s="50" t="n"/>
      <c r="AJ190" s="50" t="n"/>
      <c r="AK190" s="50" t="n"/>
      <c r="AL190" s="50" t="n"/>
      <c r="AM190" s="50" t="n"/>
      <c r="AN190" s="50" t="n"/>
      <c r="AO190" s="50" t="n"/>
      <c r="AP190" s="50" t="n"/>
      <c r="AQ190" s="50" t="n"/>
      <c r="AR190" s="50" t="n"/>
      <c r="AS190" s="50" t="n"/>
      <c r="AT190" s="50" t="n"/>
      <c r="AU190" s="50" t="n"/>
      <c r="AV190" s="50" t="n"/>
      <c r="AW190" s="50" t="n"/>
      <c r="AX190" s="50" t="n"/>
      <c r="AY190" s="50" t="n"/>
      <c r="AZ190" s="50" t="n"/>
      <c r="BA190" s="50" t="n"/>
      <c r="BB190" s="50" t="n"/>
      <c r="BC190" s="50" t="n"/>
      <c r="BD190" s="50" t="n"/>
      <c r="BE190" s="50" t="n"/>
      <c r="BF190" s="50" t="n"/>
      <c r="BG190" s="50" t="n"/>
      <c r="BH190" s="50" t="n"/>
      <c r="BI190" s="50" t="n"/>
      <c r="BJ190" s="50" t="n"/>
      <c r="BK190" s="50" t="n"/>
      <c r="BL190" s="50" t="n"/>
      <c r="BM190" s="50" t="n"/>
      <c r="BN190" s="50" t="n"/>
      <c r="BO190" s="50" t="n"/>
      <c r="BP190" s="50" t="n"/>
      <c r="BQ190" s="50" t="n"/>
      <c r="BR190" s="50" t="n"/>
      <c r="BS190" s="50" t="n"/>
      <c r="BT190" s="50" t="n"/>
      <c r="BU190" s="50" t="n"/>
      <c r="BV190" s="50" t="n"/>
      <c r="BW190" s="50" t="n"/>
      <c r="BX190" s="50" t="n"/>
      <c r="BY190" s="50" t="n"/>
      <c r="BZ190" s="50" t="n"/>
      <c r="CA190" s="50" t="n"/>
      <c r="CB190" s="50" t="n"/>
      <c r="CC190" s="50" t="n"/>
      <c r="CD190" s="50" t="n"/>
      <c r="CE190" s="50" t="n"/>
      <c r="CF190" s="50" t="n"/>
      <c r="CG190" s="50" t="n"/>
      <c r="CH190" s="50" t="n"/>
      <c r="CI190" s="50" t="n"/>
      <c r="CJ190" s="50" t="n"/>
      <c r="CK190" s="50" t="n"/>
      <c r="CL190" s="50" t="n"/>
      <c r="CM190" s="50" t="n"/>
      <c r="CN190" s="50" t="n"/>
      <c r="CO190" s="50" t="n"/>
      <c r="CP190" s="50" t="n"/>
      <c r="CQ190" s="50" t="n"/>
      <c r="CR190" s="50" t="n"/>
      <c r="CS190" s="50" t="n"/>
      <c r="CT190" s="50" t="n"/>
      <c r="CU190" s="50" t="n"/>
      <c r="CV190" s="50" t="n"/>
      <c r="CW190" s="50" t="n"/>
      <c r="CX190" s="50" t="n"/>
      <c r="CY190" s="50" t="n"/>
      <c r="CZ190" s="50" t="n"/>
      <c r="DA190" s="50" t="n"/>
      <c r="DB190" s="50" t="n"/>
      <c r="DC190" s="50" t="n"/>
      <c r="DD190" s="50" t="n"/>
      <c r="DE190" s="50" t="n"/>
      <c r="DF190" s="50" t="n"/>
      <c r="DG190" s="50" t="n"/>
      <c r="DH190" s="50" t="n"/>
      <c r="DI190" s="50" t="n"/>
      <c r="DJ190" s="50" t="n"/>
      <c r="DK190" s="50" t="n"/>
      <c r="DL190" s="50" t="n"/>
      <c r="DM190" s="50" t="n"/>
      <c r="DN190" s="50" t="n"/>
      <c r="DO190" s="50" t="n"/>
      <c r="DP190" s="50" t="n"/>
      <c r="DQ190" s="50" t="n"/>
      <c r="DR190" s="50" t="n"/>
      <c r="DS190" s="50" t="n"/>
      <c r="DT190" s="50" t="n"/>
      <c r="DU190" s="50" t="n"/>
      <c r="DV190" s="50" t="n"/>
    </row>
    <row r="191">
      <c r="A191" s="47">
        <f>IF(Mitarbeiter!B191="","",Mitarbeiter!A191)</f>
        <v/>
      </c>
      <c r="B191" s="48">
        <f>IF(Mitarbeiter!B191="","",Mitarbeiter!B191)</f>
        <v/>
      </c>
      <c r="C191" s="49">
        <f>IF(Mitarbeiter!B191="","",Mitarbeiter!F191)</f>
        <v/>
      </c>
      <c r="D191" s="25">
        <f>IF(Mitarbeiter!B191="","",Berechnung!AD191)</f>
        <v/>
      </c>
      <c r="E191" s="25">
        <f>IF(Mitarbeiter!B191="","",SUM(G191:DV191))</f>
        <v/>
      </c>
      <c r="G191" s="50" t="n"/>
      <c r="H191" s="50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0" t="n"/>
      <c r="T191" s="50" t="n"/>
      <c r="U191" s="50" t="n"/>
      <c r="V191" s="50" t="n"/>
      <c r="W191" s="50" t="n"/>
      <c r="X191" s="50" t="n"/>
      <c r="Y191" s="50" t="n"/>
      <c r="Z191" s="50" t="n"/>
      <c r="AA191" s="50" t="n"/>
      <c r="AB191" s="50" t="n"/>
      <c r="AC191" s="50" t="n"/>
      <c r="AD191" s="50" t="n"/>
      <c r="AE191" s="50" t="n"/>
      <c r="AF191" s="50" t="n"/>
      <c r="AG191" s="50" t="n"/>
      <c r="AH191" s="50" t="n"/>
      <c r="AI191" s="50" t="n"/>
      <c r="AJ191" s="50" t="n"/>
      <c r="AK191" s="50" t="n"/>
      <c r="AL191" s="50" t="n"/>
      <c r="AM191" s="50" t="n"/>
      <c r="AN191" s="50" t="n"/>
      <c r="AO191" s="50" t="n"/>
      <c r="AP191" s="50" t="n"/>
      <c r="AQ191" s="50" t="n"/>
      <c r="AR191" s="50" t="n"/>
      <c r="AS191" s="50" t="n"/>
      <c r="AT191" s="50" t="n"/>
      <c r="AU191" s="50" t="n"/>
      <c r="AV191" s="50" t="n"/>
      <c r="AW191" s="50" t="n"/>
      <c r="AX191" s="50" t="n"/>
      <c r="AY191" s="50" t="n"/>
      <c r="AZ191" s="50" t="n"/>
      <c r="BA191" s="50" t="n"/>
      <c r="BB191" s="50" t="n"/>
      <c r="BC191" s="50" t="n"/>
      <c r="BD191" s="50" t="n"/>
      <c r="BE191" s="50" t="n"/>
      <c r="BF191" s="50" t="n"/>
      <c r="BG191" s="50" t="n"/>
      <c r="BH191" s="50" t="n"/>
      <c r="BI191" s="50" t="n"/>
      <c r="BJ191" s="50" t="n"/>
      <c r="BK191" s="50" t="n"/>
      <c r="BL191" s="50" t="n"/>
      <c r="BM191" s="50" t="n"/>
      <c r="BN191" s="50" t="n"/>
      <c r="BO191" s="50" t="n"/>
      <c r="BP191" s="50" t="n"/>
      <c r="BQ191" s="50" t="n"/>
      <c r="BR191" s="50" t="n"/>
      <c r="BS191" s="50" t="n"/>
      <c r="BT191" s="50" t="n"/>
      <c r="BU191" s="50" t="n"/>
      <c r="BV191" s="50" t="n"/>
      <c r="BW191" s="50" t="n"/>
      <c r="BX191" s="50" t="n"/>
      <c r="BY191" s="50" t="n"/>
      <c r="BZ191" s="50" t="n"/>
      <c r="CA191" s="50" t="n"/>
      <c r="CB191" s="50" t="n"/>
      <c r="CC191" s="50" t="n"/>
      <c r="CD191" s="50" t="n"/>
      <c r="CE191" s="50" t="n"/>
      <c r="CF191" s="50" t="n"/>
      <c r="CG191" s="50" t="n"/>
      <c r="CH191" s="50" t="n"/>
      <c r="CI191" s="50" t="n"/>
      <c r="CJ191" s="50" t="n"/>
      <c r="CK191" s="50" t="n"/>
      <c r="CL191" s="50" t="n"/>
      <c r="CM191" s="50" t="n"/>
      <c r="CN191" s="50" t="n"/>
      <c r="CO191" s="50" t="n"/>
      <c r="CP191" s="50" t="n"/>
      <c r="CQ191" s="50" t="n"/>
      <c r="CR191" s="50" t="n"/>
      <c r="CS191" s="50" t="n"/>
      <c r="CT191" s="50" t="n"/>
      <c r="CU191" s="50" t="n"/>
      <c r="CV191" s="50" t="n"/>
      <c r="CW191" s="50" t="n"/>
      <c r="CX191" s="50" t="n"/>
      <c r="CY191" s="50" t="n"/>
      <c r="CZ191" s="50" t="n"/>
      <c r="DA191" s="50" t="n"/>
      <c r="DB191" s="50" t="n"/>
      <c r="DC191" s="50" t="n"/>
      <c r="DD191" s="50" t="n"/>
      <c r="DE191" s="50" t="n"/>
      <c r="DF191" s="50" t="n"/>
      <c r="DG191" s="50" t="n"/>
      <c r="DH191" s="50" t="n"/>
      <c r="DI191" s="50" t="n"/>
      <c r="DJ191" s="50" t="n"/>
      <c r="DK191" s="50" t="n"/>
      <c r="DL191" s="50" t="n"/>
      <c r="DM191" s="50" t="n"/>
      <c r="DN191" s="50" t="n"/>
      <c r="DO191" s="50" t="n"/>
      <c r="DP191" s="50" t="n"/>
      <c r="DQ191" s="50" t="n"/>
      <c r="DR191" s="50" t="n"/>
      <c r="DS191" s="50" t="n"/>
      <c r="DT191" s="50" t="n"/>
      <c r="DU191" s="50" t="n"/>
      <c r="DV191" s="50" t="n"/>
    </row>
    <row r="192">
      <c r="A192" s="47">
        <f>IF(Mitarbeiter!B192="","",Mitarbeiter!A192)</f>
        <v/>
      </c>
      <c r="B192" s="48">
        <f>IF(Mitarbeiter!B192="","",Mitarbeiter!B192)</f>
        <v/>
      </c>
      <c r="C192" s="49">
        <f>IF(Mitarbeiter!B192="","",Mitarbeiter!F192)</f>
        <v/>
      </c>
      <c r="D192" s="25">
        <f>IF(Mitarbeiter!B192="","",Berechnung!AD192)</f>
        <v/>
      </c>
      <c r="E192" s="25">
        <f>IF(Mitarbeiter!B192="","",SUM(G192:DV192))</f>
        <v/>
      </c>
      <c r="G192" s="50" t="n"/>
      <c r="H192" s="50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0" t="n"/>
      <c r="T192" s="50" t="n"/>
      <c r="U192" s="50" t="n"/>
      <c r="V192" s="50" t="n"/>
      <c r="W192" s="50" t="n"/>
      <c r="X192" s="50" t="n"/>
      <c r="Y192" s="50" t="n"/>
      <c r="Z192" s="50" t="n"/>
      <c r="AA192" s="50" t="n"/>
      <c r="AB192" s="50" t="n"/>
      <c r="AC192" s="50" t="n"/>
      <c r="AD192" s="50" t="n"/>
      <c r="AE192" s="50" t="n"/>
      <c r="AF192" s="50" t="n"/>
      <c r="AG192" s="50" t="n"/>
      <c r="AH192" s="50" t="n"/>
      <c r="AI192" s="50" t="n"/>
      <c r="AJ192" s="50" t="n"/>
      <c r="AK192" s="50" t="n"/>
      <c r="AL192" s="50" t="n"/>
      <c r="AM192" s="50" t="n"/>
      <c r="AN192" s="50" t="n"/>
      <c r="AO192" s="50" t="n"/>
      <c r="AP192" s="50" t="n"/>
      <c r="AQ192" s="50" t="n"/>
      <c r="AR192" s="50" t="n"/>
      <c r="AS192" s="50" t="n"/>
      <c r="AT192" s="50" t="n"/>
      <c r="AU192" s="50" t="n"/>
      <c r="AV192" s="50" t="n"/>
      <c r="AW192" s="50" t="n"/>
      <c r="AX192" s="50" t="n"/>
      <c r="AY192" s="50" t="n"/>
      <c r="AZ192" s="50" t="n"/>
      <c r="BA192" s="50" t="n"/>
      <c r="BB192" s="50" t="n"/>
      <c r="BC192" s="50" t="n"/>
      <c r="BD192" s="50" t="n"/>
      <c r="BE192" s="50" t="n"/>
      <c r="BF192" s="50" t="n"/>
      <c r="BG192" s="50" t="n"/>
      <c r="BH192" s="50" t="n"/>
      <c r="BI192" s="50" t="n"/>
      <c r="BJ192" s="50" t="n"/>
      <c r="BK192" s="50" t="n"/>
      <c r="BL192" s="50" t="n"/>
      <c r="BM192" s="50" t="n"/>
      <c r="BN192" s="50" t="n"/>
      <c r="BO192" s="50" t="n"/>
      <c r="BP192" s="50" t="n"/>
      <c r="BQ192" s="50" t="n"/>
      <c r="BR192" s="50" t="n"/>
      <c r="BS192" s="50" t="n"/>
      <c r="BT192" s="50" t="n"/>
      <c r="BU192" s="50" t="n"/>
      <c r="BV192" s="50" t="n"/>
      <c r="BW192" s="50" t="n"/>
      <c r="BX192" s="50" t="n"/>
      <c r="BY192" s="50" t="n"/>
      <c r="BZ192" s="50" t="n"/>
      <c r="CA192" s="50" t="n"/>
      <c r="CB192" s="50" t="n"/>
      <c r="CC192" s="50" t="n"/>
      <c r="CD192" s="50" t="n"/>
      <c r="CE192" s="50" t="n"/>
      <c r="CF192" s="50" t="n"/>
      <c r="CG192" s="50" t="n"/>
      <c r="CH192" s="50" t="n"/>
      <c r="CI192" s="50" t="n"/>
      <c r="CJ192" s="50" t="n"/>
      <c r="CK192" s="50" t="n"/>
      <c r="CL192" s="50" t="n"/>
      <c r="CM192" s="50" t="n"/>
      <c r="CN192" s="50" t="n"/>
      <c r="CO192" s="50" t="n"/>
      <c r="CP192" s="50" t="n"/>
      <c r="CQ192" s="50" t="n"/>
      <c r="CR192" s="50" t="n"/>
      <c r="CS192" s="50" t="n"/>
      <c r="CT192" s="50" t="n"/>
      <c r="CU192" s="50" t="n"/>
      <c r="CV192" s="50" t="n"/>
      <c r="CW192" s="50" t="n"/>
      <c r="CX192" s="50" t="n"/>
      <c r="CY192" s="50" t="n"/>
      <c r="CZ192" s="50" t="n"/>
      <c r="DA192" s="50" t="n"/>
      <c r="DB192" s="50" t="n"/>
      <c r="DC192" s="50" t="n"/>
      <c r="DD192" s="50" t="n"/>
      <c r="DE192" s="50" t="n"/>
      <c r="DF192" s="50" t="n"/>
      <c r="DG192" s="50" t="n"/>
      <c r="DH192" s="50" t="n"/>
      <c r="DI192" s="50" t="n"/>
      <c r="DJ192" s="50" t="n"/>
      <c r="DK192" s="50" t="n"/>
      <c r="DL192" s="50" t="n"/>
      <c r="DM192" s="50" t="n"/>
      <c r="DN192" s="50" t="n"/>
      <c r="DO192" s="50" t="n"/>
      <c r="DP192" s="50" t="n"/>
      <c r="DQ192" s="50" t="n"/>
      <c r="DR192" s="50" t="n"/>
      <c r="DS192" s="50" t="n"/>
      <c r="DT192" s="50" t="n"/>
      <c r="DU192" s="50" t="n"/>
      <c r="DV192" s="50" t="n"/>
    </row>
    <row r="193">
      <c r="A193" s="47">
        <f>IF(Mitarbeiter!B193="","",Mitarbeiter!A193)</f>
        <v/>
      </c>
      <c r="B193" s="48">
        <f>IF(Mitarbeiter!B193="","",Mitarbeiter!B193)</f>
        <v/>
      </c>
      <c r="C193" s="49">
        <f>IF(Mitarbeiter!B193="","",Mitarbeiter!F193)</f>
        <v/>
      </c>
      <c r="D193" s="25">
        <f>IF(Mitarbeiter!B193="","",Berechnung!AD193)</f>
        <v/>
      </c>
      <c r="E193" s="25">
        <f>IF(Mitarbeiter!B193="","",SUM(G193:DV193))</f>
        <v/>
      </c>
      <c r="G193" s="50" t="n"/>
      <c r="H193" s="50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0" t="n"/>
      <c r="T193" s="50" t="n"/>
      <c r="U193" s="50" t="n"/>
      <c r="V193" s="50" t="n"/>
      <c r="W193" s="50" t="n"/>
      <c r="X193" s="50" t="n"/>
      <c r="Y193" s="50" t="n"/>
      <c r="Z193" s="50" t="n"/>
      <c r="AA193" s="50" t="n"/>
      <c r="AB193" s="50" t="n"/>
      <c r="AC193" s="50" t="n"/>
      <c r="AD193" s="50" t="n"/>
      <c r="AE193" s="50" t="n"/>
      <c r="AF193" s="50" t="n"/>
      <c r="AG193" s="50" t="n"/>
      <c r="AH193" s="50" t="n"/>
      <c r="AI193" s="50" t="n"/>
      <c r="AJ193" s="50" t="n"/>
      <c r="AK193" s="50" t="n"/>
      <c r="AL193" s="50" t="n"/>
      <c r="AM193" s="50" t="n"/>
      <c r="AN193" s="50" t="n"/>
      <c r="AO193" s="50" t="n"/>
      <c r="AP193" s="50" t="n"/>
      <c r="AQ193" s="50" t="n"/>
      <c r="AR193" s="50" t="n"/>
      <c r="AS193" s="50" t="n"/>
      <c r="AT193" s="50" t="n"/>
      <c r="AU193" s="50" t="n"/>
      <c r="AV193" s="50" t="n"/>
      <c r="AW193" s="50" t="n"/>
      <c r="AX193" s="50" t="n"/>
      <c r="AY193" s="50" t="n"/>
      <c r="AZ193" s="50" t="n"/>
      <c r="BA193" s="50" t="n"/>
      <c r="BB193" s="50" t="n"/>
      <c r="BC193" s="50" t="n"/>
      <c r="BD193" s="50" t="n"/>
      <c r="BE193" s="50" t="n"/>
      <c r="BF193" s="50" t="n"/>
      <c r="BG193" s="50" t="n"/>
      <c r="BH193" s="50" t="n"/>
      <c r="BI193" s="50" t="n"/>
      <c r="BJ193" s="50" t="n"/>
      <c r="BK193" s="50" t="n"/>
      <c r="BL193" s="50" t="n"/>
      <c r="BM193" s="50" t="n"/>
      <c r="BN193" s="50" t="n"/>
      <c r="BO193" s="50" t="n"/>
      <c r="BP193" s="50" t="n"/>
      <c r="BQ193" s="50" t="n"/>
      <c r="BR193" s="50" t="n"/>
      <c r="BS193" s="50" t="n"/>
      <c r="BT193" s="50" t="n"/>
      <c r="BU193" s="50" t="n"/>
      <c r="BV193" s="50" t="n"/>
      <c r="BW193" s="50" t="n"/>
      <c r="BX193" s="50" t="n"/>
      <c r="BY193" s="50" t="n"/>
      <c r="BZ193" s="50" t="n"/>
      <c r="CA193" s="50" t="n"/>
      <c r="CB193" s="50" t="n"/>
      <c r="CC193" s="50" t="n"/>
      <c r="CD193" s="50" t="n"/>
      <c r="CE193" s="50" t="n"/>
      <c r="CF193" s="50" t="n"/>
      <c r="CG193" s="50" t="n"/>
      <c r="CH193" s="50" t="n"/>
      <c r="CI193" s="50" t="n"/>
      <c r="CJ193" s="50" t="n"/>
      <c r="CK193" s="50" t="n"/>
      <c r="CL193" s="50" t="n"/>
      <c r="CM193" s="50" t="n"/>
      <c r="CN193" s="50" t="n"/>
      <c r="CO193" s="50" t="n"/>
      <c r="CP193" s="50" t="n"/>
      <c r="CQ193" s="50" t="n"/>
      <c r="CR193" s="50" t="n"/>
      <c r="CS193" s="50" t="n"/>
      <c r="CT193" s="50" t="n"/>
      <c r="CU193" s="50" t="n"/>
      <c r="CV193" s="50" t="n"/>
      <c r="CW193" s="50" t="n"/>
      <c r="CX193" s="50" t="n"/>
      <c r="CY193" s="50" t="n"/>
      <c r="CZ193" s="50" t="n"/>
      <c r="DA193" s="50" t="n"/>
      <c r="DB193" s="50" t="n"/>
      <c r="DC193" s="50" t="n"/>
      <c r="DD193" s="50" t="n"/>
      <c r="DE193" s="50" t="n"/>
      <c r="DF193" s="50" t="n"/>
      <c r="DG193" s="50" t="n"/>
      <c r="DH193" s="50" t="n"/>
      <c r="DI193" s="50" t="n"/>
      <c r="DJ193" s="50" t="n"/>
      <c r="DK193" s="50" t="n"/>
      <c r="DL193" s="50" t="n"/>
      <c r="DM193" s="50" t="n"/>
      <c r="DN193" s="50" t="n"/>
      <c r="DO193" s="50" t="n"/>
      <c r="DP193" s="50" t="n"/>
      <c r="DQ193" s="50" t="n"/>
      <c r="DR193" s="50" t="n"/>
      <c r="DS193" s="50" t="n"/>
      <c r="DT193" s="50" t="n"/>
      <c r="DU193" s="50" t="n"/>
      <c r="DV193" s="50" t="n"/>
    </row>
    <row r="194">
      <c r="A194" s="47">
        <f>IF(Mitarbeiter!B194="","",Mitarbeiter!A194)</f>
        <v/>
      </c>
      <c r="B194" s="48">
        <f>IF(Mitarbeiter!B194="","",Mitarbeiter!B194)</f>
        <v/>
      </c>
      <c r="C194" s="49">
        <f>IF(Mitarbeiter!B194="","",Mitarbeiter!F194)</f>
        <v/>
      </c>
      <c r="D194" s="25">
        <f>IF(Mitarbeiter!B194="","",Berechnung!AD194)</f>
        <v/>
      </c>
      <c r="E194" s="25">
        <f>IF(Mitarbeiter!B194="","",SUM(G194:DV194))</f>
        <v/>
      </c>
      <c r="G194" s="50" t="n"/>
      <c r="H194" s="50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0" t="n"/>
      <c r="T194" s="50" t="n"/>
      <c r="U194" s="50" t="n"/>
      <c r="V194" s="50" t="n"/>
      <c r="W194" s="50" t="n"/>
      <c r="X194" s="50" t="n"/>
      <c r="Y194" s="50" t="n"/>
      <c r="Z194" s="50" t="n"/>
      <c r="AA194" s="50" t="n"/>
      <c r="AB194" s="50" t="n"/>
      <c r="AC194" s="50" t="n"/>
      <c r="AD194" s="50" t="n"/>
      <c r="AE194" s="50" t="n"/>
      <c r="AF194" s="50" t="n"/>
      <c r="AG194" s="50" t="n"/>
      <c r="AH194" s="50" t="n"/>
      <c r="AI194" s="50" t="n"/>
      <c r="AJ194" s="50" t="n"/>
      <c r="AK194" s="50" t="n"/>
      <c r="AL194" s="50" t="n"/>
      <c r="AM194" s="50" t="n"/>
      <c r="AN194" s="50" t="n"/>
      <c r="AO194" s="50" t="n"/>
      <c r="AP194" s="50" t="n"/>
      <c r="AQ194" s="50" t="n"/>
      <c r="AR194" s="50" t="n"/>
      <c r="AS194" s="50" t="n"/>
      <c r="AT194" s="50" t="n"/>
      <c r="AU194" s="50" t="n"/>
      <c r="AV194" s="50" t="n"/>
      <c r="AW194" s="50" t="n"/>
      <c r="AX194" s="50" t="n"/>
      <c r="AY194" s="50" t="n"/>
      <c r="AZ194" s="50" t="n"/>
      <c r="BA194" s="50" t="n"/>
      <c r="BB194" s="50" t="n"/>
      <c r="BC194" s="50" t="n"/>
      <c r="BD194" s="50" t="n"/>
      <c r="BE194" s="50" t="n"/>
      <c r="BF194" s="50" t="n"/>
      <c r="BG194" s="50" t="n"/>
      <c r="BH194" s="50" t="n"/>
      <c r="BI194" s="50" t="n"/>
      <c r="BJ194" s="50" t="n"/>
      <c r="BK194" s="50" t="n"/>
      <c r="BL194" s="50" t="n"/>
      <c r="BM194" s="50" t="n"/>
      <c r="BN194" s="50" t="n"/>
      <c r="BO194" s="50" t="n"/>
      <c r="BP194" s="50" t="n"/>
      <c r="BQ194" s="50" t="n"/>
      <c r="BR194" s="50" t="n"/>
      <c r="BS194" s="50" t="n"/>
      <c r="BT194" s="50" t="n"/>
      <c r="BU194" s="50" t="n"/>
      <c r="BV194" s="50" t="n"/>
      <c r="BW194" s="50" t="n"/>
      <c r="BX194" s="50" t="n"/>
      <c r="BY194" s="50" t="n"/>
      <c r="BZ194" s="50" t="n"/>
      <c r="CA194" s="50" t="n"/>
      <c r="CB194" s="50" t="n"/>
      <c r="CC194" s="50" t="n"/>
      <c r="CD194" s="50" t="n"/>
      <c r="CE194" s="50" t="n"/>
      <c r="CF194" s="50" t="n"/>
      <c r="CG194" s="50" t="n"/>
      <c r="CH194" s="50" t="n"/>
      <c r="CI194" s="50" t="n"/>
      <c r="CJ194" s="50" t="n"/>
      <c r="CK194" s="50" t="n"/>
      <c r="CL194" s="50" t="n"/>
      <c r="CM194" s="50" t="n"/>
      <c r="CN194" s="50" t="n"/>
      <c r="CO194" s="50" t="n"/>
      <c r="CP194" s="50" t="n"/>
      <c r="CQ194" s="50" t="n"/>
      <c r="CR194" s="50" t="n"/>
      <c r="CS194" s="50" t="n"/>
      <c r="CT194" s="50" t="n"/>
      <c r="CU194" s="50" t="n"/>
      <c r="CV194" s="50" t="n"/>
      <c r="CW194" s="50" t="n"/>
      <c r="CX194" s="50" t="n"/>
      <c r="CY194" s="50" t="n"/>
      <c r="CZ194" s="50" t="n"/>
      <c r="DA194" s="50" t="n"/>
      <c r="DB194" s="50" t="n"/>
      <c r="DC194" s="50" t="n"/>
      <c r="DD194" s="50" t="n"/>
      <c r="DE194" s="50" t="n"/>
      <c r="DF194" s="50" t="n"/>
      <c r="DG194" s="50" t="n"/>
      <c r="DH194" s="50" t="n"/>
      <c r="DI194" s="50" t="n"/>
      <c r="DJ194" s="50" t="n"/>
      <c r="DK194" s="50" t="n"/>
      <c r="DL194" s="50" t="n"/>
      <c r="DM194" s="50" t="n"/>
      <c r="DN194" s="50" t="n"/>
      <c r="DO194" s="50" t="n"/>
      <c r="DP194" s="50" t="n"/>
      <c r="DQ194" s="50" t="n"/>
      <c r="DR194" s="50" t="n"/>
      <c r="DS194" s="50" t="n"/>
      <c r="DT194" s="50" t="n"/>
      <c r="DU194" s="50" t="n"/>
      <c r="DV194" s="50" t="n"/>
    </row>
    <row r="195">
      <c r="A195" s="47">
        <f>IF(Mitarbeiter!B195="","",Mitarbeiter!A195)</f>
        <v/>
      </c>
      <c r="B195" s="48">
        <f>IF(Mitarbeiter!B195="","",Mitarbeiter!B195)</f>
        <v/>
      </c>
      <c r="C195" s="49">
        <f>IF(Mitarbeiter!B195="","",Mitarbeiter!F195)</f>
        <v/>
      </c>
      <c r="D195" s="25">
        <f>IF(Mitarbeiter!B195="","",Berechnung!AD195)</f>
        <v/>
      </c>
      <c r="E195" s="25">
        <f>IF(Mitarbeiter!B195="","",SUM(G195:DV195))</f>
        <v/>
      </c>
      <c r="G195" s="50" t="n"/>
      <c r="H195" s="50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0" t="n"/>
      <c r="T195" s="50" t="n"/>
      <c r="U195" s="50" t="n"/>
      <c r="V195" s="50" t="n"/>
      <c r="W195" s="50" t="n"/>
      <c r="X195" s="50" t="n"/>
      <c r="Y195" s="50" t="n"/>
      <c r="Z195" s="50" t="n"/>
      <c r="AA195" s="50" t="n"/>
      <c r="AB195" s="50" t="n"/>
      <c r="AC195" s="50" t="n"/>
      <c r="AD195" s="50" t="n"/>
      <c r="AE195" s="50" t="n"/>
      <c r="AF195" s="50" t="n"/>
      <c r="AG195" s="50" t="n"/>
      <c r="AH195" s="50" t="n"/>
      <c r="AI195" s="50" t="n"/>
      <c r="AJ195" s="50" t="n"/>
      <c r="AK195" s="50" t="n"/>
      <c r="AL195" s="50" t="n"/>
      <c r="AM195" s="50" t="n"/>
      <c r="AN195" s="50" t="n"/>
      <c r="AO195" s="50" t="n"/>
      <c r="AP195" s="50" t="n"/>
      <c r="AQ195" s="50" t="n"/>
      <c r="AR195" s="50" t="n"/>
      <c r="AS195" s="50" t="n"/>
      <c r="AT195" s="50" t="n"/>
      <c r="AU195" s="50" t="n"/>
      <c r="AV195" s="50" t="n"/>
      <c r="AW195" s="50" t="n"/>
      <c r="AX195" s="50" t="n"/>
      <c r="AY195" s="50" t="n"/>
      <c r="AZ195" s="50" t="n"/>
      <c r="BA195" s="50" t="n"/>
      <c r="BB195" s="50" t="n"/>
      <c r="BC195" s="50" t="n"/>
      <c r="BD195" s="50" t="n"/>
      <c r="BE195" s="50" t="n"/>
      <c r="BF195" s="50" t="n"/>
      <c r="BG195" s="50" t="n"/>
      <c r="BH195" s="50" t="n"/>
      <c r="BI195" s="50" t="n"/>
      <c r="BJ195" s="50" t="n"/>
      <c r="BK195" s="50" t="n"/>
      <c r="BL195" s="50" t="n"/>
      <c r="BM195" s="50" t="n"/>
      <c r="BN195" s="50" t="n"/>
      <c r="BO195" s="50" t="n"/>
      <c r="BP195" s="50" t="n"/>
      <c r="BQ195" s="50" t="n"/>
      <c r="BR195" s="50" t="n"/>
      <c r="BS195" s="50" t="n"/>
      <c r="BT195" s="50" t="n"/>
      <c r="BU195" s="50" t="n"/>
      <c r="BV195" s="50" t="n"/>
      <c r="BW195" s="50" t="n"/>
      <c r="BX195" s="50" t="n"/>
      <c r="BY195" s="50" t="n"/>
      <c r="BZ195" s="50" t="n"/>
      <c r="CA195" s="50" t="n"/>
      <c r="CB195" s="50" t="n"/>
      <c r="CC195" s="50" t="n"/>
      <c r="CD195" s="50" t="n"/>
      <c r="CE195" s="50" t="n"/>
      <c r="CF195" s="50" t="n"/>
      <c r="CG195" s="50" t="n"/>
      <c r="CH195" s="50" t="n"/>
      <c r="CI195" s="50" t="n"/>
      <c r="CJ195" s="50" t="n"/>
      <c r="CK195" s="50" t="n"/>
      <c r="CL195" s="50" t="n"/>
      <c r="CM195" s="50" t="n"/>
      <c r="CN195" s="50" t="n"/>
      <c r="CO195" s="50" t="n"/>
      <c r="CP195" s="50" t="n"/>
      <c r="CQ195" s="50" t="n"/>
      <c r="CR195" s="50" t="n"/>
      <c r="CS195" s="50" t="n"/>
      <c r="CT195" s="50" t="n"/>
      <c r="CU195" s="50" t="n"/>
      <c r="CV195" s="50" t="n"/>
      <c r="CW195" s="50" t="n"/>
      <c r="CX195" s="50" t="n"/>
      <c r="CY195" s="50" t="n"/>
      <c r="CZ195" s="50" t="n"/>
      <c r="DA195" s="50" t="n"/>
      <c r="DB195" s="50" t="n"/>
      <c r="DC195" s="50" t="n"/>
      <c r="DD195" s="50" t="n"/>
      <c r="DE195" s="50" t="n"/>
      <c r="DF195" s="50" t="n"/>
      <c r="DG195" s="50" t="n"/>
      <c r="DH195" s="50" t="n"/>
      <c r="DI195" s="50" t="n"/>
      <c r="DJ195" s="50" t="n"/>
      <c r="DK195" s="50" t="n"/>
      <c r="DL195" s="50" t="n"/>
      <c r="DM195" s="50" t="n"/>
      <c r="DN195" s="50" t="n"/>
      <c r="DO195" s="50" t="n"/>
      <c r="DP195" s="50" t="n"/>
      <c r="DQ195" s="50" t="n"/>
      <c r="DR195" s="50" t="n"/>
      <c r="DS195" s="50" t="n"/>
      <c r="DT195" s="50" t="n"/>
      <c r="DU195" s="50" t="n"/>
      <c r="DV195" s="50" t="n"/>
    </row>
    <row r="196">
      <c r="A196" s="47">
        <f>IF(Mitarbeiter!B196="","",Mitarbeiter!A196)</f>
        <v/>
      </c>
      <c r="B196" s="48">
        <f>IF(Mitarbeiter!B196="","",Mitarbeiter!B196)</f>
        <v/>
      </c>
      <c r="C196" s="49">
        <f>IF(Mitarbeiter!B196="","",Mitarbeiter!F196)</f>
        <v/>
      </c>
      <c r="D196" s="25">
        <f>IF(Mitarbeiter!B196="","",Berechnung!AD196)</f>
        <v/>
      </c>
      <c r="E196" s="25">
        <f>IF(Mitarbeiter!B196="","",SUM(G196:DV196))</f>
        <v/>
      </c>
      <c r="G196" s="50" t="n"/>
      <c r="H196" s="50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0" t="n"/>
      <c r="T196" s="50" t="n"/>
      <c r="U196" s="50" t="n"/>
      <c r="V196" s="50" t="n"/>
      <c r="W196" s="50" t="n"/>
      <c r="X196" s="50" t="n"/>
      <c r="Y196" s="50" t="n"/>
      <c r="Z196" s="50" t="n"/>
      <c r="AA196" s="50" t="n"/>
      <c r="AB196" s="50" t="n"/>
      <c r="AC196" s="50" t="n"/>
      <c r="AD196" s="50" t="n"/>
      <c r="AE196" s="50" t="n"/>
      <c r="AF196" s="50" t="n"/>
      <c r="AG196" s="50" t="n"/>
      <c r="AH196" s="50" t="n"/>
      <c r="AI196" s="50" t="n"/>
      <c r="AJ196" s="50" t="n"/>
      <c r="AK196" s="50" t="n"/>
      <c r="AL196" s="50" t="n"/>
      <c r="AM196" s="50" t="n"/>
      <c r="AN196" s="50" t="n"/>
      <c r="AO196" s="50" t="n"/>
      <c r="AP196" s="50" t="n"/>
      <c r="AQ196" s="50" t="n"/>
      <c r="AR196" s="50" t="n"/>
      <c r="AS196" s="50" t="n"/>
      <c r="AT196" s="50" t="n"/>
      <c r="AU196" s="50" t="n"/>
      <c r="AV196" s="50" t="n"/>
      <c r="AW196" s="50" t="n"/>
      <c r="AX196" s="50" t="n"/>
      <c r="AY196" s="50" t="n"/>
      <c r="AZ196" s="50" t="n"/>
      <c r="BA196" s="50" t="n"/>
      <c r="BB196" s="50" t="n"/>
      <c r="BC196" s="50" t="n"/>
      <c r="BD196" s="50" t="n"/>
      <c r="BE196" s="50" t="n"/>
      <c r="BF196" s="50" t="n"/>
      <c r="BG196" s="50" t="n"/>
      <c r="BH196" s="50" t="n"/>
      <c r="BI196" s="50" t="n"/>
      <c r="BJ196" s="50" t="n"/>
      <c r="BK196" s="50" t="n"/>
      <c r="BL196" s="50" t="n"/>
      <c r="BM196" s="50" t="n"/>
      <c r="BN196" s="50" t="n"/>
      <c r="BO196" s="50" t="n"/>
      <c r="BP196" s="50" t="n"/>
      <c r="BQ196" s="50" t="n"/>
      <c r="BR196" s="50" t="n"/>
      <c r="BS196" s="50" t="n"/>
      <c r="BT196" s="50" t="n"/>
      <c r="BU196" s="50" t="n"/>
      <c r="BV196" s="50" t="n"/>
      <c r="BW196" s="50" t="n"/>
      <c r="BX196" s="50" t="n"/>
      <c r="BY196" s="50" t="n"/>
      <c r="BZ196" s="50" t="n"/>
      <c r="CA196" s="50" t="n"/>
      <c r="CB196" s="50" t="n"/>
      <c r="CC196" s="50" t="n"/>
      <c r="CD196" s="50" t="n"/>
      <c r="CE196" s="50" t="n"/>
      <c r="CF196" s="50" t="n"/>
      <c r="CG196" s="50" t="n"/>
      <c r="CH196" s="50" t="n"/>
      <c r="CI196" s="50" t="n"/>
      <c r="CJ196" s="50" t="n"/>
      <c r="CK196" s="50" t="n"/>
      <c r="CL196" s="50" t="n"/>
      <c r="CM196" s="50" t="n"/>
      <c r="CN196" s="50" t="n"/>
      <c r="CO196" s="50" t="n"/>
      <c r="CP196" s="50" t="n"/>
      <c r="CQ196" s="50" t="n"/>
      <c r="CR196" s="50" t="n"/>
      <c r="CS196" s="50" t="n"/>
      <c r="CT196" s="50" t="n"/>
      <c r="CU196" s="50" t="n"/>
      <c r="CV196" s="50" t="n"/>
      <c r="CW196" s="50" t="n"/>
      <c r="CX196" s="50" t="n"/>
      <c r="CY196" s="50" t="n"/>
      <c r="CZ196" s="50" t="n"/>
      <c r="DA196" s="50" t="n"/>
      <c r="DB196" s="50" t="n"/>
      <c r="DC196" s="50" t="n"/>
      <c r="DD196" s="50" t="n"/>
      <c r="DE196" s="50" t="n"/>
      <c r="DF196" s="50" t="n"/>
      <c r="DG196" s="50" t="n"/>
      <c r="DH196" s="50" t="n"/>
      <c r="DI196" s="50" t="n"/>
      <c r="DJ196" s="50" t="n"/>
      <c r="DK196" s="50" t="n"/>
      <c r="DL196" s="50" t="n"/>
      <c r="DM196" s="50" t="n"/>
      <c r="DN196" s="50" t="n"/>
      <c r="DO196" s="50" t="n"/>
      <c r="DP196" s="50" t="n"/>
      <c r="DQ196" s="50" t="n"/>
      <c r="DR196" s="50" t="n"/>
      <c r="DS196" s="50" t="n"/>
      <c r="DT196" s="50" t="n"/>
      <c r="DU196" s="50" t="n"/>
      <c r="DV196" s="50" t="n"/>
    </row>
    <row r="197">
      <c r="A197" s="47">
        <f>IF(Mitarbeiter!B197="","",Mitarbeiter!A197)</f>
        <v/>
      </c>
      <c r="B197" s="48">
        <f>IF(Mitarbeiter!B197="","",Mitarbeiter!B197)</f>
        <v/>
      </c>
      <c r="C197" s="49">
        <f>IF(Mitarbeiter!B197="","",Mitarbeiter!F197)</f>
        <v/>
      </c>
      <c r="D197" s="25">
        <f>IF(Mitarbeiter!B197="","",Berechnung!AD197)</f>
        <v/>
      </c>
      <c r="E197" s="25">
        <f>IF(Mitarbeiter!B197="","",SUM(G197:DV197))</f>
        <v/>
      </c>
      <c r="G197" s="50" t="n"/>
      <c r="H197" s="50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0" t="n"/>
      <c r="T197" s="50" t="n"/>
      <c r="U197" s="50" t="n"/>
      <c r="V197" s="50" t="n"/>
      <c r="W197" s="50" t="n"/>
      <c r="X197" s="50" t="n"/>
      <c r="Y197" s="50" t="n"/>
      <c r="Z197" s="50" t="n"/>
      <c r="AA197" s="50" t="n"/>
      <c r="AB197" s="50" t="n"/>
      <c r="AC197" s="50" t="n"/>
      <c r="AD197" s="50" t="n"/>
      <c r="AE197" s="50" t="n"/>
      <c r="AF197" s="50" t="n"/>
      <c r="AG197" s="50" t="n"/>
      <c r="AH197" s="50" t="n"/>
      <c r="AI197" s="50" t="n"/>
      <c r="AJ197" s="50" t="n"/>
      <c r="AK197" s="50" t="n"/>
      <c r="AL197" s="50" t="n"/>
      <c r="AM197" s="50" t="n"/>
      <c r="AN197" s="50" t="n"/>
      <c r="AO197" s="50" t="n"/>
      <c r="AP197" s="50" t="n"/>
      <c r="AQ197" s="50" t="n"/>
      <c r="AR197" s="50" t="n"/>
      <c r="AS197" s="50" t="n"/>
      <c r="AT197" s="50" t="n"/>
      <c r="AU197" s="50" t="n"/>
      <c r="AV197" s="50" t="n"/>
      <c r="AW197" s="50" t="n"/>
      <c r="AX197" s="50" t="n"/>
      <c r="AY197" s="50" t="n"/>
      <c r="AZ197" s="50" t="n"/>
      <c r="BA197" s="50" t="n"/>
      <c r="BB197" s="50" t="n"/>
      <c r="BC197" s="50" t="n"/>
      <c r="BD197" s="50" t="n"/>
      <c r="BE197" s="50" t="n"/>
      <c r="BF197" s="50" t="n"/>
      <c r="BG197" s="50" t="n"/>
      <c r="BH197" s="50" t="n"/>
      <c r="BI197" s="50" t="n"/>
      <c r="BJ197" s="50" t="n"/>
      <c r="BK197" s="50" t="n"/>
      <c r="BL197" s="50" t="n"/>
      <c r="BM197" s="50" t="n"/>
      <c r="BN197" s="50" t="n"/>
      <c r="BO197" s="50" t="n"/>
      <c r="BP197" s="50" t="n"/>
      <c r="BQ197" s="50" t="n"/>
      <c r="BR197" s="50" t="n"/>
      <c r="BS197" s="50" t="n"/>
      <c r="BT197" s="50" t="n"/>
      <c r="BU197" s="50" t="n"/>
      <c r="BV197" s="50" t="n"/>
      <c r="BW197" s="50" t="n"/>
      <c r="BX197" s="50" t="n"/>
      <c r="BY197" s="50" t="n"/>
      <c r="BZ197" s="50" t="n"/>
      <c r="CA197" s="50" t="n"/>
      <c r="CB197" s="50" t="n"/>
      <c r="CC197" s="50" t="n"/>
      <c r="CD197" s="50" t="n"/>
      <c r="CE197" s="50" t="n"/>
      <c r="CF197" s="50" t="n"/>
      <c r="CG197" s="50" t="n"/>
      <c r="CH197" s="50" t="n"/>
      <c r="CI197" s="50" t="n"/>
      <c r="CJ197" s="50" t="n"/>
      <c r="CK197" s="50" t="n"/>
      <c r="CL197" s="50" t="n"/>
      <c r="CM197" s="50" t="n"/>
      <c r="CN197" s="50" t="n"/>
      <c r="CO197" s="50" t="n"/>
      <c r="CP197" s="50" t="n"/>
      <c r="CQ197" s="50" t="n"/>
      <c r="CR197" s="50" t="n"/>
      <c r="CS197" s="50" t="n"/>
      <c r="CT197" s="50" t="n"/>
      <c r="CU197" s="50" t="n"/>
      <c r="CV197" s="50" t="n"/>
      <c r="CW197" s="50" t="n"/>
      <c r="CX197" s="50" t="n"/>
      <c r="CY197" s="50" t="n"/>
      <c r="CZ197" s="50" t="n"/>
      <c r="DA197" s="50" t="n"/>
      <c r="DB197" s="50" t="n"/>
      <c r="DC197" s="50" t="n"/>
      <c r="DD197" s="50" t="n"/>
      <c r="DE197" s="50" t="n"/>
      <c r="DF197" s="50" t="n"/>
      <c r="DG197" s="50" t="n"/>
      <c r="DH197" s="50" t="n"/>
      <c r="DI197" s="50" t="n"/>
      <c r="DJ197" s="50" t="n"/>
      <c r="DK197" s="50" t="n"/>
      <c r="DL197" s="50" t="n"/>
      <c r="DM197" s="50" t="n"/>
      <c r="DN197" s="50" t="n"/>
      <c r="DO197" s="50" t="n"/>
      <c r="DP197" s="50" t="n"/>
      <c r="DQ197" s="50" t="n"/>
      <c r="DR197" s="50" t="n"/>
      <c r="DS197" s="50" t="n"/>
      <c r="DT197" s="50" t="n"/>
      <c r="DU197" s="50" t="n"/>
      <c r="DV197" s="50" t="n"/>
    </row>
    <row r="198">
      <c r="A198" s="47">
        <f>IF(Mitarbeiter!B198="","",Mitarbeiter!A198)</f>
        <v/>
      </c>
      <c r="B198" s="48">
        <f>IF(Mitarbeiter!B198="","",Mitarbeiter!B198)</f>
        <v/>
      </c>
      <c r="C198" s="49">
        <f>IF(Mitarbeiter!B198="","",Mitarbeiter!F198)</f>
        <v/>
      </c>
      <c r="D198" s="25">
        <f>IF(Mitarbeiter!B198="","",Berechnung!AD198)</f>
        <v/>
      </c>
      <c r="E198" s="25">
        <f>IF(Mitarbeiter!B198="","",SUM(G198:DV198))</f>
        <v/>
      </c>
      <c r="G198" s="50" t="n"/>
      <c r="H198" s="50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0" t="n"/>
      <c r="T198" s="50" t="n"/>
      <c r="U198" s="50" t="n"/>
      <c r="V198" s="50" t="n"/>
      <c r="W198" s="50" t="n"/>
      <c r="X198" s="50" t="n"/>
      <c r="Y198" s="50" t="n"/>
      <c r="Z198" s="50" t="n"/>
      <c r="AA198" s="50" t="n"/>
      <c r="AB198" s="50" t="n"/>
      <c r="AC198" s="50" t="n"/>
      <c r="AD198" s="50" t="n"/>
      <c r="AE198" s="50" t="n"/>
      <c r="AF198" s="50" t="n"/>
      <c r="AG198" s="50" t="n"/>
      <c r="AH198" s="50" t="n"/>
      <c r="AI198" s="50" t="n"/>
      <c r="AJ198" s="50" t="n"/>
      <c r="AK198" s="50" t="n"/>
      <c r="AL198" s="50" t="n"/>
      <c r="AM198" s="50" t="n"/>
      <c r="AN198" s="50" t="n"/>
      <c r="AO198" s="50" t="n"/>
      <c r="AP198" s="50" t="n"/>
      <c r="AQ198" s="50" t="n"/>
      <c r="AR198" s="50" t="n"/>
      <c r="AS198" s="50" t="n"/>
      <c r="AT198" s="50" t="n"/>
      <c r="AU198" s="50" t="n"/>
      <c r="AV198" s="50" t="n"/>
      <c r="AW198" s="50" t="n"/>
      <c r="AX198" s="50" t="n"/>
      <c r="AY198" s="50" t="n"/>
      <c r="AZ198" s="50" t="n"/>
      <c r="BA198" s="50" t="n"/>
      <c r="BB198" s="50" t="n"/>
      <c r="BC198" s="50" t="n"/>
      <c r="BD198" s="50" t="n"/>
      <c r="BE198" s="50" t="n"/>
      <c r="BF198" s="50" t="n"/>
      <c r="BG198" s="50" t="n"/>
      <c r="BH198" s="50" t="n"/>
      <c r="BI198" s="50" t="n"/>
      <c r="BJ198" s="50" t="n"/>
      <c r="BK198" s="50" t="n"/>
      <c r="BL198" s="50" t="n"/>
      <c r="BM198" s="50" t="n"/>
      <c r="BN198" s="50" t="n"/>
      <c r="BO198" s="50" t="n"/>
      <c r="BP198" s="50" t="n"/>
      <c r="BQ198" s="50" t="n"/>
      <c r="BR198" s="50" t="n"/>
      <c r="BS198" s="50" t="n"/>
      <c r="BT198" s="50" t="n"/>
      <c r="BU198" s="50" t="n"/>
      <c r="BV198" s="50" t="n"/>
      <c r="BW198" s="50" t="n"/>
      <c r="BX198" s="50" t="n"/>
      <c r="BY198" s="50" t="n"/>
      <c r="BZ198" s="50" t="n"/>
      <c r="CA198" s="50" t="n"/>
      <c r="CB198" s="50" t="n"/>
      <c r="CC198" s="50" t="n"/>
      <c r="CD198" s="50" t="n"/>
      <c r="CE198" s="50" t="n"/>
      <c r="CF198" s="50" t="n"/>
      <c r="CG198" s="50" t="n"/>
      <c r="CH198" s="50" t="n"/>
      <c r="CI198" s="50" t="n"/>
      <c r="CJ198" s="50" t="n"/>
      <c r="CK198" s="50" t="n"/>
      <c r="CL198" s="50" t="n"/>
      <c r="CM198" s="50" t="n"/>
      <c r="CN198" s="50" t="n"/>
      <c r="CO198" s="50" t="n"/>
      <c r="CP198" s="50" t="n"/>
      <c r="CQ198" s="50" t="n"/>
      <c r="CR198" s="50" t="n"/>
      <c r="CS198" s="50" t="n"/>
      <c r="CT198" s="50" t="n"/>
      <c r="CU198" s="50" t="n"/>
      <c r="CV198" s="50" t="n"/>
      <c r="CW198" s="50" t="n"/>
      <c r="CX198" s="50" t="n"/>
      <c r="CY198" s="50" t="n"/>
      <c r="CZ198" s="50" t="n"/>
      <c r="DA198" s="50" t="n"/>
      <c r="DB198" s="50" t="n"/>
      <c r="DC198" s="50" t="n"/>
      <c r="DD198" s="50" t="n"/>
      <c r="DE198" s="50" t="n"/>
      <c r="DF198" s="50" t="n"/>
      <c r="DG198" s="50" t="n"/>
      <c r="DH198" s="50" t="n"/>
      <c r="DI198" s="50" t="n"/>
      <c r="DJ198" s="50" t="n"/>
      <c r="DK198" s="50" t="n"/>
      <c r="DL198" s="50" t="n"/>
      <c r="DM198" s="50" t="n"/>
      <c r="DN198" s="50" t="n"/>
      <c r="DO198" s="50" t="n"/>
      <c r="DP198" s="50" t="n"/>
      <c r="DQ198" s="50" t="n"/>
      <c r="DR198" s="50" t="n"/>
      <c r="DS198" s="50" t="n"/>
      <c r="DT198" s="50" t="n"/>
      <c r="DU198" s="50" t="n"/>
      <c r="DV198" s="50" t="n"/>
    </row>
    <row r="199">
      <c r="A199" s="47">
        <f>IF(Mitarbeiter!B199="","",Mitarbeiter!A199)</f>
        <v/>
      </c>
      <c r="B199" s="48">
        <f>IF(Mitarbeiter!B199="","",Mitarbeiter!B199)</f>
        <v/>
      </c>
      <c r="C199" s="49">
        <f>IF(Mitarbeiter!B199="","",Mitarbeiter!F199)</f>
        <v/>
      </c>
      <c r="D199" s="25">
        <f>IF(Mitarbeiter!B199="","",Berechnung!AD199)</f>
        <v/>
      </c>
      <c r="E199" s="25">
        <f>IF(Mitarbeiter!B199="","",SUM(G199:DV199))</f>
        <v/>
      </c>
      <c r="G199" s="50" t="n"/>
      <c r="H199" s="50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0" t="n"/>
      <c r="T199" s="50" t="n"/>
      <c r="U199" s="50" t="n"/>
      <c r="V199" s="50" t="n"/>
      <c r="W199" s="50" t="n"/>
      <c r="X199" s="50" t="n"/>
      <c r="Y199" s="50" t="n"/>
      <c r="Z199" s="50" t="n"/>
      <c r="AA199" s="50" t="n"/>
      <c r="AB199" s="50" t="n"/>
      <c r="AC199" s="50" t="n"/>
      <c r="AD199" s="50" t="n"/>
      <c r="AE199" s="50" t="n"/>
      <c r="AF199" s="50" t="n"/>
      <c r="AG199" s="50" t="n"/>
      <c r="AH199" s="50" t="n"/>
      <c r="AI199" s="50" t="n"/>
      <c r="AJ199" s="50" t="n"/>
      <c r="AK199" s="50" t="n"/>
      <c r="AL199" s="50" t="n"/>
      <c r="AM199" s="50" t="n"/>
      <c r="AN199" s="50" t="n"/>
      <c r="AO199" s="50" t="n"/>
      <c r="AP199" s="50" t="n"/>
      <c r="AQ199" s="50" t="n"/>
      <c r="AR199" s="50" t="n"/>
      <c r="AS199" s="50" t="n"/>
      <c r="AT199" s="50" t="n"/>
      <c r="AU199" s="50" t="n"/>
      <c r="AV199" s="50" t="n"/>
      <c r="AW199" s="50" t="n"/>
      <c r="AX199" s="50" t="n"/>
      <c r="AY199" s="50" t="n"/>
      <c r="AZ199" s="50" t="n"/>
      <c r="BA199" s="50" t="n"/>
      <c r="BB199" s="50" t="n"/>
      <c r="BC199" s="50" t="n"/>
      <c r="BD199" s="50" t="n"/>
      <c r="BE199" s="50" t="n"/>
      <c r="BF199" s="50" t="n"/>
      <c r="BG199" s="50" t="n"/>
      <c r="BH199" s="50" t="n"/>
      <c r="BI199" s="50" t="n"/>
      <c r="BJ199" s="50" t="n"/>
      <c r="BK199" s="50" t="n"/>
      <c r="BL199" s="50" t="n"/>
      <c r="BM199" s="50" t="n"/>
      <c r="BN199" s="50" t="n"/>
      <c r="BO199" s="50" t="n"/>
      <c r="BP199" s="50" t="n"/>
      <c r="BQ199" s="50" t="n"/>
      <c r="BR199" s="50" t="n"/>
      <c r="BS199" s="50" t="n"/>
      <c r="BT199" s="50" t="n"/>
      <c r="BU199" s="50" t="n"/>
      <c r="BV199" s="50" t="n"/>
      <c r="BW199" s="50" t="n"/>
      <c r="BX199" s="50" t="n"/>
      <c r="BY199" s="50" t="n"/>
      <c r="BZ199" s="50" t="n"/>
      <c r="CA199" s="50" t="n"/>
      <c r="CB199" s="50" t="n"/>
      <c r="CC199" s="50" t="n"/>
      <c r="CD199" s="50" t="n"/>
      <c r="CE199" s="50" t="n"/>
      <c r="CF199" s="50" t="n"/>
      <c r="CG199" s="50" t="n"/>
      <c r="CH199" s="50" t="n"/>
      <c r="CI199" s="50" t="n"/>
      <c r="CJ199" s="50" t="n"/>
      <c r="CK199" s="50" t="n"/>
      <c r="CL199" s="50" t="n"/>
      <c r="CM199" s="50" t="n"/>
      <c r="CN199" s="50" t="n"/>
      <c r="CO199" s="50" t="n"/>
      <c r="CP199" s="50" t="n"/>
      <c r="CQ199" s="50" t="n"/>
      <c r="CR199" s="50" t="n"/>
      <c r="CS199" s="50" t="n"/>
      <c r="CT199" s="50" t="n"/>
      <c r="CU199" s="50" t="n"/>
      <c r="CV199" s="50" t="n"/>
      <c r="CW199" s="50" t="n"/>
      <c r="CX199" s="50" t="n"/>
      <c r="CY199" s="50" t="n"/>
      <c r="CZ199" s="50" t="n"/>
      <c r="DA199" s="50" t="n"/>
      <c r="DB199" s="50" t="n"/>
      <c r="DC199" s="50" t="n"/>
      <c r="DD199" s="50" t="n"/>
      <c r="DE199" s="50" t="n"/>
      <c r="DF199" s="50" t="n"/>
      <c r="DG199" s="50" t="n"/>
      <c r="DH199" s="50" t="n"/>
      <c r="DI199" s="50" t="n"/>
      <c r="DJ199" s="50" t="n"/>
      <c r="DK199" s="50" t="n"/>
      <c r="DL199" s="50" t="n"/>
      <c r="DM199" s="50" t="n"/>
      <c r="DN199" s="50" t="n"/>
      <c r="DO199" s="50" t="n"/>
      <c r="DP199" s="50" t="n"/>
      <c r="DQ199" s="50" t="n"/>
      <c r="DR199" s="50" t="n"/>
      <c r="DS199" s="50" t="n"/>
      <c r="DT199" s="50" t="n"/>
      <c r="DU199" s="50" t="n"/>
      <c r="DV199" s="50" t="n"/>
    </row>
    <row r="200">
      <c r="A200" s="47">
        <f>IF(Mitarbeiter!B200="","",Mitarbeiter!A200)</f>
        <v/>
      </c>
      <c r="B200" s="48">
        <f>IF(Mitarbeiter!B200="","",Mitarbeiter!B200)</f>
        <v/>
      </c>
      <c r="C200" s="49">
        <f>IF(Mitarbeiter!B200="","",Mitarbeiter!F200)</f>
        <v/>
      </c>
      <c r="D200" s="25">
        <f>IF(Mitarbeiter!B200="","",Berechnung!AD200)</f>
        <v/>
      </c>
      <c r="E200" s="25">
        <f>IF(Mitarbeiter!B200="","",SUM(G200:DV200))</f>
        <v/>
      </c>
      <c r="G200" s="50" t="n"/>
      <c r="H200" s="50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0" t="n"/>
      <c r="T200" s="50" t="n"/>
      <c r="U200" s="50" t="n"/>
      <c r="V200" s="50" t="n"/>
      <c r="W200" s="50" t="n"/>
      <c r="X200" s="50" t="n"/>
      <c r="Y200" s="50" t="n"/>
      <c r="Z200" s="50" t="n"/>
      <c r="AA200" s="50" t="n"/>
      <c r="AB200" s="50" t="n"/>
      <c r="AC200" s="50" t="n"/>
      <c r="AD200" s="50" t="n"/>
      <c r="AE200" s="50" t="n"/>
      <c r="AF200" s="50" t="n"/>
      <c r="AG200" s="50" t="n"/>
      <c r="AH200" s="50" t="n"/>
      <c r="AI200" s="50" t="n"/>
      <c r="AJ200" s="50" t="n"/>
      <c r="AK200" s="50" t="n"/>
      <c r="AL200" s="50" t="n"/>
      <c r="AM200" s="50" t="n"/>
      <c r="AN200" s="50" t="n"/>
      <c r="AO200" s="50" t="n"/>
      <c r="AP200" s="50" t="n"/>
      <c r="AQ200" s="50" t="n"/>
      <c r="AR200" s="50" t="n"/>
      <c r="AS200" s="50" t="n"/>
      <c r="AT200" s="50" t="n"/>
      <c r="AU200" s="50" t="n"/>
      <c r="AV200" s="50" t="n"/>
      <c r="AW200" s="50" t="n"/>
      <c r="AX200" s="50" t="n"/>
      <c r="AY200" s="50" t="n"/>
      <c r="AZ200" s="50" t="n"/>
      <c r="BA200" s="50" t="n"/>
      <c r="BB200" s="50" t="n"/>
      <c r="BC200" s="50" t="n"/>
      <c r="BD200" s="50" t="n"/>
      <c r="BE200" s="50" t="n"/>
      <c r="BF200" s="50" t="n"/>
      <c r="BG200" s="50" t="n"/>
      <c r="BH200" s="50" t="n"/>
      <c r="BI200" s="50" t="n"/>
      <c r="BJ200" s="50" t="n"/>
      <c r="BK200" s="50" t="n"/>
      <c r="BL200" s="50" t="n"/>
      <c r="BM200" s="50" t="n"/>
      <c r="BN200" s="50" t="n"/>
      <c r="BO200" s="50" t="n"/>
      <c r="BP200" s="50" t="n"/>
      <c r="BQ200" s="50" t="n"/>
      <c r="BR200" s="50" t="n"/>
      <c r="BS200" s="50" t="n"/>
      <c r="BT200" s="50" t="n"/>
      <c r="BU200" s="50" t="n"/>
      <c r="BV200" s="50" t="n"/>
      <c r="BW200" s="50" t="n"/>
      <c r="BX200" s="50" t="n"/>
      <c r="BY200" s="50" t="n"/>
      <c r="BZ200" s="50" t="n"/>
      <c r="CA200" s="50" t="n"/>
      <c r="CB200" s="50" t="n"/>
      <c r="CC200" s="50" t="n"/>
      <c r="CD200" s="50" t="n"/>
      <c r="CE200" s="50" t="n"/>
      <c r="CF200" s="50" t="n"/>
      <c r="CG200" s="50" t="n"/>
      <c r="CH200" s="50" t="n"/>
      <c r="CI200" s="50" t="n"/>
      <c r="CJ200" s="50" t="n"/>
      <c r="CK200" s="50" t="n"/>
      <c r="CL200" s="50" t="n"/>
      <c r="CM200" s="50" t="n"/>
      <c r="CN200" s="50" t="n"/>
      <c r="CO200" s="50" t="n"/>
      <c r="CP200" s="50" t="n"/>
      <c r="CQ200" s="50" t="n"/>
      <c r="CR200" s="50" t="n"/>
      <c r="CS200" s="50" t="n"/>
      <c r="CT200" s="50" t="n"/>
      <c r="CU200" s="50" t="n"/>
      <c r="CV200" s="50" t="n"/>
      <c r="CW200" s="50" t="n"/>
      <c r="CX200" s="50" t="n"/>
      <c r="CY200" s="50" t="n"/>
      <c r="CZ200" s="50" t="n"/>
      <c r="DA200" s="50" t="n"/>
      <c r="DB200" s="50" t="n"/>
      <c r="DC200" s="50" t="n"/>
      <c r="DD200" s="50" t="n"/>
      <c r="DE200" s="50" t="n"/>
      <c r="DF200" s="50" t="n"/>
      <c r="DG200" s="50" t="n"/>
      <c r="DH200" s="50" t="n"/>
      <c r="DI200" s="50" t="n"/>
      <c r="DJ200" s="50" t="n"/>
      <c r="DK200" s="50" t="n"/>
      <c r="DL200" s="50" t="n"/>
      <c r="DM200" s="50" t="n"/>
      <c r="DN200" s="50" t="n"/>
      <c r="DO200" s="50" t="n"/>
      <c r="DP200" s="50" t="n"/>
      <c r="DQ200" s="50" t="n"/>
      <c r="DR200" s="50" t="n"/>
      <c r="DS200" s="50" t="n"/>
      <c r="DT200" s="50" t="n"/>
      <c r="DU200" s="50" t="n"/>
      <c r="DV200" s="50" t="n"/>
    </row>
    <row r="201">
      <c r="A201" s="47">
        <f>IF(Mitarbeiter!B201="","",Mitarbeiter!A201)</f>
        <v/>
      </c>
      <c r="B201" s="48">
        <f>IF(Mitarbeiter!B201="","",Mitarbeiter!B201)</f>
        <v/>
      </c>
      <c r="C201" s="49">
        <f>IF(Mitarbeiter!B201="","",Mitarbeiter!F201)</f>
        <v/>
      </c>
      <c r="D201" s="25">
        <f>IF(Mitarbeiter!B201="","",Berechnung!AD201)</f>
        <v/>
      </c>
      <c r="E201" s="25">
        <f>IF(Mitarbeiter!B201="","",SUM(G201:DV201))</f>
        <v/>
      </c>
      <c r="G201" s="50" t="n"/>
      <c r="H201" s="50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0" t="n"/>
      <c r="T201" s="50" t="n"/>
      <c r="U201" s="50" t="n"/>
      <c r="V201" s="50" t="n"/>
      <c r="W201" s="50" t="n"/>
      <c r="X201" s="50" t="n"/>
      <c r="Y201" s="50" t="n"/>
      <c r="Z201" s="50" t="n"/>
      <c r="AA201" s="50" t="n"/>
      <c r="AB201" s="50" t="n"/>
      <c r="AC201" s="50" t="n"/>
      <c r="AD201" s="50" t="n"/>
      <c r="AE201" s="50" t="n"/>
      <c r="AF201" s="50" t="n"/>
      <c r="AG201" s="50" t="n"/>
      <c r="AH201" s="50" t="n"/>
      <c r="AI201" s="50" t="n"/>
      <c r="AJ201" s="50" t="n"/>
      <c r="AK201" s="50" t="n"/>
      <c r="AL201" s="50" t="n"/>
      <c r="AM201" s="50" t="n"/>
      <c r="AN201" s="50" t="n"/>
      <c r="AO201" s="50" t="n"/>
      <c r="AP201" s="50" t="n"/>
      <c r="AQ201" s="50" t="n"/>
      <c r="AR201" s="50" t="n"/>
      <c r="AS201" s="50" t="n"/>
      <c r="AT201" s="50" t="n"/>
      <c r="AU201" s="50" t="n"/>
      <c r="AV201" s="50" t="n"/>
      <c r="AW201" s="50" t="n"/>
      <c r="AX201" s="50" t="n"/>
      <c r="AY201" s="50" t="n"/>
      <c r="AZ201" s="50" t="n"/>
      <c r="BA201" s="50" t="n"/>
      <c r="BB201" s="50" t="n"/>
      <c r="BC201" s="50" t="n"/>
      <c r="BD201" s="50" t="n"/>
      <c r="BE201" s="50" t="n"/>
      <c r="BF201" s="50" t="n"/>
      <c r="BG201" s="50" t="n"/>
      <c r="BH201" s="50" t="n"/>
      <c r="BI201" s="50" t="n"/>
      <c r="BJ201" s="50" t="n"/>
      <c r="BK201" s="50" t="n"/>
      <c r="BL201" s="50" t="n"/>
      <c r="BM201" s="50" t="n"/>
      <c r="BN201" s="50" t="n"/>
      <c r="BO201" s="50" t="n"/>
      <c r="BP201" s="50" t="n"/>
      <c r="BQ201" s="50" t="n"/>
      <c r="BR201" s="50" t="n"/>
      <c r="BS201" s="50" t="n"/>
      <c r="BT201" s="50" t="n"/>
      <c r="BU201" s="50" t="n"/>
      <c r="BV201" s="50" t="n"/>
      <c r="BW201" s="50" t="n"/>
      <c r="BX201" s="50" t="n"/>
      <c r="BY201" s="50" t="n"/>
      <c r="BZ201" s="50" t="n"/>
      <c r="CA201" s="50" t="n"/>
      <c r="CB201" s="50" t="n"/>
      <c r="CC201" s="50" t="n"/>
      <c r="CD201" s="50" t="n"/>
      <c r="CE201" s="50" t="n"/>
      <c r="CF201" s="50" t="n"/>
      <c r="CG201" s="50" t="n"/>
      <c r="CH201" s="50" t="n"/>
      <c r="CI201" s="50" t="n"/>
      <c r="CJ201" s="50" t="n"/>
      <c r="CK201" s="50" t="n"/>
      <c r="CL201" s="50" t="n"/>
      <c r="CM201" s="50" t="n"/>
      <c r="CN201" s="50" t="n"/>
      <c r="CO201" s="50" t="n"/>
      <c r="CP201" s="50" t="n"/>
      <c r="CQ201" s="50" t="n"/>
      <c r="CR201" s="50" t="n"/>
      <c r="CS201" s="50" t="n"/>
      <c r="CT201" s="50" t="n"/>
      <c r="CU201" s="50" t="n"/>
      <c r="CV201" s="50" t="n"/>
      <c r="CW201" s="50" t="n"/>
      <c r="CX201" s="50" t="n"/>
      <c r="CY201" s="50" t="n"/>
      <c r="CZ201" s="50" t="n"/>
      <c r="DA201" s="50" t="n"/>
      <c r="DB201" s="50" t="n"/>
      <c r="DC201" s="50" t="n"/>
      <c r="DD201" s="50" t="n"/>
      <c r="DE201" s="50" t="n"/>
      <c r="DF201" s="50" t="n"/>
      <c r="DG201" s="50" t="n"/>
      <c r="DH201" s="50" t="n"/>
      <c r="DI201" s="50" t="n"/>
      <c r="DJ201" s="50" t="n"/>
      <c r="DK201" s="50" t="n"/>
      <c r="DL201" s="50" t="n"/>
      <c r="DM201" s="50" t="n"/>
      <c r="DN201" s="50" t="n"/>
      <c r="DO201" s="50" t="n"/>
      <c r="DP201" s="50" t="n"/>
      <c r="DQ201" s="50" t="n"/>
      <c r="DR201" s="50" t="n"/>
      <c r="DS201" s="50" t="n"/>
      <c r="DT201" s="50" t="n"/>
      <c r="DU201" s="50" t="n"/>
      <c r="DV201" s="50" t="n"/>
    </row>
    <row r="202">
      <c r="A202" s="47">
        <f>IF(Mitarbeiter!B202="","",Mitarbeiter!A202)</f>
        <v/>
      </c>
      <c r="B202" s="48">
        <f>IF(Mitarbeiter!B202="","",Mitarbeiter!B202)</f>
        <v/>
      </c>
      <c r="C202" s="49">
        <f>IF(Mitarbeiter!B202="","",Mitarbeiter!F202)</f>
        <v/>
      </c>
      <c r="D202" s="25">
        <f>IF(Mitarbeiter!B202="","",Berechnung!AD202)</f>
        <v/>
      </c>
      <c r="E202" s="25">
        <f>IF(Mitarbeiter!B202="","",SUM(G202:DV202))</f>
        <v/>
      </c>
      <c r="G202" s="50" t="n"/>
      <c r="H202" s="50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0" t="n"/>
      <c r="T202" s="50" t="n"/>
      <c r="U202" s="50" t="n"/>
      <c r="V202" s="50" t="n"/>
      <c r="W202" s="50" t="n"/>
      <c r="X202" s="50" t="n"/>
      <c r="Y202" s="50" t="n"/>
      <c r="Z202" s="50" t="n"/>
      <c r="AA202" s="50" t="n"/>
      <c r="AB202" s="50" t="n"/>
      <c r="AC202" s="50" t="n"/>
      <c r="AD202" s="50" t="n"/>
      <c r="AE202" s="50" t="n"/>
      <c r="AF202" s="50" t="n"/>
      <c r="AG202" s="50" t="n"/>
      <c r="AH202" s="50" t="n"/>
      <c r="AI202" s="50" t="n"/>
      <c r="AJ202" s="50" t="n"/>
      <c r="AK202" s="50" t="n"/>
      <c r="AL202" s="50" t="n"/>
      <c r="AM202" s="50" t="n"/>
      <c r="AN202" s="50" t="n"/>
      <c r="AO202" s="50" t="n"/>
      <c r="AP202" s="50" t="n"/>
      <c r="AQ202" s="50" t="n"/>
      <c r="AR202" s="50" t="n"/>
      <c r="AS202" s="50" t="n"/>
      <c r="AT202" s="50" t="n"/>
      <c r="AU202" s="50" t="n"/>
      <c r="AV202" s="50" t="n"/>
      <c r="AW202" s="50" t="n"/>
      <c r="AX202" s="50" t="n"/>
      <c r="AY202" s="50" t="n"/>
      <c r="AZ202" s="50" t="n"/>
      <c r="BA202" s="50" t="n"/>
      <c r="BB202" s="50" t="n"/>
      <c r="BC202" s="50" t="n"/>
      <c r="BD202" s="50" t="n"/>
      <c r="BE202" s="50" t="n"/>
      <c r="BF202" s="50" t="n"/>
      <c r="BG202" s="50" t="n"/>
      <c r="BH202" s="50" t="n"/>
      <c r="BI202" s="50" t="n"/>
      <c r="BJ202" s="50" t="n"/>
      <c r="BK202" s="50" t="n"/>
      <c r="BL202" s="50" t="n"/>
      <c r="BM202" s="50" t="n"/>
      <c r="BN202" s="50" t="n"/>
      <c r="BO202" s="50" t="n"/>
      <c r="BP202" s="50" t="n"/>
      <c r="BQ202" s="50" t="n"/>
      <c r="BR202" s="50" t="n"/>
      <c r="BS202" s="50" t="n"/>
      <c r="BT202" s="50" t="n"/>
      <c r="BU202" s="50" t="n"/>
      <c r="BV202" s="50" t="n"/>
      <c r="BW202" s="50" t="n"/>
      <c r="BX202" s="50" t="n"/>
      <c r="BY202" s="50" t="n"/>
      <c r="BZ202" s="50" t="n"/>
      <c r="CA202" s="50" t="n"/>
      <c r="CB202" s="50" t="n"/>
      <c r="CC202" s="50" t="n"/>
      <c r="CD202" s="50" t="n"/>
      <c r="CE202" s="50" t="n"/>
      <c r="CF202" s="50" t="n"/>
      <c r="CG202" s="50" t="n"/>
      <c r="CH202" s="50" t="n"/>
      <c r="CI202" s="50" t="n"/>
      <c r="CJ202" s="50" t="n"/>
      <c r="CK202" s="50" t="n"/>
      <c r="CL202" s="50" t="n"/>
      <c r="CM202" s="50" t="n"/>
      <c r="CN202" s="50" t="n"/>
      <c r="CO202" s="50" t="n"/>
      <c r="CP202" s="50" t="n"/>
      <c r="CQ202" s="50" t="n"/>
      <c r="CR202" s="50" t="n"/>
      <c r="CS202" s="50" t="n"/>
      <c r="CT202" s="50" t="n"/>
      <c r="CU202" s="50" t="n"/>
      <c r="CV202" s="50" t="n"/>
      <c r="CW202" s="50" t="n"/>
      <c r="CX202" s="50" t="n"/>
      <c r="CY202" s="50" t="n"/>
      <c r="CZ202" s="50" t="n"/>
      <c r="DA202" s="50" t="n"/>
      <c r="DB202" s="50" t="n"/>
      <c r="DC202" s="50" t="n"/>
      <c r="DD202" s="50" t="n"/>
      <c r="DE202" s="50" t="n"/>
      <c r="DF202" s="50" t="n"/>
      <c r="DG202" s="50" t="n"/>
      <c r="DH202" s="50" t="n"/>
      <c r="DI202" s="50" t="n"/>
      <c r="DJ202" s="50" t="n"/>
      <c r="DK202" s="50" t="n"/>
      <c r="DL202" s="50" t="n"/>
      <c r="DM202" s="50" t="n"/>
      <c r="DN202" s="50" t="n"/>
      <c r="DO202" s="50" t="n"/>
      <c r="DP202" s="50" t="n"/>
      <c r="DQ202" s="50" t="n"/>
      <c r="DR202" s="50" t="n"/>
      <c r="DS202" s="50" t="n"/>
      <c r="DT202" s="50" t="n"/>
      <c r="DU202" s="50" t="n"/>
      <c r="DV202" s="50" t="n"/>
    </row>
    <row r="203">
      <c r="A203" s="47">
        <f>IF(Mitarbeiter!B203="","",Mitarbeiter!A203)</f>
        <v/>
      </c>
      <c r="B203" s="48">
        <f>IF(Mitarbeiter!B203="","",Mitarbeiter!B203)</f>
        <v/>
      </c>
      <c r="C203" s="49">
        <f>IF(Mitarbeiter!B203="","",Mitarbeiter!F203)</f>
        <v/>
      </c>
      <c r="D203" s="25">
        <f>IF(Mitarbeiter!B203="","",Berechnung!AD203)</f>
        <v/>
      </c>
      <c r="E203" s="25">
        <f>IF(Mitarbeiter!B203="","",SUM(G203:DV203))</f>
        <v/>
      </c>
      <c r="G203" s="50" t="n"/>
      <c r="H203" s="50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0" t="n"/>
      <c r="T203" s="50" t="n"/>
      <c r="U203" s="50" t="n"/>
      <c r="V203" s="50" t="n"/>
      <c r="W203" s="50" t="n"/>
      <c r="X203" s="50" t="n"/>
      <c r="Y203" s="50" t="n"/>
      <c r="Z203" s="50" t="n"/>
      <c r="AA203" s="50" t="n"/>
      <c r="AB203" s="50" t="n"/>
      <c r="AC203" s="50" t="n"/>
      <c r="AD203" s="50" t="n"/>
      <c r="AE203" s="50" t="n"/>
      <c r="AF203" s="50" t="n"/>
      <c r="AG203" s="50" t="n"/>
      <c r="AH203" s="50" t="n"/>
      <c r="AI203" s="50" t="n"/>
      <c r="AJ203" s="50" t="n"/>
      <c r="AK203" s="50" t="n"/>
      <c r="AL203" s="50" t="n"/>
      <c r="AM203" s="50" t="n"/>
      <c r="AN203" s="50" t="n"/>
      <c r="AO203" s="50" t="n"/>
      <c r="AP203" s="50" t="n"/>
      <c r="AQ203" s="50" t="n"/>
      <c r="AR203" s="50" t="n"/>
      <c r="AS203" s="50" t="n"/>
      <c r="AT203" s="50" t="n"/>
      <c r="AU203" s="50" t="n"/>
      <c r="AV203" s="50" t="n"/>
      <c r="AW203" s="50" t="n"/>
      <c r="AX203" s="50" t="n"/>
      <c r="AY203" s="50" t="n"/>
      <c r="AZ203" s="50" t="n"/>
      <c r="BA203" s="50" t="n"/>
      <c r="BB203" s="50" t="n"/>
      <c r="BC203" s="50" t="n"/>
      <c r="BD203" s="50" t="n"/>
      <c r="BE203" s="50" t="n"/>
      <c r="BF203" s="50" t="n"/>
      <c r="BG203" s="50" t="n"/>
      <c r="BH203" s="50" t="n"/>
      <c r="BI203" s="50" t="n"/>
      <c r="BJ203" s="50" t="n"/>
      <c r="BK203" s="50" t="n"/>
      <c r="BL203" s="50" t="n"/>
      <c r="BM203" s="50" t="n"/>
      <c r="BN203" s="50" t="n"/>
      <c r="BO203" s="50" t="n"/>
      <c r="BP203" s="50" t="n"/>
      <c r="BQ203" s="50" t="n"/>
      <c r="BR203" s="50" t="n"/>
      <c r="BS203" s="50" t="n"/>
      <c r="BT203" s="50" t="n"/>
      <c r="BU203" s="50" t="n"/>
      <c r="BV203" s="50" t="n"/>
      <c r="BW203" s="50" t="n"/>
      <c r="BX203" s="50" t="n"/>
      <c r="BY203" s="50" t="n"/>
      <c r="BZ203" s="50" t="n"/>
      <c r="CA203" s="50" t="n"/>
      <c r="CB203" s="50" t="n"/>
      <c r="CC203" s="50" t="n"/>
      <c r="CD203" s="50" t="n"/>
      <c r="CE203" s="50" t="n"/>
      <c r="CF203" s="50" t="n"/>
      <c r="CG203" s="50" t="n"/>
      <c r="CH203" s="50" t="n"/>
      <c r="CI203" s="50" t="n"/>
      <c r="CJ203" s="50" t="n"/>
      <c r="CK203" s="50" t="n"/>
      <c r="CL203" s="50" t="n"/>
      <c r="CM203" s="50" t="n"/>
      <c r="CN203" s="50" t="n"/>
      <c r="CO203" s="50" t="n"/>
      <c r="CP203" s="50" t="n"/>
      <c r="CQ203" s="50" t="n"/>
      <c r="CR203" s="50" t="n"/>
      <c r="CS203" s="50" t="n"/>
      <c r="CT203" s="50" t="n"/>
      <c r="CU203" s="50" t="n"/>
      <c r="CV203" s="50" t="n"/>
      <c r="CW203" s="50" t="n"/>
      <c r="CX203" s="50" t="n"/>
      <c r="CY203" s="50" t="n"/>
      <c r="CZ203" s="50" t="n"/>
      <c r="DA203" s="50" t="n"/>
      <c r="DB203" s="50" t="n"/>
      <c r="DC203" s="50" t="n"/>
      <c r="DD203" s="50" t="n"/>
      <c r="DE203" s="50" t="n"/>
      <c r="DF203" s="50" t="n"/>
      <c r="DG203" s="50" t="n"/>
      <c r="DH203" s="50" t="n"/>
      <c r="DI203" s="50" t="n"/>
      <c r="DJ203" s="50" t="n"/>
      <c r="DK203" s="50" t="n"/>
      <c r="DL203" s="50" t="n"/>
      <c r="DM203" s="50" t="n"/>
      <c r="DN203" s="50" t="n"/>
      <c r="DO203" s="50" t="n"/>
      <c r="DP203" s="50" t="n"/>
      <c r="DQ203" s="50" t="n"/>
      <c r="DR203" s="50" t="n"/>
      <c r="DS203" s="50" t="n"/>
      <c r="DT203" s="50" t="n"/>
      <c r="DU203" s="50" t="n"/>
      <c r="DV203" s="50" t="n"/>
    </row>
    <row r="204">
      <c r="A204" s="47">
        <f>IF(Mitarbeiter!B204="","",Mitarbeiter!A204)</f>
        <v/>
      </c>
      <c r="B204" s="48">
        <f>IF(Mitarbeiter!B204="","",Mitarbeiter!B204)</f>
        <v/>
      </c>
      <c r="C204" s="49">
        <f>IF(Mitarbeiter!B204="","",Mitarbeiter!F204)</f>
        <v/>
      </c>
      <c r="D204" s="25">
        <f>IF(Mitarbeiter!B204="","",Berechnung!AD204)</f>
        <v/>
      </c>
      <c r="E204" s="25">
        <f>IF(Mitarbeiter!B204="","",SUM(G204:DV204))</f>
        <v/>
      </c>
      <c r="G204" s="50" t="n"/>
      <c r="H204" s="50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0" t="n"/>
      <c r="T204" s="50" t="n"/>
      <c r="U204" s="50" t="n"/>
      <c r="V204" s="50" t="n"/>
      <c r="W204" s="50" t="n"/>
      <c r="X204" s="50" t="n"/>
      <c r="Y204" s="50" t="n"/>
      <c r="Z204" s="50" t="n"/>
      <c r="AA204" s="50" t="n"/>
      <c r="AB204" s="50" t="n"/>
      <c r="AC204" s="50" t="n"/>
      <c r="AD204" s="50" t="n"/>
      <c r="AE204" s="50" t="n"/>
      <c r="AF204" s="50" t="n"/>
      <c r="AG204" s="50" t="n"/>
      <c r="AH204" s="50" t="n"/>
      <c r="AI204" s="50" t="n"/>
      <c r="AJ204" s="50" t="n"/>
      <c r="AK204" s="50" t="n"/>
      <c r="AL204" s="50" t="n"/>
      <c r="AM204" s="50" t="n"/>
      <c r="AN204" s="50" t="n"/>
      <c r="AO204" s="50" t="n"/>
      <c r="AP204" s="50" t="n"/>
      <c r="AQ204" s="50" t="n"/>
      <c r="AR204" s="50" t="n"/>
      <c r="AS204" s="50" t="n"/>
      <c r="AT204" s="50" t="n"/>
      <c r="AU204" s="50" t="n"/>
      <c r="AV204" s="50" t="n"/>
      <c r="AW204" s="50" t="n"/>
      <c r="AX204" s="50" t="n"/>
      <c r="AY204" s="50" t="n"/>
      <c r="AZ204" s="50" t="n"/>
      <c r="BA204" s="50" t="n"/>
      <c r="BB204" s="50" t="n"/>
      <c r="BC204" s="50" t="n"/>
      <c r="BD204" s="50" t="n"/>
      <c r="BE204" s="50" t="n"/>
      <c r="BF204" s="50" t="n"/>
      <c r="BG204" s="50" t="n"/>
      <c r="BH204" s="50" t="n"/>
      <c r="BI204" s="50" t="n"/>
      <c r="BJ204" s="50" t="n"/>
      <c r="BK204" s="50" t="n"/>
      <c r="BL204" s="50" t="n"/>
      <c r="BM204" s="50" t="n"/>
      <c r="BN204" s="50" t="n"/>
      <c r="BO204" s="50" t="n"/>
      <c r="BP204" s="50" t="n"/>
      <c r="BQ204" s="50" t="n"/>
      <c r="BR204" s="50" t="n"/>
      <c r="BS204" s="50" t="n"/>
      <c r="BT204" s="50" t="n"/>
      <c r="BU204" s="50" t="n"/>
      <c r="BV204" s="50" t="n"/>
      <c r="BW204" s="50" t="n"/>
      <c r="BX204" s="50" t="n"/>
      <c r="BY204" s="50" t="n"/>
      <c r="BZ204" s="50" t="n"/>
      <c r="CA204" s="50" t="n"/>
      <c r="CB204" s="50" t="n"/>
      <c r="CC204" s="50" t="n"/>
      <c r="CD204" s="50" t="n"/>
      <c r="CE204" s="50" t="n"/>
      <c r="CF204" s="50" t="n"/>
      <c r="CG204" s="50" t="n"/>
      <c r="CH204" s="50" t="n"/>
      <c r="CI204" s="50" t="n"/>
      <c r="CJ204" s="50" t="n"/>
      <c r="CK204" s="50" t="n"/>
      <c r="CL204" s="50" t="n"/>
      <c r="CM204" s="50" t="n"/>
      <c r="CN204" s="50" t="n"/>
      <c r="CO204" s="50" t="n"/>
      <c r="CP204" s="50" t="n"/>
      <c r="CQ204" s="50" t="n"/>
      <c r="CR204" s="50" t="n"/>
      <c r="CS204" s="50" t="n"/>
      <c r="CT204" s="50" t="n"/>
      <c r="CU204" s="50" t="n"/>
      <c r="CV204" s="50" t="n"/>
      <c r="CW204" s="50" t="n"/>
      <c r="CX204" s="50" t="n"/>
      <c r="CY204" s="50" t="n"/>
      <c r="CZ204" s="50" t="n"/>
      <c r="DA204" s="50" t="n"/>
      <c r="DB204" s="50" t="n"/>
      <c r="DC204" s="50" t="n"/>
      <c r="DD204" s="50" t="n"/>
      <c r="DE204" s="50" t="n"/>
      <c r="DF204" s="50" t="n"/>
      <c r="DG204" s="50" t="n"/>
      <c r="DH204" s="50" t="n"/>
      <c r="DI204" s="50" t="n"/>
      <c r="DJ204" s="50" t="n"/>
      <c r="DK204" s="50" t="n"/>
      <c r="DL204" s="50" t="n"/>
      <c r="DM204" s="50" t="n"/>
      <c r="DN204" s="50" t="n"/>
      <c r="DO204" s="50" t="n"/>
      <c r="DP204" s="50" t="n"/>
      <c r="DQ204" s="50" t="n"/>
      <c r="DR204" s="50" t="n"/>
      <c r="DS204" s="50" t="n"/>
      <c r="DT204" s="50" t="n"/>
      <c r="DU204" s="50" t="n"/>
      <c r="DV204" s="50" t="n"/>
    </row>
    <row r="205">
      <c r="A205" s="47">
        <f>IF(Mitarbeiter!B205="","",Mitarbeiter!A205)</f>
        <v/>
      </c>
      <c r="B205" s="48">
        <f>IF(Mitarbeiter!B205="","",Mitarbeiter!B205)</f>
        <v/>
      </c>
      <c r="C205" s="49">
        <f>IF(Mitarbeiter!B205="","",Mitarbeiter!F205)</f>
        <v/>
      </c>
      <c r="D205" s="25">
        <f>IF(Mitarbeiter!B205="","",Berechnung!AD205)</f>
        <v/>
      </c>
      <c r="E205" s="25">
        <f>IF(Mitarbeiter!B205="","",SUM(G205:DV205))</f>
        <v/>
      </c>
      <c r="G205" s="50" t="n"/>
      <c r="H205" s="50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0" t="n"/>
      <c r="T205" s="50" t="n"/>
      <c r="U205" s="50" t="n"/>
      <c r="V205" s="50" t="n"/>
      <c r="W205" s="50" t="n"/>
      <c r="X205" s="50" t="n"/>
      <c r="Y205" s="50" t="n"/>
      <c r="Z205" s="50" t="n"/>
      <c r="AA205" s="50" t="n"/>
      <c r="AB205" s="50" t="n"/>
      <c r="AC205" s="50" t="n"/>
      <c r="AD205" s="50" t="n"/>
      <c r="AE205" s="50" t="n"/>
      <c r="AF205" s="50" t="n"/>
      <c r="AG205" s="50" t="n"/>
      <c r="AH205" s="50" t="n"/>
      <c r="AI205" s="50" t="n"/>
      <c r="AJ205" s="50" t="n"/>
      <c r="AK205" s="50" t="n"/>
      <c r="AL205" s="50" t="n"/>
      <c r="AM205" s="50" t="n"/>
      <c r="AN205" s="50" t="n"/>
      <c r="AO205" s="50" t="n"/>
      <c r="AP205" s="50" t="n"/>
      <c r="AQ205" s="50" t="n"/>
      <c r="AR205" s="50" t="n"/>
      <c r="AS205" s="50" t="n"/>
      <c r="AT205" s="50" t="n"/>
      <c r="AU205" s="50" t="n"/>
      <c r="AV205" s="50" t="n"/>
      <c r="AW205" s="50" t="n"/>
      <c r="AX205" s="50" t="n"/>
      <c r="AY205" s="50" t="n"/>
      <c r="AZ205" s="50" t="n"/>
      <c r="BA205" s="50" t="n"/>
      <c r="BB205" s="50" t="n"/>
      <c r="BC205" s="50" t="n"/>
      <c r="BD205" s="50" t="n"/>
      <c r="BE205" s="50" t="n"/>
      <c r="BF205" s="50" t="n"/>
      <c r="BG205" s="50" t="n"/>
      <c r="BH205" s="50" t="n"/>
      <c r="BI205" s="50" t="n"/>
      <c r="BJ205" s="50" t="n"/>
      <c r="BK205" s="50" t="n"/>
      <c r="BL205" s="50" t="n"/>
      <c r="BM205" s="50" t="n"/>
      <c r="BN205" s="50" t="n"/>
      <c r="BO205" s="50" t="n"/>
      <c r="BP205" s="50" t="n"/>
      <c r="BQ205" s="50" t="n"/>
      <c r="BR205" s="50" t="n"/>
      <c r="BS205" s="50" t="n"/>
      <c r="BT205" s="50" t="n"/>
      <c r="BU205" s="50" t="n"/>
      <c r="BV205" s="50" t="n"/>
      <c r="BW205" s="50" t="n"/>
      <c r="BX205" s="50" t="n"/>
      <c r="BY205" s="50" t="n"/>
      <c r="BZ205" s="50" t="n"/>
      <c r="CA205" s="50" t="n"/>
      <c r="CB205" s="50" t="n"/>
      <c r="CC205" s="50" t="n"/>
      <c r="CD205" s="50" t="n"/>
      <c r="CE205" s="50" t="n"/>
      <c r="CF205" s="50" t="n"/>
      <c r="CG205" s="50" t="n"/>
      <c r="CH205" s="50" t="n"/>
      <c r="CI205" s="50" t="n"/>
      <c r="CJ205" s="50" t="n"/>
      <c r="CK205" s="50" t="n"/>
      <c r="CL205" s="50" t="n"/>
      <c r="CM205" s="50" t="n"/>
      <c r="CN205" s="50" t="n"/>
      <c r="CO205" s="50" t="n"/>
      <c r="CP205" s="50" t="n"/>
      <c r="CQ205" s="50" t="n"/>
      <c r="CR205" s="50" t="n"/>
      <c r="CS205" s="50" t="n"/>
      <c r="CT205" s="50" t="n"/>
      <c r="CU205" s="50" t="n"/>
      <c r="CV205" s="50" t="n"/>
      <c r="CW205" s="50" t="n"/>
      <c r="CX205" s="50" t="n"/>
      <c r="CY205" s="50" t="n"/>
      <c r="CZ205" s="50" t="n"/>
      <c r="DA205" s="50" t="n"/>
      <c r="DB205" s="50" t="n"/>
      <c r="DC205" s="50" t="n"/>
      <c r="DD205" s="50" t="n"/>
      <c r="DE205" s="50" t="n"/>
      <c r="DF205" s="50" t="n"/>
      <c r="DG205" s="50" t="n"/>
      <c r="DH205" s="50" t="n"/>
      <c r="DI205" s="50" t="n"/>
      <c r="DJ205" s="50" t="n"/>
      <c r="DK205" s="50" t="n"/>
      <c r="DL205" s="50" t="n"/>
      <c r="DM205" s="50" t="n"/>
      <c r="DN205" s="50" t="n"/>
      <c r="DO205" s="50" t="n"/>
      <c r="DP205" s="50" t="n"/>
      <c r="DQ205" s="50" t="n"/>
      <c r="DR205" s="50" t="n"/>
      <c r="DS205" s="50" t="n"/>
      <c r="DT205" s="50" t="n"/>
      <c r="DU205" s="50" t="n"/>
      <c r="DV205" s="50" t="n"/>
    </row>
    <row r="206">
      <c r="A206" s="47">
        <f>IF(Mitarbeiter!B206="","",Mitarbeiter!A206)</f>
        <v/>
      </c>
      <c r="B206" s="48">
        <f>IF(Mitarbeiter!B206="","",Mitarbeiter!B206)</f>
        <v/>
      </c>
      <c r="C206" s="49">
        <f>IF(Mitarbeiter!B206="","",Mitarbeiter!F206)</f>
        <v/>
      </c>
      <c r="D206" s="25">
        <f>IF(Mitarbeiter!B206="","",Berechnung!AD206)</f>
        <v/>
      </c>
      <c r="E206" s="25">
        <f>IF(Mitarbeiter!B206="","",SUM(G206:DV206))</f>
        <v/>
      </c>
      <c r="G206" s="50" t="n"/>
      <c r="H206" s="50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0" t="n"/>
      <c r="T206" s="50" t="n"/>
      <c r="U206" s="50" t="n"/>
      <c r="V206" s="50" t="n"/>
      <c r="W206" s="50" t="n"/>
      <c r="X206" s="50" t="n"/>
      <c r="Y206" s="50" t="n"/>
      <c r="Z206" s="50" t="n"/>
      <c r="AA206" s="50" t="n"/>
      <c r="AB206" s="50" t="n"/>
      <c r="AC206" s="50" t="n"/>
      <c r="AD206" s="50" t="n"/>
      <c r="AE206" s="50" t="n"/>
      <c r="AF206" s="50" t="n"/>
      <c r="AG206" s="50" t="n"/>
      <c r="AH206" s="50" t="n"/>
      <c r="AI206" s="50" t="n"/>
      <c r="AJ206" s="50" t="n"/>
      <c r="AK206" s="50" t="n"/>
      <c r="AL206" s="50" t="n"/>
      <c r="AM206" s="50" t="n"/>
      <c r="AN206" s="50" t="n"/>
      <c r="AO206" s="50" t="n"/>
      <c r="AP206" s="50" t="n"/>
      <c r="AQ206" s="50" t="n"/>
      <c r="AR206" s="50" t="n"/>
      <c r="AS206" s="50" t="n"/>
      <c r="AT206" s="50" t="n"/>
      <c r="AU206" s="50" t="n"/>
      <c r="AV206" s="50" t="n"/>
      <c r="AW206" s="50" t="n"/>
      <c r="AX206" s="50" t="n"/>
      <c r="AY206" s="50" t="n"/>
      <c r="AZ206" s="50" t="n"/>
      <c r="BA206" s="50" t="n"/>
      <c r="BB206" s="50" t="n"/>
      <c r="BC206" s="50" t="n"/>
      <c r="BD206" s="50" t="n"/>
      <c r="BE206" s="50" t="n"/>
      <c r="BF206" s="50" t="n"/>
      <c r="BG206" s="50" t="n"/>
      <c r="BH206" s="50" t="n"/>
      <c r="BI206" s="50" t="n"/>
      <c r="BJ206" s="50" t="n"/>
      <c r="BK206" s="50" t="n"/>
      <c r="BL206" s="50" t="n"/>
      <c r="BM206" s="50" t="n"/>
      <c r="BN206" s="50" t="n"/>
      <c r="BO206" s="50" t="n"/>
      <c r="BP206" s="50" t="n"/>
      <c r="BQ206" s="50" t="n"/>
      <c r="BR206" s="50" t="n"/>
      <c r="BS206" s="50" t="n"/>
      <c r="BT206" s="50" t="n"/>
      <c r="BU206" s="50" t="n"/>
      <c r="BV206" s="50" t="n"/>
      <c r="BW206" s="50" t="n"/>
      <c r="BX206" s="50" t="n"/>
      <c r="BY206" s="50" t="n"/>
      <c r="BZ206" s="50" t="n"/>
      <c r="CA206" s="50" t="n"/>
      <c r="CB206" s="50" t="n"/>
      <c r="CC206" s="50" t="n"/>
      <c r="CD206" s="50" t="n"/>
      <c r="CE206" s="50" t="n"/>
      <c r="CF206" s="50" t="n"/>
      <c r="CG206" s="50" t="n"/>
      <c r="CH206" s="50" t="n"/>
      <c r="CI206" s="50" t="n"/>
      <c r="CJ206" s="50" t="n"/>
      <c r="CK206" s="50" t="n"/>
      <c r="CL206" s="50" t="n"/>
      <c r="CM206" s="50" t="n"/>
      <c r="CN206" s="50" t="n"/>
      <c r="CO206" s="50" t="n"/>
      <c r="CP206" s="50" t="n"/>
      <c r="CQ206" s="50" t="n"/>
      <c r="CR206" s="50" t="n"/>
      <c r="CS206" s="50" t="n"/>
      <c r="CT206" s="50" t="n"/>
      <c r="CU206" s="50" t="n"/>
      <c r="CV206" s="50" t="n"/>
      <c r="CW206" s="50" t="n"/>
      <c r="CX206" s="50" t="n"/>
      <c r="CY206" s="50" t="n"/>
      <c r="CZ206" s="50" t="n"/>
      <c r="DA206" s="50" t="n"/>
      <c r="DB206" s="50" t="n"/>
      <c r="DC206" s="50" t="n"/>
      <c r="DD206" s="50" t="n"/>
      <c r="DE206" s="50" t="n"/>
      <c r="DF206" s="50" t="n"/>
      <c r="DG206" s="50" t="n"/>
      <c r="DH206" s="50" t="n"/>
      <c r="DI206" s="50" t="n"/>
      <c r="DJ206" s="50" t="n"/>
      <c r="DK206" s="50" t="n"/>
      <c r="DL206" s="50" t="n"/>
      <c r="DM206" s="50" t="n"/>
      <c r="DN206" s="50" t="n"/>
      <c r="DO206" s="50" t="n"/>
      <c r="DP206" s="50" t="n"/>
      <c r="DQ206" s="50" t="n"/>
      <c r="DR206" s="50" t="n"/>
      <c r="DS206" s="50" t="n"/>
      <c r="DT206" s="50" t="n"/>
      <c r="DU206" s="50" t="n"/>
      <c r="DV206" s="50" t="n"/>
    </row>
    <row r="207">
      <c r="A207" s="47">
        <f>IF(Mitarbeiter!B207="","",Mitarbeiter!A207)</f>
        <v/>
      </c>
      <c r="B207" s="48">
        <f>IF(Mitarbeiter!B207="","",Mitarbeiter!B207)</f>
        <v/>
      </c>
      <c r="C207" s="49">
        <f>IF(Mitarbeiter!B207="","",Mitarbeiter!F207)</f>
        <v/>
      </c>
      <c r="D207" s="25">
        <f>IF(Mitarbeiter!B207="","",Berechnung!AD207)</f>
        <v/>
      </c>
      <c r="E207" s="25">
        <f>IF(Mitarbeiter!B207="","",SUM(G207:DV207))</f>
        <v/>
      </c>
      <c r="G207" s="50" t="n"/>
      <c r="H207" s="50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0" t="n"/>
      <c r="T207" s="50" t="n"/>
      <c r="U207" s="50" t="n"/>
      <c r="V207" s="50" t="n"/>
      <c r="W207" s="50" t="n"/>
      <c r="X207" s="50" t="n"/>
      <c r="Y207" s="50" t="n"/>
      <c r="Z207" s="50" t="n"/>
      <c r="AA207" s="50" t="n"/>
      <c r="AB207" s="50" t="n"/>
      <c r="AC207" s="50" t="n"/>
      <c r="AD207" s="50" t="n"/>
      <c r="AE207" s="50" t="n"/>
      <c r="AF207" s="50" t="n"/>
      <c r="AG207" s="50" t="n"/>
      <c r="AH207" s="50" t="n"/>
      <c r="AI207" s="50" t="n"/>
      <c r="AJ207" s="50" t="n"/>
      <c r="AK207" s="50" t="n"/>
      <c r="AL207" s="50" t="n"/>
      <c r="AM207" s="50" t="n"/>
      <c r="AN207" s="50" t="n"/>
      <c r="AO207" s="50" t="n"/>
      <c r="AP207" s="50" t="n"/>
      <c r="AQ207" s="50" t="n"/>
      <c r="AR207" s="50" t="n"/>
      <c r="AS207" s="50" t="n"/>
      <c r="AT207" s="50" t="n"/>
      <c r="AU207" s="50" t="n"/>
      <c r="AV207" s="50" t="n"/>
      <c r="AW207" s="50" t="n"/>
      <c r="AX207" s="50" t="n"/>
      <c r="AY207" s="50" t="n"/>
      <c r="AZ207" s="50" t="n"/>
      <c r="BA207" s="50" t="n"/>
      <c r="BB207" s="50" t="n"/>
      <c r="BC207" s="50" t="n"/>
      <c r="BD207" s="50" t="n"/>
      <c r="BE207" s="50" t="n"/>
      <c r="BF207" s="50" t="n"/>
      <c r="BG207" s="50" t="n"/>
      <c r="BH207" s="50" t="n"/>
      <c r="BI207" s="50" t="n"/>
      <c r="BJ207" s="50" t="n"/>
      <c r="BK207" s="50" t="n"/>
      <c r="BL207" s="50" t="n"/>
      <c r="BM207" s="50" t="n"/>
      <c r="BN207" s="50" t="n"/>
      <c r="BO207" s="50" t="n"/>
      <c r="BP207" s="50" t="n"/>
      <c r="BQ207" s="50" t="n"/>
      <c r="BR207" s="50" t="n"/>
      <c r="BS207" s="50" t="n"/>
      <c r="BT207" s="50" t="n"/>
      <c r="BU207" s="50" t="n"/>
      <c r="BV207" s="50" t="n"/>
      <c r="BW207" s="50" t="n"/>
      <c r="BX207" s="50" t="n"/>
      <c r="BY207" s="50" t="n"/>
      <c r="BZ207" s="50" t="n"/>
      <c r="CA207" s="50" t="n"/>
      <c r="CB207" s="50" t="n"/>
      <c r="CC207" s="50" t="n"/>
      <c r="CD207" s="50" t="n"/>
      <c r="CE207" s="50" t="n"/>
      <c r="CF207" s="50" t="n"/>
      <c r="CG207" s="50" t="n"/>
      <c r="CH207" s="50" t="n"/>
      <c r="CI207" s="50" t="n"/>
      <c r="CJ207" s="50" t="n"/>
      <c r="CK207" s="50" t="n"/>
      <c r="CL207" s="50" t="n"/>
      <c r="CM207" s="50" t="n"/>
      <c r="CN207" s="50" t="n"/>
      <c r="CO207" s="50" t="n"/>
      <c r="CP207" s="50" t="n"/>
      <c r="CQ207" s="50" t="n"/>
      <c r="CR207" s="50" t="n"/>
      <c r="CS207" s="50" t="n"/>
      <c r="CT207" s="50" t="n"/>
      <c r="CU207" s="50" t="n"/>
      <c r="CV207" s="50" t="n"/>
      <c r="CW207" s="50" t="n"/>
      <c r="CX207" s="50" t="n"/>
      <c r="CY207" s="50" t="n"/>
      <c r="CZ207" s="50" t="n"/>
      <c r="DA207" s="50" t="n"/>
      <c r="DB207" s="50" t="n"/>
      <c r="DC207" s="50" t="n"/>
      <c r="DD207" s="50" t="n"/>
      <c r="DE207" s="50" t="n"/>
      <c r="DF207" s="50" t="n"/>
      <c r="DG207" s="50" t="n"/>
      <c r="DH207" s="50" t="n"/>
      <c r="DI207" s="50" t="n"/>
      <c r="DJ207" s="50" t="n"/>
      <c r="DK207" s="50" t="n"/>
      <c r="DL207" s="50" t="n"/>
      <c r="DM207" s="50" t="n"/>
      <c r="DN207" s="50" t="n"/>
      <c r="DO207" s="50" t="n"/>
      <c r="DP207" s="50" t="n"/>
      <c r="DQ207" s="50" t="n"/>
      <c r="DR207" s="50" t="n"/>
      <c r="DS207" s="50" t="n"/>
      <c r="DT207" s="50" t="n"/>
      <c r="DU207" s="50" t="n"/>
      <c r="DV207" s="50" t="n"/>
    </row>
    <row r="208">
      <c r="A208" s="47">
        <f>IF(Mitarbeiter!B208="","",Mitarbeiter!A208)</f>
        <v/>
      </c>
      <c r="B208" s="48">
        <f>IF(Mitarbeiter!B208="","",Mitarbeiter!B208)</f>
        <v/>
      </c>
      <c r="C208" s="49">
        <f>IF(Mitarbeiter!B208="","",Mitarbeiter!F208)</f>
        <v/>
      </c>
      <c r="D208" s="25">
        <f>IF(Mitarbeiter!B208="","",Berechnung!AD208)</f>
        <v/>
      </c>
      <c r="E208" s="25">
        <f>IF(Mitarbeiter!B208="","",SUM(G208:DV208))</f>
        <v/>
      </c>
      <c r="G208" s="50" t="n"/>
      <c r="H208" s="50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0" t="n"/>
      <c r="T208" s="50" t="n"/>
      <c r="U208" s="50" t="n"/>
      <c r="V208" s="50" t="n"/>
      <c r="W208" s="50" t="n"/>
      <c r="X208" s="50" t="n"/>
      <c r="Y208" s="50" t="n"/>
      <c r="Z208" s="50" t="n"/>
      <c r="AA208" s="50" t="n"/>
      <c r="AB208" s="50" t="n"/>
      <c r="AC208" s="50" t="n"/>
      <c r="AD208" s="50" t="n"/>
      <c r="AE208" s="50" t="n"/>
      <c r="AF208" s="50" t="n"/>
      <c r="AG208" s="50" t="n"/>
      <c r="AH208" s="50" t="n"/>
      <c r="AI208" s="50" t="n"/>
      <c r="AJ208" s="50" t="n"/>
      <c r="AK208" s="50" t="n"/>
      <c r="AL208" s="50" t="n"/>
      <c r="AM208" s="50" t="n"/>
      <c r="AN208" s="50" t="n"/>
      <c r="AO208" s="50" t="n"/>
      <c r="AP208" s="50" t="n"/>
      <c r="AQ208" s="50" t="n"/>
      <c r="AR208" s="50" t="n"/>
      <c r="AS208" s="50" t="n"/>
      <c r="AT208" s="50" t="n"/>
      <c r="AU208" s="50" t="n"/>
      <c r="AV208" s="50" t="n"/>
      <c r="AW208" s="50" t="n"/>
      <c r="AX208" s="50" t="n"/>
      <c r="AY208" s="50" t="n"/>
      <c r="AZ208" s="50" t="n"/>
      <c r="BA208" s="50" t="n"/>
      <c r="BB208" s="50" t="n"/>
      <c r="BC208" s="50" t="n"/>
      <c r="BD208" s="50" t="n"/>
      <c r="BE208" s="50" t="n"/>
      <c r="BF208" s="50" t="n"/>
      <c r="BG208" s="50" t="n"/>
      <c r="BH208" s="50" t="n"/>
      <c r="BI208" s="50" t="n"/>
      <c r="BJ208" s="50" t="n"/>
      <c r="BK208" s="50" t="n"/>
      <c r="BL208" s="50" t="n"/>
      <c r="BM208" s="50" t="n"/>
      <c r="BN208" s="50" t="n"/>
      <c r="BO208" s="50" t="n"/>
      <c r="BP208" s="50" t="n"/>
      <c r="BQ208" s="50" t="n"/>
      <c r="BR208" s="50" t="n"/>
      <c r="BS208" s="50" t="n"/>
      <c r="BT208" s="50" t="n"/>
      <c r="BU208" s="50" t="n"/>
      <c r="BV208" s="50" t="n"/>
      <c r="BW208" s="50" t="n"/>
      <c r="BX208" s="50" t="n"/>
      <c r="BY208" s="50" t="n"/>
      <c r="BZ208" s="50" t="n"/>
      <c r="CA208" s="50" t="n"/>
      <c r="CB208" s="50" t="n"/>
      <c r="CC208" s="50" t="n"/>
      <c r="CD208" s="50" t="n"/>
      <c r="CE208" s="50" t="n"/>
      <c r="CF208" s="50" t="n"/>
      <c r="CG208" s="50" t="n"/>
      <c r="CH208" s="50" t="n"/>
      <c r="CI208" s="50" t="n"/>
      <c r="CJ208" s="50" t="n"/>
      <c r="CK208" s="50" t="n"/>
      <c r="CL208" s="50" t="n"/>
      <c r="CM208" s="50" t="n"/>
      <c r="CN208" s="50" t="n"/>
      <c r="CO208" s="50" t="n"/>
      <c r="CP208" s="50" t="n"/>
      <c r="CQ208" s="50" t="n"/>
      <c r="CR208" s="50" t="n"/>
      <c r="CS208" s="50" t="n"/>
      <c r="CT208" s="50" t="n"/>
      <c r="CU208" s="50" t="n"/>
      <c r="CV208" s="50" t="n"/>
      <c r="CW208" s="50" t="n"/>
      <c r="CX208" s="50" t="n"/>
      <c r="CY208" s="50" t="n"/>
      <c r="CZ208" s="50" t="n"/>
      <c r="DA208" s="50" t="n"/>
      <c r="DB208" s="50" t="n"/>
      <c r="DC208" s="50" t="n"/>
      <c r="DD208" s="50" t="n"/>
      <c r="DE208" s="50" t="n"/>
      <c r="DF208" s="50" t="n"/>
      <c r="DG208" s="50" t="n"/>
      <c r="DH208" s="50" t="n"/>
      <c r="DI208" s="50" t="n"/>
      <c r="DJ208" s="50" t="n"/>
      <c r="DK208" s="50" t="n"/>
      <c r="DL208" s="50" t="n"/>
      <c r="DM208" s="50" t="n"/>
      <c r="DN208" s="50" t="n"/>
      <c r="DO208" s="50" t="n"/>
      <c r="DP208" s="50" t="n"/>
      <c r="DQ208" s="50" t="n"/>
      <c r="DR208" s="50" t="n"/>
      <c r="DS208" s="50" t="n"/>
      <c r="DT208" s="50" t="n"/>
      <c r="DU208" s="50" t="n"/>
      <c r="DV208" s="50" t="n"/>
    </row>
    <row r="209">
      <c r="A209" s="47">
        <f>IF(Mitarbeiter!B209="","",Mitarbeiter!A209)</f>
        <v/>
      </c>
      <c r="B209" s="48">
        <f>IF(Mitarbeiter!B209="","",Mitarbeiter!B209)</f>
        <v/>
      </c>
      <c r="C209" s="49">
        <f>IF(Mitarbeiter!B209="","",Mitarbeiter!F209)</f>
        <v/>
      </c>
      <c r="D209" s="25">
        <f>IF(Mitarbeiter!B209="","",Berechnung!AD209)</f>
        <v/>
      </c>
      <c r="E209" s="25">
        <f>IF(Mitarbeiter!B209="","",SUM(G209:DV209))</f>
        <v/>
      </c>
      <c r="G209" s="50" t="n"/>
      <c r="H209" s="50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0" t="n"/>
      <c r="T209" s="50" t="n"/>
      <c r="U209" s="50" t="n"/>
      <c r="V209" s="50" t="n"/>
      <c r="W209" s="50" t="n"/>
      <c r="X209" s="50" t="n"/>
      <c r="Y209" s="50" t="n"/>
      <c r="Z209" s="50" t="n"/>
      <c r="AA209" s="50" t="n"/>
      <c r="AB209" s="50" t="n"/>
      <c r="AC209" s="50" t="n"/>
      <c r="AD209" s="50" t="n"/>
      <c r="AE209" s="50" t="n"/>
      <c r="AF209" s="50" t="n"/>
      <c r="AG209" s="50" t="n"/>
      <c r="AH209" s="50" t="n"/>
      <c r="AI209" s="50" t="n"/>
      <c r="AJ209" s="50" t="n"/>
      <c r="AK209" s="50" t="n"/>
      <c r="AL209" s="50" t="n"/>
      <c r="AM209" s="50" t="n"/>
      <c r="AN209" s="50" t="n"/>
      <c r="AO209" s="50" t="n"/>
      <c r="AP209" s="50" t="n"/>
      <c r="AQ209" s="50" t="n"/>
      <c r="AR209" s="50" t="n"/>
      <c r="AS209" s="50" t="n"/>
      <c r="AT209" s="50" t="n"/>
      <c r="AU209" s="50" t="n"/>
      <c r="AV209" s="50" t="n"/>
      <c r="AW209" s="50" t="n"/>
      <c r="AX209" s="50" t="n"/>
      <c r="AY209" s="50" t="n"/>
      <c r="AZ209" s="50" t="n"/>
      <c r="BA209" s="50" t="n"/>
      <c r="BB209" s="50" t="n"/>
      <c r="BC209" s="50" t="n"/>
      <c r="BD209" s="50" t="n"/>
      <c r="BE209" s="50" t="n"/>
      <c r="BF209" s="50" t="n"/>
      <c r="BG209" s="50" t="n"/>
      <c r="BH209" s="50" t="n"/>
      <c r="BI209" s="50" t="n"/>
      <c r="BJ209" s="50" t="n"/>
      <c r="BK209" s="50" t="n"/>
      <c r="BL209" s="50" t="n"/>
      <c r="BM209" s="50" t="n"/>
      <c r="BN209" s="50" t="n"/>
      <c r="BO209" s="50" t="n"/>
      <c r="BP209" s="50" t="n"/>
      <c r="BQ209" s="50" t="n"/>
      <c r="BR209" s="50" t="n"/>
      <c r="BS209" s="50" t="n"/>
      <c r="BT209" s="50" t="n"/>
      <c r="BU209" s="50" t="n"/>
      <c r="BV209" s="50" t="n"/>
      <c r="BW209" s="50" t="n"/>
      <c r="BX209" s="50" t="n"/>
      <c r="BY209" s="50" t="n"/>
      <c r="BZ209" s="50" t="n"/>
      <c r="CA209" s="50" t="n"/>
      <c r="CB209" s="50" t="n"/>
      <c r="CC209" s="50" t="n"/>
      <c r="CD209" s="50" t="n"/>
      <c r="CE209" s="50" t="n"/>
      <c r="CF209" s="50" t="n"/>
      <c r="CG209" s="50" t="n"/>
      <c r="CH209" s="50" t="n"/>
      <c r="CI209" s="50" t="n"/>
      <c r="CJ209" s="50" t="n"/>
      <c r="CK209" s="50" t="n"/>
      <c r="CL209" s="50" t="n"/>
      <c r="CM209" s="50" t="n"/>
      <c r="CN209" s="50" t="n"/>
      <c r="CO209" s="50" t="n"/>
      <c r="CP209" s="50" t="n"/>
      <c r="CQ209" s="50" t="n"/>
      <c r="CR209" s="50" t="n"/>
      <c r="CS209" s="50" t="n"/>
      <c r="CT209" s="50" t="n"/>
      <c r="CU209" s="50" t="n"/>
      <c r="CV209" s="50" t="n"/>
      <c r="CW209" s="50" t="n"/>
      <c r="CX209" s="50" t="n"/>
      <c r="CY209" s="50" t="n"/>
      <c r="CZ209" s="50" t="n"/>
      <c r="DA209" s="50" t="n"/>
      <c r="DB209" s="50" t="n"/>
      <c r="DC209" s="50" t="n"/>
      <c r="DD209" s="50" t="n"/>
      <c r="DE209" s="50" t="n"/>
      <c r="DF209" s="50" t="n"/>
      <c r="DG209" s="50" t="n"/>
      <c r="DH209" s="50" t="n"/>
      <c r="DI209" s="50" t="n"/>
      <c r="DJ209" s="50" t="n"/>
      <c r="DK209" s="50" t="n"/>
      <c r="DL209" s="50" t="n"/>
      <c r="DM209" s="50" t="n"/>
      <c r="DN209" s="50" t="n"/>
      <c r="DO209" s="50" t="n"/>
      <c r="DP209" s="50" t="n"/>
      <c r="DQ209" s="50" t="n"/>
      <c r="DR209" s="50" t="n"/>
      <c r="DS209" s="50" t="n"/>
      <c r="DT209" s="50" t="n"/>
      <c r="DU209" s="50" t="n"/>
      <c r="DV209" s="50" t="n"/>
    </row>
    <row r="210">
      <c r="A210" s="47">
        <f>IF(Mitarbeiter!B210="","",Mitarbeiter!A210)</f>
        <v/>
      </c>
      <c r="B210" s="48">
        <f>IF(Mitarbeiter!B210="","",Mitarbeiter!B210)</f>
        <v/>
      </c>
      <c r="C210" s="49">
        <f>IF(Mitarbeiter!B210="","",Mitarbeiter!F210)</f>
        <v/>
      </c>
      <c r="D210" s="25">
        <f>IF(Mitarbeiter!B210="","",Berechnung!AD210)</f>
        <v/>
      </c>
      <c r="E210" s="25">
        <f>IF(Mitarbeiter!B210="","",SUM(G210:DV210))</f>
        <v/>
      </c>
      <c r="G210" s="50" t="n"/>
      <c r="H210" s="50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0" t="n"/>
      <c r="T210" s="50" t="n"/>
      <c r="U210" s="50" t="n"/>
      <c r="V210" s="50" t="n"/>
      <c r="W210" s="50" t="n"/>
      <c r="X210" s="50" t="n"/>
      <c r="Y210" s="50" t="n"/>
      <c r="Z210" s="50" t="n"/>
      <c r="AA210" s="50" t="n"/>
      <c r="AB210" s="50" t="n"/>
      <c r="AC210" s="50" t="n"/>
      <c r="AD210" s="50" t="n"/>
      <c r="AE210" s="50" t="n"/>
      <c r="AF210" s="50" t="n"/>
      <c r="AG210" s="50" t="n"/>
      <c r="AH210" s="50" t="n"/>
      <c r="AI210" s="50" t="n"/>
      <c r="AJ210" s="50" t="n"/>
      <c r="AK210" s="50" t="n"/>
      <c r="AL210" s="50" t="n"/>
      <c r="AM210" s="50" t="n"/>
      <c r="AN210" s="50" t="n"/>
      <c r="AO210" s="50" t="n"/>
      <c r="AP210" s="50" t="n"/>
      <c r="AQ210" s="50" t="n"/>
      <c r="AR210" s="50" t="n"/>
      <c r="AS210" s="50" t="n"/>
      <c r="AT210" s="50" t="n"/>
      <c r="AU210" s="50" t="n"/>
      <c r="AV210" s="50" t="n"/>
      <c r="AW210" s="50" t="n"/>
      <c r="AX210" s="50" t="n"/>
      <c r="AY210" s="50" t="n"/>
      <c r="AZ210" s="50" t="n"/>
      <c r="BA210" s="50" t="n"/>
      <c r="BB210" s="50" t="n"/>
      <c r="BC210" s="50" t="n"/>
      <c r="BD210" s="50" t="n"/>
      <c r="BE210" s="50" t="n"/>
      <c r="BF210" s="50" t="n"/>
      <c r="BG210" s="50" t="n"/>
      <c r="BH210" s="50" t="n"/>
      <c r="BI210" s="50" t="n"/>
      <c r="BJ210" s="50" t="n"/>
      <c r="BK210" s="50" t="n"/>
      <c r="BL210" s="50" t="n"/>
      <c r="BM210" s="50" t="n"/>
      <c r="BN210" s="50" t="n"/>
      <c r="BO210" s="50" t="n"/>
      <c r="BP210" s="50" t="n"/>
      <c r="BQ210" s="50" t="n"/>
      <c r="BR210" s="50" t="n"/>
      <c r="BS210" s="50" t="n"/>
      <c r="BT210" s="50" t="n"/>
      <c r="BU210" s="50" t="n"/>
      <c r="BV210" s="50" t="n"/>
      <c r="BW210" s="50" t="n"/>
      <c r="BX210" s="50" t="n"/>
      <c r="BY210" s="50" t="n"/>
      <c r="BZ210" s="50" t="n"/>
      <c r="CA210" s="50" t="n"/>
      <c r="CB210" s="50" t="n"/>
      <c r="CC210" s="50" t="n"/>
      <c r="CD210" s="50" t="n"/>
      <c r="CE210" s="50" t="n"/>
      <c r="CF210" s="50" t="n"/>
      <c r="CG210" s="50" t="n"/>
      <c r="CH210" s="50" t="n"/>
      <c r="CI210" s="50" t="n"/>
      <c r="CJ210" s="50" t="n"/>
      <c r="CK210" s="50" t="n"/>
      <c r="CL210" s="50" t="n"/>
      <c r="CM210" s="50" t="n"/>
      <c r="CN210" s="50" t="n"/>
      <c r="CO210" s="50" t="n"/>
      <c r="CP210" s="50" t="n"/>
      <c r="CQ210" s="50" t="n"/>
      <c r="CR210" s="50" t="n"/>
      <c r="CS210" s="50" t="n"/>
      <c r="CT210" s="50" t="n"/>
      <c r="CU210" s="50" t="n"/>
      <c r="CV210" s="50" t="n"/>
      <c r="CW210" s="50" t="n"/>
      <c r="CX210" s="50" t="n"/>
      <c r="CY210" s="50" t="n"/>
      <c r="CZ210" s="50" t="n"/>
      <c r="DA210" s="50" t="n"/>
      <c r="DB210" s="50" t="n"/>
      <c r="DC210" s="50" t="n"/>
      <c r="DD210" s="50" t="n"/>
      <c r="DE210" s="50" t="n"/>
      <c r="DF210" s="50" t="n"/>
      <c r="DG210" s="50" t="n"/>
      <c r="DH210" s="50" t="n"/>
      <c r="DI210" s="50" t="n"/>
      <c r="DJ210" s="50" t="n"/>
      <c r="DK210" s="50" t="n"/>
      <c r="DL210" s="50" t="n"/>
      <c r="DM210" s="50" t="n"/>
      <c r="DN210" s="50" t="n"/>
      <c r="DO210" s="50" t="n"/>
      <c r="DP210" s="50" t="n"/>
      <c r="DQ210" s="50" t="n"/>
      <c r="DR210" s="50" t="n"/>
      <c r="DS210" s="50" t="n"/>
      <c r="DT210" s="50" t="n"/>
      <c r="DU210" s="50" t="n"/>
      <c r="DV210" s="50" t="n"/>
    </row>
    <row r="211">
      <c r="A211" s="47">
        <f>IF(Mitarbeiter!B211="","",Mitarbeiter!A211)</f>
        <v/>
      </c>
      <c r="B211" s="48">
        <f>IF(Mitarbeiter!B211="","",Mitarbeiter!B211)</f>
        <v/>
      </c>
      <c r="C211" s="49">
        <f>IF(Mitarbeiter!B211="","",Mitarbeiter!F211)</f>
        <v/>
      </c>
      <c r="D211" s="25">
        <f>IF(Mitarbeiter!B211="","",Berechnung!AD211)</f>
        <v/>
      </c>
      <c r="E211" s="25">
        <f>IF(Mitarbeiter!B211="","",SUM(G211:DV211))</f>
        <v/>
      </c>
      <c r="G211" s="50" t="n"/>
      <c r="H211" s="50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0" t="n"/>
      <c r="T211" s="50" t="n"/>
      <c r="U211" s="50" t="n"/>
      <c r="V211" s="50" t="n"/>
      <c r="W211" s="50" t="n"/>
      <c r="X211" s="50" t="n"/>
      <c r="Y211" s="50" t="n"/>
      <c r="Z211" s="50" t="n"/>
      <c r="AA211" s="50" t="n"/>
      <c r="AB211" s="50" t="n"/>
      <c r="AC211" s="50" t="n"/>
      <c r="AD211" s="50" t="n"/>
      <c r="AE211" s="50" t="n"/>
      <c r="AF211" s="50" t="n"/>
      <c r="AG211" s="50" t="n"/>
      <c r="AH211" s="50" t="n"/>
      <c r="AI211" s="50" t="n"/>
      <c r="AJ211" s="50" t="n"/>
      <c r="AK211" s="50" t="n"/>
      <c r="AL211" s="50" t="n"/>
      <c r="AM211" s="50" t="n"/>
      <c r="AN211" s="50" t="n"/>
      <c r="AO211" s="50" t="n"/>
      <c r="AP211" s="50" t="n"/>
      <c r="AQ211" s="50" t="n"/>
      <c r="AR211" s="50" t="n"/>
      <c r="AS211" s="50" t="n"/>
      <c r="AT211" s="50" t="n"/>
      <c r="AU211" s="50" t="n"/>
      <c r="AV211" s="50" t="n"/>
      <c r="AW211" s="50" t="n"/>
      <c r="AX211" s="50" t="n"/>
      <c r="AY211" s="50" t="n"/>
      <c r="AZ211" s="50" t="n"/>
      <c r="BA211" s="50" t="n"/>
      <c r="BB211" s="50" t="n"/>
      <c r="BC211" s="50" t="n"/>
      <c r="BD211" s="50" t="n"/>
      <c r="BE211" s="50" t="n"/>
      <c r="BF211" s="50" t="n"/>
      <c r="BG211" s="50" t="n"/>
      <c r="BH211" s="50" t="n"/>
      <c r="BI211" s="50" t="n"/>
      <c r="BJ211" s="50" t="n"/>
      <c r="BK211" s="50" t="n"/>
      <c r="BL211" s="50" t="n"/>
      <c r="BM211" s="50" t="n"/>
      <c r="BN211" s="50" t="n"/>
      <c r="BO211" s="50" t="n"/>
      <c r="BP211" s="50" t="n"/>
      <c r="BQ211" s="50" t="n"/>
      <c r="BR211" s="50" t="n"/>
      <c r="BS211" s="50" t="n"/>
      <c r="BT211" s="50" t="n"/>
      <c r="BU211" s="50" t="n"/>
      <c r="BV211" s="50" t="n"/>
      <c r="BW211" s="50" t="n"/>
      <c r="BX211" s="50" t="n"/>
      <c r="BY211" s="50" t="n"/>
      <c r="BZ211" s="50" t="n"/>
      <c r="CA211" s="50" t="n"/>
      <c r="CB211" s="50" t="n"/>
      <c r="CC211" s="50" t="n"/>
      <c r="CD211" s="50" t="n"/>
      <c r="CE211" s="50" t="n"/>
      <c r="CF211" s="50" t="n"/>
      <c r="CG211" s="50" t="n"/>
      <c r="CH211" s="50" t="n"/>
      <c r="CI211" s="50" t="n"/>
      <c r="CJ211" s="50" t="n"/>
      <c r="CK211" s="50" t="n"/>
      <c r="CL211" s="50" t="n"/>
      <c r="CM211" s="50" t="n"/>
      <c r="CN211" s="50" t="n"/>
      <c r="CO211" s="50" t="n"/>
      <c r="CP211" s="50" t="n"/>
      <c r="CQ211" s="50" t="n"/>
      <c r="CR211" s="50" t="n"/>
      <c r="CS211" s="50" t="n"/>
      <c r="CT211" s="50" t="n"/>
      <c r="CU211" s="50" t="n"/>
      <c r="CV211" s="50" t="n"/>
      <c r="CW211" s="50" t="n"/>
      <c r="CX211" s="50" t="n"/>
      <c r="CY211" s="50" t="n"/>
      <c r="CZ211" s="50" t="n"/>
      <c r="DA211" s="50" t="n"/>
      <c r="DB211" s="50" t="n"/>
      <c r="DC211" s="50" t="n"/>
      <c r="DD211" s="50" t="n"/>
      <c r="DE211" s="50" t="n"/>
      <c r="DF211" s="50" t="n"/>
      <c r="DG211" s="50" t="n"/>
      <c r="DH211" s="50" t="n"/>
      <c r="DI211" s="50" t="n"/>
      <c r="DJ211" s="50" t="n"/>
      <c r="DK211" s="50" t="n"/>
      <c r="DL211" s="50" t="n"/>
      <c r="DM211" s="50" t="n"/>
      <c r="DN211" s="50" t="n"/>
      <c r="DO211" s="50" t="n"/>
      <c r="DP211" s="50" t="n"/>
      <c r="DQ211" s="50" t="n"/>
      <c r="DR211" s="50" t="n"/>
      <c r="DS211" s="50" t="n"/>
      <c r="DT211" s="50" t="n"/>
      <c r="DU211" s="50" t="n"/>
      <c r="DV211" s="50" t="n"/>
    </row>
    <row r="212">
      <c r="A212" s="47">
        <f>IF(Mitarbeiter!B212="","",Mitarbeiter!A212)</f>
        <v/>
      </c>
      <c r="B212" s="48">
        <f>IF(Mitarbeiter!B212="","",Mitarbeiter!B212)</f>
        <v/>
      </c>
      <c r="C212" s="49">
        <f>IF(Mitarbeiter!B212="","",Mitarbeiter!F212)</f>
        <v/>
      </c>
      <c r="D212" s="25">
        <f>IF(Mitarbeiter!B212="","",Berechnung!AD212)</f>
        <v/>
      </c>
      <c r="E212" s="25">
        <f>IF(Mitarbeiter!B212="","",SUM(G212:DV212))</f>
        <v/>
      </c>
      <c r="G212" s="50" t="n"/>
      <c r="H212" s="50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0" t="n"/>
      <c r="T212" s="50" t="n"/>
      <c r="U212" s="50" t="n"/>
      <c r="V212" s="50" t="n"/>
      <c r="W212" s="50" t="n"/>
      <c r="X212" s="50" t="n"/>
      <c r="Y212" s="50" t="n"/>
      <c r="Z212" s="50" t="n"/>
      <c r="AA212" s="50" t="n"/>
      <c r="AB212" s="50" t="n"/>
      <c r="AC212" s="50" t="n"/>
      <c r="AD212" s="50" t="n"/>
      <c r="AE212" s="50" t="n"/>
      <c r="AF212" s="50" t="n"/>
      <c r="AG212" s="50" t="n"/>
      <c r="AH212" s="50" t="n"/>
      <c r="AI212" s="50" t="n"/>
      <c r="AJ212" s="50" t="n"/>
      <c r="AK212" s="50" t="n"/>
      <c r="AL212" s="50" t="n"/>
      <c r="AM212" s="50" t="n"/>
      <c r="AN212" s="50" t="n"/>
      <c r="AO212" s="50" t="n"/>
      <c r="AP212" s="50" t="n"/>
      <c r="AQ212" s="50" t="n"/>
      <c r="AR212" s="50" t="n"/>
      <c r="AS212" s="50" t="n"/>
      <c r="AT212" s="50" t="n"/>
      <c r="AU212" s="50" t="n"/>
      <c r="AV212" s="50" t="n"/>
      <c r="AW212" s="50" t="n"/>
      <c r="AX212" s="50" t="n"/>
      <c r="AY212" s="50" t="n"/>
      <c r="AZ212" s="50" t="n"/>
      <c r="BA212" s="50" t="n"/>
      <c r="BB212" s="50" t="n"/>
      <c r="BC212" s="50" t="n"/>
      <c r="BD212" s="50" t="n"/>
      <c r="BE212" s="50" t="n"/>
      <c r="BF212" s="50" t="n"/>
      <c r="BG212" s="50" t="n"/>
      <c r="BH212" s="50" t="n"/>
      <c r="BI212" s="50" t="n"/>
      <c r="BJ212" s="50" t="n"/>
      <c r="BK212" s="50" t="n"/>
      <c r="BL212" s="50" t="n"/>
      <c r="BM212" s="50" t="n"/>
      <c r="BN212" s="50" t="n"/>
      <c r="BO212" s="50" t="n"/>
      <c r="BP212" s="50" t="n"/>
      <c r="BQ212" s="50" t="n"/>
      <c r="BR212" s="50" t="n"/>
      <c r="BS212" s="50" t="n"/>
      <c r="BT212" s="50" t="n"/>
      <c r="BU212" s="50" t="n"/>
      <c r="BV212" s="50" t="n"/>
      <c r="BW212" s="50" t="n"/>
      <c r="BX212" s="50" t="n"/>
      <c r="BY212" s="50" t="n"/>
      <c r="BZ212" s="50" t="n"/>
      <c r="CA212" s="50" t="n"/>
      <c r="CB212" s="50" t="n"/>
      <c r="CC212" s="50" t="n"/>
      <c r="CD212" s="50" t="n"/>
      <c r="CE212" s="50" t="n"/>
      <c r="CF212" s="50" t="n"/>
      <c r="CG212" s="50" t="n"/>
      <c r="CH212" s="50" t="n"/>
      <c r="CI212" s="50" t="n"/>
      <c r="CJ212" s="50" t="n"/>
      <c r="CK212" s="50" t="n"/>
      <c r="CL212" s="50" t="n"/>
      <c r="CM212" s="50" t="n"/>
      <c r="CN212" s="50" t="n"/>
      <c r="CO212" s="50" t="n"/>
      <c r="CP212" s="50" t="n"/>
      <c r="CQ212" s="50" t="n"/>
      <c r="CR212" s="50" t="n"/>
      <c r="CS212" s="50" t="n"/>
      <c r="CT212" s="50" t="n"/>
      <c r="CU212" s="50" t="n"/>
      <c r="CV212" s="50" t="n"/>
      <c r="CW212" s="50" t="n"/>
      <c r="CX212" s="50" t="n"/>
      <c r="CY212" s="50" t="n"/>
      <c r="CZ212" s="50" t="n"/>
      <c r="DA212" s="50" t="n"/>
      <c r="DB212" s="50" t="n"/>
      <c r="DC212" s="50" t="n"/>
      <c r="DD212" s="50" t="n"/>
      <c r="DE212" s="50" t="n"/>
      <c r="DF212" s="50" t="n"/>
      <c r="DG212" s="50" t="n"/>
      <c r="DH212" s="50" t="n"/>
      <c r="DI212" s="50" t="n"/>
      <c r="DJ212" s="50" t="n"/>
      <c r="DK212" s="50" t="n"/>
      <c r="DL212" s="50" t="n"/>
      <c r="DM212" s="50" t="n"/>
      <c r="DN212" s="50" t="n"/>
      <c r="DO212" s="50" t="n"/>
      <c r="DP212" s="50" t="n"/>
      <c r="DQ212" s="50" t="n"/>
      <c r="DR212" s="50" t="n"/>
      <c r="DS212" s="50" t="n"/>
      <c r="DT212" s="50" t="n"/>
      <c r="DU212" s="50" t="n"/>
      <c r="DV212" s="50" t="n"/>
    </row>
    <row r="213">
      <c r="A213" s="47">
        <f>IF(Mitarbeiter!B213="","",Mitarbeiter!A213)</f>
        <v/>
      </c>
      <c r="B213" s="48">
        <f>IF(Mitarbeiter!B213="","",Mitarbeiter!B213)</f>
        <v/>
      </c>
      <c r="C213" s="49">
        <f>IF(Mitarbeiter!B213="","",Mitarbeiter!F213)</f>
        <v/>
      </c>
      <c r="D213" s="25">
        <f>IF(Mitarbeiter!B213="","",Berechnung!AD213)</f>
        <v/>
      </c>
      <c r="E213" s="25">
        <f>IF(Mitarbeiter!B213="","",SUM(G213:DV213))</f>
        <v/>
      </c>
      <c r="G213" s="50" t="n"/>
      <c r="H213" s="50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0" t="n"/>
      <c r="T213" s="50" t="n"/>
      <c r="U213" s="50" t="n"/>
      <c r="V213" s="50" t="n"/>
      <c r="W213" s="50" t="n"/>
      <c r="X213" s="50" t="n"/>
      <c r="Y213" s="50" t="n"/>
      <c r="Z213" s="50" t="n"/>
      <c r="AA213" s="50" t="n"/>
      <c r="AB213" s="50" t="n"/>
      <c r="AC213" s="50" t="n"/>
      <c r="AD213" s="50" t="n"/>
      <c r="AE213" s="50" t="n"/>
      <c r="AF213" s="50" t="n"/>
      <c r="AG213" s="50" t="n"/>
      <c r="AH213" s="50" t="n"/>
      <c r="AI213" s="50" t="n"/>
      <c r="AJ213" s="50" t="n"/>
      <c r="AK213" s="50" t="n"/>
      <c r="AL213" s="50" t="n"/>
      <c r="AM213" s="50" t="n"/>
      <c r="AN213" s="50" t="n"/>
      <c r="AO213" s="50" t="n"/>
      <c r="AP213" s="50" t="n"/>
      <c r="AQ213" s="50" t="n"/>
      <c r="AR213" s="50" t="n"/>
      <c r="AS213" s="50" t="n"/>
      <c r="AT213" s="50" t="n"/>
      <c r="AU213" s="50" t="n"/>
      <c r="AV213" s="50" t="n"/>
      <c r="AW213" s="50" t="n"/>
      <c r="AX213" s="50" t="n"/>
      <c r="AY213" s="50" t="n"/>
      <c r="AZ213" s="50" t="n"/>
      <c r="BA213" s="50" t="n"/>
      <c r="BB213" s="50" t="n"/>
      <c r="BC213" s="50" t="n"/>
      <c r="BD213" s="50" t="n"/>
      <c r="BE213" s="50" t="n"/>
      <c r="BF213" s="50" t="n"/>
      <c r="BG213" s="50" t="n"/>
      <c r="BH213" s="50" t="n"/>
      <c r="BI213" s="50" t="n"/>
      <c r="BJ213" s="50" t="n"/>
      <c r="BK213" s="50" t="n"/>
      <c r="BL213" s="50" t="n"/>
      <c r="BM213" s="50" t="n"/>
      <c r="BN213" s="50" t="n"/>
      <c r="BO213" s="50" t="n"/>
      <c r="BP213" s="50" t="n"/>
      <c r="BQ213" s="50" t="n"/>
      <c r="BR213" s="50" t="n"/>
      <c r="BS213" s="50" t="n"/>
      <c r="BT213" s="50" t="n"/>
      <c r="BU213" s="50" t="n"/>
      <c r="BV213" s="50" t="n"/>
      <c r="BW213" s="50" t="n"/>
      <c r="BX213" s="50" t="n"/>
      <c r="BY213" s="50" t="n"/>
      <c r="BZ213" s="50" t="n"/>
      <c r="CA213" s="50" t="n"/>
      <c r="CB213" s="50" t="n"/>
      <c r="CC213" s="50" t="n"/>
      <c r="CD213" s="50" t="n"/>
      <c r="CE213" s="50" t="n"/>
      <c r="CF213" s="50" t="n"/>
      <c r="CG213" s="50" t="n"/>
      <c r="CH213" s="50" t="n"/>
      <c r="CI213" s="50" t="n"/>
      <c r="CJ213" s="50" t="n"/>
      <c r="CK213" s="50" t="n"/>
      <c r="CL213" s="50" t="n"/>
      <c r="CM213" s="50" t="n"/>
      <c r="CN213" s="50" t="n"/>
      <c r="CO213" s="50" t="n"/>
      <c r="CP213" s="50" t="n"/>
      <c r="CQ213" s="50" t="n"/>
      <c r="CR213" s="50" t="n"/>
      <c r="CS213" s="50" t="n"/>
      <c r="CT213" s="50" t="n"/>
      <c r="CU213" s="50" t="n"/>
      <c r="CV213" s="50" t="n"/>
      <c r="CW213" s="50" t="n"/>
      <c r="CX213" s="50" t="n"/>
      <c r="CY213" s="50" t="n"/>
      <c r="CZ213" s="50" t="n"/>
      <c r="DA213" s="50" t="n"/>
      <c r="DB213" s="50" t="n"/>
      <c r="DC213" s="50" t="n"/>
      <c r="DD213" s="50" t="n"/>
      <c r="DE213" s="50" t="n"/>
      <c r="DF213" s="50" t="n"/>
      <c r="DG213" s="50" t="n"/>
      <c r="DH213" s="50" t="n"/>
      <c r="DI213" s="50" t="n"/>
      <c r="DJ213" s="50" t="n"/>
      <c r="DK213" s="50" t="n"/>
      <c r="DL213" s="50" t="n"/>
      <c r="DM213" s="50" t="n"/>
      <c r="DN213" s="50" t="n"/>
      <c r="DO213" s="50" t="n"/>
      <c r="DP213" s="50" t="n"/>
      <c r="DQ213" s="50" t="n"/>
      <c r="DR213" s="50" t="n"/>
      <c r="DS213" s="50" t="n"/>
      <c r="DT213" s="50" t="n"/>
      <c r="DU213" s="50" t="n"/>
      <c r="DV213" s="50" t="n"/>
    </row>
    <row r="214">
      <c r="A214" s="47">
        <f>IF(Mitarbeiter!B214="","",Mitarbeiter!A214)</f>
        <v/>
      </c>
      <c r="B214" s="48">
        <f>IF(Mitarbeiter!B214="","",Mitarbeiter!B214)</f>
        <v/>
      </c>
      <c r="C214" s="49">
        <f>IF(Mitarbeiter!B214="","",Mitarbeiter!F214)</f>
        <v/>
      </c>
      <c r="D214" s="25">
        <f>IF(Mitarbeiter!B214="","",Berechnung!AD214)</f>
        <v/>
      </c>
      <c r="E214" s="25">
        <f>IF(Mitarbeiter!B214="","",SUM(G214:DV214))</f>
        <v/>
      </c>
      <c r="G214" s="50" t="n"/>
      <c r="H214" s="50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0" t="n"/>
      <c r="T214" s="50" t="n"/>
      <c r="U214" s="50" t="n"/>
      <c r="V214" s="50" t="n"/>
      <c r="W214" s="50" t="n"/>
      <c r="X214" s="50" t="n"/>
      <c r="Y214" s="50" t="n"/>
      <c r="Z214" s="50" t="n"/>
      <c r="AA214" s="50" t="n"/>
      <c r="AB214" s="50" t="n"/>
      <c r="AC214" s="50" t="n"/>
      <c r="AD214" s="50" t="n"/>
      <c r="AE214" s="50" t="n"/>
      <c r="AF214" s="50" t="n"/>
      <c r="AG214" s="50" t="n"/>
      <c r="AH214" s="50" t="n"/>
      <c r="AI214" s="50" t="n"/>
      <c r="AJ214" s="50" t="n"/>
      <c r="AK214" s="50" t="n"/>
      <c r="AL214" s="50" t="n"/>
      <c r="AM214" s="50" t="n"/>
      <c r="AN214" s="50" t="n"/>
      <c r="AO214" s="50" t="n"/>
      <c r="AP214" s="50" t="n"/>
      <c r="AQ214" s="50" t="n"/>
      <c r="AR214" s="50" t="n"/>
      <c r="AS214" s="50" t="n"/>
      <c r="AT214" s="50" t="n"/>
      <c r="AU214" s="50" t="n"/>
      <c r="AV214" s="50" t="n"/>
      <c r="AW214" s="50" t="n"/>
      <c r="AX214" s="50" t="n"/>
      <c r="AY214" s="50" t="n"/>
      <c r="AZ214" s="50" t="n"/>
      <c r="BA214" s="50" t="n"/>
      <c r="BB214" s="50" t="n"/>
      <c r="BC214" s="50" t="n"/>
      <c r="BD214" s="50" t="n"/>
      <c r="BE214" s="50" t="n"/>
      <c r="BF214" s="50" t="n"/>
      <c r="BG214" s="50" t="n"/>
      <c r="BH214" s="50" t="n"/>
      <c r="BI214" s="50" t="n"/>
      <c r="BJ214" s="50" t="n"/>
      <c r="BK214" s="50" t="n"/>
      <c r="BL214" s="50" t="n"/>
      <c r="BM214" s="50" t="n"/>
      <c r="BN214" s="50" t="n"/>
      <c r="BO214" s="50" t="n"/>
      <c r="BP214" s="50" t="n"/>
      <c r="BQ214" s="50" t="n"/>
      <c r="BR214" s="50" t="n"/>
      <c r="BS214" s="50" t="n"/>
      <c r="BT214" s="50" t="n"/>
      <c r="BU214" s="50" t="n"/>
      <c r="BV214" s="50" t="n"/>
      <c r="BW214" s="50" t="n"/>
      <c r="BX214" s="50" t="n"/>
      <c r="BY214" s="50" t="n"/>
      <c r="BZ214" s="50" t="n"/>
      <c r="CA214" s="50" t="n"/>
      <c r="CB214" s="50" t="n"/>
      <c r="CC214" s="50" t="n"/>
      <c r="CD214" s="50" t="n"/>
      <c r="CE214" s="50" t="n"/>
      <c r="CF214" s="50" t="n"/>
      <c r="CG214" s="50" t="n"/>
      <c r="CH214" s="50" t="n"/>
      <c r="CI214" s="50" t="n"/>
      <c r="CJ214" s="50" t="n"/>
      <c r="CK214" s="50" t="n"/>
      <c r="CL214" s="50" t="n"/>
      <c r="CM214" s="50" t="n"/>
      <c r="CN214" s="50" t="n"/>
      <c r="CO214" s="50" t="n"/>
      <c r="CP214" s="50" t="n"/>
      <c r="CQ214" s="50" t="n"/>
      <c r="CR214" s="50" t="n"/>
      <c r="CS214" s="50" t="n"/>
      <c r="CT214" s="50" t="n"/>
      <c r="CU214" s="50" t="n"/>
      <c r="CV214" s="50" t="n"/>
      <c r="CW214" s="50" t="n"/>
      <c r="CX214" s="50" t="n"/>
      <c r="CY214" s="50" t="n"/>
      <c r="CZ214" s="50" t="n"/>
      <c r="DA214" s="50" t="n"/>
      <c r="DB214" s="50" t="n"/>
      <c r="DC214" s="50" t="n"/>
      <c r="DD214" s="50" t="n"/>
      <c r="DE214" s="50" t="n"/>
      <c r="DF214" s="50" t="n"/>
      <c r="DG214" s="50" t="n"/>
      <c r="DH214" s="50" t="n"/>
      <c r="DI214" s="50" t="n"/>
      <c r="DJ214" s="50" t="n"/>
      <c r="DK214" s="50" t="n"/>
      <c r="DL214" s="50" t="n"/>
      <c r="DM214" s="50" t="n"/>
      <c r="DN214" s="50" t="n"/>
      <c r="DO214" s="50" t="n"/>
      <c r="DP214" s="50" t="n"/>
      <c r="DQ214" s="50" t="n"/>
      <c r="DR214" s="50" t="n"/>
      <c r="DS214" s="50" t="n"/>
      <c r="DT214" s="50" t="n"/>
      <c r="DU214" s="50" t="n"/>
      <c r="DV214" s="50" t="n"/>
    </row>
    <row r="215">
      <c r="A215" s="47">
        <f>IF(Mitarbeiter!B215="","",Mitarbeiter!A215)</f>
        <v/>
      </c>
      <c r="B215" s="48">
        <f>IF(Mitarbeiter!B215="","",Mitarbeiter!B215)</f>
        <v/>
      </c>
      <c r="C215" s="49">
        <f>IF(Mitarbeiter!B215="","",Mitarbeiter!F215)</f>
        <v/>
      </c>
      <c r="D215" s="25">
        <f>IF(Mitarbeiter!B215="","",Berechnung!AD215)</f>
        <v/>
      </c>
      <c r="E215" s="25">
        <f>IF(Mitarbeiter!B215="","",SUM(G215:DV215))</f>
        <v/>
      </c>
      <c r="G215" s="50" t="n"/>
      <c r="H215" s="50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  <c r="AB215" s="50" t="n"/>
      <c r="AC215" s="50" t="n"/>
      <c r="AD215" s="50" t="n"/>
      <c r="AE215" s="50" t="n"/>
      <c r="AF215" s="50" t="n"/>
      <c r="AG215" s="50" t="n"/>
      <c r="AH215" s="50" t="n"/>
      <c r="AI215" s="50" t="n"/>
      <c r="AJ215" s="50" t="n"/>
      <c r="AK215" s="50" t="n"/>
      <c r="AL215" s="50" t="n"/>
      <c r="AM215" s="50" t="n"/>
      <c r="AN215" s="50" t="n"/>
      <c r="AO215" s="50" t="n"/>
      <c r="AP215" s="50" t="n"/>
      <c r="AQ215" s="50" t="n"/>
      <c r="AR215" s="50" t="n"/>
      <c r="AS215" s="50" t="n"/>
      <c r="AT215" s="50" t="n"/>
      <c r="AU215" s="50" t="n"/>
      <c r="AV215" s="50" t="n"/>
      <c r="AW215" s="50" t="n"/>
      <c r="AX215" s="50" t="n"/>
      <c r="AY215" s="50" t="n"/>
      <c r="AZ215" s="50" t="n"/>
      <c r="BA215" s="50" t="n"/>
      <c r="BB215" s="50" t="n"/>
      <c r="BC215" s="50" t="n"/>
      <c r="BD215" s="50" t="n"/>
      <c r="BE215" s="50" t="n"/>
      <c r="BF215" s="50" t="n"/>
      <c r="BG215" s="50" t="n"/>
      <c r="BH215" s="50" t="n"/>
      <c r="BI215" s="50" t="n"/>
      <c r="BJ215" s="50" t="n"/>
      <c r="BK215" s="50" t="n"/>
      <c r="BL215" s="50" t="n"/>
      <c r="BM215" s="50" t="n"/>
      <c r="BN215" s="50" t="n"/>
      <c r="BO215" s="50" t="n"/>
      <c r="BP215" s="50" t="n"/>
      <c r="BQ215" s="50" t="n"/>
      <c r="BR215" s="50" t="n"/>
      <c r="BS215" s="50" t="n"/>
      <c r="BT215" s="50" t="n"/>
      <c r="BU215" s="50" t="n"/>
      <c r="BV215" s="50" t="n"/>
      <c r="BW215" s="50" t="n"/>
      <c r="BX215" s="50" t="n"/>
      <c r="BY215" s="50" t="n"/>
      <c r="BZ215" s="50" t="n"/>
      <c r="CA215" s="50" t="n"/>
      <c r="CB215" s="50" t="n"/>
      <c r="CC215" s="50" t="n"/>
      <c r="CD215" s="50" t="n"/>
      <c r="CE215" s="50" t="n"/>
      <c r="CF215" s="50" t="n"/>
      <c r="CG215" s="50" t="n"/>
      <c r="CH215" s="50" t="n"/>
      <c r="CI215" s="50" t="n"/>
      <c r="CJ215" s="50" t="n"/>
      <c r="CK215" s="50" t="n"/>
      <c r="CL215" s="50" t="n"/>
      <c r="CM215" s="50" t="n"/>
      <c r="CN215" s="50" t="n"/>
      <c r="CO215" s="50" t="n"/>
      <c r="CP215" s="50" t="n"/>
      <c r="CQ215" s="50" t="n"/>
      <c r="CR215" s="50" t="n"/>
      <c r="CS215" s="50" t="n"/>
      <c r="CT215" s="50" t="n"/>
      <c r="CU215" s="50" t="n"/>
      <c r="CV215" s="50" t="n"/>
      <c r="CW215" s="50" t="n"/>
      <c r="CX215" s="50" t="n"/>
      <c r="CY215" s="50" t="n"/>
      <c r="CZ215" s="50" t="n"/>
      <c r="DA215" s="50" t="n"/>
      <c r="DB215" s="50" t="n"/>
      <c r="DC215" s="50" t="n"/>
      <c r="DD215" s="50" t="n"/>
      <c r="DE215" s="50" t="n"/>
      <c r="DF215" s="50" t="n"/>
      <c r="DG215" s="50" t="n"/>
      <c r="DH215" s="50" t="n"/>
      <c r="DI215" s="50" t="n"/>
      <c r="DJ215" s="50" t="n"/>
      <c r="DK215" s="50" t="n"/>
      <c r="DL215" s="50" t="n"/>
      <c r="DM215" s="50" t="n"/>
      <c r="DN215" s="50" t="n"/>
      <c r="DO215" s="50" t="n"/>
      <c r="DP215" s="50" t="n"/>
      <c r="DQ215" s="50" t="n"/>
      <c r="DR215" s="50" t="n"/>
      <c r="DS215" s="50" t="n"/>
      <c r="DT215" s="50" t="n"/>
      <c r="DU215" s="50" t="n"/>
      <c r="DV215" s="50" t="n"/>
    </row>
    <row r="216">
      <c r="A216" s="47">
        <f>IF(Mitarbeiter!B216="","",Mitarbeiter!A216)</f>
        <v/>
      </c>
      <c r="B216" s="48">
        <f>IF(Mitarbeiter!B216="","",Mitarbeiter!B216)</f>
        <v/>
      </c>
      <c r="C216" s="49">
        <f>IF(Mitarbeiter!B216="","",Mitarbeiter!F216)</f>
        <v/>
      </c>
      <c r="D216" s="25">
        <f>IF(Mitarbeiter!B216="","",Berechnung!AD216)</f>
        <v/>
      </c>
      <c r="E216" s="25">
        <f>IF(Mitarbeiter!B216="","",SUM(G216:DV216))</f>
        <v/>
      </c>
      <c r="G216" s="50" t="n"/>
      <c r="H216" s="50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0" t="n"/>
      <c r="T216" s="50" t="n"/>
      <c r="U216" s="50" t="n"/>
      <c r="V216" s="50" t="n"/>
      <c r="W216" s="50" t="n"/>
      <c r="X216" s="50" t="n"/>
      <c r="Y216" s="50" t="n"/>
      <c r="Z216" s="50" t="n"/>
      <c r="AA216" s="50" t="n"/>
      <c r="AB216" s="50" t="n"/>
      <c r="AC216" s="50" t="n"/>
      <c r="AD216" s="50" t="n"/>
      <c r="AE216" s="50" t="n"/>
      <c r="AF216" s="50" t="n"/>
      <c r="AG216" s="50" t="n"/>
      <c r="AH216" s="50" t="n"/>
      <c r="AI216" s="50" t="n"/>
      <c r="AJ216" s="50" t="n"/>
      <c r="AK216" s="50" t="n"/>
      <c r="AL216" s="50" t="n"/>
      <c r="AM216" s="50" t="n"/>
      <c r="AN216" s="50" t="n"/>
      <c r="AO216" s="50" t="n"/>
      <c r="AP216" s="50" t="n"/>
      <c r="AQ216" s="50" t="n"/>
      <c r="AR216" s="50" t="n"/>
      <c r="AS216" s="50" t="n"/>
      <c r="AT216" s="50" t="n"/>
      <c r="AU216" s="50" t="n"/>
      <c r="AV216" s="50" t="n"/>
      <c r="AW216" s="50" t="n"/>
      <c r="AX216" s="50" t="n"/>
      <c r="AY216" s="50" t="n"/>
      <c r="AZ216" s="50" t="n"/>
      <c r="BA216" s="50" t="n"/>
      <c r="BB216" s="50" t="n"/>
      <c r="BC216" s="50" t="n"/>
      <c r="BD216" s="50" t="n"/>
      <c r="BE216" s="50" t="n"/>
      <c r="BF216" s="50" t="n"/>
      <c r="BG216" s="50" t="n"/>
      <c r="BH216" s="50" t="n"/>
      <c r="BI216" s="50" t="n"/>
      <c r="BJ216" s="50" t="n"/>
      <c r="BK216" s="50" t="n"/>
      <c r="BL216" s="50" t="n"/>
      <c r="BM216" s="50" t="n"/>
      <c r="BN216" s="50" t="n"/>
      <c r="BO216" s="50" t="n"/>
      <c r="BP216" s="50" t="n"/>
      <c r="BQ216" s="50" t="n"/>
      <c r="BR216" s="50" t="n"/>
      <c r="BS216" s="50" t="n"/>
      <c r="BT216" s="50" t="n"/>
      <c r="BU216" s="50" t="n"/>
      <c r="BV216" s="50" t="n"/>
      <c r="BW216" s="50" t="n"/>
      <c r="BX216" s="50" t="n"/>
      <c r="BY216" s="50" t="n"/>
      <c r="BZ216" s="50" t="n"/>
      <c r="CA216" s="50" t="n"/>
      <c r="CB216" s="50" t="n"/>
      <c r="CC216" s="50" t="n"/>
      <c r="CD216" s="50" t="n"/>
      <c r="CE216" s="50" t="n"/>
      <c r="CF216" s="50" t="n"/>
      <c r="CG216" s="50" t="n"/>
      <c r="CH216" s="50" t="n"/>
      <c r="CI216" s="50" t="n"/>
      <c r="CJ216" s="50" t="n"/>
      <c r="CK216" s="50" t="n"/>
      <c r="CL216" s="50" t="n"/>
      <c r="CM216" s="50" t="n"/>
      <c r="CN216" s="50" t="n"/>
      <c r="CO216" s="50" t="n"/>
      <c r="CP216" s="50" t="n"/>
      <c r="CQ216" s="50" t="n"/>
      <c r="CR216" s="50" t="n"/>
      <c r="CS216" s="50" t="n"/>
      <c r="CT216" s="50" t="n"/>
      <c r="CU216" s="50" t="n"/>
      <c r="CV216" s="50" t="n"/>
      <c r="CW216" s="50" t="n"/>
      <c r="CX216" s="50" t="n"/>
      <c r="CY216" s="50" t="n"/>
      <c r="CZ216" s="50" t="n"/>
      <c r="DA216" s="50" t="n"/>
      <c r="DB216" s="50" t="n"/>
      <c r="DC216" s="50" t="n"/>
      <c r="DD216" s="50" t="n"/>
      <c r="DE216" s="50" t="n"/>
      <c r="DF216" s="50" t="n"/>
      <c r="DG216" s="50" t="n"/>
      <c r="DH216" s="50" t="n"/>
      <c r="DI216" s="50" t="n"/>
      <c r="DJ216" s="50" t="n"/>
      <c r="DK216" s="50" t="n"/>
      <c r="DL216" s="50" t="n"/>
      <c r="DM216" s="50" t="n"/>
      <c r="DN216" s="50" t="n"/>
      <c r="DO216" s="50" t="n"/>
      <c r="DP216" s="50" t="n"/>
      <c r="DQ216" s="50" t="n"/>
      <c r="DR216" s="50" t="n"/>
      <c r="DS216" s="50" t="n"/>
      <c r="DT216" s="50" t="n"/>
      <c r="DU216" s="50" t="n"/>
      <c r="DV216" s="50" t="n"/>
    </row>
    <row r="217">
      <c r="A217" s="47">
        <f>IF(Mitarbeiter!B217="","",Mitarbeiter!A217)</f>
        <v/>
      </c>
      <c r="B217" s="48">
        <f>IF(Mitarbeiter!B217="","",Mitarbeiter!B217)</f>
        <v/>
      </c>
      <c r="C217" s="49">
        <f>IF(Mitarbeiter!B217="","",Mitarbeiter!F217)</f>
        <v/>
      </c>
      <c r="D217" s="25">
        <f>IF(Mitarbeiter!B217="","",Berechnung!AD217)</f>
        <v/>
      </c>
      <c r="E217" s="25">
        <f>IF(Mitarbeiter!B217="","",SUM(G217:DV217))</f>
        <v/>
      </c>
      <c r="G217" s="50" t="n"/>
      <c r="H217" s="50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0" t="n"/>
      <c r="T217" s="50" t="n"/>
      <c r="U217" s="50" t="n"/>
      <c r="V217" s="50" t="n"/>
      <c r="W217" s="50" t="n"/>
      <c r="X217" s="50" t="n"/>
      <c r="Y217" s="50" t="n"/>
      <c r="Z217" s="50" t="n"/>
      <c r="AA217" s="50" t="n"/>
      <c r="AB217" s="50" t="n"/>
      <c r="AC217" s="50" t="n"/>
      <c r="AD217" s="50" t="n"/>
      <c r="AE217" s="50" t="n"/>
      <c r="AF217" s="50" t="n"/>
      <c r="AG217" s="50" t="n"/>
      <c r="AH217" s="50" t="n"/>
      <c r="AI217" s="50" t="n"/>
      <c r="AJ217" s="50" t="n"/>
      <c r="AK217" s="50" t="n"/>
      <c r="AL217" s="50" t="n"/>
      <c r="AM217" s="50" t="n"/>
      <c r="AN217" s="50" t="n"/>
      <c r="AO217" s="50" t="n"/>
      <c r="AP217" s="50" t="n"/>
      <c r="AQ217" s="50" t="n"/>
      <c r="AR217" s="50" t="n"/>
      <c r="AS217" s="50" t="n"/>
      <c r="AT217" s="50" t="n"/>
      <c r="AU217" s="50" t="n"/>
      <c r="AV217" s="50" t="n"/>
      <c r="AW217" s="50" t="n"/>
      <c r="AX217" s="50" t="n"/>
      <c r="AY217" s="50" t="n"/>
      <c r="AZ217" s="50" t="n"/>
      <c r="BA217" s="50" t="n"/>
      <c r="BB217" s="50" t="n"/>
      <c r="BC217" s="50" t="n"/>
      <c r="BD217" s="50" t="n"/>
      <c r="BE217" s="50" t="n"/>
      <c r="BF217" s="50" t="n"/>
      <c r="BG217" s="50" t="n"/>
      <c r="BH217" s="50" t="n"/>
      <c r="BI217" s="50" t="n"/>
      <c r="BJ217" s="50" t="n"/>
      <c r="BK217" s="50" t="n"/>
      <c r="BL217" s="50" t="n"/>
      <c r="BM217" s="50" t="n"/>
      <c r="BN217" s="50" t="n"/>
      <c r="BO217" s="50" t="n"/>
      <c r="BP217" s="50" t="n"/>
      <c r="BQ217" s="50" t="n"/>
      <c r="BR217" s="50" t="n"/>
      <c r="BS217" s="50" t="n"/>
      <c r="BT217" s="50" t="n"/>
      <c r="BU217" s="50" t="n"/>
      <c r="BV217" s="50" t="n"/>
      <c r="BW217" s="50" t="n"/>
      <c r="BX217" s="50" t="n"/>
      <c r="BY217" s="50" t="n"/>
      <c r="BZ217" s="50" t="n"/>
      <c r="CA217" s="50" t="n"/>
      <c r="CB217" s="50" t="n"/>
      <c r="CC217" s="50" t="n"/>
      <c r="CD217" s="50" t="n"/>
      <c r="CE217" s="50" t="n"/>
      <c r="CF217" s="50" t="n"/>
      <c r="CG217" s="50" t="n"/>
      <c r="CH217" s="50" t="n"/>
      <c r="CI217" s="50" t="n"/>
      <c r="CJ217" s="50" t="n"/>
      <c r="CK217" s="50" t="n"/>
      <c r="CL217" s="50" t="n"/>
      <c r="CM217" s="50" t="n"/>
      <c r="CN217" s="50" t="n"/>
      <c r="CO217" s="50" t="n"/>
      <c r="CP217" s="50" t="n"/>
      <c r="CQ217" s="50" t="n"/>
      <c r="CR217" s="50" t="n"/>
      <c r="CS217" s="50" t="n"/>
      <c r="CT217" s="50" t="n"/>
      <c r="CU217" s="50" t="n"/>
      <c r="CV217" s="50" t="n"/>
      <c r="CW217" s="50" t="n"/>
      <c r="CX217" s="50" t="n"/>
      <c r="CY217" s="50" t="n"/>
      <c r="CZ217" s="50" t="n"/>
      <c r="DA217" s="50" t="n"/>
      <c r="DB217" s="50" t="n"/>
      <c r="DC217" s="50" t="n"/>
      <c r="DD217" s="50" t="n"/>
      <c r="DE217" s="50" t="n"/>
      <c r="DF217" s="50" t="n"/>
      <c r="DG217" s="50" t="n"/>
      <c r="DH217" s="50" t="n"/>
      <c r="DI217" s="50" t="n"/>
      <c r="DJ217" s="50" t="n"/>
      <c r="DK217" s="50" t="n"/>
      <c r="DL217" s="50" t="n"/>
      <c r="DM217" s="50" t="n"/>
      <c r="DN217" s="50" t="n"/>
      <c r="DO217" s="50" t="n"/>
      <c r="DP217" s="50" t="n"/>
      <c r="DQ217" s="50" t="n"/>
      <c r="DR217" s="50" t="n"/>
      <c r="DS217" s="50" t="n"/>
      <c r="DT217" s="50" t="n"/>
      <c r="DU217" s="50" t="n"/>
      <c r="DV217" s="50" t="n"/>
    </row>
    <row r="218">
      <c r="A218" s="47">
        <f>IF(Mitarbeiter!B218="","",Mitarbeiter!A218)</f>
        <v/>
      </c>
      <c r="B218" s="48">
        <f>IF(Mitarbeiter!B218="","",Mitarbeiter!B218)</f>
        <v/>
      </c>
      <c r="C218" s="49">
        <f>IF(Mitarbeiter!B218="","",Mitarbeiter!F218)</f>
        <v/>
      </c>
      <c r="D218" s="25">
        <f>IF(Mitarbeiter!B218="","",Berechnung!AD218)</f>
        <v/>
      </c>
      <c r="E218" s="25">
        <f>IF(Mitarbeiter!B218="","",SUM(G218:DV218))</f>
        <v/>
      </c>
      <c r="G218" s="50" t="n"/>
      <c r="H218" s="50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0" t="n"/>
      <c r="T218" s="50" t="n"/>
      <c r="U218" s="50" t="n"/>
      <c r="V218" s="50" t="n"/>
      <c r="W218" s="50" t="n"/>
      <c r="X218" s="50" t="n"/>
      <c r="Y218" s="50" t="n"/>
      <c r="Z218" s="50" t="n"/>
      <c r="AA218" s="50" t="n"/>
      <c r="AB218" s="50" t="n"/>
      <c r="AC218" s="50" t="n"/>
      <c r="AD218" s="50" t="n"/>
      <c r="AE218" s="50" t="n"/>
      <c r="AF218" s="50" t="n"/>
      <c r="AG218" s="50" t="n"/>
      <c r="AH218" s="50" t="n"/>
      <c r="AI218" s="50" t="n"/>
      <c r="AJ218" s="50" t="n"/>
      <c r="AK218" s="50" t="n"/>
      <c r="AL218" s="50" t="n"/>
      <c r="AM218" s="50" t="n"/>
      <c r="AN218" s="50" t="n"/>
      <c r="AO218" s="50" t="n"/>
      <c r="AP218" s="50" t="n"/>
      <c r="AQ218" s="50" t="n"/>
      <c r="AR218" s="50" t="n"/>
      <c r="AS218" s="50" t="n"/>
      <c r="AT218" s="50" t="n"/>
      <c r="AU218" s="50" t="n"/>
      <c r="AV218" s="50" t="n"/>
      <c r="AW218" s="50" t="n"/>
      <c r="AX218" s="50" t="n"/>
      <c r="AY218" s="50" t="n"/>
      <c r="AZ218" s="50" t="n"/>
      <c r="BA218" s="50" t="n"/>
      <c r="BB218" s="50" t="n"/>
      <c r="BC218" s="50" t="n"/>
      <c r="BD218" s="50" t="n"/>
      <c r="BE218" s="50" t="n"/>
      <c r="BF218" s="50" t="n"/>
      <c r="BG218" s="50" t="n"/>
      <c r="BH218" s="50" t="n"/>
      <c r="BI218" s="50" t="n"/>
      <c r="BJ218" s="50" t="n"/>
      <c r="BK218" s="50" t="n"/>
      <c r="BL218" s="50" t="n"/>
      <c r="BM218" s="50" t="n"/>
      <c r="BN218" s="50" t="n"/>
      <c r="BO218" s="50" t="n"/>
      <c r="BP218" s="50" t="n"/>
      <c r="BQ218" s="50" t="n"/>
      <c r="BR218" s="50" t="n"/>
      <c r="BS218" s="50" t="n"/>
      <c r="BT218" s="50" t="n"/>
      <c r="BU218" s="50" t="n"/>
      <c r="BV218" s="50" t="n"/>
      <c r="BW218" s="50" t="n"/>
      <c r="BX218" s="50" t="n"/>
      <c r="BY218" s="50" t="n"/>
      <c r="BZ218" s="50" t="n"/>
      <c r="CA218" s="50" t="n"/>
      <c r="CB218" s="50" t="n"/>
      <c r="CC218" s="50" t="n"/>
      <c r="CD218" s="50" t="n"/>
      <c r="CE218" s="50" t="n"/>
      <c r="CF218" s="50" t="n"/>
      <c r="CG218" s="50" t="n"/>
      <c r="CH218" s="50" t="n"/>
      <c r="CI218" s="50" t="n"/>
      <c r="CJ218" s="50" t="n"/>
      <c r="CK218" s="50" t="n"/>
      <c r="CL218" s="50" t="n"/>
      <c r="CM218" s="50" t="n"/>
      <c r="CN218" s="50" t="n"/>
      <c r="CO218" s="50" t="n"/>
      <c r="CP218" s="50" t="n"/>
      <c r="CQ218" s="50" t="n"/>
      <c r="CR218" s="50" t="n"/>
      <c r="CS218" s="50" t="n"/>
      <c r="CT218" s="50" t="n"/>
      <c r="CU218" s="50" t="n"/>
      <c r="CV218" s="50" t="n"/>
      <c r="CW218" s="50" t="n"/>
      <c r="CX218" s="50" t="n"/>
      <c r="CY218" s="50" t="n"/>
      <c r="CZ218" s="50" t="n"/>
      <c r="DA218" s="50" t="n"/>
      <c r="DB218" s="50" t="n"/>
      <c r="DC218" s="50" t="n"/>
      <c r="DD218" s="50" t="n"/>
      <c r="DE218" s="50" t="n"/>
      <c r="DF218" s="50" t="n"/>
      <c r="DG218" s="50" t="n"/>
      <c r="DH218" s="50" t="n"/>
      <c r="DI218" s="50" t="n"/>
      <c r="DJ218" s="50" t="n"/>
      <c r="DK218" s="50" t="n"/>
      <c r="DL218" s="50" t="n"/>
      <c r="DM218" s="50" t="n"/>
      <c r="DN218" s="50" t="n"/>
      <c r="DO218" s="50" t="n"/>
      <c r="DP218" s="50" t="n"/>
      <c r="DQ218" s="50" t="n"/>
      <c r="DR218" s="50" t="n"/>
      <c r="DS218" s="50" t="n"/>
      <c r="DT218" s="50" t="n"/>
      <c r="DU218" s="50" t="n"/>
      <c r="DV218" s="50" t="n"/>
    </row>
    <row r="219">
      <c r="A219" s="47">
        <f>IF(Mitarbeiter!B219="","",Mitarbeiter!A219)</f>
        <v/>
      </c>
      <c r="B219" s="48">
        <f>IF(Mitarbeiter!B219="","",Mitarbeiter!B219)</f>
        <v/>
      </c>
      <c r="C219" s="49">
        <f>IF(Mitarbeiter!B219="","",Mitarbeiter!F219)</f>
        <v/>
      </c>
      <c r="D219" s="25">
        <f>IF(Mitarbeiter!B219="","",Berechnung!AD219)</f>
        <v/>
      </c>
      <c r="E219" s="25">
        <f>IF(Mitarbeiter!B219="","",SUM(G219:DV219))</f>
        <v/>
      </c>
      <c r="G219" s="50" t="n"/>
      <c r="H219" s="50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0" t="n"/>
      <c r="T219" s="50" t="n"/>
      <c r="U219" s="50" t="n"/>
      <c r="V219" s="50" t="n"/>
      <c r="W219" s="50" t="n"/>
      <c r="X219" s="50" t="n"/>
      <c r="Y219" s="50" t="n"/>
      <c r="Z219" s="50" t="n"/>
      <c r="AA219" s="50" t="n"/>
      <c r="AB219" s="50" t="n"/>
      <c r="AC219" s="50" t="n"/>
      <c r="AD219" s="50" t="n"/>
      <c r="AE219" s="50" t="n"/>
      <c r="AF219" s="50" t="n"/>
      <c r="AG219" s="50" t="n"/>
      <c r="AH219" s="50" t="n"/>
      <c r="AI219" s="50" t="n"/>
      <c r="AJ219" s="50" t="n"/>
      <c r="AK219" s="50" t="n"/>
      <c r="AL219" s="50" t="n"/>
      <c r="AM219" s="50" t="n"/>
      <c r="AN219" s="50" t="n"/>
      <c r="AO219" s="50" t="n"/>
      <c r="AP219" s="50" t="n"/>
      <c r="AQ219" s="50" t="n"/>
      <c r="AR219" s="50" t="n"/>
      <c r="AS219" s="50" t="n"/>
      <c r="AT219" s="50" t="n"/>
      <c r="AU219" s="50" t="n"/>
      <c r="AV219" s="50" t="n"/>
      <c r="AW219" s="50" t="n"/>
      <c r="AX219" s="50" t="n"/>
      <c r="AY219" s="50" t="n"/>
      <c r="AZ219" s="50" t="n"/>
      <c r="BA219" s="50" t="n"/>
      <c r="BB219" s="50" t="n"/>
      <c r="BC219" s="50" t="n"/>
      <c r="BD219" s="50" t="n"/>
      <c r="BE219" s="50" t="n"/>
      <c r="BF219" s="50" t="n"/>
      <c r="BG219" s="50" t="n"/>
      <c r="BH219" s="50" t="n"/>
      <c r="BI219" s="50" t="n"/>
      <c r="BJ219" s="50" t="n"/>
      <c r="BK219" s="50" t="n"/>
      <c r="BL219" s="50" t="n"/>
      <c r="BM219" s="50" t="n"/>
      <c r="BN219" s="50" t="n"/>
      <c r="BO219" s="50" t="n"/>
      <c r="BP219" s="50" t="n"/>
      <c r="BQ219" s="50" t="n"/>
      <c r="BR219" s="50" t="n"/>
      <c r="BS219" s="50" t="n"/>
      <c r="BT219" s="50" t="n"/>
      <c r="BU219" s="50" t="n"/>
      <c r="BV219" s="50" t="n"/>
      <c r="BW219" s="50" t="n"/>
      <c r="BX219" s="50" t="n"/>
      <c r="BY219" s="50" t="n"/>
      <c r="BZ219" s="50" t="n"/>
      <c r="CA219" s="50" t="n"/>
      <c r="CB219" s="50" t="n"/>
      <c r="CC219" s="50" t="n"/>
      <c r="CD219" s="50" t="n"/>
      <c r="CE219" s="50" t="n"/>
      <c r="CF219" s="50" t="n"/>
      <c r="CG219" s="50" t="n"/>
      <c r="CH219" s="50" t="n"/>
      <c r="CI219" s="50" t="n"/>
      <c r="CJ219" s="50" t="n"/>
      <c r="CK219" s="50" t="n"/>
      <c r="CL219" s="50" t="n"/>
      <c r="CM219" s="50" t="n"/>
      <c r="CN219" s="50" t="n"/>
      <c r="CO219" s="50" t="n"/>
      <c r="CP219" s="50" t="n"/>
      <c r="CQ219" s="50" t="n"/>
      <c r="CR219" s="50" t="n"/>
      <c r="CS219" s="50" t="n"/>
      <c r="CT219" s="50" t="n"/>
      <c r="CU219" s="50" t="n"/>
      <c r="CV219" s="50" t="n"/>
      <c r="CW219" s="50" t="n"/>
      <c r="CX219" s="50" t="n"/>
      <c r="CY219" s="50" t="n"/>
      <c r="CZ219" s="50" t="n"/>
      <c r="DA219" s="50" t="n"/>
      <c r="DB219" s="50" t="n"/>
      <c r="DC219" s="50" t="n"/>
      <c r="DD219" s="50" t="n"/>
      <c r="DE219" s="50" t="n"/>
      <c r="DF219" s="50" t="n"/>
      <c r="DG219" s="50" t="n"/>
      <c r="DH219" s="50" t="n"/>
      <c r="DI219" s="50" t="n"/>
      <c r="DJ219" s="50" t="n"/>
      <c r="DK219" s="50" t="n"/>
      <c r="DL219" s="50" t="n"/>
      <c r="DM219" s="50" t="n"/>
      <c r="DN219" s="50" t="n"/>
      <c r="DO219" s="50" t="n"/>
      <c r="DP219" s="50" t="n"/>
      <c r="DQ219" s="50" t="n"/>
      <c r="DR219" s="50" t="n"/>
      <c r="DS219" s="50" t="n"/>
      <c r="DT219" s="50" t="n"/>
      <c r="DU219" s="50" t="n"/>
      <c r="DV219" s="50" t="n"/>
    </row>
    <row r="220">
      <c r="A220" s="47">
        <f>IF(Mitarbeiter!B220="","",Mitarbeiter!A220)</f>
        <v/>
      </c>
      <c r="B220" s="48">
        <f>IF(Mitarbeiter!B220="","",Mitarbeiter!B220)</f>
        <v/>
      </c>
      <c r="C220" s="49">
        <f>IF(Mitarbeiter!B220="","",Mitarbeiter!F220)</f>
        <v/>
      </c>
      <c r="D220" s="25">
        <f>IF(Mitarbeiter!B220="","",Berechnung!AD220)</f>
        <v/>
      </c>
      <c r="E220" s="25">
        <f>IF(Mitarbeiter!B220="","",SUM(G220:DV220))</f>
        <v/>
      </c>
      <c r="G220" s="50" t="n"/>
      <c r="H220" s="50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0" t="n"/>
      <c r="T220" s="50" t="n"/>
      <c r="U220" s="50" t="n"/>
      <c r="V220" s="50" t="n"/>
      <c r="W220" s="50" t="n"/>
      <c r="X220" s="50" t="n"/>
      <c r="Y220" s="50" t="n"/>
      <c r="Z220" s="50" t="n"/>
      <c r="AA220" s="50" t="n"/>
      <c r="AB220" s="50" t="n"/>
      <c r="AC220" s="50" t="n"/>
      <c r="AD220" s="50" t="n"/>
      <c r="AE220" s="50" t="n"/>
      <c r="AF220" s="50" t="n"/>
      <c r="AG220" s="50" t="n"/>
      <c r="AH220" s="50" t="n"/>
      <c r="AI220" s="50" t="n"/>
      <c r="AJ220" s="50" t="n"/>
      <c r="AK220" s="50" t="n"/>
      <c r="AL220" s="50" t="n"/>
      <c r="AM220" s="50" t="n"/>
      <c r="AN220" s="50" t="n"/>
      <c r="AO220" s="50" t="n"/>
      <c r="AP220" s="50" t="n"/>
      <c r="AQ220" s="50" t="n"/>
      <c r="AR220" s="50" t="n"/>
      <c r="AS220" s="50" t="n"/>
      <c r="AT220" s="50" t="n"/>
      <c r="AU220" s="50" t="n"/>
      <c r="AV220" s="50" t="n"/>
      <c r="AW220" s="50" t="n"/>
      <c r="AX220" s="50" t="n"/>
      <c r="AY220" s="50" t="n"/>
      <c r="AZ220" s="50" t="n"/>
      <c r="BA220" s="50" t="n"/>
      <c r="BB220" s="50" t="n"/>
      <c r="BC220" s="50" t="n"/>
      <c r="BD220" s="50" t="n"/>
      <c r="BE220" s="50" t="n"/>
      <c r="BF220" s="50" t="n"/>
      <c r="BG220" s="50" t="n"/>
      <c r="BH220" s="50" t="n"/>
      <c r="BI220" s="50" t="n"/>
      <c r="BJ220" s="50" t="n"/>
      <c r="BK220" s="50" t="n"/>
      <c r="BL220" s="50" t="n"/>
      <c r="BM220" s="50" t="n"/>
      <c r="BN220" s="50" t="n"/>
      <c r="BO220" s="50" t="n"/>
      <c r="BP220" s="50" t="n"/>
      <c r="BQ220" s="50" t="n"/>
      <c r="BR220" s="50" t="n"/>
      <c r="BS220" s="50" t="n"/>
      <c r="BT220" s="50" t="n"/>
      <c r="BU220" s="50" t="n"/>
      <c r="BV220" s="50" t="n"/>
      <c r="BW220" s="50" t="n"/>
      <c r="BX220" s="50" t="n"/>
      <c r="BY220" s="50" t="n"/>
      <c r="BZ220" s="50" t="n"/>
      <c r="CA220" s="50" t="n"/>
      <c r="CB220" s="50" t="n"/>
      <c r="CC220" s="50" t="n"/>
      <c r="CD220" s="50" t="n"/>
      <c r="CE220" s="50" t="n"/>
      <c r="CF220" s="50" t="n"/>
      <c r="CG220" s="50" t="n"/>
      <c r="CH220" s="50" t="n"/>
      <c r="CI220" s="50" t="n"/>
      <c r="CJ220" s="50" t="n"/>
      <c r="CK220" s="50" t="n"/>
      <c r="CL220" s="50" t="n"/>
      <c r="CM220" s="50" t="n"/>
      <c r="CN220" s="50" t="n"/>
      <c r="CO220" s="50" t="n"/>
      <c r="CP220" s="50" t="n"/>
      <c r="CQ220" s="50" t="n"/>
      <c r="CR220" s="50" t="n"/>
      <c r="CS220" s="50" t="n"/>
      <c r="CT220" s="50" t="n"/>
      <c r="CU220" s="50" t="n"/>
      <c r="CV220" s="50" t="n"/>
      <c r="CW220" s="50" t="n"/>
      <c r="CX220" s="50" t="n"/>
      <c r="CY220" s="50" t="n"/>
      <c r="CZ220" s="50" t="n"/>
      <c r="DA220" s="50" t="n"/>
      <c r="DB220" s="50" t="n"/>
      <c r="DC220" s="50" t="n"/>
      <c r="DD220" s="50" t="n"/>
      <c r="DE220" s="50" t="n"/>
      <c r="DF220" s="50" t="n"/>
      <c r="DG220" s="50" t="n"/>
      <c r="DH220" s="50" t="n"/>
      <c r="DI220" s="50" t="n"/>
      <c r="DJ220" s="50" t="n"/>
      <c r="DK220" s="50" t="n"/>
      <c r="DL220" s="50" t="n"/>
      <c r="DM220" s="50" t="n"/>
      <c r="DN220" s="50" t="n"/>
      <c r="DO220" s="50" t="n"/>
      <c r="DP220" s="50" t="n"/>
      <c r="DQ220" s="50" t="n"/>
      <c r="DR220" s="50" t="n"/>
      <c r="DS220" s="50" t="n"/>
      <c r="DT220" s="50" t="n"/>
      <c r="DU220" s="50" t="n"/>
      <c r="DV220" s="50" t="n"/>
    </row>
    <row r="221">
      <c r="A221" s="47">
        <f>IF(Mitarbeiter!B221="","",Mitarbeiter!A221)</f>
        <v/>
      </c>
      <c r="B221" s="48">
        <f>IF(Mitarbeiter!B221="","",Mitarbeiter!B221)</f>
        <v/>
      </c>
      <c r="C221" s="49">
        <f>IF(Mitarbeiter!B221="","",Mitarbeiter!F221)</f>
        <v/>
      </c>
      <c r="D221" s="25">
        <f>IF(Mitarbeiter!B221="","",Berechnung!AD221)</f>
        <v/>
      </c>
      <c r="E221" s="25">
        <f>IF(Mitarbeiter!B221="","",SUM(G221:DV221))</f>
        <v/>
      </c>
      <c r="G221" s="50" t="n"/>
      <c r="H221" s="50" t="n"/>
      <c r="I221" s="50" t="n"/>
      <c r="J221" s="50" t="n"/>
      <c r="K221" s="50" t="n"/>
      <c r="L221" s="50" t="n"/>
      <c r="M221" s="50" t="n"/>
      <c r="N221" s="50" t="n"/>
      <c r="O221" s="50" t="n"/>
      <c r="P221" s="50" t="n"/>
      <c r="Q221" s="50" t="n"/>
      <c r="R221" s="50" t="n"/>
      <c r="S221" s="50" t="n"/>
      <c r="T221" s="50" t="n"/>
      <c r="U221" s="50" t="n"/>
      <c r="V221" s="50" t="n"/>
      <c r="W221" s="50" t="n"/>
      <c r="X221" s="50" t="n"/>
      <c r="Y221" s="50" t="n"/>
      <c r="Z221" s="50" t="n"/>
      <c r="AA221" s="50" t="n"/>
      <c r="AB221" s="50" t="n"/>
      <c r="AC221" s="50" t="n"/>
      <c r="AD221" s="50" t="n"/>
      <c r="AE221" s="50" t="n"/>
      <c r="AF221" s="50" t="n"/>
      <c r="AG221" s="50" t="n"/>
      <c r="AH221" s="50" t="n"/>
      <c r="AI221" s="50" t="n"/>
      <c r="AJ221" s="50" t="n"/>
      <c r="AK221" s="50" t="n"/>
      <c r="AL221" s="50" t="n"/>
      <c r="AM221" s="50" t="n"/>
      <c r="AN221" s="50" t="n"/>
      <c r="AO221" s="50" t="n"/>
      <c r="AP221" s="50" t="n"/>
      <c r="AQ221" s="50" t="n"/>
      <c r="AR221" s="50" t="n"/>
      <c r="AS221" s="50" t="n"/>
      <c r="AT221" s="50" t="n"/>
      <c r="AU221" s="50" t="n"/>
      <c r="AV221" s="50" t="n"/>
      <c r="AW221" s="50" t="n"/>
      <c r="AX221" s="50" t="n"/>
      <c r="AY221" s="50" t="n"/>
      <c r="AZ221" s="50" t="n"/>
      <c r="BA221" s="50" t="n"/>
      <c r="BB221" s="50" t="n"/>
      <c r="BC221" s="50" t="n"/>
      <c r="BD221" s="50" t="n"/>
      <c r="BE221" s="50" t="n"/>
      <c r="BF221" s="50" t="n"/>
      <c r="BG221" s="50" t="n"/>
      <c r="BH221" s="50" t="n"/>
      <c r="BI221" s="50" t="n"/>
      <c r="BJ221" s="50" t="n"/>
      <c r="BK221" s="50" t="n"/>
      <c r="BL221" s="50" t="n"/>
      <c r="BM221" s="50" t="n"/>
      <c r="BN221" s="50" t="n"/>
      <c r="BO221" s="50" t="n"/>
      <c r="BP221" s="50" t="n"/>
      <c r="BQ221" s="50" t="n"/>
      <c r="BR221" s="50" t="n"/>
      <c r="BS221" s="50" t="n"/>
      <c r="BT221" s="50" t="n"/>
      <c r="BU221" s="50" t="n"/>
      <c r="BV221" s="50" t="n"/>
      <c r="BW221" s="50" t="n"/>
      <c r="BX221" s="50" t="n"/>
      <c r="BY221" s="50" t="n"/>
      <c r="BZ221" s="50" t="n"/>
      <c r="CA221" s="50" t="n"/>
      <c r="CB221" s="50" t="n"/>
      <c r="CC221" s="50" t="n"/>
      <c r="CD221" s="50" t="n"/>
      <c r="CE221" s="50" t="n"/>
      <c r="CF221" s="50" t="n"/>
      <c r="CG221" s="50" t="n"/>
      <c r="CH221" s="50" t="n"/>
      <c r="CI221" s="50" t="n"/>
      <c r="CJ221" s="50" t="n"/>
      <c r="CK221" s="50" t="n"/>
      <c r="CL221" s="50" t="n"/>
      <c r="CM221" s="50" t="n"/>
      <c r="CN221" s="50" t="n"/>
      <c r="CO221" s="50" t="n"/>
      <c r="CP221" s="50" t="n"/>
      <c r="CQ221" s="50" t="n"/>
      <c r="CR221" s="50" t="n"/>
      <c r="CS221" s="50" t="n"/>
      <c r="CT221" s="50" t="n"/>
      <c r="CU221" s="50" t="n"/>
      <c r="CV221" s="50" t="n"/>
      <c r="CW221" s="50" t="n"/>
      <c r="CX221" s="50" t="n"/>
      <c r="CY221" s="50" t="n"/>
      <c r="CZ221" s="50" t="n"/>
      <c r="DA221" s="50" t="n"/>
      <c r="DB221" s="50" t="n"/>
      <c r="DC221" s="50" t="n"/>
      <c r="DD221" s="50" t="n"/>
      <c r="DE221" s="50" t="n"/>
      <c r="DF221" s="50" t="n"/>
      <c r="DG221" s="50" t="n"/>
      <c r="DH221" s="50" t="n"/>
      <c r="DI221" s="50" t="n"/>
      <c r="DJ221" s="50" t="n"/>
      <c r="DK221" s="50" t="n"/>
      <c r="DL221" s="50" t="n"/>
      <c r="DM221" s="50" t="n"/>
      <c r="DN221" s="50" t="n"/>
      <c r="DO221" s="50" t="n"/>
      <c r="DP221" s="50" t="n"/>
      <c r="DQ221" s="50" t="n"/>
      <c r="DR221" s="50" t="n"/>
      <c r="DS221" s="50" t="n"/>
      <c r="DT221" s="50" t="n"/>
      <c r="DU221" s="50" t="n"/>
      <c r="DV221" s="50" t="n"/>
    </row>
    <row r="222">
      <c r="A222" s="47">
        <f>IF(Mitarbeiter!B222="","",Mitarbeiter!A222)</f>
        <v/>
      </c>
      <c r="B222" s="48">
        <f>IF(Mitarbeiter!B222="","",Mitarbeiter!B222)</f>
        <v/>
      </c>
      <c r="C222" s="49">
        <f>IF(Mitarbeiter!B222="","",Mitarbeiter!F222)</f>
        <v/>
      </c>
      <c r="D222" s="25">
        <f>IF(Mitarbeiter!B222="","",Berechnung!AD222)</f>
        <v/>
      </c>
      <c r="E222" s="25">
        <f>IF(Mitarbeiter!B222="","",SUM(G222:DV222))</f>
        <v/>
      </c>
      <c r="G222" s="50" t="n"/>
      <c r="H222" s="50" t="n"/>
      <c r="I222" s="50" t="n"/>
      <c r="J222" s="50" t="n"/>
      <c r="K222" s="50" t="n"/>
      <c r="L222" s="50" t="n"/>
      <c r="M222" s="50" t="n"/>
      <c r="N222" s="50" t="n"/>
      <c r="O222" s="50" t="n"/>
      <c r="P222" s="50" t="n"/>
      <c r="Q222" s="50" t="n"/>
      <c r="R222" s="50" t="n"/>
      <c r="S222" s="50" t="n"/>
      <c r="T222" s="50" t="n"/>
      <c r="U222" s="50" t="n"/>
      <c r="V222" s="50" t="n"/>
      <c r="W222" s="50" t="n"/>
      <c r="X222" s="50" t="n"/>
      <c r="Y222" s="50" t="n"/>
      <c r="Z222" s="50" t="n"/>
      <c r="AA222" s="50" t="n"/>
      <c r="AB222" s="50" t="n"/>
      <c r="AC222" s="50" t="n"/>
      <c r="AD222" s="50" t="n"/>
      <c r="AE222" s="50" t="n"/>
      <c r="AF222" s="50" t="n"/>
      <c r="AG222" s="50" t="n"/>
      <c r="AH222" s="50" t="n"/>
      <c r="AI222" s="50" t="n"/>
      <c r="AJ222" s="50" t="n"/>
      <c r="AK222" s="50" t="n"/>
      <c r="AL222" s="50" t="n"/>
      <c r="AM222" s="50" t="n"/>
      <c r="AN222" s="50" t="n"/>
      <c r="AO222" s="50" t="n"/>
      <c r="AP222" s="50" t="n"/>
      <c r="AQ222" s="50" t="n"/>
      <c r="AR222" s="50" t="n"/>
      <c r="AS222" s="50" t="n"/>
      <c r="AT222" s="50" t="n"/>
      <c r="AU222" s="50" t="n"/>
      <c r="AV222" s="50" t="n"/>
      <c r="AW222" s="50" t="n"/>
      <c r="AX222" s="50" t="n"/>
      <c r="AY222" s="50" t="n"/>
      <c r="AZ222" s="50" t="n"/>
      <c r="BA222" s="50" t="n"/>
      <c r="BB222" s="50" t="n"/>
      <c r="BC222" s="50" t="n"/>
      <c r="BD222" s="50" t="n"/>
      <c r="BE222" s="50" t="n"/>
      <c r="BF222" s="50" t="n"/>
      <c r="BG222" s="50" t="n"/>
      <c r="BH222" s="50" t="n"/>
      <c r="BI222" s="50" t="n"/>
      <c r="BJ222" s="50" t="n"/>
      <c r="BK222" s="50" t="n"/>
      <c r="BL222" s="50" t="n"/>
      <c r="BM222" s="50" t="n"/>
      <c r="BN222" s="50" t="n"/>
      <c r="BO222" s="50" t="n"/>
      <c r="BP222" s="50" t="n"/>
      <c r="BQ222" s="50" t="n"/>
      <c r="BR222" s="50" t="n"/>
      <c r="BS222" s="50" t="n"/>
      <c r="BT222" s="50" t="n"/>
      <c r="BU222" s="50" t="n"/>
      <c r="BV222" s="50" t="n"/>
      <c r="BW222" s="50" t="n"/>
      <c r="BX222" s="50" t="n"/>
      <c r="BY222" s="50" t="n"/>
      <c r="BZ222" s="50" t="n"/>
      <c r="CA222" s="50" t="n"/>
      <c r="CB222" s="50" t="n"/>
      <c r="CC222" s="50" t="n"/>
      <c r="CD222" s="50" t="n"/>
      <c r="CE222" s="50" t="n"/>
      <c r="CF222" s="50" t="n"/>
      <c r="CG222" s="50" t="n"/>
      <c r="CH222" s="50" t="n"/>
      <c r="CI222" s="50" t="n"/>
      <c r="CJ222" s="50" t="n"/>
      <c r="CK222" s="50" t="n"/>
      <c r="CL222" s="50" t="n"/>
      <c r="CM222" s="50" t="n"/>
      <c r="CN222" s="50" t="n"/>
      <c r="CO222" s="50" t="n"/>
      <c r="CP222" s="50" t="n"/>
      <c r="CQ222" s="50" t="n"/>
      <c r="CR222" s="50" t="n"/>
      <c r="CS222" s="50" t="n"/>
      <c r="CT222" s="50" t="n"/>
      <c r="CU222" s="50" t="n"/>
      <c r="CV222" s="50" t="n"/>
      <c r="CW222" s="50" t="n"/>
      <c r="CX222" s="50" t="n"/>
      <c r="CY222" s="50" t="n"/>
      <c r="CZ222" s="50" t="n"/>
      <c r="DA222" s="50" t="n"/>
      <c r="DB222" s="50" t="n"/>
      <c r="DC222" s="50" t="n"/>
      <c r="DD222" s="50" t="n"/>
      <c r="DE222" s="50" t="n"/>
      <c r="DF222" s="50" t="n"/>
      <c r="DG222" s="50" t="n"/>
      <c r="DH222" s="50" t="n"/>
      <c r="DI222" s="50" t="n"/>
      <c r="DJ222" s="50" t="n"/>
      <c r="DK222" s="50" t="n"/>
      <c r="DL222" s="50" t="n"/>
      <c r="DM222" s="50" t="n"/>
      <c r="DN222" s="50" t="n"/>
      <c r="DO222" s="50" t="n"/>
      <c r="DP222" s="50" t="n"/>
      <c r="DQ222" s="50" t="n"/>
      <c r="DR222" s="50" t="n"/>
      <c r="DS222" s="50" t="n"/>
      <c r="DT222" s="50" t="n"/>
      <c r="DU222" s="50" t="n"/>
      <c r="DV222" s="50" t="n"/>
    </row>
    <row r="223">
      <c r="A223" s="47">
        <f>IF(Mitarbeiter!B223="","",Mitarbeiter!A223)</f>
        <v/>
      </c>
      <c r="B223" s="48">
        <f>IF(Mitarbeiter!B223="","",Mitarbeiter!B223)</f>
        <v/>
      </c>
      <c r="C223" s="49">
        <f>IF(Mitarbeiter!B223="","",Mitarbeiter!F223)</f>
        <v/>
      </c>
      <c r="D223" s="25">
        <f>IF(Mitarbeiter!B223="","",Berechnung!AD223)</f>
        <v/>
      </c>
      <c r="E223" s="25">
        <f>IF(Mitarbeiter!B223="","",SUM(G223:DV223))</f>
        <v/>
      </c>
      <c r="G223" s="50" t="n"/>
      <c r="H223" s="50" t="n"/>
      <c r="I223" s="50" t="n"/>
      <c r="J223" s="50" t="n"/>
      <c r="K223" s="50" t="n"/>
      <c r="L223" s="50" t="n"/>
      <c r="M223" s="50" t="n"/>
      <c r="N223" s="50" t="n"/>
      <c r="O223" s="50" t="n"/>
      <c r="P223" s="50" t="n"/>
      <c r="Q223" s="50" t="n"/>
      <c r="R223" s="50" t="n"/>
      <c r="S223" s="50" t="n"/>
      <c r="T223" s="50" t="n"/>
      <c r="U223" s="50" t="n"/>
      <c r="V223" s="50" t="n"/>
      <c r="W223" s="50" t="n"/>
      <c r="X223" s="50" t="n"/>
      <c r="Y223" s="50" t="n"/>
      <c r="Z223" s="50" t="n"/>
      <c r="AA223" s="50" t="n"/>
      <c r="AB223" s="50" t="n"/>
      <c r="AC223" s="50" t="n"/>
      <c r="AD223" s="50" t="n"/>
      <c r="AE223" s="50" t="n"/>
      <c r="AF223" s="50" t="n"/>
      <c r="AG223" s="50" t="n"/>
      <c r="AH223" s="50" t="n"/>
      <c r="AI223" s="50" t="n"/>
      <c r="AJ223" s="50" t="n"/>
      <c r="AK223" s="50" t="n"/>
      <c r="AL223" s="50" t="n"/>
      <c r="AM223" s="50" t="n"/>
      <c r="AN223" s="50" t="n"/>
      <c r="AO223" s="50" t="n"/>
      <c r="AP223" s="50" t="n"/>
      <c r="AQ223" s="50" t="n"/>
      <c r="AR223" s="50" t="n"/>
      <c r="AS223" s="50" t="n"/>
      <c r="AT223" s="50" t="n"/>
      <c r="AU223" s="50" t="n"/>
      <c r="AV223" s="50" t="n"/>
      <c r="AW223" s="50" t="n"/>
      <c r="AX223" s="50" t="n"/>
      <c r="AY223" s="50" t="n"/>
      <c r="AZ223" s="50" t="n"/>
      <c r="BA223" s="50" t="n"/>
      <c r="BB223" s="50" t="n"/>
      <c r="BC223" s="50" t="n"/>
      <c r="BD223" s="50" t="n"/>
      <c r="BE223" s="50" t="n"/>
      <c r="BF223" s="50" t="n"/>
      <c r="BG223" s="50" t="n"/>
      <c r="BH223" s="50" t="n"/>
      <c r="BI223" s="50" t="n"/>
      <c r="BJ223" s="50" t="n"/>
      <c r="BK223" s="50" t="n"/>
      <c r="BL223" s="50" t="n"/>
      <c r="BM223" s="50" t="n"/>
      <c r="BN223" s="50" t="n"/>
      <c r="BO223" s="50" t="n"/>
      <c r="BP223" s="50" t="n"/>
      <c r="BQ223" s="50" t="n"/>
      <c r="BR223" s="50" t="n"/>
      <c r="BS223" s="50" t="n"/>
      <c r="BT223" s="50" t="n"/>
      <c r="BU223" s="50" t="n"/>
      <c r="BV223" s="50" t="n"/>
      <c r="BW223" s="50" t="n"/>
      <c r="BX223" s="50" t="n"/>
      <c r="BY223" s="50" t="n"/>
      <c r="BZ223" s="50" t="n"/>
      <c r="CA223" s="50" t="n"/>
      <c r="CB223" s="50" t="n"/>
      <c r="CC223" s="50" t="n"/>
      <c r="CD223" s="50" t="n"/>
      <c r="CE223" s="50" t="n"/>
      <c r="CF223" s="50" t="n"/>
      <c r="CG223" s="50" t="n"/>
      <c r="CH223" s="50" t="n"/>
      <c r="CI223" s="50" t="n"/>
      <c r="CJ223" s="50" t="n"/>
      <c r="CK223" s="50" t="n"/>
      <c r="CL223" s="50" t="n"/>
      <c r="CM223" s="50" t="n"/>
      <c r="CN223" s="50" t="n"/>
      <c r="CO223" s="50" t="n"/>
      <c r="CP223" s="50" t="n"/>
      <c r="CQ223" s="50" t="n"/>
      <c r="CR223" s="50" t="n"/>
      <c r="CS223" s="50" t="n"/>
      <c r="CT223" s="50" t="n"/>
      <c r="CU223" s="50" t="n"/>
      <c r="CV223" s="50" t="n"/>
      <c r="CW223" s="50" t="n"/>
      <c r="CX223" s="50" t="n"/>
      <c r="CY223" s="50" t="n"/>
      <c r="CZ223" s="50" t="n"/>
      <c r="DA223" s="50" t="n"/>
      <c r="DB223" s="50" t="n"/>
      <c r="DC223" s="50" t="n"/>
      <c r="DD223" s="50" t="n"/>
      <c r="DE223" s="50" t="n"/>
      <c r="DF223" s="50" t="n"/>
      <c r="DG223" s="50" t="n"/>
      <c r="DH223" s="50" t="n"/>
      <c r="DI223" s="50" t="n"/>
      <c r="DJ223" s="50" t="n"/>
      <c r="DK223" s="50" t="n"/>
      <c r="DL223" s="50" t="n"/>
      <c r="DM223" s="50" t="n"/>
      <c r="DN223" s="50" t="n"/>
      <c r="DO223" s="50" t="n"/>
      <c r="DP223" s="50" t="n"/>
      <c r="DQ223" s="50" t="n"/>
      <c r="DR223" s="50" t="n"/>
      <c r="DS223" s="50" t="n"/>
      <c r="DT223" s="50" t="n"/>
      <c r="DU223" s="50" t="n"/>
      <c r="DV223" s="50" t="n"/>
    </row>
    <row r="224">
      <c r="A224" s="47">
        <f>IF(Mitarbeiter!B224="","",Mitarbeiter!A224)</f>
        <v/>
      </c>
      <c r="B224" s="48">
        <f>IF(Mitarbeiter!B224="","",Mitarbeiter!B224)</f>
        <v/>
      </c>
      <c r="C224" s="49">
        <f>IF(Mitarbeiter!B224="","",Mitarbeiter!F224)</f>
        <v/>
      </c>
      <c r="D224" s="25">
        <f>IF(Mitarbeiter!B224="","",Berechnung!AD224)</f>
        <v/>
      </c>
      <c r="E224" s="25">
        <f>IF(Mitarbeiter!B224="","",SUM(G224:DV224))</f>
        <v/>
      </c>
      <c r="G224" s="50" t="n"/>
      <c r="H224" s="50" t="n"/>
      <c r="I224" s="50" t="n"/>
      <c r="J224" s="50" t="n"/>
      <c r="K224" s="50" t="n"/>
      <c r="L224" s="50" t="n"/>
      <c r="M224" s="50" t="n"/>
      <c r="N224" s="50" t="n"/>
      <c r="O224" s="50" t="n"/>
      <c r="P224" s="50" t="n"/>
      <c r="Q224" s="50" t="n"/>
      <c r="R224" s="50" t="n"/>
      <c r="S224" s="50" t="n"/>
      <c r="T224" s="50" t="n"/>
      <c r="U224" s="50" t="n"/>
      <c r="V224" s="50" t="n"/>
      <c r="W224" s="50" t="n"/>
      <c r="X224" s="50" t="n"/>
      <c r="Y224" s="50" t="n"/>
      <c r="Z224" s="50" t="n"/>
      <c r="AA224" s="50" t="n"/>
      <c r="AB224" s="50" t="n"/>
      <c r="AC224" s="50" t="n"/>
      <c r="AD224" s="50" t="n"/>
      <c r="AE224" s="50" t="n"/>
      <c r="AF224" s="50" t="n"/>
      <c r="AG224" s="50" t="n"/>
      <c r="AH224" s="50" t="n"/>
      <c r="AI224" s="50" t="n"/>
      <c r="AJ224" s="50" t="n"/>
      <c r="AK224" s="50" t="n"/>
      <c r="AL224" s="50" t="n"/>
      <c r="AM224" s="50" t="n"/>
      <c r="AN224" s="50" t="n"/>
      <c r="AO224" s="50" t="n"/>
      <c r="AP224" s="50" t="n"/>
      <c r="AQ224" s="50" t="n"/>
      <c r="AR224" s="50" t="n"/>
      <c r="AS224" s="50" t="n"/>
      <c r="AT224" s="50" t="n"/>
      <c r="AU224" s="50" t="n"/>
      <c r="AV224" s="50" t="n"/>
      <c r="AW224" s="50" t="n"/>
      <c r="AX224" s="50" t="n"/>
      <c r="AY224" s="50" t="n"/>
      <c r="AZ224" s="50" t="n"/>
      <c r="BA224" s="50" t="n"/>
      <c r="BB224" s="50" t="n"/>
      <c r="BC224" s="50" t="n"/>
      <c r="BD224" s="50" t="n"/>
      <c r="BE224" s="50" t="n"/>
      <c r="BF224" s="50" t="n"/>
      <c r="BG224" s="50" t="n"/>
      <c r="BH224" s="50" t="n"/>
      <c r="BI224" s="50" t="n"/>
      <c r="BJ224" s="50" t="n"/>
      <c r="BK224" s="50" t="n"/>
      <c r="BL224" s="50" t="n"/>
      <c r="BM224" s="50" t="n"/>
      <c r="BN224" s="50" t="n"/>
      <c r="BO224" s="50" t="n"/>
      <c r="BP224" s="50" t="n"/>
      <c r="BQ224" s="50" t="n"/>
      <c r="BR224" s="50" t="n"/>
      <c r="BS224" s="50" t="n"/>
      <c r="BT224" s="50" t="n"/>
      <c r="BU224" s="50" t="n"/>
      <c r="BV224" s="50" t="n"/>
      <c r="BW224" s="50" t="n"/>
      <c r="BX224" s="50" t="n"/>
      <c r="BY224" s="50" t="n"/>
      <c r="BZ224" s="50" t="n"/>
      <c r="CA224" s="50" t="n"/>
      <c r="CB224" s="50" t="n"/>
      <c r="CC224" s="50" t="n"/>
      <c r="CD224" s="50" t="n"/>
      <c r="CE224" s="50" t="n"/>
      <c r="CF224" s="50" t="n"/>
      <c r="CG224" s="50" t="n"/>
      <c r="CH224" s="50" t="n"/>
      <c r="CI224" s="50" t="n"/>
      <c r="CJ224" s="50" t="n"/>
      <c r="CK224" s="50" t="n"/>
      <c r="CL224" s="50" t="n"/>
      <c r="CM224" s="50" t="n"/>
      <c r="CN224" s="50" t="n"/>
      <c r="CO224" s="50" t="n"/>
      <c r="CP224" s="50" t="n"/>
      <c r="CQ224" s="50" t="n"/>
      <c r="CR224" s="50" t="n"/>
      <c r="CS224" s="50" t="n"/>
      <c r="CT224" s="50" t="n"/>
      <c r="CU224" s="50" t="n"/>
      <c r="CV224" s="50" t="n"/>
      <c r="CW224" s="50" t="n"/>
      <c r="CX224" s="50" t="n"/>
      <c r="CY224" s="50" t="n"/>
      <c r="CZ224" s="50" t="n"/>
      <c r="DA224" s="50" t="n"/>
      <c r="DB224" s="50" t="n"/>
      <c r="DC224" s="50" t="n"/>
      <c r="DD224" s="50" t="n"/>
      <c r="DE224" s="50" t="n"/>
      <c r="DF224" s="50" t="n"/>
      <c r="DG224" s="50" t="n"/>
      <c r="DH224" s="50" t="n"/>
      <c r="DI224" s="50" t="n"/>
      <c r="DJ224" s="50" t="n"/>
      <c r="DK224" s="50" t="n"/>
      <c r="DL224" s="50" t="n"/>
      <c r="DM224" s="50" t="n"/>
      <c r="DN224" s="50" t="n"/>
      <c r="DO224" s="50" t="n"/>
      <c r="DP224" s="50" t="n"/>
      <c r="DQ224" s="50" t="n"/>
      <c r="DR224" s="50" t="n"/>
      <c r="DS224" s="50" t="n"/>
      <c r="DT224" s="50" t="n"/>
      <c r="DU224" s="50" t="n"/>
      <c r="DV224" s="50" t="n"/>
    </row>
    <row r="225">
      <c r="A225" s="47">
        <f>IF(Mitarbeiter!B225="","",Mitarbeiter!A225)</f>
        <v/>
      </c>
      <c r="B225" s="48">
        <f>IF(Mitarbeiter!B225="","",Mitarbeiter!B225)</f>
        <v/>
      </c>
      <c r="C225" s="49">
        <f>IF(Mitarbeiter!B225="","",Mitarbeiter!F225)</f>
        <v/>
      </c>
      <c r="D225" s="25">
        <f>IF(Mitarbeiter!B225="","",Berechnung!AD225)</f>
        <v/>
      </c>
      <c r="E225" s="25">
        <f>IF(Mitarbeiter!B225="","",SUM(G225:DV225))</f>
        <v/>
      </c>
      <c r="G225" s="50" t="n"/>
      <c r="H225" s="50" t="n"/>
      <c r="I225" s="50" t="n"/>
      <c r="J225" s="50" t="n"/>
      <c r="K225" s="50" t="n"/>
      <c r="L225" s="50" t="n"/>
      <c r="M225" s="50" t="n"/>
      <c r="N225" s="50" t="n"/>
      <c r="O225" s="50" t="n"/>
      <c r="P225" s="50" t="n"/>
      <c r="Q225" s="50" t="n"/>
      <c r="R225" s="50" t="n"/>
      <c r="S225" s="50" t="n"/>
      <c r="T225" s="50" t="n"/>
      <c r="U225" s="50" t="n"/>
      <c r="V225" s="50" t="n"/>
      <c r="W225" s="50" t="n"/>
      <c r="X225" s="50" t="n"/>
      <c r="Y225" s="50" t="n"/>
      <c r="Z225" s="50" t="n"/>
      <c r="AA225" s="50" t="n"/>
      <c r="AB225" s="50" t="n"/>
      <c r="AC225" s="50" t="n"/>
      <c r="AD225" s="50" t="n"/>
      <c r="AE225" s="50" t="n"/>
      <c r="AF225" s="50" t="n"/>
      <c r="AG225" s="50" t="n"/>
      <c r="AH225" s="50" t="n"/>
      <c r="AI225" s="50" t="n"/>
      <c r="AJ225" s="50" t="n"/>
      <c r="AK225" s="50" t="n"/>
      <c r="AL225" s="50" t="n"/>
      <c r="AM225" s="50" t="n"/>
      <c r="AN225" s="50" t="n"/>
      <c r="AO225" s="50" t="n"/>
      <c r="AP225" s="50" t="n"/>
      <c r="AQ225" s="50" t="n"/>
      <c r="AR225" s="50" t="n"/>
      <c r="AS225" s="50" t="n"/>
      <c r="AT225" s="50" t="n"/>
      <c r="AU225" s="50" t="n"/>
      <c r="AV225" s="50" t="n"/>
      <c r="AW225" s="50" t="n"/>
      <c r="AX225" s="50" t="n"/>
      <c r="AY225" s="50" t="n"/>
      <c r="AZ225" s="50" t="n"/>
      <c r="BA225" s="50" t="n"/>
      <c r="BB225" s="50" t="n"/>
      <c r="BC225" s="50" t="n"/>
      <c r="BD225" s="50" t="n"/>
      <c r="BE225" s="50" t="n"/>
      <c r="BF225" s="50" t="n"/>
      <c r="BG225" s="50" t="n"/>
      <c r="BH225" s="50" t="n"/>
      <c r="BI225" s="50" t="n"/>
      <c r="BJ225" s="50" t="n"/>
      <c r="BK225" s="50" t="n"/>
      <c r="BL225" s="50" t="n"/>
      <c r="BM225" s="50" t="n"/>
      <c r="BN225" s="50" t="n"/>
      <c r="BO225" s="50" t="n"/>
      <c r="BP225" s="50" t="n"/>
      <c r="BQ225" s="50" t="n"/>
      <c r="BR225" s="50" t="n"/>
      <c r="BS225" s="50" t="n"/>
      <c r="BT225" s="50" t="n"/>
      <c r="BU225" s="50" t="n"/>
      <c r="BV225" s="50" t="n"/>
      <c r="BW225" s="50" t="n"/>
      <c r="BX225" s="50" t="n"/>
      <c r="BY225" s="50" t="n"/>
      <c r="BZ225" s="50" t="n"/>
      <c r="CA225" s="50" t="n"/>
      <c r="CB225" s="50" t="n"/>
      <c r="CC225" s="50" t="n"/>
      <c r="CD225" s="50" t="n"/>
      <c r="CE225" s="50" t="n"/>
      <c r="CF225" s="50" t="n"/>
      <c r="CG225" s="50" t="n"/>
      <c r="CH225" s="50" t="n"/>
      <c r="CI225" s="50" t="n"/>
      <c r="CJ225" s="50" t="n"/>
      <c r="CK225" s="50" t="n"/>
      <c r="CL225" s="50" t="n"/>
      <c r="CM225" s="50" t="n"/>
      <c r="CN225" s="50" t="n"/>
      <c r="CO225" s="50" t="n"/>
      <c r="CP225" s="50" t="n"/>
      <c r="CQ225" s="50" t="n"/>
      <c r="CR225" s="50" t="n"/>
      <c r="CS225" s="50" t="n"/>
      <c r="CT225" s="50" t="n"/>
      <c r="CU225" s="50" t="n"/>
      <c r="CV225" s="50" t="n"/>
      <c r="CW225" s="50" t="n"/>
      <c r="CX225" s="50" t="n"/>
      <c r="CY225" s="50" t="n"/>
      <c r="CZ225" s="50" t="n"/>
      <c r="DA225" s="50" t="n"/>
      <c r="DB225" s="50" t="n"/>
      <c r="DC225" s="50" t="n"/>
      <c r="DD225" s="50" t="n"/>
      <c r="DE225" s="50" t="n"/>
      <c r="DF225" s="50" t="n"/>
      <c r="DG225" s="50" t="n"/>
      <c r="DH225" s="50" t="n"/>
      <c r="DI225" s="50" t="n"/>
      <c r="DJ225" s="50" t="n"/>
      <c r="DK225" s="50" t="n"/>
      <c r="DL225" s="50" t="n"/>
      <c r="DM225" s="50" t="n"/>
      <c r="DN225" s="50" t="n"/>
      <c r="DO225" s="50" t="n"/>
      <c r="DP225" s="50" t="n"/>
      <c r="DQ225" s="50" t="n"/>
      <c r="DR225" s="50" t="n"/>
      <c r="DS225" s="50" t="n"/>
      <c r="DT225" s="50" t="n"/>
      <c r="DU225" s="50" t="n"/>
      <c r="DV225" s="50" t="n"/>
    </row>
    <row r="226">
      <c r="A226" s="47">
        <f>IF(Mitarbeiter!B226="","",Mitarbeiter!A226)</f>
        <v/>
      </c>
      <c r="B226" s="48">
        <f>IF(Mitarbeiter!B226="","",Mitarbeiter!B226)</f>
        <v/>
      </c>
      <c r="C226" s="49">
        <f>IF(Mitarbeiter!B226="","",Mitarbeiter!F226)</f>
        <v/>
      </c>
      <c r="D226" s="25">
        <f>IF(Mitarbeiter!B226="","",Berechnung!AD226)</f>
        <v/>
      </c>
      <c r="E226" s="25">
        <f>IF(Mitarbeiter!B226="","",SUM(G226:DV226))</f>
        <v/>
      </c>
      <c r="G226" s="50" t="n"/>
      <c r="H226" s="50" t="n"/>
      <c r="I226" s="50" t="n"/>
      <c r="J226" s="50" t="n"/>
      <c r="K226" s="50" t="n"/>
      <c r="L226" s="50" t="n"/>
      <c r="M226" s="50" t="n"/>
      <c r="N226" s="50" t="n"/>
      <c r="O226" s="50" t="n"/>
      <c r="P226" s="50" t="n"/>
      <c r="Q226" s="50" t="n"/>
      <c r="R226" s="50" t="n"/>
      <c r="S226" s="50" t="n"/>
      <c r="T226" s="50" t="n"/>
      <c r="U226" s="50" t="n"/>
      <c r="V226" s="50" t="n"/>
      <c r="W226" s="50" t="n"/>
      <c r="X226" s="50" t="n"/>
      <c r="Y226" s="50" t="n"/>
      <c r="Z226" s="50" t="n"/>
      <c r="AA226" s="50" t="n"/>
      <c r="AB226" s="50" t="n"/>
      <c r="AC226" s="50" t="n"/>
      <c r="AD226" s="50" t="n"/>
      <c r="AE226" s="50" t="n"/>
      <c r="AF226" s="50" t="n"/>
      <c r="AG226" s="50" t="n"/>
      <c r="AH226" s="50" t="n"/>
      <c r="AI226" s="50" t="n"/>
      <c r="AJ226" s="50" t="n"/>
      <c r="AK226" s="50" t="n"/>
      <c r="AL226" s="50" t="n"/>
      <c r="AM226" s="50" t="n"/>
      <c r="AN226" s="50" t="n"/>
      <c r="AO226" s="50" t="n"/>
      <c r="AP226" s="50" t="n"/>
      <c r="AQ226" s="50" t="n"/>
      <c r="AR226" s="50" t="n"/>
      <c r="AS226" s="50" t="n"/>
      <c r="AT226" s="50" t="n"/>
      <c r="AU226" s="50" t="n"/>
      <c r="AV226" s="50" t="n"/>
      <c r="AW226" s="50" t="n"/>
      <c r="AX226" s="50" t="n"/>
      <c r="AY226" s="50" t="n"/>
      <c r="AZ226" s="50" t="n"/>
      <c r="BA226" s="50" t="n"/>
      <c r="BB226" s="50" t="n"/>
      <c r="BC226" s="50" t="n"/>
      <c r="BD226" s="50" t="n"/>
      <c r="BE226" s="50" t="n"/>
      <c r="BF226" s="50" t="n"/>
      <c r="BG226" s="50" t="n"/>
      <c r="BH226" s="50" t="n"/>
      <c r="BI226" s="50" t="n"/>
      <c r="BJ226" s="50" t="n"/>
      <c r="BK226" s="50" t="n"/>
      <c r="BL226" s="50" t="n"/>
      <c r="BM226" s="50" t="n"/>
      <c r="BN226" s="50" t="n"/>
      <c r="BO226" s="50" t="n"/>
      <c r="BP226" s="50" t="n"/>
      <c r="BQ226" s="50" t="n"/>
      <c r="BR226" s="50" t="n"/>
      <c r="BS226" s="50" t="n"/>
      <c r="BT226" s="50" t="n"/>
      <c r="BU226" s="50" t="n"/>
      <c r="BV226" s="50" t="n"/>
      <c r="BW226" s="50" t="n"/>
      <c r="BX226" s="50" t="n"/>
      <c r="BY226" s="50" t="n"/>
      <c r="BZ226" s="50" t="n"/>
      <c r="CA226" s="50" t="n"/>
      <c r="CB226" s="50" t="n"/>
      <c r="CC226" s="50" t="n"/>
      <c r="CD226" s="50" t="n"/>
      <c r="CE226" s="50" t="n"/>
      <c r="CF226" s="50" t="n"/>
      <c r="CG226" s="50" t="n"/>
      <c r="CH226" s="50" t="n"/>
      <c r="CI226" s="50" t="n"/>
      <c r="CJ226" s="50" t="n"/>
      <c r="CK226" s="50" t="n"/>
      <c r="CL226" s="50" t="n"/>
      <c r="CM226" s="50" t="n"/>
      <c r="CN226" s="50" t="n"/>
      <c r="CO226" s="50" t="n"/>
      <c r="CP226" s="50" t="n"/>
      <c r="CQ226" s="50" t="n"/>
      <c r="CR226" s="50" t="n"/>
      <c r="CS226" s="50" t="n"/>
      <c r="CT226" s="50" t="n"/>
      <c r="CU226" s="50" t="n"/>
      <c r="CV226" s="50" t="n"/>
      <c r="CW226" s="50" t="n"/>
      <c r="CX226" s="50" t="n"/>
      <c r="CY226" s="50" t="n"/>
      <c r="CZ226" s="50" t="n"/>
      <c r="DA226" s="50" t="n"/>
      <c r="DB226" s="50" t="n"/>
      <c r="DC226" s="50" t="n"/>
      <c r="DD226" s="50" t="n"/>
      <c r="DE226" s="50" t="n"/>
      <c r="DF226" s="50" t="n"/>
      <c r="DG226" s="50" t="n"/>
      <c r="DH226" s="50" t="n"/>
      <c r="DI226" s="50" t="n"/>
      <c r="DJ226" s="50" t="n"/>
      <c r="DK226" s="50" t="n"/>
      <c r="DL226" s="50" t="n"/>
      <c r="DM226" s="50" t="n"/>
      <c r="DN226" s="50" t="n"/>
      <c r="DO226" s="50" t="n"/>
      <c r="DP226" s="50" t="n"/>
      <c r="DQ226" s="50" t="n"/>
      <c r="DR226" s="50" t="n"/>
      <c r="DS226" s="50" t="n"/>
      <c r="DT226" s="50" t="n"/>
      <c r="DU226" s="50" t="n"/>
      <c r="DV226" s="50" t="n"/>
    </row>
    <row r="227">
      <c r="A227" s="47">
        <f>IF(Mitarbeiter!B227="","",Mitarbeiter!A227)</f>
        <v/>
      </c>
      <c r="B227" s="48">
        <f>IF(Mitarbeiter!B227="","",Mitarbeiter!B227)</f>
        <v/>
      </c>
      <c r="C227" s="49">
        <f>IF(Mitarbeiter!B227="","",Mitarbeiter!F227)</f>
        <v/>
      </c>
      <c r="D227" s="25">
        <f>IF(Mitarbeiter!B227="","",Berechnung!AD227)</f>
        <v/>
      </c>
      <c r="E227" s="25">
        <f>IF(Mitarbeiter!B227="","",SUM(G227:DV227))</f>
        <v/>
      </c>
      <c r="G227" s="50" t="n"/>
      <c r="H227" s="50" t="n"/>
      <c r="I227" s="50" t="n"/>
      <c r="J227" s="50" t="n"/>
      <c r="K227" s="50" t="n"/>
      <c r="L227" s="50" t="n"/>
      <c r="M227" s="50" t="n"/>
      <c r="N227" s="50" t="n"/>
      <c r="O227" s="50" t="n"/>
      <c r="P227" s="50" t="n"/>
      <c r="Q227" s="50" t="n"/>
      <c r="R227" s="50" t="n"/>
      <c r="S227" s="50" t="n"/>
      <c r="T227" s="50" t="n"/>
      <c r="U227" s="50" t="n"/>
      <c r="V227" s="50" t="n"/>
      <c r="W227" s="50" t="n"/>
      <c r="X227" s="50" t="n"/>
      <c r="Y227" s="50" t="n"/>
      <c r="Z227" s="50" t="n"/>
      <c r="AA227" s="50" t="n"/>
      <c r="AB227" s="50" t="n"/>
      <c r="AC227" s="50" t="n"/>
      <c r="AD227" s="50" t="n"/>
      <c r="AE227" s="50" t="n"/>
      <c r="AF227" s="50" t="n"/>
      <c r="AG227" s="50" t="n"/>
      <c r="AH227" s="50" t="n"/>
      <c r="AI227" s="50" t="n"/>
      <c r="AJ227" s="50" t="n"/>
      <c r="AK227" s="50" t="n"/>
      <c r="AL227" s="50" t="n"/>
      <c r="AM227" s="50" t="n"/>
      <c r="AN227" s="50" t="n"/>
      <c r="AO227" s="50" t="n"/>
      <c r="AP227" s="50" t="n"/>
      <c r="AQ227" s="50" t="n"/>
      <c r="AR227" s="50" t="n"/>
      <c r="AS227" s="50" t="n"/>
      <c r="AT227" s="50" t="n"/>
      <c r="AU227" s="50" t="n"/>
      <c r="AV227" s="50" t="n"/>
      <c r="AW227" s="50" t="n"/>
      <c r="AX227" s="50" t="n"/>
      <c r="AY227" s="50" t="n"/>
      <c r="AZ227" s="50" t="n"/>
      <c r="BA227" s="50" t="n"/>
      <c r="BB227" s="50" t="n"/>
      <c r="BC227" s="50" t="n"/>
      <c r="BD227" s="50" t="n"/>
      <c r="BE227" s="50" t="n"/>
      <c r="BF227" s="50" t="n"/>
      <c r="BG227" s="50" t="n"/>
      <c r="BH227" s="50" t="n"/>
      <c r="BI227" s="50" t="n"/>
      <c r="BJ227" s="50" t="n"/>
      <c r="BK227" s="50" t="n"/>
      <c r="BL227" s="50" t="n"/>
      <c r="BM227" s="50" t="n"/>
      <c r="BN227" s="50" t="n"/>
      <c r="BO227" s="50" t="n"/>
      <c r="BP227" s="50" t="n"/>
      <c r="BQ227" s="50" t="n"/>
      <c r="BR227" s="50" t="n"/>
      <c r="BS227" s="50" t="n"/>
      <c r="BT227" s="50" t="n"/>
      <c r="BU227" s="50" t="n"/>
      <c r="BV227" s="50" t="n"/>
      <c r="BW227" s="50" t="n"/>
      <c r="BX227" s="50" t="n"/>
      <c r="BY227" s="50" t="n"/>
      <c r="BZ227" s="50" t="n"/>
      <c r="CA227" s="50" t="n"/>
      <c r="CB227" s="50" t="n"/>
      <c r="CC227" s="50" t="n"/>
      <c r="CD227" s="50" t="n"/>
      <c r="CE227" s="50" t="n"/>
      <c r="CF227" s="50" t="n"/>
      <c r="CG227" s="50" t="n"/>
      <c r="CH227" s="50" t="n"/>
      <c r="CI227" s="50" t="n"/>
      <c r="CJ227" s="50" t="n"/>
      <c r="CK227" s="50" t="n"/>
      <c r="CL227" s="50" t="n"/>
      <c r="CM227" s="50" t="n"/>
      <c r="CN227" s="50" t="n"/>
      <c r="CO227" s="50" t="n"/>
      <c r="CP227" s="50" t="n"/>
      <c r="CQ227" s="50" t="n"/>
      <c r="CR227" s="50" t="n"/>
      <c r="CS227" s="50" t="n"/>
      <c r="CT227" s="50" t="n"/>
      <c r="CU227" s="50" t="n"/>
      <c r="CV227" s="50" t="n"/>
      <c r="CW227" s="50" t="n"/>
      <c r="CX227" s="50" t="n"/>
      <c r="CY227" s="50" t="n"/>
      <c r="CZ227" s="50" t="n"/>
      <c r="DA227" s="50" t="n"/>
      <c r="DB227" s="50" t="n"/>
      <c r="DC227" s="50" t="n"/>
      <c r="DD227" s="50" t="n"/>
      <c r="DE227" s="50" t="n"/>
      <c r="DF227" s="50" t="n"/>
      <c r="DG227" s="50" t="n"/>
      <c r="DH227" s="50" t="n"/>
      <c r="DI227" s="50" t="n"/>
      <c r="DJ227" s="50" t="n"/>
      <c r="DK227" s="50" t="n"/>
      <c r="DL227" s="50" t="n"/>
      <c r="DM227" s="50" t="n"/>
      <c r="DN227" s="50" t="n"/>
      <c r="DO227" s="50" t="n"/>
      <c r="DP227" s="50" t="n"/>
      <c r="DQ227" s="50" t="n"/>
      <c r="DR227" s="50" t="n"/>
      <c r="DS227" s="50" t="n"/>
      <c r="DT227" s="50" t="n"/>
      <c r="DU227" s="50" t="n"/>
      <c r="DV227" s="50" t="n"/>
    </row>
    <row r="228">
      <c r="A228" s="47">
        <f>IF(Mitarbeiter!B228="","",Mitarbeiter!A228)</f>
        <v/>
      </c>
      <c r="B228" s="48">
        <f>IF(Mitarbeiter!B228="","",Mitarbeiter!B228)</f>
        <v/>
      </c>
      <c r="C228" s="49">
        <f>IF(Mitarbeiter!B228="","",Mitarbeiter!F228)</f>
        <v/>
      </c>
      <c r="D228" s="25">
        <f>IF(Mitarbeiter!B228="","",Berechnung!AD228)</f>
        <v/>
      </c>
      <c r="E228" s="25">
        <f>IF(Mitarbeiter!B228="","",SUM(G228:DV228))</f>
        <v/>
      </c>
      <c r="G228" s="50" t="n"/>
      <c r="H228" s="50" t="n"/>
      <c r="I228" s="50" t="n"/>
      <c r="J228" s="50" t="n"/>
      <c r="K228" s="50" t="n"/>
      <c r="L228" s="50" t="n"/>
      <c r="M228" s="50" t="n"/>
      <c r="N228" s="50" t="n"/>
      <c r="O228" s="50" t="n"/>
      <c r="P228" s="50" t="n"/>
      <c r="Q228" s="50" t="n"/>
      <c r="R228" s="50" t="n"/>
      <c r="S228" s="50" t="n"/>
      <c r="T228" s="50" t="n"/>
      <c r="U228" s="50" t="n"/>
      <c r="V228" s="50" t="n"/>
      <c r="W228" s="50" t="n"/>
      <c r="X228" s="50" t="n"/>
      <c r="Y228" s="50" t="n"/>
      <c r="Z228" s="50" t="n"/>
      <c r="AA228" s="50" t="n"/>
      <c r="AB228" s="50" t="n"/>
      <c r="AC228" s="50" t="n"/>
      <c r="AD228" s="50" t="n"/>
      <c r="AE228" s="50" t="n"/>
      <c r="AF228" s="50" t="n"/>
      <c r="AG228" s="50" t="n"/>
      <c r="AH228" s="50" t="n"/>
      <c r="AI228" s="50" t="n"/>
      <c r="AJ228" s="50" t="n"/>
      <c r="AK228" s="50" t="n"/>
      <c r="AL228" s="50" t="n"/>
      <c r="AM228" s="50" t="n"/>
      <c r="AN228" s="50" t="n"/>
      <c r="AO228" s="50" t="n"/>
      <c r="AP228" s="50" t="n"/>
      <c r="AQ228" s="50" t="n"/>
      <c r="AR228" s="50" t="n"/>
      <c r="AS228" s="50" t="n"/>
      <c r="AT228" s="50" t="n"/>
      <c r="AU228" s="50" t="n"/>
      <c r="AV228" s="50" t="n"/>
      <c r="AW228" s="50" t="n"/>
      <c r="AX228" s="50" t="n"/>
      <c r="AY228" s="50" t="n"/>
      <c r="AZ228" s="50" t="n"/>
      <c r="BA228" s="50" t="n"/>
      <c r="BB228" s="50" t="n"/>
      <c r="BC228" s="50" t="n"/>
      <c r="BD228" s="50" t="n"/>
      <c r="BE228" s="50" t="n"/>
      <c r="BF228" s="50" t="n"/>
      <c r="BG228" s="50" t="n"/>
      <c r="BH228" s="50" t="n"/>
      <c r="BI228" s="50" t="n"/>
      <c r="BJ228" s="50" t="n"/>
      <c r="BK228" s="50" t="n"/>
      <c r="BL228" s="50" t="n"/>
      <c r="BM228" s="50" t="n"/>
      <c r="BN228" s="50" t="n"/>
      <c r="BO228" s="50" t="n"/>
      <c r="BP228" s="50" t="n"/>
      <c r="BQ228" s="50" t="n"/>
      <c r="BR228" s="50" t="n"/>
      <c r="BS228" s="50" t="n"/>
      <c r="BT228" s="50" t="n"/>
      <c r="BU228" s="50" t="n"/>
      <c r="BV228" s="50" t="n"/>
      <c r="BW228" s="50" t="n"/>
      <c r="BX228" s="50" t="n"/>
      <c r="BY228" s="50" t="n"/>
      <c r="BZ228" s="50" t="n"/>
      <c r="CA228" s="50" t="n"/>
      <c r="CB228" s="50" t="n"/>
      <c r="CC228" s="50" t="n"/>
      <c r="CD228" s="50" t="n"/>
      <c r="CE228" s="50" t="n"/>
      <c r="CF228" s="50" t="n"/>
      <c r="CG228" s="50" t="n"/>
      <c r="CH228" s="50" t="n"/>
      <c r="CI228" s="50" t="n"/>
      <c r="CJ228" s="50" t="n"/>
      <c r="CK228" s="50" t="n"/>
      <c r="CL228" s="50" t="n"/>
      <c r="CM228" s="50" t="n"/>
      <c r="CN228" s="50" t="n"/>
      <c r="CO228" s="50" t="n"/>
      <c r="CP228" s="50" t="n"/>
      <c r="CQ228" s="50" t="n"/>
      <c r="CR228" s="50" t="n"/>
      <c r="CS228" s="50" t="n"/>
      <c r="CT228" s="50" t="n"/>
      <c r="CU228" s="50" t="n"/>
      <c r="CV228" s="50" t="n"/>
      <c r="CW228" s="50" t="n"/>
      <c r="CX228" s="50" t="n"/>
      <c r="CY228" s="50" t="n"/>
      <c r="CZ228" s="50" t="n"/>
      <c r="DA228" s="50" t="n"/>
      <c r="DB228" s="50" t="n"/>
      <c r="DC228" s="50" t="n"/>
      <c r="DD228" s="50" t="n"/>
      <c r="DE228" s="50" t="n"/>
      <c r="DF228" s="50" t="n"/>
      <c r="DG228" s="50" t="n"/>
      <c r="DH228" s="50" t="n"/>
      <c r="DI228" s="50" t="n"/>
      <c r="DJ228" s="50" t="n"/>
      <c r="DK228" s="50" t="n"/>
      <c r="DL228" s="50" t="n"/>
      <c r="DM228" s="50" t="n"/>
      <c r="DN228" s="50" t="n"/>
      <c r="DO228" s="50" t="n"/>
      <c r="DP228" s="50" t="n"/>
      <c r="DQ228" s="50" t="n"/>
      <c r="DR228" s="50" t="n"/>
      <c r="DS228" s="50" t="n"/>
      <c r="DT228" s="50" t="n"/>
      <c r="DU228" s="50" t="n"/>
      <c r="DV228" s="50" t="n"/>
    </row>
    <row r="229">
      <c r="A229" s="47">
        <f>IF(Mitarbeiter!B229="","",Mitarbeiter!A229)</f>
        <v/>
      </c>
      <c r="B229" s="48">
        <f>IF(Mitarbeiter!B229="","",Mitarbeiter!B229)</f>
        <v/>
      </c>
      <c r="C229" s="49">
        <f>IF(Mitarbeiter!B229="","",Mitarbeiter!F229)</f>
        <v/>
      </c>
      <c r="D229" s="25">
        <f>IF(Mitarbeiter!B229="","",Berechnung!AD229)</f>
        <v/>
      </c>
      <c r="E229" s="25">
        <f>IF(Mitarbeiter!B229="","",SUM(G229:DV229))</f>
        <v/>
      </c>
      <c r="G229" s="50" t="n"/>
      <c r="H229" s="50" t="n"/>
      <c r="I229" s="50" t="n"/>
      <c r="J229" s="50" t="n"/>
      <c r="K229" s="50" t="n"/>
      <c r="L229" s="50" t="n"/>
      <c r="M229" s="50" t="n"/>
      <c r="N229" s="50" t="n"/>
      <c r="O229" s="50" t="n"/>
      <c r="P229" s="50" t="n"/>
      <c r="Q229" s="50" t="n"/>
      <c r="R229" s="50" t="n"/>
      <c r="S229" s="50" t="n"/>
      <c r="T229" s="50" t="n"/>
      <c r="U229" s="50" t="n"/>
      <c r="V229" s="50" t="n"/>
      <c r="W229" s="50" t="n"/>
      <c r="X229" s="50" t="n"/>
      <c r="Y229" s="50" t="n"/>
      <c r="Z229" s="50" t="n"/>
      <c r="AA229" s="50" t="n"/>
      <c r="AB229" s="50" t="n"/>
      <c r="AC229" s="50" t="n"/>
      <c r="AD229" s="50" t="n"/>
      <c r="AE229" s="50" t="n"/>
      <c r="AF229" s="50" t="n"/>
      <c r="AG229" s="50" t="n"/>
      <c r="AH229" s="50" t="n"/>
      <c r="AI229" s="50" t="n"/>
      <c r="AJ229" s="50" t="n"/>
      <c r="AK229" s="50" t="n"/>
      <c r="AL229" s="50" t="n"/>
      <c r="AM229" s="50" t="n"/>
      <c r="AN229" s="50" t="n"/>
      <c r="AO229" s="50" t="n"/>
      <c r="AP229" s="50" t="n"/>
      <c r="AQ229" s="50" t="n"/>
      <c r="AR229" s="50" t="n"/>
      <c r="AS229" s="50" t="n"/>
      <c r="AT229" s="50" t="n"/>
      <c r="AU229" s="50" t="n"/>
      <c r="AV229" s="50" t="n"/>
      <c r="AW229" s="50" t="n"/>
      <c r="AX229" s="50" t="n"/>
      <c r="AY229" s="50" t="n"/>
      <c r="AZ229" s="50" t="n"/>
      <c r="BA229" s="50" t="n"/>
      <c r="BB229" s="50" t="n"/>
      <c r="BC229" s="50" t="n"/>
      <c r="BD229" s="50" t="n"/>
      <c r="BE229" s="50" t="n"/>
      <c r="BF229" s="50" t="n"/>
      <c r="BG229" s="50" t="n"/>
      <c r="BH229" s="50" t="n"/>
      <c r="BI229" s="50" t="n"/>
      <c r="BJ229" s="50" t="n"/>
      <c r="BK229" s="50" t="n"/>
      <c r="BL229" s="50" t="n"/>
      <c r="BM229" s="50" t="n"/>
      <c r="BN229" s="50" t="n"/>
      <c r="BO229" s="50" t="n"/>
      <c r="BP229" s="50" t="n"/>
      <c r="BQ229" s="50" t="n"/>
      <c r="BR229" s="50" t="n"/>
      <c r="BS229" s="50" t="n"/>
      <c r="BT229" s="50" t="n"/>
      <c r="BU229" s="50" t="n"/>
      <c r="BV229" s="50" t="n"/>
      <c r="BW229" s="50" t="n"/>
      <c r="BX229" s="50" t="n"/>
      <c r="BY229" s="50" t="n"/>
      <c r="BZ229" s="50" t="n"/>
      <c r="CA229" s="50" t="n"/>
      <c r="CB229" s="50" t="n"/>
      <c r="CC229" s="50" t="n"/>
      <c r="CD229" s="50" t="n"/>
      <c r="CE229" s="50" t="n"/>
      <c r="CF229" s="50" t="n"/>
      <c r="CG229" s="50" t="n"/>
      <c r="CH229" s="50" t="n"/>
      <c r="CI229" s="50" t="n"/>
      <c r="CJ229" s="50" t="n"/>
      <c r="CK229" s="50" t="n"/>
      <c r="CL229" s="50" t="n"/>
      <c r="CM229" s="50" t="n"/>
      <c r="CN229" s="50" t="n"/>
      <c r="CO229" s="50" t="n"/>
      <c r="CP229" s="50" t="n"/>
      <c r="CQ229" s="50" t="n"/>
      <c r="CR229" s="50" t="n"/>
      <c r="CS229" s="50" t="n"/>
      <c r="CT229" s="50" t="n"/>
      <c r="CU229" s="50" t="n"/>
      <c r="CV229" s="50" t="n"/>
      <c r="CW229" s="50" t="n"/>
      <c r="CX229" s="50" t="n"/>
      <c r="CY229" s="50" t="n"/>
      <c r="CZ229" s="50" t="n"/>
      <c r="DA229" s="50" t="n"/>
      <c r="DB229" s="50" t="n"/>
      <c r="DC229" s="50" t="n"/>
      <c r="DD229" s="50" t="n"/>
      <c r="DE229" s="50" t="n"/>
      <c r="DF229" s="50" t="n"/>
      <c r="DG229" s="50" t="n"/>
      <c r="DH229" s="50" t="n"/>
      <c r="DI229" s="50" t="n"/>
      <c r="DJ229" s="50" t="n"/>
      <c r="DK229" s="50" t="n"/>
      <c r="DL229" s="50" t="n"/>
      <c r="DM229" s="50" t="n"/>
      <c r="DN229" s="50" t="n"/>
      <c r="DO229" s="50" t="n"/>
      <c r="DP229" s="50" t="n"/>
      <c r="DQ229" s="50" t="n"/>
      <c r="DR229" s="50" t="n"/>
      <c r="DS229" s="50" t="n"/>
      <c r="DT229" s="50" t="n"/>
      <c r="DU229" s="50" t="n"/>
      <c r="DV229" s="50" t="n"/>
    </row>
    <row r="230">
      <c r="A230" s="47">
        <f>IF(Mitarbeiter!B230="","",Mitarbeiter!A230)</f>
        <v/>
      </c>
      <c r="B230" s="48">
        <f>IF(Mitarbeiter!B230="","",Mitarbeiter!B230)</f>
        <v/>
      </c>
      <c r="C230" s="49">
        <f>IF(Mitarbeiter!B230="","",Mitarbeiter!F230)</f>
        <v/>
      </c>
      <c r="D230" s="25">
        <f>IF(Mitarbeiter!B230="","",Berechnung!AD230)</f>
        <v/>
      </c>
      <c r="E230" s="25">
        <f>IF(Mitarbeiter!B230="","",SUM(G230:DV230))</f>
        <v/>
      </c>
      <c r="G230" s="50" t="n"/>
      <c r="H230" s="50" t="n"/>
      <c r="I230" s="50" t="n"/>
      <c r="J230" s="50" t="n"/>
      <c r="K230" s="50" t="n"/>
      <c r="L230" s="50" t="n"/>
      <c r="M230" s="50" t="n"/>
      <c r="N230" s="50" t="n"/>
      <c r="O230" s="50" t="n"/>
      <c r="P230" s="50" t="n"/>
      <c r="Q230" s="50" t="n"/>
      <c r="R230" s="50" t="n"/>
      <c r="S230" s="50" t="n"/>
      <c r="T230" s="50" t="n"/>
      <c r="U230" s="50" t="n"/>
      <c r="V230" s="50" t="n"/>
      <c r="W230" s="50" t="n"/>
      <c r="X230" s="50" t="n"/>
      <c r="Y230" s="50" t="n"/>
      <c r="Z230" s="50" t="n"/>
      <c r="AA230" s="50" t="n"/>
      <c r="AB230" s="50" t="n"/>
      <c r="AC230" s="50" t="n"/>
      <c r="AD230" s="50" t="n"/>
      <c r="AE230" s="50" t="n"/>
      <c r="AF230" s="50" t="n"/>
      <c r="AG230" s="50" t="n"/>
      <c r="AH230" s="50" t="n"/>
      <c r="AI230" s="50" t="n"/>
      <c r="AJ230" s="50" t="n"/>
      <c r="AK230" s="50" t="n"/>
      <c r="AL230" s="50" t="n"/>
      <c r="AM230" s="50" t="n"/>
      <c r="AN230" s="50" t="n"/>
      <c r="AO230" s="50" t="n"/>
      <c r="AP230" s="50" t="n"/>
      <c r="AQ230" s="50" t="n"/>
      <c r="AR230" s="50" t="n"/>
      <c r="AS230" s="50" t="n"/>
      <c r="AT230" s="50" t="n"/>
      <c r="AU230" s="50" t="n"/>
      <c r="AV230" s="50" t="n"/>
      <c r="AW230" s="50" t="n"/>
      <c r="AX230" s="50" t="n"/>
      <c r="AY230" s="50" t="n"/>
      <c r="AZ230" s="50" t="n"/>
      <c r="BA230" s="50" t="n"/>
      <c r="BB230" s="50" t="n"/>
      <c r="BC230" s="50" t="n"/>
      <c r="BD230" s="50" t="n"/>
      <c r="BE230" s="50" t="n"/>
      <c r="BF230" s="50" t="n"/>
      <c r="BG230" s="50" t="n"/>
      <c r="BH230" s="50" t="n"/>
      <c r="BI230" s="50" t="n"/>
      <c r="BJ230" s="50" t="n"/>
      <c r="BK230" s="50" t="n"/>
      <c r="BL230" s="50" t="n"/>
      <c r="BM230" s="50" t="n"/>
      <c r="BN230" s="50" t="n"/>
      <c r="BO230" s="50" t="n"/>
      <c r="BP230" s="50" t="n"/>
      <c r="BQ230" s="50" t="n"/>
      <c r="BR230" s="50" t="n"/>
      <c r="BS230" s="50" t="n"/>
      <c r="BT230" s="50" t="n"/>
      <c r="BU230" s="50" t="n"/>
      <c r="BV230" s="50" t="n"/>
      <c r="BW230" s="50" t="n"/>
      <c r="BX230" s="50" t="n"/>
      <c r="BY230" s="50" t="n"/>
      <c r="BZ230" s="50" t="n"/>
      <c r="CA230" s="50" t="n"/>
      <c r="CB230" s="50" t="n"/>
      <c r="CC230" s="50" t="n"/>
      <c r="CD230" s="50" t="n"/>
      <c r="CE230" s="50" t="n"/>
      <c r="CF230" s="50" t="n"/>
      <c r="CG230" s="50" t="n"/>
      <c r="CH230" s="50" t="n"/>
      <c r="CI230" s="50" t="n"/>
      <c r="CJ230" s="50" t="n"/>
      <c r="CK230" s="50" t="n"/>
      <c r="CL230" s="50" t="n"/>
      <c r="CM230" s="50" t="n"/>
      <c r="CN230" s="50" t="n"/>
      <c r="CO230" s="50" t="n"/>
      <c r="CP230" s="50" t="n"/>
      <c r="CQ230" s="50" t="n"/>
      <c r="CR230" s="50" t="n"/>
      <c r="CS230" s="50" t="n"/>
      <c r="CT230" s="50" t="n"/>
      <c r="CU230" s="50" t="n"/>
      <c r="CV230" s="50" t="n"/>
      <c r="CW230" s="50" t="n"/>
      <c r="CX230" s="50" t="n"/>
      <c r="CY230" s="50" t="n"/>
      <c r="CZ230" s="50" t="n"/>
      <c r="DA230" s="50" t="n"/>
      <c r="DB230" s="50" t="n"/>
      <c r="DC230" s="50" t="n"/>
      <c r="DD230" s="50" t="n"/>
      <c r="DE230" s="50" t="n"/>
      <c r="DF230" s="50" t="n"/>
      <c r="DG230" s="50" t="n"/>
      <c r="DH230" s="50" t="n"/>
      <c r="DI230" s="50" t="n"/>
      <c r="DJ230" s="50" t="n"/>
      <c r="DK230" s="50" t="n"/>
      <c r="DL230" s="50" t="n"/>
      <c r="DM230" s="50" t="n"/>
      <c r="DN230" s="50" t="n"/>
      <c r="DO230" s="50" t="n"/>
      <c r="DP230" s="50" t="n"/>
      <c r="DQ230" s="50" t="n"/>
      <c r="DR230" s="50" t="n"/>
      <c r="DS230" s="50" t="n"/>
      <c r="DT230" s="50" t="n"/>
      <c r="DU230" s="50" t="n"/>
      <c r="DV230" s="50" t="n"/>
    </row>
    <row r="231">
      <c r="A231" s="47">
        <f>IF(Mitarbeiter!B231="","",Mitarbeiter!A231)</f>
        <v/>
      </c>
      <c r="B231" s="48">
        <f>IF(Mitarbeiter!B231="","",Mitarbeiter!B231)</f>
        <v/>
      </c>
      <c r="C231" s="49">
        <f>IF(Mitarbeiter!B231="","",Mitarbeiter!F231)</f>
        <v/>
      </c>
      <c r="D231" s="25">
        <f>IF(Mitarbeiter!B231="","",Berechnung!AD231)</f>
        <v/>
      </c>
      <c r="E231" s="25">
        <f>IF(Mitarbeiter!B231="","",SUM(G231:DV231))</f>
        <v/>
      </c>
      <c r="G231" s="50" t="n"/>
      <c r="H231" s="50" t="n"/>
      <c r="I231" s="50" t="n"/>
      <c r="J231" s="50" t="n"/>
      <c r="K231" s="50" t="n"/>
      <c r="L231" s="50" t="n"/>
      <c r="M231" s="50" t="n"/>
      <c r="N231" s="50" t="n"/>
      <c r="O231" s="50" t="n"/>
      <c r="P231" s="50" t="n"/>
      <c r="Q231" s="50" t="n"/>
      <c r="R231" s="50" t="n"/>
      <c r="S231" s="50" t="n"/>
      <c r="T231" s="50" t="n"/>
      <c r="U231" s="50" t="n"/>
      <c r="V231" s="50" t="n"/>
      <c r="W231" s="50" t="n"/>
      <c r="X231" s="50" t="n"/>
      <c r="Y231" s="50" t="n"/>
      <c r="Z231" s="50" t="n"/>
      <c r="AA231" s="50" t="n"/>
      <c r="AB231" s="50" t="n"/>
      <c r="AC231" s="50" t="n"/>
      <c r="AD231" s="50" t="n"/>
      <c r="AE231" s="50" t="n"/>
      <c r="AF231" s="50" t="n"/>
      <c r="AG231" s="50" t="n"/>
      <c r="AH231" s="50" t="n"/>
      <c r="AI231" s="50" t="n"/>
      <c r="AJ231" s="50" t="n"/>
      <c r="AK231" s="50" t="n"/>
      <c r="AL231" s="50" t="n"/>
      <c r="AM231" s="50" t="n"/>
      <c r="AN231" s="50" t="n"/>
      <c r="AO231" s="50" t="n"/>
      <c r="AP231" s="50" t="n"/>
      <c r="AQ231" s="50" t="n"/>
      <c r="AR231" s="50" t="n"/>
      <c r="AS231" s="50" t="n"/>
      <c r="AT231" s="50" t="n"/>
      <c r="AU231" s="50" t="n"/>
      <c r="AV231" s="50" t="n"/>
      <c r="AW231" s="50" t="n"/>
      <c r="AX231" s="50" t="n"/>
      <c r="AY231" s="50" t="n"/>
      <c r="AZ231" s="50" t="n"/>
      <c r="BA231" s="50" t="n"/>
      <c r="BB231" s="50" t="n"/>
      <c r="BC231" s="50" t="n"/>
      <c r="BD231" s="50" t="n"/>
      <c r="BE231" s="50" t="n"/>
      <c r="BF231" s="50" t="n"/>
      <c r="BG231" s="50" t="n"/>
      <c r="BH231" s="50" t="n"/>
      <c r="BI231" s="50" t="n"/>
      <c r="BJ231" s="50" t="n"/>
      <c r="BK231" s="50" t="n"/>
      <c r="BL231" s="50" t="n"/>
      <c r="BM231" s="50" t="n"/>
      <c r="BN231" s="50" t="n"/>
      <c r="BO231" s="50" t="n"/>
      <c r="BP231" s="50" t="n"/>
      <c r="BQ231" s="50" t="n"/>
      <c r="BR231" s="50" t="n"/>
      <c r="BS231" s="50" t="n"/>
      <c r="BT231" s="50" t="n"/>
      <c r="BU231" s="50" t="n"/>
      <c r="BV231" s="50" t="n"/>
      <c r="BW231" s="50" t="n"/>
      <c r="BX231" s="50" t="n"/>
      <c r="BY231" s="50" t="n"/>
      <c r="BZ231" s="50" t="n"/>
      <c r="CA231" s="50" t="n"/>
      <c r="CB231" s="50" t="n"/>
      <c r="CC231" s="50" t="n"/>
      <c r="CD231" s="50" t="n"/>
      <c r="CE231" s="50" t="n"/>
      <c r="CF231" s="50" t="n"/>
      <c r="CG231" s="50" t="n"/>
      <c r="CH231" s="50" t="n"/>
      <c r="CI231" s="50" t="n"/>
      <c r="CJ231" s="50" t="n"/>
      <c r="CK231" s="50" t="n"/>
      <c r="CL231" s="50" t="n"/>
      <c r="CM231" s="50" t="n"/>
      <c r="CN231" s="50" t="n"/>
      <c r="CO231" s="50" t="n"/>
      <c r="CP231" s="50" t="n"/>
      <c r="CQ231" s="50" t="n"/>
      <c r="CR231" s="50" t="n"/>
      <c r="CS231" s="50" t="n"/>
      <c r="CT231" s="50" t="n"/>
      <c r="CU231" s="50" t="n"/>
      <c r="CV231" s="50" t="n"/>
      <c r="CW231" s="50" t="n"/>
      <c r="CX231" s="50" t="n"/>
      <c r="CY231" s="50" t="n"/>
      <c r="CZ231" s="50" t="n"/>
      <c r="DA231" s="50" t="n"/>
      <c r="DB231" s="50" t="n"/>
      <c r="DC231" s="50" t="n"/>
      <c r="DD231" s="50" t="n"/>
      <c r="DE231" s="50" t="n"/>
      <c r="DF231" s="50" t="n"/>
      <c r="DG231" s="50" t="n"/>
      <c r="DH231" s="50" t="n"/>
      <c r="DI231" s="50" t="n"/>
      <c r="DJ231" s="50" t="n"/>
      <c r="DK231" s="50" t="n"/>
      <c r="DL231" s="50" t="n"/>
      <c r="DM231" s="50" t="n"/>
      <c r="DN231" s="50" t="n"/>
      <c r="DO231" s="50" t="n"/>
      <c r="DP231" s="50" t="n"/>
      <c r="DQ231" s="50" t="n"/>
      <c r="DR231" s="50" t="n"/>
      <c r="DS231" s="50" t="n"/>
      <c r="DT231" s="50" t="n"/>
      <c r="DU231" s="50" t="n"/>
      <c r="DV231" s="50" t="n"/>
    </row>
    <row r="232">
      <c r="A232" s="47">
        <f>IF(Mitarbeiter!B232="","",Mitarbeiter!A232)</f>
        <v/>
      </c>
      <c r="B232" s="48">
        <f>IF(Mitarbeiter!B232="","",Mitarbeiter!B232)</f>
        <v/>
      </c>
      <c r="C232" s="49">
        <f>IF(Mitarbeiter!B232="","",Mitarbeiter!F232)</f>
        <v/>
      </c>
      <c r="D232" s="25">
        <f>IF(Mitarbeiter!B232="","",Berechnung!AD232)</f>
        <v/>
      </c>
      <c r="E232" s="25">
        <f>IF(Mitarbeiter!B232="","",SUM(G232:DV232))</f>
        <v/>
      </c>
      <c r="G232" s="50" t="n"/>
      <c r="H232" s="50" t="n"/>
      <c r="I232" s="50" t="n"/>
      <c r="J232" s="50" t="n"/>
      <c r="K232" s="50" t="n"/>
      <c r="L232" s="50" t="n"/>
      <c r="M232" s="50" t="n"/>
      <c r="N232" s="50" t="n"/>
      <c r="O232" s="50" t="n"/>
      <c r="P232" s="50" t="n"/>
      <c r="Q232" s="50" t="n"/>
      <c r="R232" s="50" t="n"/>
      <c r="S232" s="50" t="n"/>
      <c r="T232" s="50" t="n"/>
      <c r="U232" s="50" t="n"/>
      <c r="V232" s="50" t="n"/>
      <c r="W232" s="50" t="n"/>
      <c r="X232" s="50" t="n"/>
      <c r="Y232" s="50" t="n"/>
      <c r="Z232" s="50" t="n"/>
      <c r="AA232" s="50" t="n"/>
      <c r="AB232" s="50" t="n"/>
      <c r="AC232" s="50" t="n"/>
      <c r="AD232" s="50" t="n"/>
      <c r="AE232" s="50" t="n"/>
      <c r="AF232" s="50" t="n"/>
      <c r="AG232" s="50" t="n"/>
      <c r="AH232" s="50" t="n"/>
      <c r="AI232" s="50" t="n"/>
      <c r="AJ232" s="50" t="n"/>
      <c r="AK232" s="50" t="n"/>
      <c r="AL232" s="50" t="n"/>
      <c r="AM232" s="50" t="n"/>
      <c r="AN232" s="50" t="n"/>
      <c r="AO232" s="50" t="n"/>
      <c r="AP232" s="50" t="n"/>
      <c r="AQ232" s="50" t="n"/>
      <c r="AR232" s="50" t="n"/>
      <c r="AS232" s="50" t="n"/>
      <c r="AT232" s="50" t="n"/>
      <c r="AU232" s="50" t="n"/>
      <c r="AV232" s="50" t="n"/>
      <c r="AW232" s="50" t="n"/>
      <c r="AX232" s="50" t="n"/>
      <c r="AY232" s="50" t="n"/>
      <c r="AZ232" s="50" t="n"/>
      <c r="BA232" s="50" t="n"/>
      <c r="BB232" s="50" t="n"/>
      <c r="BC232" s="50" t="n"/>
      <c r="BD232" s="50" t="n"/>
      <c r="BE232" s="50" t="n"/>
      <c r="BF232" s="50" t="n"/>
      <c r="BG232" s="50" t="n"/>
      <c r="BH232" s="50" t="n"/>
      <c r="BI232" s="50" t="n"/>
      <c r="BJ232" s="50" t="n"/>
      <c r="BK232" s="50" t="n"/>
      <c r="BL232" s="50" t="n"/>
      <c r="BM232" s="50" t="n"/>
      <c r="BN232" s="50" t="n"/>
      <c r="BO232" s="50" t="n"/>
      <c r="BP232" s="50" t="n"/>
      <c r="BQ232" s="50" t="n"/>
      <c r="BR232" s="50" t="n"/>
      <c r="BS232" s="50" t="n"/>
      <c r="BT232" s="50" t="n"/>
      <c r="BU232" s="50" t="n"/>
      <c r="BV232" s="50" t="n"/>
      <c r="BW232" s="50" t="n"/>
      <c r="BX232" s="50" t="n"/>
      <c r="BY232" s="50" t="n"/>
      <c r="BZ232" s="50" t="n"/>
      <c r="CA232" s="50" t="n"/>
      <c r="CB232" s="50" t="n"/>
      <c r="CC232" s="50" t="n"/>
      <c r="CD232" s="50" t="n"/>
      <c r="CE232" s="50" t="n"/>
      <c r="CF232" s="50" t="n"/>
      <c r="CG232" s="50" t="n"/>
      <c r="CH232" s="50" t="n"/>
      <c r="CI232" s="50" t="n"/>
      <c r="CJ232" s="50" t="n"/>
      <c r="CK232" s="50" t="n"/>
      <c r="CL232" s="50" t="n"/>
      <c r="CM232" s="50" t="n"/>
      <c r="CN232" s="50" t="n"/>
      <c r="CO232" s="50" t="n"/>
      <c r="CP232" s="50" t="n"/>
      <c r="CQ232" s="50" t="n"/>
      <c r="CR232" s="50" t="n"/>
      <c r="CS232" s="50" t="n"/>
      <c r="CT232" s="50" t="n"/>
      <c r="CU232" s="50" t="n"/>
      <c r="CV232" s="50" t="n"/>
      <c r="CW232" s="50" t="n"/>
      <c r="CX232" s="50" t="n"/>
      <c r="CY232" s="50" t="n"/>
      <c r="CZ232" s="50" t="n"/>
      <c r="DA232" s="50" t="n"/>
      <c r="DB232" s="50" t="n"/>
      <c r="DC232" s="50" t="n"/>
      <c r="DD232" s="50" t="n"/>
      <c r="DE232" s="50" t="n"/>
      <c r="DF232" s="50" t="n"/>
      <c r="DG232" s="50" t="n"/>
      <c r="DH232" s="50" t="n"/>
      <c r="DI232" s="50" t="n"/>
      <c r="DJ232" s="50" t="n"/>
      <c r="DK232" s="50" t="n"/>
      <c r="DL232" s="50" t="n"/>
      <c r="DM232" s="50" t="n"/>
      <c r="DN232" s="50" t="n"/>
      <c r="DO232" s="50" t="n"/>
      <c r="DP232" s="50" t="n"/>
      <c r="DQ232" s="50" t="n"/>
      <c r="DR232" s="50" t="n"/>
      <c r="DS232" s="50" t="n"/>
      <c r="DT232" s="50" t="n"/>
      <c r="DU232" s="50" t="n"/>
      <c r="DV232" s="50" t="n"/>
    </row>
    <row r="233">
      <c r="A233" s="47">
        <f>IF(Mitarbeiter!B233="","",Mitarbeiter!A233)</f>
        <v/>
      </c>
      <c r="B233" s="48">
        <f>IF(Mitarbeiter!B233="","",Mitarbeiter!B233)</f>
        <v/>
      </c>
      <c r="C233" s="49">
        <f>IF(Mitarbeiter!B233="","",Mitarbeiter!F233)</f>
        <v/>
      </c>
      <c r="D233" s="25">
        <f>IF(Mitarbeiter!B233="","",Berechnung!AD233)</f>
        <v/>
      </c>
      <c r="E233" s="25">
        <f>IF(Mitarbeiter!B233="","",SUM(G233:DV233))</f>
        <v/>
      </c>
      <c r="G233" s="50" t="n"/>
      <c r="H233" s="50" t="n"/>
      <c r="I233" s="50" t="n"/>
      <c r="J233" s="50" t="n"/>
      <c r="K233" s="50" t="n"/>
      <c r="L233" s="50" t="n"/>
      <c r="M233" s="50" t="n"/>
      <c r="N233" s="50" t="n"/>
      <c r="O233" s="50" t="n"/>
      <c r="P233" s="50" t="n"/>
      <c r="Q233" s="50" t="n"/>
      <c r="R233" s="50" t="n"/>
      <c r="S233" s="50" t="n"/>
      <c r="T233" s="50" t="n"/>
      <c r="U233" s="50" t="n"/>
      <c r="V233" s="50" t="n"/>
      <c r="W233" s="50" t="n"/>
      <c r="X233" s="50" t="n"/>
      <c r="Y233" s="50" t="n"/>
      <c r="Z233" s="50" t="n"/>
      <c r="AA233" s="50" t="n"/>
      <c r="AB233" s="50" t="n"/>
      <c r="AC233" s="50" t="n"/>
      <c r="AD233" s="50" t="n"/>
      <c r="AE233" s="50" t="n"/>
      <c r="AF233" s="50" t="n"/>
      <c r="AG233" s="50" t="n"/>
      <c r="AH233" s="50" t="n"/>
      <c r="AI233" s="50" t="n"/>
      <c r="AJ233" s="50" t="n"/>
      <c r="AK233" s="50" t="n"/>
      <c r="AL233" s="50" t="n"/>
      <c r="AM233" s="50" t="n"/>
      <c r="AN233" s="50" t="n"/>
      <c r="AO233" s="50" t="n"/>
      <c r="AP233" s="50" t="n"/>
      <c r="AQ233" s="50" t="n"/>
      <c r="AR233" s="50" t="n"/>
      <c r="AS233" s="50" t="n"/>
      <c r="AT233" s="50" t="n"/>
      <c r="AU233" s="50" t="n"/>
      <c r="AV233" s="50" t="n"/>
      <c r="AW233" s="50" t="n"/>
      <c r="AX233" s="50" t="n"/>
      <c r="AY233" s="50" t="n"/>
      <c r="AZ233" s="50" t="n"/>
      <c r="BA233" s="50" t="n"/>
      <c r="BB233" s="50" t="n"/>
      <c r="BC233" s="50" t="n"/>
      <c r="BD233" s="50" t="n"/>
      <c r="BE233" s="50" t="n"/>
      <c r="BF233" s="50" t="n"/>
      <c r="BG233" s="50" t="n"/>
      <c r="BH233" s="50" t="n"/>
      <c r="BI233" s="50" t="n"/>
      <c r="BJ233" s="50" t="n"/>
      <c r="BK233" s="50" t="n"/>
      <c r="BL233" s="50" t="n"/>
      <c r="BM233" s="50" t="n"/>
      <c r="BN233" s="50" t="n"/>
      <c r="BO233" s="50" t="n"/>
      <c r="BP233" s="50" t="n"/>
      <c r="BQ233" s="50" t="n"/>
      <c r="BR233" s="50" t="n"/>
      <c r="BS233" s="50" t="n"/>
      <c r="BT233" s="50" t="n"/>
      <c r="BU233" s="50" t="n"/>
      <c r="BV233" s="50" t="n"/>
      <c r="BW233" s="50" t="n"/>
      <c r="BX233" s="50" t="n"/>
      <c r="BY233" s="50" t="n"/>
      <c r="BZ233" s="50" t="n"/>
      <c r="CA233" s="50" t="n"/>
      <c r="CB233" s="50" t="n"/>
      <c r="CC233" s="50" t="n"/>
      <c r="CD233" s="50" t="n"/>
      <c r="CE233" s="50" t="n"/>
      <c r="CF233" s="50" t="n"/>
      <c r="CG233" s="50" t="n"/>
      <c r="CH233" s="50" t="n"/>
      <c r="CI233" s="50" t="n"/>
      <c r="CJ233" s="50" t="n"/>
      <c r="CK233" s="50" t="n"/>
      <c r="CL233" s="50" t="n"/>
      <c r="CM233" s="50" t="n"/>
      <c r="CN233" s="50" t="n"/>
      <c r="CO233" s="50" t="n"/>
      <c r="CP233" s="50" t="n"/>
      <c r="CQ233" s="50" t="n"/>
      <c r="CR233" s="50" t="n"/>
      <c r="CS233" s="50" t="n"/>
      <c r="CT233" s="50" t="n"/>
      <c r="CU233" s="50" t="n"/>
      <c r="CV233" s="50" t="n"/>
      <c r="CW233" s="50" t="n"/>
      <c r="CX233" s="50" t="n"/>
      <c r="CY233" s="50" t="n"/>
      <c r="CZ233" s="50" t="n"/>
      <c r="DA233" s="50" t="n"/>
      <c r="DB233" s="50" t="n"/>
      <c r="DC233" s="50" t="n"/>
      <c r="DD233" s="50" t="n"/>
      <c r="DE233" s="50" t="n"/>
      <c r="DF233" s="50" t="n"/>
      <c r="DG233" s="50" t="n"/>
      <c r="DH233" s="50" t="n"/>
      <c r="DI233" s="50" t="n"/>
      <c r="DJ233" s="50" t="n"/>
      <c r="DK233" s="50" t="n"/>
      <c r="DL233" s="50" t="n"/>
      <c r="DM233" s="50" t="n"/>
      <c r="DN233" s="50" t="n"/>
      <c r="DO233" s="50" t="n"/>
      <c r="DP233" s="50" t="n"/>
      <c r="DQ233" s="50" t="n"/>
      <c r="DR233" s="50" t="n"/>
      <c r="DS233" s="50" t="n"/>
      <c r="DT233" s="50" t="n"/>
      <c r="DU233" s="50" t="n"/>
      <c r="DV233" s="50" t="n"/>
    </row>
    <row r="234">
      <c r="A234" s="47">
        <f>IF(Mitarbeiter!B234="","",Mitarbeiter!A234)</f>
        <v/>
      </c>
      <c r="B234" s="48">
        <f>IF(Mitarbeiter!B234="","",Mitarbeiter!B234)</f>
        <v/>
      </c>
      <c r="C234" s="49">
        <f>IF(Mitarbeiter!B234="","",Mitarbeiter!F234)</f>
        <v/>
      </c>
      <c r="D234" s="25">
        <f>IF(Mitarbeiter!B234="","",Berechnung!AD234)</f>
        <v/>
      </c>
      <c r="E234" s="25">
        <f>IF(Mitarbeiter!B234="","",SUM(G234:DV234))</f>
        <v/>
      </c>
      <c r="G234" s="50" t="n"/>
      <c r="H234" s="50" t="n"/>
      <c r="I234" s="50" t="n"/>
      <c r="J234" s="50" t="n"/>
      <c r="K234" s="50" t="n"/>
      <c r="L234" s="50" t="n"/>
      <c r="M234" s="50" t="n"/>
      <c r="N234" s="50" t="n"/>
      <c r="O234" s="50" t="n"/>
      <c r="P234" s="50" t="n"/>
      <c r="Q234" s="50" t="n"/>
      <c r="R234" s="50" t="n"/>
      <c r="S234" s="50" t="n"/>
      <c r="T234" s="50" t="n"/>
      <c r="U234" s="50" t="n"/>
      <c r="V234" s="50" t="n"/>
      <c r="W234" s="50" t="n"/>
      <c r="X234" s="50" t="n"/>
      <c r="Y234" s="50" t="n"/>
      <c r="Z234" s="50" t="n"/>
      <c r="AA234" s="50" t="n"/>
      <c r="AB234" s="50" t="n"/>
      <c r="AC234" s="50" t="n"/>
      <c r="AD234" s="50" t="n"/>
      <c r="AE234" s="50" t="n"/>
      <c r="AF234" s="50" t="n"/>
      <c r="AG234" s="50" t="n"/>
      <c r="AH234" s="50" t="n"/>
      <c r="AI234" s="50" t="n"/>
      <c r="AJ234" s="50" t="n"/>
      <c r="AK234" s="50" t="n"/>
      <c r="AL234" s="50" t="n"/>
      <c r="AM234" s="50" t="n"/>
      <c r="AN234" s="50" t="n"/>
      <c r="AO234" s="50" t="n"/>
      <c r="AP234" s="50" t="n"/>
      <c r="AQ234" s="50" t="n"/>
      <c r="AR234" s="50" t="n"/>
      <c r="AS234" s="50" t="n"/>
      <c r="AT234" s="50" t="n"/>
      <c r="AU234" s="50" t="n"/>
      <c r="AV234" s="50" t="n"/>
      <c r="AW234" s="50" t="n"/>
      <c r="AX234" s="50" t="n"/>
      <c r="AY234" s="50" t="n"/>
      <c r="AZ234" s="50" t="n"/>
      <c r="BA234" s="50" t="n"/>
      <c r="BB234" s="50" t="n"/>
      <c r="BC234" s="50" t="n"/>
      <c r="BD234" s="50" t="n"/>
      <c r="BE234" s="50" t="n"/>
      <c r="BF234" s="50" t="n"/>
      <c r="BG234" s="50" t="n"/>
      <c r="BH234" s="50" t="n"/>
      <c r="BI234" s="50" t="n"/>
      <c r="BJ234" s="50" t="n"/>
      <c r="BK234" s="50" t="n"/>
      <c r="BL234" s="50" t="n"/>
      <c r="BM234" s="50" t="n"/>
      <c r="BN234" s="50" t="n"/>
      <c r="BO234" s="50" t="n"/>
      <c r="BP234" s="50" t="n"/>
      <c r="BQ234" s="50" t="n"/>
      <c r="BR234" s="50" t="n"/>
      <c r="BS234" s="50" t="n"/>
      <c r="BT234" s="50" t="n"/>
      <c r="BU234" s="50" t="n"/>
      <c r="BV234" s="50" t="n"/>
      <c r="BW234" s="50" t="n"/>
      <c r="BX234" s="50" t="n"/>
      <c r="BY234" s="50" t="n"/>
      <c r="BZ234" s="50" t="n"/>
      <c r="CA234" s="50" t="n"/>
      <c r="CB234" s="50" t="n"/>
      <c r="CC234" s="50" t="n"/>
      <c r="CD234" s="50" t="n"/>
      <c r="CE234" s="50" t="n"/>
      <c r="CF234" s="50" t="n"/>
      <c r="CG234" s="50" t="n"/>
      <c r="CH234" s="50" t="n"/>
      <c r="CI234" s="50" t="n"/>
      <c r="CJ234" s="50" t="n"/>
      <c r="CK234" s="50" t="n"/>
      <c r="CL234" s="50" t="n"/>
      <c r="CM234" s="50" t="n"/>
      <c r="CN234" s="50" t="n"/>
      <c r="CO234" s="50" t="n"/>
      <c r="CP234" s="50" t="n"/>
      <c r="CQ234" s="50" t="n"/>
      <c r="CR234" s="50" t="n"/>
      <c r="CS234" s="50" t="n"/>
      <c r="CT234" s="50" t="n"/>
      <c r="CU234" s="50" t="n"/>
      <c r="CV234" s="50" t="n"/>
      <c r="CW234" s="50" t="n"/>
      <c r="CX234" s="50" t="n"/>
      <c r="CY234" s="50" t="n"/>
      <c r="CZ234" s="50" t="n"/>
      <c r="DA234" s="50" t="n"/>
      <c r="DB234" s="50" t="n"/>
      <c r="DC234" s="50" t="n"/>
      <c r="DD234" s="50" t="n"/>
      <c r="DE234" s="50" t="n"/>
      <c r="DF234" s="50" t="n"/>
      <c r="DG234" s="50" t="n"/>
      <c r="DH234" s="50" t="n"/>
      <c r="DI234" s="50" t="n"/>
      <c r="DJ234" s="50" t="n"/>
      <c r="DK234" s="50" t="n"/>
      <c r="DL234" s="50" t="n"/>
      <c r="DM234" s="50" t="n"/>
      <c r="DN234" s="50" t="n"/>
      <c r="DO234" s="50" t="n"/>
      <c r="DP234" s="50" t="n"/>
      <c r="DQ234" s="50" t="n"/>
      <c r="DR234" s="50" t="n"/>
      <c r="DS234" s="50" t="n"/>
      <c r="DT234" s="50" t="n"/>
      <c r="DU234" s="50" t="n"/>
      <c r="DV234" s="50" t="n"/>
    </row>
    <row r="235">
      <c r="A235" s="47">
        <f>IF(Mitarbeiter!B235="","",Mitarbeiter!A235)</f>
        <v/>
      </c>
      <c r="B235" s="48">
        <f>IF(Mitarbeiter!B235="","",Mitarbeiter!B235)</f>
        <v/>
      </c>
      <c r="C235" s="49">
        <f>IF(Mitarbeiter!B235="","",Mitarbeiter!F235)</f>
        <v/>
      </c>
      <c r="D235" s="25">
        <f>IF(Mitarbeiter!B235="","",Berechnung!AD235)</f>
        <v/>
      </c>
      <c r="E235" s="25">
        <f>IF(Mitarbeiter!B235="","",SUM(G235:DV235))</f>
        <v/>
      </c>
      <c r="G235" s="50" t="n"/>
      <c r="H235" s="50" t="n"/>
      <c r="I235" s="50" t="n"/>
      <c r="J235" s="50" t="n"/>
      <c r="K235" s="50" t="n"/>
      <c r="L235" s="50" t="n"/>
      <c r="M235" s="50" t="n"/>
      <c r="N235" s="50" t="n"/>
      <c r="O235" s="50" t="n"/>
      <c r="P235" s="50" t="n"/>
      <c r="Q235" s="50" t="n"/>
      <c r="R235" s="50" t="n"/>
      <c r="S235" s="50" t="n"/>
      <c r="T235" s="50" t="n"/>
      <c r="U235" s="50" t="n"/>
      <c r="V235" s="50" t="n"/>
      <c r="W235" s="50" t="n"/>
      <c r="X235" s="50" t="n"/>
      <c r="Y235" s="50" t="n"/>
      <c r="Z235" s="50" t="n"/>
      <c r="AA235" s="50" t="n"/>
      <c r="AB235" s="50" t="n"/>
      <c r="AC235" s="50" t="n"/>
      <c r="AD235" s="50" t="n"/>
      <c r="AE235" s="50" t="n"/>
      <c r="AF235" s="50" t="n"/>
      <c r="AG235" s="50" t="n"/>
      <c r="AH235" s="50" t="n"/>
      <c r="AI235" s="50" t="n"/>
      <c r="AJ235" s="50" t="n"/>
      <c r="AK235" s="50" t="n"/>
      <c r="AL235" s="50" t="n"/>
      <c r="AM235" s="50" t="n"/>
      <c r="AN235" s="50" t="n"/>
      <c r="AO235" s="50" t="n"/>
      <c r="AP235" s="50" t="n"/>
      <c r="AQ235" s="50" t="n"/>
      <c r="AR235" s="50" t="n"/>
      <c r="AS235" s="50" t="n"/>
      <c r="AT235" s="50" t="n"/>
      <c r="AU235" s="50" t="n"/>
      <c r="AV235" s="50" t="n"/>
      <c r="AW235" s="50" t="n"/>
      <c r="AX235" s="50" t="n"/>
      <c r="AY235" s="50" t="n"/>
      <c r="AZ235" s="50" t="n"/>
      <c r="BA235" s="50" t="n"/>
      <c r="BB235" s="50" t="n"/>
      <c r="BC235" s="50" t="n"/>
      <c r="BD235" s="50" t="n"/>
      <c r="BE235" s="50" t="n"/>
      <c r="BF235" s="50" t="n"/>
      <c r="BG235" s="50" t="n"/>
      <c r="BH235" s="50" t="n"/>
      <c r="BI235" s="50" t="n"/>
      <c r="BJ235" s="50" t="n"/>
      <c r="BK235" s="50" t="n"/>
      <c r="BL235" s="50" t="n"/>
      <c r="BM235" s="50" t="n"/>
      <c r="BN235" s="50" t="n"/>
      <c r="BO235" s="50" t="n"/>
      <c r="BP235" s="50" t="n"/>
      <c r="BQ235" s="50" t="n"/>
      <c r="BR235" s="50" t="n"/>
      <c r="BS235" s="50" t="n"/>
      <c r="BT235" s="50" t="n"/>
      <c r="BU235" s="50" t="n"/>
      <c r="BV235" s="50" t="n"/>
      <c r="BW235" s="50" t="n"/>
      <c r="BX235" s="50" t="n"/>
      <c r="BY235" s="50" t="n"/>
      <c r="BZ235" s="50" t="n"/>
      <c r="CA235" s="50" t="n"/>
      <c r="CB235" s="50" t="n"/>
      <c r="CC235" s="50" t="n"/>
      <c r="CD235" s="50" t="n"/>
      <c r="CE235" s="50" t="n"/>
      <c r="CF235" s="50" t="n"/>
      <c r="CG235" s="50" t="n"/>
      <c r="CH235" s="50" t="n"/>
      <c r="CI235" s="50" t="n"/>
      <c r="CJ235" s="50" t="n"/>
      <c r="CK235" s="50" t="n"/>
      <c r="CL235" s="50" t="n"/>
      <c r="CM235" s="50" t="n"/>
      <c r="CN235" s="50" t="n"/>
      <c r="CO235" s="50" t="n"/>
      <c r="CP235" s="50" t="n"/>
      <c r="CQ235" s="50" t="n"/>
      <c r="CR235" s="50" t="n"/>
      <c r="CS235" s="50" t="n"/>
      <c r="CT235" s="50" t="n"/>
      <c r="CU235" s="50" t="n"/>
      <c r="CV235" s="50" t="n"/>
      <c r="CW235" s="50" t="n"/>
      <c r="CX235" s="50" t="n"/>
      <c r="CY235" s="50" t="n"/>
      <c r="CZ235" s="50" t="n"/>
      <c r="DA235" s="50" t="n"/>
      <c r="DB235" s="50" t="n"/>
      <c r="DC235" s="50" t="n"/>
      <c r="DD235" s="50" t="n"/>
      <c r="DE235" s="50" t="n"/>
      <c r="DF235" s="50" t="n"/>
      <c r="DG235" s="50" t="n"/>
      <c r="DH235" s="50" t="n"/>
      <c r="DI235" s="50" t="n"/>
      <c r="DJ235" s="50" t="n"/>
      <c r="DK235" s="50" t="n"/>
      <c r="DL235" s="50" t="n"/>
      <c r="DM235" s="50" t="n"/>
      <c r="DN235" s="50" t="n"/>
      <c r="DO235" s="50" t="n"/>
      <c r="DP235" s="50" t="n"/>
      <c r="DQ235" s="50" t="n"/>
      <c r="DR235" s="50" t="n"/>
      <c r="DS235" s="50" t="n"/>
      <c r="DT235" s="50" t="n"/>
      <c r="DU235" s="50" t="n"/>
      <c r="DV235" s="50" t="n"/>
    </row>
    <row r="236">
      <c r="A236" s="47">
        <f>IF(Mitarbeiter!B236="","",Mitarbeiter!A236)</f>
        <v/>
      </c>
      <c r="B236" s="48">
        <f>IF(Mitarbeiter!B236="","",Mitarbeiter!B236)</f>
        <v/>
      </c>
      <c r="C236" s="49">
        <f>IF(Mitarbeiter!B236="","",Mitarbeiter!F236)</f>
        <v/>
      </c>
      <c r="D236" s="25">
        <f>IF(Mitarbeiter!B236="","",Berechnung!AD236)</f>
        <v/>
      </c>
      <c r="E236" s="25">
        <f>IF(Mitarbeiter!B236="","",SUM(G236:DV236))</f>
        <v/>
      </c>
      <c r="G236" s="50" t="n"/>
      <c r="H236" s="50" t="n"/>
      <c r="I236" s="50" t="n"/>
      <c r="J236" s="50" t="n"/>
      <c r="K236" s="50" t="n"/>
      <c r="L236" s="50" t="n"/>
      <c r="M236" s="50" t="n"/>
      <c r="N236" s="50" t="n"/>
      <c r="O236" s="50" t="n"/>
      <c r="P236" s="50" t="n"/>
      <c r="Q236" s="50" t="n"/>
      <c r="R236" s="50" t="n"/>
      <c r="S236" s="50" t="n"/>
      <c r="T236" s="50" t="n"/>
      <c r="U236" s="50" t="n"/>
      <c r="V236" s="50" t="n"/>
      <c r="W236" s="50" t="n"/>
      <c r="X236" s="50" t="n"/>
      <c r="Y236" s="50" t="n"/>
      <c r="Z236" s="50" t="n"/>
      <c r="AA236" s="50" t="n"/>
      <c r="AB236" s="50" t="n"/>
      <c r="AC236" s="50" t="n"/>
      <c r="AD236" s="50" t="n"/>
      <c r="AE236" s="50" t="n"/>
      <c r="AF236" s="50" t="n"/>
      <c r="AG236" s="50" t="n"/>
      <c r="AH236" s="50" t="n"/>
      <c r="AI236" s="50" t="n"/>
      <c r="AJ236" s="50" t="n"/>
      <c r="AK236" s="50" t="n"/>
      <c r="AL236" s="50" t="n"/>
      <c r="AM236" s="50" t="n"/>
      <c r="AN236" s="50" t="n"/>
      <c r="AO236" s="50" t="n"/>
      <c r="AP236" s="50" t="n"/>
      <c r="AQ236" s="50" t="n"/>
      <c r="AR236" s="50" t="n"/>
      <c r="AS236" s="50" t="n"/>
      <c r="AT236" s="50" t="n"/>
      <c r="AU236" s="50" t="n"/>
      <c r="AV236" s="50" t="n"/>
      <c r="AW236" s="50" t="n"/>
      <c r="AX236" s="50" t="n"/>
      <c r="AY236" s="50" t="n"/>
      <c r="AZ236" s="50" t="n"/>
      <c r="BA236" s="50" t="n"/>
      <c r="BB236" s="50" t="n"/>
      <c r="BC236" s="50" t="n"/>
      <c r="BD236" s="50" t="n"/>
      <c r="BE236" s="50" t="n"/>
      <c r="BF236" s="50" t="n"/>
      <c r="BG236" s="50" t="n"/>
      <c r="BH236" s="50" t="n"/>
      <c r="BI236" s="50" t="n"/>
      <c r="BJ236" s="50" t="n"/>
      <c r="BK236" s="50" t="n"/>
      <c r="BL236" s="50" t="n"/>
      <c r="BM236" s="50" t="n"/>
      <c r="BN236" s="50" t="n"/>
      <c r="BO236" s="50" t="n"/>
      <c r="BP236" s="50" t="n"/>
      <c r="BQ236" s="50" t="n"/>
      <c r="BR236" s="50" t="n"/>
      <c r="BS236" s="50" t="n"/>
      <c r="BT236" s="50" t="n"/>
      <c r="BU236" s="50" t="n"/>
      <c r="BV236" s="50" t="n"/>
      <c r="BW236" s="50" t="n"/>
      <c r="BX236" s="50" t="n"/>
      <c r="BY236" s="50" t="n"/>
      <c r="BZ236" s="50" t="n"/>
      <c r="CA236" s="50" t="n"/>
      <c r="CB236" s="50" t="n"/>
      <c r="CC236" s="50" t="n"/>
      <c r="CD236" s="50" t="n"/>
      <c r="CE236" s="50" t="n"/>
      <c r="CF236" s="50" t="n"/>
      <c r="CG236" s="50" t="n"/>
      <c r="CH236" s="50" t="n"/>
      <c r="CI236" s="50" t="n"/>
      <c r="CJ236" s="50" t="n"/>
      <c r="CK236" s="50" t="n"/>
      <c r="CL236" s="50" t="n"/>
      <c r="CM236" s="50" t="n"/>
      <c r="CN236" s="50" t="n"/>
      <c r="CO236" s="50" t="n"/>
      <c r="CP236" s="50" t="n"/>
      <c r="CQ236" s="50" t="n"/>
      <c r="CR236" s="50" t="n"/>
      <c r="CS236" s="50" t="n"/>
      <c r="CT236" s="50" t="n"/>
      <c r="CU236" s="50" t="n"/>
      <c r="CV236" s="50" t="n"/>
      <c r="CW236" s="50" t="n"/>
      <c r="CX236" s="50" t="n"/>
      <c r="CY236" s="50" t="n"/>
      <c r="CZ236" s="50" t="n"/>
      <c r="DA236" s="50" t="n"/>
      <c r="DB236" s="50" t="n"/>
      <c r="DC236" s="50" t="n"/>
      <c r="DD236" s="50" t="n"/>
      <c r="DE236" s="50" t="n"/>
      <c r="DF236" s="50" t="n"/>
      <c r="DG236" s="50" t="n"/>
      <c r="DH236" s="50" t="n"/>
      <c r="DI236" s="50" t="n"/>
      <c r="DJ236" s="50" t="n"/>
      <c r="DK236" s="50" t="n"/>
      <c r="DL236" s="50" t="n"/>
      <c r="DM236" s="50" t="n"/>
      <c r="DN236" s="50" t="n"/>
      <c r="DO236" s="50" t="n"/>
      <c r="DP236" s="50" t="n"/>
      <c r="DQ236" s="50" t="n"/>
      <c r="DR236" s="50" t="n"/>
      <c r="DS236" s="50" t="n"/>
      <c r="DT236" s="50" t="n"/>
      <c r="DU236" s="50" t="n"/>
      <c r="DV236" s="50" t="n"/>
    </row>
    <row r="237">
      <c r="A237" s="47">
        <f>IF(Mitarbeiter!B237="","",Mitarbeiter!A237)</f>
        <v/>
      </c>
      <c r="B237" s="48">
        <f>IF(Mitarbeiter!B237="","",Mitarbeiter!B237)</f>
        <v/>
      </c>
      <c r="C237" s="49">
        <f>IF(Mitarbeiter!B237="","",Mitarbeiter!F237)</f>
        <v/>
      </c>
      <c r="D237" s="25">
        <f>IF(Mitarbeiter!B237="","",Berechnung!AD237)</f>
        <v/>
      </c>
      <c r="E237" s="25">
        <f>IF(Mitarbeiter!B237="","",SUM(G237:DV237))</f>
        <v/>
      </c>
      <c r="G237" s="50" t="n"/>
      <c r="H237" s="50" t="n"/>
      <c r="I237" s="50" t="n"/>
      <c r="J237" s="50" t="n"/>
      <c r="K237" s="50" t="n"/>
      <c r="L237" s="50" t="n"/>
      <c r="M237" s="50" t="n"/>
      <c r="N237" s="50" t="n"/>
      <c r="O237" s="50" t="n"/>
      <c r="P237" s="50" t="n"/>
      <c r="Q237" s="50" t="n"/>
      <c r="R237" s="50" t="n"/>
      <c r="S237" s="50" t="n"/>
      <c r="T237" s="50" t="n"/>
      <c r="U237" s="50" t="n"/>
      <c r="V237" s="50" t="n"/>
      <c r="W237" s="50" t="n"/>
      <c r="X237" s="50" t="n"/>
      <c r="Y237" s="50" t="n"/>
      <c r="Z237" s="50" t="n"/>
      <c r="AA237" s="50" t="n"/>
      <c r="AB237" s="50" t="n"/>
      <c r="AC237" s="50" t="n"/>
      <c r="AD237" s="50" t="n"/>
      <c r="AE237" s="50" t="n"/>
      <c r="AF237" s="50" t="n"/>
      <c r="AG237" s="50" t="n"/>
      <c r="AH237" s="50" t="n"/>
      <c r="AI237" s="50" t="n"/>
      <c r="AJ237" s="50" t="n"/>
      <c r="AK237" s="50" t="n"/>
      <c r="AL237" s="50" t="n"/>
      <c r="AM237" s="50" t="n"/>
      <c r="AN237" s="50" t="n"/>
      <c r="AO237" s="50" t="n"/>
      <c r="AP237" s="50" t="n"/>
      <c r="AQ237" s="50" t="n"/>
      <c r="AR237" s="50" t="n"/>
      <c r="AS237" s="50" t="n"/>
      <c r="AT237" s="50" t="n"/>
      <c r="AU237" s="50" t="n"/>
      <c r="AV237" s="50" t="n"/>
      <c r="AW237" s="50" t="n"/>
      <c r="AX237" s="50" t="n"/>
      <c r="AY237" s="50" t="n"/>
      <c r="AZ237" s="50" t="n"/>
      <c r="BA237" s="50" t="n"/>
      <c r="BB237" s="50" t="n"/>
      <c r="BC237" s="50" t="n"/>
      <c r="BD237" s="50" t="n"/>
      <c r="BE237" s="50" t="n"/>
      <c r="BF237" s="50" t="n"/>
      <c r="BG237" s="50" t="n"/>
      <c r="BH237" s="50" t="n"/>
      <c r="BI237" s="50" t="n"/>
      <c r="BJ237" s="50" t="n"/>
      <c r="BK237" s="50" t="n"/>
      <c r="BL237" s="50" t="n"/>
      <c r="BM237" s="50" t="n"/>
      <c r="BN237" s="50" t="n"/>
      <c r="BO237" s="50" t="n"/>
      <c r="BP237" s="50" t="n"/>
      <c r="BQ237" s="50" t="n"/>
      <c r="BR237" s="50" t="n"/>
      <c r="BS237" s="50" t="n"/>
      <c r="BT237" s="50" t="n"/>
      <c r="BU237" s="50" t="n"/>
      <c r="BV237" s="50" t="n"/>
      <c r="BW237" s="50" t="n"/>
      <c r="BX237" s="50" t="n"/>
      <c r="BY237" s="50" t="n"/>
      <c r="BZ237" s="50" t="n"/>
      <c r="CA237" s="50" t="n"/>
      <c r="CB237" s="50" t="n"/>
      <c r="CC237" s="50" t="n"/>
      <c r="CD237" s="50" t="n"/>
      <c r="CE237" s="50" t="n"/>
      <c r="CF237" s="50" t="n"/>
      <c r="CG237" s="50" t="n"/>
      <c r="CH237" s="50" t="n"/>
      <c r="CI237" s="50" t="n"/>
      <c r="CJ237" s="50" t="n"/>
      <c r="CK237" s="50" t="n"/>
      <c r="CL237" s="50" t="n"/>
      <c r="CM237" s="50" t="n"/>
      <c r="CN237" s="50" t="n"/>
      <c r="CO237" s="50" t="n"/>
      <c r="CP237" s="50" t="n"/>
      <c r="CQ237" s="50" t="n"/>
      <c r="CR237" s="50" t="n"/>
      <c r="CS237" s="50" t="n"/>
      <c r="CT237" s="50" t="n"/>
      <c r="CU237" s="50" t="n"/>
      <c r="CV237" s="50" t="n"/>
      <c r="CW237" s="50" t="n"/>
      <c r="CX237" s="50" t="n"/>
      <c r="CY237" s="50" t="n"/>
      <c r="CZ237" s="50" t="n"/>
      <c r="DA237" s="50" t="n"/>
      <c r="DB237" s="50" t="n"/>
      <c r="DC237" s="50" t="n"/>
      <c r="DD237" s="50" t="n"/>
      <c r="DE237" s="50" t="n"/>
      <c r="DF237" s="50" t="n"/>
      <c r="DG237" s="50" t="n"/>
      <c r="DH237" s="50" t="n"/>
      <c r="DI237" s="50" t="n"/>
      <c r="DJ237" s="50" t="n"/>
      <c r="DK237" s="50" t="n"/>
      <c r="DL237" s="50" t="n"/>
      <c r="DM237" s="50" t="n"/>
      <c r="DN237" s="50" t="n"/>
      <c r="DO237" s="50" t="n"/>
      <c r="DP237" s="50" t="n"/>
      <c r="DQ237" s="50" t="n"/>
      <c r="DR237" s="50" t="n"/>
      <c r="DS237" s="50" t="n"/>
      <c r="DT237" s="50" t="n"/>
      <c r="DU237" s="50" t="n"/>
      <c r="DV237" s="50" t="n"/>
    </row>
    <row r="238">
      <c r="A238" s="47">
        <f>IF(Mitarbeiter!B238="","",Mitarbeiter!A238)</f>
        <v/>
      </c>
      <c r="B238" s="48">
        <f>IF(Mitarbeiter!B238="","",Mitarbeiter!B238)</f>
        <v/>
      </c>
      <c r="C238" s="49">
        <f>IF(Mitarbeiter!B238="","",Mitarbeiter!F238)</f>
        <v/>
      </c>
      <c r="D238" s="25">
        <f>IF(Mitarbeiter!B238="","",Berechnung!AD238)</f>
        <v/>
      </c>
      <c r="E238" s="25">
        <f>IF(Mitarbeiter!B238="","",SUM(G238:DV238))</f>
        <v/>
      </c>
      <c r="G238" s="50" t="n"/>
      <c r="H238" s="50" t="n"/>
      <c r="I238" s="50" t="n"/>
      <c r="J238" s="50" t="n"/>
      <c r="K238" s="50" t="n"/>
      <c r="L238" s="50" t="n"/>
      <c r="M238" s="50" t="n"/>
      <c r="N238" s="50" t="n"/>
      <c r="O238" s="50" t="n"/>
      <c r="P238" s="50" t="n"/>
      <c r="Q238" s="50" t="n"/>
      <c r="R238" s="50" t="n"/>
      <c r="S238" s="50" t="n"/>
      <c r="T238" s="50" t="n"/>
      <c r="U238" s="50" t="n"/>
      <c r="V238" s="50" t="n"/>
      <c r="W238" s="50" t="n"/>
      <c r="X238" s="50" t="n"/>
      <c r="Y238" s="50" t="n"/>
      <c r="Z238" s="50" t="n"/>
      <c r="AA238" s="50" t="n"/>
      <c r="AB238" s="50" t="n"/>
      <c r="AC238" s="50" t="n"/>
      <c r="AD238" s="50" t="n"/>
      <c r="AE238" s="50" t="n"/>
      <c r="AF238" s="50" t="n"/>
      <c r="AG238" s="50" t="n"/>
      <c r="AH238" s="50" t="n"/>
      <c r="AI238" s="50" t="n"/>
      <c r="AJ238" s="50" t="n"/>
      <c r="AK238" s="50" t="n"/>
      <c r="AL238" s="50" t="n"/>
      <c r="AM238" s="50" t="n"/>
      <c r="AN238" s="50" t="n"/>
      <c r="AO238" s="50" t="n"/>
      <c r="AP238" s="50" t="n"/>
      <c r="AQ238" s="50" t="n"/>
      <c r="AR238" s="50" t="n"/>
      <c r="AS238" s="50" t="n"/>
      <c r="AT238" s="50" t="n"/>
      <c r="AU238" s="50" t="n"/>
      <c r="AV238" s="50" t="n"/>
      <c r="AW238" s="50" t="n"/>
      <c r="AX238" s="50" t="n"/>
      <c r="AY238" s="50" t="n"/>
      <c r="AZ238" s="50" t="n"/>
      <c r="BA238" s="50" t="n"/>
      <c r="BB238" s="50" t="n"/>
      <c r="BC238" s="50" t="n"/>
      <c r="BD238" s="50" t="n"/>
      <c r="BE238" s="50" t="n"/>
      <c r="BF238" s="50" t="n"/>
      <c r="BG238" s="50" t="n"/>
      <c r="BH238" s="50" t="n"/>
      <c r="BI238" s="50" t="n"/>
      <c r="BJ238" s="50" t="n"/>
      <c r="BK238" s="50" t="n"/>
      <c r="BL238" s="50" t="n"/>
      <c r="BM238" s="50" t="n"/>
      <c r="BN238" s="50" t="n"/>
      <c r="BO238" s="50" t="n"/>
      <c r="BP238" s="50" t="n"/>
      <c r="BQ238" s="50" t="n"/>
      <c r="BR238" s="50" t="n"/>
      <c r="BS238" s="50" t="n"/>
      <c r="BT238" s="50" t="n"/>
      <c r="BU238" s="50" t="n"/>
      <c r="BV238" s="50" t="n"/>
      <c r="BW238" s="50" t="n"/>
      <c r="BX238" s="50" t="n"/>
      <c r="BY238" s="50" t="n"/>
      <c r="BZ238" s="50" t="n"/>
      <c r="CA238" s="50" t="n"/>
      <c r="CB238" s="50" t="n"/>
      <c r="CC238" s="50" t="n"/>
      <c r="CD238" s="50" t="n"/>
      <c r="CE238" s="50" t="n"/>
      <c r="CF238" s="50" t="n"/>
      <c r="CG238" s="50" t="n"/>
      <c r="CH238" s="50" t="n"/>
      <c r="CI238" s="50" t="n"/>
      <c r="CJ238" s="50" t="n"/>
      <c r="CK238" s="50" t="n"/>
      <c r="CL238" s="50" t="n"/>
      <c r="CM238" s="50" t="n"/>
      <c r="CN238" s="50" t="n"/>
      <c r="CO238" s="50" t="n"/>
      <c r="CP238" s="50" t="n"/>
      <c r="CQ238" s="50" t="n"/>
      <c r="CR238" s="50" t="n"/>
      <c r="CS238" s="50" t="n"/>
      <c r="CT238" s="50" t="n"/>
      <c r="CU238" s="50" t="n"/>
      <c r="CV238" s="50" t="n"/>
      <c r="CW238" s="50" t="n"/>
      <c r="CX238" s="50" t="n"/>
      <c r="CY238" s="50" t="n"/>
      <c r="CZ238" s="50" t="n"/>
      <c r="DA238" s="50" t="n"/>
      <c r="DB238" s="50" t="n"/>
      <c r="DC238" s="50" t="n"/>
      <c r="DD238" s="50" t="n"/>
      <c r="DE238" s="50" t="n"/>
      <c r="DF238" s="50" t="n"/>
      <c r="DG238" s="50" t="n"/>
      <c r="DH238" s="50" t="n"/>
      <c r="DI238" s="50" t="n"/>
      <c r="DJ238" s="50" t="n"/>
      <c r="DK238" s="50" t="n"/>
      <c r="DL238" s="50" t="n"/>
      <c r="DM238" s="50" t="n"/>
      <c r="DN238" s="50" t="n"/>
      <c r="DO238" s="50" t="n"/>
      <c r="DP238" s="50" t="n"/>
      <c r="DQ238" s="50" t="n"/>
      <c r="DR238" s="50" t="n"/>
      <c r="DS238" s="50" t="n"/>
      <c r="DT238" s="50" t="n"/>
      <c r="DU238" s="50" t="n"/>
      <c r="DV238" s="50" t="n"/>
    </row>
    <row r="239">
      <c r="A239" s="47">
        <f>IF(Mitarbeiter!B239="","",Mitarbeiter!A239)</f>
        <v/>
      </c>
      <c r="B239" s="48">
        <f>IF(Mitarbeiter!B239="","",Mitarbeiter!B239)</f>
        <v/>
      </c>
      <c r="C239" s="49">
        <f>IF(Mitarbeiter!B239="","",Mitarbeiter!F239)</f>
        <v/>
      </c>
      <c r="D239" s="25">
        <f>IF(Mitarbeiter!B239="","",Berechnung!AD239)</f>
        <v/>
      </c>
      <c r="E239" s="25">
        <f>IF(Mitarbeiter!B239="","",SUM(G239:DV239))</f>
        <v/>
      </c>
      <c r="G239" s="50" t="n"/>
      <c r="H239" s="50" t="n"/>
      <c r="I239" s="50" t="n"/>
      <c r="J239" s="50" t="n"/>
      <c r="K239" s="50" t="n"/>
      <c r="L239" s="50" t="n"/>
      <c r="M239" s="50" t="n"/>
      <c r="N239" s="50" t="n"/>
      <c r="O239" s="50" t="n"/>
      <c r="P239" s="50" t="n"/>
      <c r="Q239" s="50" t="n"/>
      <c r="R239" s="50" t="n"/>
      <c r="S239" s="50" t="n"/>
      <c r="T239" s="50" t="n"/>
      <c r="U239" s="50" t="n"/>
      <c r="V239" s="50" t="n"/>
      <c r="W239" s="50" t="n"/>
      <c r="X239" s="50" t="n"/>
      <c r="Y239" s="50" t="n"/>
      <c r="Z239" s="50" t="n"/>
      <c r="AA239" s="50" t="n"/>
      <c r="AB239" s="50" t="n"/>
      <c r="AC239" s="50" t="n"/>
      <c r="AD239" s="50" t="n"/>
      <c r="AE239" s="50" t="n"/>
      <c r="AF239" s="50" t="n"/>
      <c r="AG239" s="50" t="n"/>
      <c r="AH239" s="50" t="n"/>
      <c r="AI239" s="50" t="n"/>
      <c r="AJ239" s="50" t="n"/>
      <c r="AK239" s="50" t="n"/>
      <c r="AL239" s="50" t="n"/>
      <c r="AM239" s="50" t="n"/>
      <c r="AN239" s="50" t="n"/>
      <c r="AO239" s="50" t="n"/>
      <c r="AP239" s="50" t="n"/>
      <c r="AQ239" s="50" t="n"/>
      <c r="AR239" s="50" t="n"/>
      <c r="AS239" s="50" t="n"/>
      <c r="AT239" s="50" t="n"/>
      <c r="AU239" s="50" t="n"/>
      <c r="AV239" s="50" t="n"/>
      <c r="AW239" s="50" t="n"/>
      <c r="AX239" s="50" t="n"/>
      <c r="AY239" s="50" t="n"/>
      <c r="AZ239" s="50" t="n"/>
      <c r="BA239" s="50" t="n"/>
      <c r="BB239" s="50" t="n"/>
      <c r="BC239" s="50" t="n"/>
      <c r="BD239" s="50" t="n"/>
      <c r="BE239" s="50" t="n"/>
      <c r="BF239" s="50" t="n"/>
      <c r="BG239" s="50" t="n"/>
      <c r="BH239" s="50" t="n"/>
      <c r="BI239" s="50" t="n"/>
      <c r="BJ239" s="50" t="n"/>
      <c r="BK239" s="50" t="n"/>
      <c r="BL239" s="50" t="n"/>
      <c r="BM239" s="50" t="n"/>
      <c r="BN239" s="50" t="n"/>
      <c r="BO239" s="50" t="n"/>
      <c r="BP239" s="50" t="n"/>
      <c r="BQ239" s="50" t="n"/>
      <c r="BR239" s="50" t="n"/>
      <c r="BS239" s="50" t="n"/>
      <c r="BT239" s="50" t="n"/>
      <c r="BU239" s="50" t="n"/>
      <c r="BV239" s="50" t="n"/>
      <c r="BW239" s="50" t="n"/>
      <c r="BX239" s="50" t="n"/>
      <c r="BY239" s="50" t="n"/>
      <c r="BZ239" s="50" t="n"/>
      <c r="CA239" s="50" t="n"/>
      <c r="CB239" s="50" t="n"/>
      <c r="CC239" s="50" t="n"/>
      <c r="CD239" s="50" t="n"/>
      <c r="CE239" s="50" t="n"/>
      <c r="CF239" s="50" t="n"/>
      <c r="CG239" s="50" t="n"/>
      <c r="CH239" s="50" t="n"/>
      <c r="CI239" s="50" t="n"/>
      <c r="CJ239" s="50" t="n"/>
      <c r="CK239" s="50" t="n"/>
      <c r="CL239" s="50" t="n"/>
      <c r="CM239" s="50" t="n"/>
      <c r="CN239" s="50" t="n"/>
      <c r="CO239" s="50" t="n"/>
      <c r="CP239" s="50" t="n"/>
      <c r="CQ239" s="50" t="n"/>
      <c r="CR239" s="50" t="n"/>
      <c r="CS239" s="50" t="n"/>
      <c r="CT239" s="50" t="n"/>
      <c r="CU239" s="50" t="n"/>
      <c r="CV239" s="50" t="n"/>
      <c r="CW239" s="50" t="n"/>
      <c r="CX239" s="50" t="n"/>
      <c r="CY239" s="50" t="n"/>
      <c r="CZ239" s="50" t="n"/>
      <c r="DA239" s="50" t="n"/>
      <c r="DB239" s="50" t="n"/>
      <c r="DC239" s="50" t="n"/>
      <c r="DD239" s="50" t="n"/>
      <c r="DE239" s="50" t="n"/>
      <c r="DF239" s="50" t="n"/>
      <c r="DG239" s="50" t="n"/>
      <c r="DH239" s="50" t="n"/>
      <c r="DI239" s="50" t="n"/>
      <c r="DJ239" s="50" t="n"/>
      <c r="DK239" s="50" t="n"/>
      <c r="DL239" s="50" t="n"/>
      <c r="DM239" s="50" t="n"/>
      <c r="DN239" s="50" t="n"/>
      <c r="DO239" s="50" t="n"/>
      <c r="DP239" s="50" t="n"/>
      <c r="DQ239" s="50" t="n"/>
      <c r="DR239" s="50" t="n"/>
      <c r="DS239" s="50" t="n"/>
      <c r="DT239" s="50" t="n"/>
      <c r="DU239" s="50" t="n"/>
      <c r="DV239" s="50" t="n"/>
    </row>
    <row r="240">
      <c r="A240" s="47">
        <f>IF(Mitarbeiter!B240="","",Mitarbeiter!A240)</f>
        <v/>
      </c>
      <c r="B240" s="48">
        <f>IF(Mitarbeiter!B240="","",Mitarbeiter!B240)</f>
        <v/>
      </c>
      <c r="C240" s="49">
        <f>IF(Mitarbeiter!B240="","",Mitarbeiter!F240)</f>
        <v/>
      </c>
      <c r="D240" s="25">
        <f>IF(Mitarbeiter!B240="","",Berechnung!AD240)</f>
        <v/>
      </c>
      <c r="E240" s="25">
        <f>IF(Mitarbeiter!B240="","",SUM(G240:DV240))</f>
        <v/>
      </c>
      <c r="G240" s="50" t="n"/>
      <c r="H240" s="50" t="n"/>
      <c r="I240" s="50" t="n"/>
      <c r="J240" s="50" t="n"/>
      <c r="K240" s="50" t="n"/>
      <c r="L240" s="50" t="n"/>
      <c r="M240" s="50" t="n"/>
      <c r="N240" s="50" t="n"/>
      <c r="O240" s="50" t="n"/>
      <c r="P240" s="50" t="n"/>
      <c r="Q240" s="50" t="n"/>
      <c r="R240" s="50" t="n"/>
      <c r="S240" s="50" t="n"/>
      <c r="T240" s="50" t="n"/>
      <c r="U240" s="50" t="n"/>
      <c r="V240" s="50" t="n"/>
      <c r="W240" s="50" t="n"/>
      <c r="X240" s="50" t="n"/>
      <c r="Y240" s="50" t="n"/>
      <c r="Z240" s="50" t="n"/>
      <c r="AA240" s="50" t="n"/>
      <c r="AB240" s="50" t="n"/>
      <c r="AC240" s="50" t="n"/>
      <c r="AD240" s="50" t="n"/>
      <c r="AE240" s="50" t="n"/>
      <c r="AF240" s="50" t="n"/>
      <c r="AG240" s="50" t="n"/>
      <c r="AH240" s="50" t="n"/>
      <c r="AI240" s="50" t="n"/>
      <c r="AJ240" s="50" t="n"/>
      <c r="AK240" s="50" t="n"/>
      <c r="AL240" s="50" t="n"/>
      <c r="AM240" s="50" t="n"/>
      <c r="AN240" s="50" t="n"/>
      <c r="AO240" s="50" t="n"/>
      <c r="AP240" s="50" t="n"/>
      <c r="AQ240" s="50" t="n"/>
      <c r="AR240" s="50" t="n"/>
      <c r="AS240" s="50" t="n"/>
      <c r="AT240" s="50" t="n"/>
      <c r="AU240" s="50" t="n"/>
      <c r="AV240" s="50" t="n"/>
      <c r="AW240" s="50" t="n"/>
      <c r="AX240" s="50" t="n"/>
      <c r="AY240" s="50" t="n"/>
      <c r="AZ240" s="50" t="n"/>
      <c r="BA240" s="50" t="n"/>
      <c r="BB240" s="50" t="n"/>
      <c r="BC240" s="50" t="n"/>
      <c r="BD240" s="50" t="n"/>
      <c r="BE240" s="50" t="n"/>
      <c r="BF240" s="50" t="n"/>
      <c r="BG240" s="50" t="n"/>
      <c r="BH240" s="50" t="n"/>
      <c r="BI240" s="50" t="n"/>
      <c r="BJ240" s="50" t="n"/>
      <c r="BK240" s="50" t="n"/>
      <c r="BL240" s="50" t="n"/>
      <c r="BM240" s="50" t="n"/>
      <c r="BN240" s="50" t="n"/>
      <c r="BO240" s="50" t="n"/>
      <c r="BP240" s="50" t="n"/>
      <c r="BQ240" s="50" t="n"/>
      <c r="BR240" s="50" t="n"/>
      <c r="BS240" s="50" t="n"/>
      <c r="BT240" s="50" t="n"/>
      <c r="BU240" s="50" t="n"/>
      <c r="BV240" s="50" t="n"/>
      <c r="BW240" s="50" t="n"/>
      <c r="BX240" s="50" t="n"/>
      <c r="BY240" s="50" t="n"/>
      <c r="BZ240" s="50" t="n"/>
      <c r="CA240" s="50" t="n"/>
      <c r="CB240" s="50" t="n"/>
      <c r="CC240" s="50" t="n"/>
      <c r="CD240" s="50" t="n"/>
      <c r="CE240" s="50" t="n"/>
      <c r="CF240" s="50" t="n"/>
      <c r="CG240" s="50" t="n"/>
      <c r="CH240" s="50" t="n"/>
      <c r="CI240" s="50" t="n"/>
      <c r="CJ240" s="50" t="n"/>
      <c r="CK240" s="50" t="n"/>
      <c r="CL240" s="50" t="n"/>
      <c r="CM240" s="50" t="n"/>
      <c r="CN240" s="50" t="n"/>
      <c r="CO240" s="50" t="n"/>
      <c r="CP240" s="50" t="n"/>
      <c r="CQ240" s="50" t="n"/>
      <c r="CR240" s="50" t="n"/>
      <c r="CS240" s="50" t="n"/>
      <c r="CT240" s="50" t="n"/>
      <c r="CU240" s="50" t="n"/>
      <c r="CV240" s="50" t="n"/>
      <c r="CW240" s="50" t="n"/>
      <c r="CX240" s="50" t="n"/>
      <c r="CY240" s="50" t="n"/>
      <c r="CZ240" s="50" t="n"/>
      <c r="DA240" s="50" t="n"/>
      <c r="DB240" s="50" t="n"/>
      <c r="DC240" s="50" t="n"/>
      <c r="DD240" s="50" t="n"/>
      <c r="DE240" s="50" t="n"/>
      <c r="DF240" s="50" t="n"/>
      <c r="DG240" s="50" t="n"/>
      <c r="DH240" s="50" t="n"/>
      <c r="DI240" s="50" t="n"/>
      <c r="DJ240" s="50" t="n"/>
      <c r="DK240" s="50" t="n"/>
      <c r="DL240" s="50" t="n"/>
      <c r="DM240" s="50" t="n"/>
      <c r="DN240" s="50" t="n"/>
      <c r="DO240" s="50" t="n"/>
      <c r="DP240" s="50" t="n"/>
      <c r="DQ240" s="50" t="n"/>
      <c r="DR240" s="50" t="n"/>
      <c r="DS240" s="50" t="n"/>
      <c r="DT240" s="50" t="n"/>
      <c r="DU240" s="50" t="n"/>
      <c r="DV240" s="50" t="n"/>
    </row>
    <row r="241">
      <c r="A241" s="47">
        <f>IF(Mitarbeiter!B241="","",Mitarbeiter!A241)</f>
        <v/>
      </c>
      <c r="B241" s="48">
        <f>IF(Mitarbeiter!B241="","",Mitarbeiter!B241)</f>
        <v/>
      </c>
      <c r="C241" s="49">
        <f>IF(Mitarbeiter!B241="","",Mitarbeiter!F241)</f>
        <v/>
      </c>
      <c r="D241" s="25">
        <f>IF(Mitarbeiter!B241="","",Berechnung!AD241)</f>
        <v/>
      </c>
      <c r="E241" s="25">
        <f>IF(Mitarbeiter!B241="","",SUM(G241:DV241))</f>
        <v/>
      </c>
      <c r="G241" s="50" t="n"/>
      <c r="H241" s="50" t="n"/>
      <c r="I241" s="50" t="n"/>
      <c r="J241" s="50" t="n"/>
      <c r="K241" s="50" t="n"/>
      <c r="L241" s="50" t="n"/>
      <c r="M241" s="50" t="n"/>
      <c r="N241" s="50" t="n"/>
      <c r="O241" s="50" t="n"/>
      <c r="P241" s="50" t="n"/>
      <c r="Q241" s="50" t="n"/>
      <c r="R241" s="50" t="n"/>
      <c r="S241" s="50" t="n"/>
      <c r="T241" s="50" t="n"/>
      <c r="U241" s="50" t="n"/>
      <c r="V241" s="50" t="n"/>
      <c r="W241" s="50" t="n"/>
      <c r="X241" s="50" t="n"/>
      <c r="Y241" s="50" t="n"/>
      <c r="Z241" s="50" t="n"/>
      <c r="AA241" s="50" t="n"/>
      <c r="AB241" s="50" t="n"/>
      <c r="AC241" s="50" t="n"/>
      <c r="AD241" s="50" t="n"/>
      <c r="AE241" s="50" t="n"/>
      <c r="AF241" s="50" t="n"/>
      <c r="AG241" s="50" t="n"/>
      <c r="AH241" s="50" t="n"/>
      <c r="AI241" s="50" t="n"/>
      <c r="AJ241" s="50" t="n"/>
      <c r="AK241" s="50" t="n"/>
      <c r="AL241" s="50" t="n"/>
      <c r="AM241" s="50" t="n"/>
      <c r="AN241" s="50" t="n"/>
      <c r="AO241" s="50" t="n"/>
      <c r="AP241" s="50" t="n"/>
      <c r="AQ241" s="50" t="n"/>
      <c r="AR241" s="50" t="n"/>
      <c r="AS241" s="50" t="n"/>
      <c r="AT241" s="50" t="n"/>
      <c r="AU241" s="50" t="n"/>
      <c r="AV241" s="50" t="n"/>
      <c r="AW241" s="50" t="n"/>
      <c r="AX241" s="50" t="n"/>
      <c r="AY241" s="50" t="n"/>
      <c r="AZ241" s="50" t="n"/>
      <c r="BA241" s="50" t="n"/>
      <c r="BB241" s="50" t="n"/>
      <c r="BC241" s="50" t="n"/>
      <c r="BD241" s="50" t="n"/>
      <c r="BE241" s="50" t="n"/>
      <c r="BF241" s="50" t="n"/>
      <c r="BG241" s="50" t="n"/>
      <c r="BH241" s="50" t="n"/>
      <c r="BI241" s="50" t="n"/>
      <c r="BJ241" s="50" t="n"/>
      <c r="BK241" s="50" t="n"/>
      <c r="BL241" s="50" t="n"/>
      <c r="BM241" s="50" t="n"/>
      <c r="BN241" s="50" t="n"/>
      <c r="BO241" s="50" t="n"/>
      <c r="BP241" s="50" t="n"/>
      <c r="BQ241" s="50" t="n"/>
      <c r="BR241" s="50" t="n"/>
      <c r="BS241" s="50" t="n"/>
      <c r="BT241" s="50" t="n"/>
      <c r="BU241" s="50" t="n"/>
      <c r="BV241" s="50" t="n"/>
      <c r="BW241" s="50" t="n"/>
      <c r="BX241" s="50" t="n"/>
      <c r="BY241" s="50" t="n"/>
      <c r="BZ241" s="50" t="n"/>
      <c r="CA241" s="50" t="n"/>
      <c r="CB241" s="50" t="n"/>
      <c r="CC241" s="50" t="n"/>
      <c r="CD241" s="50" t="n"/>
      <c r="CE241" s="50" t="n"/>
      <c r="CF241" s="50" t="n"/>
      <c r="CG241" s="50" t="n"/>
      <c r="CH241" s="50" t="n"/>
      <c r="CI241" s="50" t="n"/>
      <c r="CJ241" s="50" t="n"/>
      <c r="CK241" s="50" t="n"/>
      <c r="CL241" s="50" t="n"/>
      <c r="CM241" s="50" t="n"/>
      <c r="CN241" s="50" t="n"/>
      <c r="CO241" s="50" t="n"/>
      <c r="CP241" s="50" t="n"/>
      <c r="CQ241" s="50" t="n"/>
      <c r="CR241" s="50" t="n"/>
      <c r="CS241" s="50" t="n"/>
      <c r="CT241" s="50" t="n"/>
      <c r="CU241" s="50" t="n"/>
      <c r="CV241" s="50" t="n"/>
      <c r="CW241" s="50" t="n"/>
      <c r="CX241" s="50" t="n"/>
      <c r="CY241" s="50" t="n"/>
      <c r="CZ241" s="50" t="n"/>
      <c r="DA241" s="50" t="n"/>
      <c r="DB241" s="50" t="n"/>
      <c r="DC241" s="50" t="n"/>
      <c r="DD241" s="50" t="n"/>
      <c r="DE241" s="50" t="n"/>
      <c r="DF241" s="50" t="n"/>
      <c r="DG241" s="50" t="n"/>
      <c r="DH241" s="50" t="n"/>
      <c r="DI241" s="50" t="n"/>
      <c r="DJ241" s="50" t="n"/>
      <c r="DK241" s="50" t="n"/>
      <c r="DL241" s="50" t="n"/>
      <c r="DM241" s="50" t="n"/>
      <c r="DN241" s="50" t="n"/>
      <c r="DO241" s="50" t="n"/>
      <c r="DP241" s="50" t="n"/>
      <c r="DQ241" s="50" t="n"/>
      <c r="DR241" s="50" t="n"/>
      <c r="DS241" s="50" t="n"/>
      <c r="DT241" s="50" t="n"/>
      <c r="DU241" s="50" t="n"/>
      <c r="DV241" s="50" t="n"/>
    </row>
    <row r="242">
      <c r="A242" s="47">
        <f>IF(Mitarbeiter!B242="","",Mitarbeiter!A242)</f>
        <v/>
      </c>
      <c r="B242" s="48">
        <f>IF(Mitarbeiter!B242="","",Mitarbeiter!B242)</f>
        <v/>
      </c>
      <c r="C242" s="49">
        <f>IF(Mitarbeiter!B242="","",Mitarbeiter!F242)</f>
        <v/>
      </c>
      <c r="D242" s="25">
        <f>IF(Mitarbeiter!B242="","",Berechnung!AD242)</f>
        <v/>
      </c>
      <c r="E242" s="25">
        <f>IF(Mitarbeiter!B242="","",SUM(G242:DV242))</f>
        <v/>
      </c>
      <c r="G242" s="50" t="n"/>
      <c r="H242" s="50" t="n"/>
      <c r="I242" s="50" t="n"/>
      <c r="J242" s="50" t="n"/>
      <c r="K242" s="50" t="n"/>
      <c r="L242" s="50" t="n"/>
      <c r="M242" s="50" t="n"/>
      <c r="N242" s="50" t="n"/>
      <c r="O242" s="50" t="n"/>
      <c r="P242" s="50" t="n"/>
      <c r="Q242" s="50" t="n"/>
      <c r="R242" s="50" t="n"/>
      <c r="S242" s="50" t="n"/>
      <c r="T242" s="50" t="n"/>
      <c r="U242" s="50" t="n"/>
      <c r="V242" s="50" t="n"/>
      <c r="W242" s="50" t="n"/>
      <c r="X242" s="50" t="n"/>
      <c r="Y242" s="50" t="n"/>
      <c r="Z242" s="50" t="n"/>
      <c r="AA242" s="50" t="n"/>
      <c r="AB242" s="50" t="n"/>
      <c r="AC242" s="50" t="n"/>
      <c r="AD242" s="50" t="n"/>
      <c r="AE242" s="50" t="n"/>
      <c r="AF242" s="50" t="n"/>
      <c r="AG242" s="50" t="n"/>
      <c r="AH242" s="50" t="n"/>
      <c r="AI242" s="50" t="n"/>
      <c r="AJ242" s="50" t="n"/>
      <c r="AK242" s="50" t="n"/>
      <c r="AL242" s="50" t="n"/>
      <c r="AM242" s="50" t="n"/>
      <c r="AN242" s="50" t="n"/>
      <c r="AO242" s="50" t="n"/>
      <c r="AP242" s="50" t="n"/>
      <c r="AQ242" s="50" t="n"/>
      <c r="AR242" s="50" t="n"/>
      <c r="AS242" s="50" t="n"/>
      <c r="AT242" s="50" t="n"/>
      <c r="AU242" s="50" t="n"/>
      <c r="AV242" s="50" t="n"/>
      <c r="AW242" s="50" t="n"/>
      <c r="AX242" s="50" t="n"/>
      <c r="AY242" s="50" t="n"/>
      <c r="AZ242" s="50" t="n"/>
      <c r="BA242" s="50" t="n"/>
      <c r="BB242" s="50" t="n"/>
      <c r="BC242" s="50" t="n"/>
      <c r="BD242" s="50" t="n"/>
      <c r="BE242" s="50" t="n"/>
      <c r="BF242" s="50" t="n"/>
      <c r="BG242" s="50" t="n"/>
      <c r="BH242" s="50" t="n"/>
      <c r="BI242" s="50" t="n"/>
      <c r="BJ242" s="50" t="n"/>
      <c r="BK242" s="50" t="n"/>
      <c r="BL242" s="50" t="n"/>
      <c r="BM242" s="50" t="n"/>
      <c r="BN242" s="50" t="n"/>
      <c r="BO242" s="50" t="n"/>
      <c r="BP242" s="50" t="n"/>
      <c r="BQ242" s="50" t="n"/>
      <c r="BR242" s="50" t="n"/>
      <c r="BS242" s="50" t="n"/>
      <c r="BT242" s="50" t="n"/>
      <c r="BU242" s="50" t="n"/>
      <c r="BV242" s="50" t="n"/>
      <c r="BW242" s="50" t="n"/>
      <c r="BX242" s="50" t="n"/>
      <c r="BY242" s="50" t="n"/>
      <c r="BZ242" s="50" t="n"/>
      <c r="CA242" s="50" t="n"/>
      <c r="CB242" s="50" t="n"/>
      <c r="CC242" s="50" t="n"/>
      <c r="CD242" s="50" t="n"/>
      <c r="CE242" s="50" t="n"/>
      <c r="CF242" s="50" t="n"/>
      <c r="CG242" s="50" t="n"/>
      <c r="CH242" s="50" t="n"/>
      <c r="CI242" s="50" t="n"/>
      <c r="CJ242" s="50" t="n"/>
      <c r="CK242" s="50" t="n"/>
      <c r="CL242" s="50" t="n"/>
      <c r="CM242" s="50" t="n"/>
      <c r="CN242" s="50" t="n"/>
      <c r="CO242" s="50" t="n"/>
      <c r="CP242" s="50" t="n"/>
      <c r="CQ242" s="50" t="n"/>
      <c r="CR242" s="50" t="n"/>
      <c r="CS242" s="50" t="n"/>
      <c r="CT242" s="50" t="n"/>
      <c r="CU242" s="50" t="n"/>
      <c r="CV242" s="50" t="n"/>
      <c r="CW242" s="50" t="n"/>
      <c r="CX242" s="50" t="n"/>
      <c r="CY242" s="50" t="n"/>
      <c r="CZ242" s="50" t="n"/>
      <c r="DA242" s="50" t="n"/>
      <c r="DB242" s="50" t="n"/>
      <c r="DC242" s="50" t="n"/>
      <c r="DD242" s="50" t="n"/>
      <c r="DE242" s="50" t="n"/>
      <c r="DF242" s="50" t="n"/>
      <c r="DG242" s="50" t="n"/>
      <c r="DH242" s="50" t="n"/>
      <c r="DI242" s="50" t="n"/>
      <c r="DJ242" s="50" t="n"/>
      <c r="DK242" s="50" t="n"/>
      <c r="DL242" s="50" t="n"/>
      <c r="DM242" s="50" t="n"/>
      <c r="DN242" s="50" t="n"/>
      <c r="DO242" s="50" t="n"/>
      <c r="DP242" s="50" t="n"/>
      <c r="DQ242" s="50" t="n"/>
      <c r="DR242" s="50" t="n"/>
      <c r="DS242" s="50" t="n"/>
      <c r="DT242" s="50" t="n"/>
      <c r="DU242" s="50" t="n"/>
      <c r="DV242" s="50" t="n"/>
    </row>
    <row r="243">
      <c r="A243" s="47">
        <f>IF(Mitarbeiter!B243="","",Mitarbeiter!A243)</f>
        <v/>
      </c>
      <c r="B243" s="48">
        <f>IF(Mitarbeiter!B243="","",Mitarbeiter!B243)</f>
        <v/>
      </c>
      <c r="C243" s="49">
        <f>IF(Mitarbeiter!B243="","",Mitarbeiter!F243)</f>
        <v/>
      </c>
      <c r="D243" s="25">
        <f>IF(Mitarbeiter!B243="","",Berechnung!AD243)</f>
        <v/>
      </c>
      <c r="E243" s="25">
        <f>IF(Mitarbeiter!B243="","",SUM(G243:DV243))</f>
        <v/>
      </c>
      <c r="G243" s="50" t="n"/>
      <c r="H243" s="50" t="n"/>
      <c r="I243" s="50" t="n"/>
      <c r="J243" s="50" t="n"/>
      <c r="K243" s="50" t="n"/>
      <c r="L243" s="50" t="n"/>
      <c r="M243" s="50" t="n"/>
      <c r="N243" s="50" t="n"/>
      <c r="O243" s="50" t="n"/>
      <c r="P243" s="50" t="n"/>
      <c r="Q243" s="50" t="n"/>
      <c r="R243" s="50" t="n"/>
      <c r="S243" s="50" t="n"/>
      <c r="T243" s="50" t="n"/>
      <c r="U243" s="50" t="n"/>
      <c r="V243" s="50" t="n"/>
      <c r="W243" s="50" t="n"/>
      <c r="X243" s="50" t="n"/>
      <c r="Y243" s="50" t="n"/>
      <c r="Z243" s="50" t="n"/>
      <c r="AA243" s="50" t="n"/>
      <c r="AB243" s="50" t="n"/>
      <c r="AC243" s="50" t="n"/>
      <c r="AD243" s="50" t="n"/>
      <c r="AE243" s="50" t="n"/>
      <c r="AF243" s="50" t="n"/>
      <c r="AG243" s="50" t="n"/>
      <c r="AH243" s="50" t="n"/>
      <c r="AI243" s="50" t="n"/>
      <c r="AJ243" s="50" t="n"/>
      <c r="AK243" s="50" t="n"/>
      <c r="AL243" s="50" t="n"/>
      <c r="AM243" s="50" t="n"/>
      <c r="AN243" s="50" t="n"/>
      <c r="AO243" s="50" t="n"/>
      <c r="AP243" s="50" t="n"/>
      <c r="AQ243" s="50" t="n"/>
      <c r="AR243" s="50" t="n"/>
      <c r="AS243" s="50" t="n"/>
      <c r="AT243" s="50" t="n"/>
      <c r="AU243" s="50" t="n"/>
      <c r="AV243" s="50" t="n"/>
      <c r="AW243" s="50" t="n"/>
      <c r="AX243" s="50" t="n"/>
      <c r="AY243" s="50" t="n"/>
      <c r="AZ243" s="50" t="n"/>
      <c r="BA243" s="50" t="n"/>
      <c r="BB243" s="50" t="n"/>
      <c r="BC243" s="50" t="n"/>
      <c r="BD243" s="50" t="n"/>
      <c r="BE243" s="50" t="n"/>
      <c r="BF243" s="50" t="n"/>
      <c r="BG243" s="50" t="n"/>
      <c r="BH243" s="50" t="n"/>
      <c r="BI243" s="50" t="n"/>
      <c r="BJ243" s="50" t="n"/>
      <c r="BK243" s="50" t="n"/>
      <c r="BL243" s="50" t="n"/>
      <c r="BM243" s="50" t="n"/>
      <c r="BN243" s="50" t="n"/>
      <c r="BO243" s="50" t="n"/>
      <c r="BP243" s="50" t="n"/>
      <c r="BQ243" s="50" t="n"/>
      <c r="BR243" s="50" t="n"/>
      <c r="BS243" s="50" t="n"/>
      <c r="BT243" s="50" t="n"/>
      <c r="BU243" s="50" t="n"/>
      <c r="BV243" s="50" t="n"/>
      <c r="BW243" s="50" t="n"/>
      <c r="BX243" s="50" t="n"/>
      <c r="BY243" s="50" t="n"/>
      <c r="BZ243" s="50" t="n"/>
      <c r="CA243" s="50" t="n"/>
      <c r="CB243" s="50" t="n"/>
      <c r="CC243" s="50" t="n"/>
      <c r="CD243" s="50" t="n"/>
      <c r="CE243" s="50" t="n"/>
      <c r="CF243" s="50" t="n"/>
      <c r="CG243" s="50" t="n"/>
      <c r="CH243" s="50" t="n"/>
      <c r="CI243" s="50" t="n"/>
      <c r="CJ243" s="50" t="n"/>
      <c r="CK243" s="50" t="n"/>
      <c r="CL243" s="50" t="n"/>
      <c r="CM243" s="50" t="n"/>
      <c r="CN243" s="50" t="n"/>
      <c r="CO243" s="50" t="n"/>
      <c r="CP243" s="50" t="n"/>
      <c r="CQ243" s="50" t="n"/>
      <c r="CR243" s="50" t="n"/>
      <c r="CS243" s="50" t="n"/>
      <c r="CT243" s="50" t="n"/>
      <c r="CU243" s="50" t="n"/>
      <c r="CV243" s="50" t="n"/>
      <c r="CW243" s="50" t="n"/>
      <c r="CX243" s="50" t="n"/>
      <c r="CY243" s="50" t="n"/>
      <c r="CZ243" s="50" t="n"/>
      <c r="DA243" s="50" t="n"/>
      <c r="DB243" s="50" t="n"/>
      <c r="DC243" s="50" t="n"/>
      <c r="DD243" s="50" t="n"/>
      <c r="DE243" s="50" t="n"/>
      <c r="DF243" s="50" t="n"/>
      <c r="DG243" s="50" t="n"/>
      <c r="DH243" s="50" t="n"/>
      <c r="DI243" s="50" t="n"/>
      <c r="DJ243" s="50" t="n"/>
      <c r="DK243" s="50" t="n"/>
      <c r="DL243" s="50" t="n"/>
      <c r="DM243" s="50" t="n"/>
      <c r="DN243" s="50" t="n"/>
      <c r="DO243" s="50" t="n"/>
      <c r="DP243" s="50" t="n"/>
      <c r="DQ243" s="50" t="n"/>
      <c r="DR243" s="50" t="n"/>
      <c r="DS243" s="50" t="n"/>
      <c r="DT243" s="50" t="n"/>
      <c r="DU243" s="50" t="n"/>
      <c r="DV243" s="50" t="n"/>
    </row>
    <row r="244">
      <c r="A244" s="47">
        <f>IF(Mitarbeiter!B244="","",Mitarbeiter!A244)</f>
        <v/>
      </c>
      <c r="B244" s="48">
        <f>IF(Mitarbeiter!B244="","",Mitarbeiter!B244)</f>
        <v/>
      </c>
      <c r="C244" s="49">
        <f>IF(Mitarbeiter!B244="","",Mitarbeiter!F244)</f>
        <v/>
      </c>
      <c r="D244" s="25">
        <f>IF(Mitarbeiter!B244="","",Berechnung!AD244)</f>
        <v/>
      </c>
      <c r="E244" s="25">
        <f>IF(Mitarbeiter!B244="","",SUM(G244:DV244))</f>
        <v/>
      </c>
      <c r="G244" s="50" t="n"/>
      <c r="H244" s="50" t="n"/>
      <c r="I244" s="50" t="n"/>
      <c r="J244" s="50" t="n"/>
      <c r="K244" s="50" t="n"/>
      <c r="L244" s="50" t="n"/>
      <c r="M244" s="50" t="n"/>
      <c r="N244" s="50" t="n"/>
      <c r="O244" s="50" t="n"/>
      <c r="P244" s="50" t="n"/>
      <c r="Q244" s="50" t="n"/>
      <c r="R244" s="50" t="n"/>
      <c r="S244" s="50" t="n"/>
      <c r="T244" s="50" t="n"/>
      <c r="U244" s="50" t="n"/>
      <c r="V244" s="50" t="n"/>
      <c r="W244" s="50" t="n"/>
      <c r="X244" s="50" t="n"/>
      <c r="Y244" s="50" t="n"/>
      <c r="Z244" s="50" t="n"/>
      <c r="AA244" s="50" t="n"/>
      <c r="AB244" s="50" t="n"/>
      <c r="AC244" s="50" t="n"/>
      <c r="AD244" s="50" t="n"/>
      <c r="AE244" s="50" t="n"/>
      <c r="AF244" s="50" t="n"/>
      <c r="AG244" s="50" t="n"/>
      <c r="AH244" s="50" t="n"/>
      <c r="AI244" s="50" t="n"/>
      <c r="AJ244" s="50" t="n"/>
      <c r="AK244" s="50" t="n"/>
      <c r="AL244" s="50" t="n"/>
      <c r="AM244" s="50" t="n"/>
      <c r="AN244" s="50" t="n"/>
      <c r="AO244" s="50" t="n"/>
      <c r="AP244" s="50" t="n"/>
      <c r="AQ244" s="50" t="n"/>
      <c r="AR244" s="50" t="n"/>
      <c r="AS244" s="50" t="n"/>
      <c r="AT244" s="50" t="n"/>
      <c r="AU244" s="50" t="n"/>
      <c r="AV244" s="50" t="n"/>
      <c r="AW244" s="50" t="n"/>
      <c r="AX244" s="50" t="n"/>
      <c r="AY244" s="50" t="n"/>
      <c r="AZ244" s="50" t="n"/>
      <c r="BA244" s="50" t="n"/>
      <c r="BB244" s="50" t="n"/>
      <c r="BC244" s="50" t="n"/>
      <c r="BD244" s="50" t="n"/>
      <c r="BE244" s="50" t="n"/>
      <c r="BF244" s="50" t="n"/>
      <c r="BG244" s="50" t="n"/>
      <c r="BH244" s="50" t="n"/>
      <c r="BI244" s="50" t="n"/>
      <c r="BJ244" s="50" t="n"/>
      <c r="BK244" s="50" t="n"/>
      <c r="BL244" s="50" t="n"/>
      <c r="BM244" s="50" t="n"/>
      <c r="BN244" s="50" t="n"/>
      <c r="BO244" s="50" t="n"/>
      <c r="BP244" s="50" t="n"/>
      <c r="BQ244" s="50" t="n"/>
      <c r="BR244" s="50" t="n"/>
      <c r="BS244" s="50" t="n"/>
      <c r="BT244" s="50" t="n"/>
      <c r="BU244" s="50" t="n"/>
      <c r="BV244" s="50" t="n"/>
      <c r="BW244" s="50" t="n"/>
      <c r="BX244" s="50" t="n"/>
      <c r="BY244" s="50" t="n"/>
      <c r="BZ244" s="50" t="n"/>
      <c r="CA244" s="50" t="n"/>
      <c r="CB244" s="50" t="n"/>
      <c r="CC244" s="50" t="n"/>
      <c r="CD244" s="50" t="n"/>
      <c r="CE244" s="50" t="n"/>
      <c r="CF244" s="50" t="n"/>
      <c r="CG244" s="50" t="n"/>
      <c r="CH244" s="50" t="n"/>
      <c r="CI244" s="50" t="n"/>
      <c r="CJ244" s="50" t="n"/>
      <c r="CK244" s="50" t="n"/>
      <c r="CL244" s="50" t="n"/>
      <c r="CM244" s="50" t="n"/>
      <c r="CN244" s="50" t="n"/>
      <c r="CO244" s="50" t="n"/>
      <c r="CP244" s="50" t="n"/>
      <c r="CQ244" s="50" t="n"/>
      <c r="CR244" s="50" t="n"/>
      <c r="CS244" s="50" t="n"/>
      <c r="CT244" s="50" t="n"/>
      <c r="CU244" s="50" t="n"/>
      <c r="CV244" s="50" t="n"/>
      <c r="CW244" s="50" t="n"/>
      <c r="CX244" s="50" t="n"/>
      <c r="CY244" s="50" t="n"/>
      <c r="CZ244" s="50" t="n"/>
      <c r="DA244" s="50" t="n"/>
      <c r="DB244" s="50" t="n"/>
      <c r="DC244" s="50" t="n"/>
      <c r="DD244" s="50" t="n"/>
      <c r="DE244" s="50" t="n"/>
      <c r="DF244" s="50" t="n"/>
      <c r="DG244" s="50" t="n"/>
      <c r="DH244" s="50" t="n"/>
      <c r="DI244" s="50" t="n"/>
      <c r="DJ244" s="50" t="n"/>
      <c r="DK244" s="50" t="n"/>
      <c r="DL244" s="50" t="n"/>
      <c r="DM244" s="50" t="n"/>
      <c r="DN244" s="50" t="n"/>
      <c r="DO244" s="50" t="n"/>
      <c r="DP244" s="50" t="n"/>
      <c r="DQ244" s="50" t="n"/>
      <c r="DR244" s="50" t="n"/>
      <c r="DS244" s="50" t="n"/>
      <c r="DT244" s="50" t="n"/>
      <c r="DU244" s="50" t="n"/>
      <c r="DV244" s="50" t="n"/>
    </row>
    <row r="245">
      <c r="A245" s="47">
        <f>IF(Mitarbeiter!B245="","",Mitarbeiter!A245)</f>
        <v/>
      </c>
      <c r="B245" s="48">
        <f>IF(Mitarbeiter!B245="","",Mitarbeiter!B245)</f>
        <v/>
      </c>
      <c r="C245" s="49">
        <f>IF(Mitarbeiter!B245="","",Mitarbeiter!F245)</f>
        <v/>
      </c>
      <c r="D245" s="25">
        <f>IF(Mitarbeiter!B245="","",Berechnung!AD245)</f>
        <v/>
      </c>
      <c r="E245" s="25">
        <f>IF(Mitarbeiter!B245="","",SUM(G245:DV245))</f>
        <v/>
      </c>
      <c r="G245" s="50" t="n"/>
      <c r="H245" s="50" t="n"/>
      <c r="I245" s="50" t="n"/>
      <c r="J245" s="50" t="n"/>
      <c r="K245" s="50" t="n"/>
      <c r="L245" s="50" t="n"/>
      <c r="M245" s="50" t="n"/>
      <c r="N245" s="50" t="n"/>
      <c r="O245" s="50" t="n"/>
      <c r="P245" s="50" t="n"/>
      <c r="Q245" s="50" t="n"/>
      <c r="R245" s="50" t="n"/>
      <c r="S245" s="50" t="n"/>
      <c r="T245" s="50" t="n"/>
      <c r="U245" s="50" t="n"/>
      <c r="V245" s="50" t="n"/>
      <c r="W245" s="50" t="n"/>
      <c r="X245" s="50" t="n"/>
      <c r="Y245" s="50" t="n"/>
      <c r="Z245" s="50" t="n"/>
      <c r="AA245" s="50" t="n"/>
      <c r="AB245" s="50" t="n"/>
      <c r="AC245" s="50" t="n"/>
      <c r="AD245" s="50" t="n"/>
      <c r="AE245" s="50" t="n"/>
      <c r="AF245" s="50" t="n"/>
      <c r="AG245" s="50" t="n"/>
      <c r="AH245" s="50" t="n"/>
      <c r="AI245" s="50" t="n"/>
      <c r="AJ245" s="50" t="n"/>
      <c r="AK245" s="50" t="n"/>
      <c r="AL245" s="50" t="n"/>
      <c r="AM245" s="50" t="n"/>
      <c r="AN245" s="50" t="n"/>
      <c r="AO245" s="50" t="n"/>
      <c r="AP245" s="50" t="n"/>
      <c r="AQ245" s="50" t="n"/>
      <c r="AR245" s="50" t="n"/>
      <c r="AS245" s="50" t="n"/>
      <c r="AT245" s="50" t="n"/>
      <c r="AU245" s="50" t="n"/>
      <c r="AV245" s="50" t="n"/>
      <c r="AW245" s="50" t="n"/>
      <c r="AX245" s="50" t="n"/>
      <c r="AY245" s="50" t="n"/>
      <c r="AZ245" s="50" t="n"/>
      <c r="BA245" s="50" t="n"/>
      <c r="BB245" s="50" t="n"/>
      <c r="BC245" s="50" t="n"/>
      <c r="BD245" s="50" t="n"/>
      <c r="BE245" s="50" t="n"/>
      <c r="BF245" s="50" t="n"/>
      <c r="BG245" s="50" t="n"/>
      <c r="BH245" s="50" t="n"/>
      <c r="BI245" s="50" t="n"/>
      <c r="BJ245" s="50" t="n"/>
      <c r="BK245" s="50" t="n"/>
      <c r="BL245" s="50" t="n"/>
      <c r="BM245" s="50" t="n"/>
      <c r="BN245" s="50" t="n"/>
      <c r="BO245" s="50" t="n"/>
      <c r="BP245" s="50" t="n"/>
      <c r="BQ245" s="50" t="n"/>
      <c r="BR245" s="50" t="n"/>
      <c r="BS245" s="50" t="n"/>
      <c r="BT245" s="50" t="n"/>
      <c r="BU245" s="50" t="n"/>
      <c r="BV245" s="50" t="n"/>
      <c r="BW245" s="50" t="n"/>
      <c r="BX245" s="50" t="n"/>
      <c r="BY245" s="50" t="n"/>
      <c r="BZ245" s="50" t="n"/>
      <c r="CA245" s="50" t="n"/>
      <c r="CB245" s="50" t="n"/>
      <c r="CC245" s="50" t="n"/>
      <c r="CD245" s="50" t="n"/>
      <c r="CE245" s="50" t="n"/>
      <c r="CF245" s="50" t="n"/>
      <c r="CG245" s="50" t="n"/>
      <c r="CH245" s="50" t="n"/>
      <c r="CI245" s="50" t="n"/>
      <c r="CJ245" s="50" t="n"/>
      <c r="CK245" s="50" t="n"/>
      <c r="CL245" s="50" t="n"/>
      <c r="CM245" s="50" t="n"/>
      <c r="CN245" s="50" t="n"/>
      <c r="CO245" s="50" t="n"/>
      <c r="CP245" s="50" t="n"/>
      <c r="CQ245" s="50" t="n"/>
      <c r="CR245" s="50" t="n"/>
      <c r="CS245" s="50" t="n"/>
      <c r="CT245" s="50" t="n"/>
      <c r="CU245" s="50" t="n"/>
      <c r="CV245" s="50" t="n"/>
      <c r="CW245" s="50" t="n"/>
      <c r="CX245" s="50" t="n"/>
      <c r="CY245" s="50" t="n"/>
      <c r="CZ245" s="50" t="n"/>
      <c r="DA245" s="50" t="n"/>
      <c r="DB245" s="50" t="n"/>
      <c r="DC245" s="50" t="n"/>
      <c r="DD245" s="50" t="n"/>
      <c r="DE245" s="50" t="n"/>
      <c r="DF245" s="50" t="n"/>
      <c r="DG245" s="50" t="n"/>
      <c r="DH245" s="50" t="n"/>
      <c r="DI245" s="50" t="n"/>
      <c r="DJ245" s="50" t="n"/>
      <c r="DK245" s="50" t="n"/>
      <c r="DL245" s="50" t="n"/>
      <c r="DM245" s="50" t="n"/>
      <c r="DN245" s="50" t="n"/>
      <c r="DO245" s="50" t="n"/>
      <c r="DP245" s="50" t="n"/>
      <c r="DQ245" s="50" t="n"/>
      <c r="DR245" s="50" t="n"/>
      <c r="DS245" s="50" t="n"/>
      <c r="DT245" s="50" t="n"/>
      <c r="DU245" s="50" t="n"/>
      <c r="DV245" s="50" t="n"/>
    </row>
    <row r="246">
      <c r="A246" s="47">
        <f>IF(Mitarbeiter!B246="","",Mitarbeiter!A246)</f>
        <v/>
      </c>
      <c r="B246" s="48">
        <f>IF(Mitarbeiter!B246="","",Mitarbeiter!B246)</f>
        <v/>
      </c>
      <c r="C246" s="49">
        <f>IF(Mitarbeiter!B246="","",Mitarbeiter!F246)</f>
        <v/>
      </c>
      <c r="D246" s="25">
        <f>IF(Mitarbeiter!B246="","",Berechnung!AD246)</f>
        <v/>
      </c>
      <c r="E246" s="25">
        <f>IF(Mitarbeiter!B246="","",SUM(G246:DV246))</f>
        <v/>
      </c>
      <c r="G246" s="50" t="n"/>
      <c r="H246" s="50" t="n"/>
      <c r="I246" s="50" t="n"/>
      <c r="J246" s="50" t="n"/>
      <c r="K246" s="50" t="n"/>
      <c r="L246" s="50" t="n"/>
      <c r="M246" s="50" t="n"/>
      <c r="N246" s="50" t="n"/>
      <c r="O246" s="50" t="n"/>
      <c r="P246" s="50" t="n"/>
      <c r="Q246" s="50" t="n"/>
      <c r="R246" s="50" t="n"/>
      <c r="S246" s="50" t="n"/>
      <c r="T246" s="50" t="n"/>
      <c r="U246" s="50" t="n"/>
      <c r="V246" s="50" t="n"/>
      <c r="W246" s="50" t="n"/>
      <c r="X246" s="50" t="n"/>
      <c r="Y246" s="50" t="n"/>
      <c r="Z246" s="50" t="n"/>
      <c r="AA246" s="50" t="n"/>
      <c r="AB246" s="50" t="n"/>
      <c r="AC246" s="50" t="n"/>
      <c r="AD246" s="50" t="n"/>
      <c r="AE246" s="50" t="n"/>
      <c r="AF246" s="50" t="n"/>
      <c r="AG246" s="50" t="n"/>
      <c r="AH246" s="50" t="n"/>
      <c r="AI246" s="50" t="n"/>
      <c r="AJ246" s="50" t="n"/>
      <c r="AK246" s="50" t="n"/>
      <c r="AL246" s="50" t="n"/>
      <c r="AM246" s="50" t="n"/>
      <c r="AN246" s="50" t="n"/>
      <c r="AO246" s="50" t="n"/>
      <c r="AP246" s="50" t="n"/>
      <c r="AQ246" s="50" t="n"/>
      <c r="AR246" s="50" t="n"/>
      <c r="AS246" s="50" t="n"/>
      <c r="AT246" s="50" t="n"/>
      <c r="AU246" s="50" t="n"/>
      <c r="AV246" s="50" t="n"/>
      <c r="AW246" s="50" t="n"/>
      <c r="AX246" s="50" t="n"/>
      <c r="AY246" s="50" t="n"/>
      <c r="AZ246" s="50" t="n"/>
      <c r="BA246" s="50" t="n"/>
      <c r="BB246" s="50" t="n"/>
      <c r="BC246" s="50" t="n"/>
      <c r="BD246" s="50" t="n"/>
      <c r="BE246" s="50" t="n"/>
      <c r="BF246" s="50" t="n"/>
      <c r="BG246" s="50" t="n"/>
      <c r="BH246" s="50" t="n"/>
      <c r="BI246" s="50" t="n"/>
      <c r="BJ246" s="50" t="n"/>
      <c r="BK246" s="50" t="n"/>
      <c r="BL246" s="50" t="n"/>
      <c r="BM246" s="50" t="n"/>
      <c r="BN246" s="50" t="n"/>
      <c r="BO246" s="50" t="n"/>
      <c r="BP246" s="50" t="n"/>
      <c r="BQ246" s="50" t="n"/>
      <c r="BR246" s="50" t="n"/>
      <c r="BS246" s="50" t="n"/>
      <c r="BT246" s="50" t="n"/>
      <c r="BU246" s="50" t="n"/>
      <c r="BV246" s="50" t="n"/>
      <c r="BW246" s="50" t="n"/>
      <c r="BX246" s="50" t="n"/>
      <c r="BY246" s="50" t="n"/>
      <c r="BZ246" s="50" t="n"/>
      <c r="CA246" s="50" t="n"/>
      <c r="CB246" s="50" t="n"/>
      <c r="CC246" s="50" t="n"/>
      <c r="CD246" s="50" t="n"/>
      <c r="CE246" s="50" t="n"/>
      <c r="CF246" s="50" t="n"/>
      <c r="CG246" s="50" t="n"/>
      <c r="CH246" s="50" t="n"/>
      <c r="CI246" s="50" t="n"/>
      <c r="CJ246" s="50" t="n"/>
      <c r="CK246" s="50" t="n"/>
      <c r="CL246" s="50" t="n"/>
      <c r="CM246" s="50" t="n"/>
      <c r="CN246" s="50" t="n"/>
      <c r="CO246" s="50" t="n"/>
      <c r="CP246" s="50" t="n"/>
      <c r="CQ246" s="50" t="n"/>
      <c r="CR246" s="50" t="n"/>
      <c r="CS246" s="50" t="n"/>
      <c r="CT246" s="50" t="n"/>
      <c r="CU246" s="50" t="n"/>
      <c r="CV246" s="50" t="n"/>
      <c r="CW246" s="50" t="n"/>
      <c r="CX246" s="50" t="n"/>
      <c r="CY246" s="50" t="n"/>
      <c r="CZ246" s="50" t="n"/>
      <c r="DA246" s="50" t="n"/>
      <c r="DB246" s="50" t="n"/>
      <c r="DC246" s="50" t="n"/>
      <c r="DD246" s="50" t="n"/>
      <c r="DE246" s="50" t="n"/>
      <c r="DF246" s="50" t="n"/>
      <c r="DG246" s="50" t="n"/>
      <c r="DH246" s="50" t="n"/>
      <c r="DI246" s="50" t="n"/>
      <c r="DJ246" s="50" t="n"/>
      <c r="DK246" s="50" t="n"/>
      <c r="DL246" s="50" t="n"/>
      <c r="DM246" s="50" t="n"/>
      <c r="DN246" s="50" t="n"/>
      <c r="DO246" s="50" t="n"/>
      <c r="DP246" s="50" t="n"/>
      <c r="DQ246" s="50" t="n"/>
      <c r="DR246" s="50" t="n"/>
      <c r="DS246" s="50" t="n"/>
      <c r="DT246" s="50" t="n"/>
      <c r="DU246" s="50" t="n"/>
      <c r="DV246" s="50" t="n"/>
    </row>
    <row r="247">
      <c r="A247" s="47">
        <f>IF(Mitarbeiter!B247="","",Mitarbeiter!A247)</f>
        <v/>
      </c>
      <c r="B247" s="48">
        <f>IF(Mitarbeiter!B247="","",Mitarbeiter!B247)</f>
        <v/>
      </c>
      <c r="C247" s="49">
        <f>IF(Mitarbeiter!B247="","",Mitarbeiter!F247)</f>
        <v/>
      </c>
      <c r="D247" s="25">
        <f>IF(Mitarbeiter!B247="","",Berechnung!AD247)</f>
        <v/>
      </c>
      <c r="E247" s="25">
        <f>IF(Mitarbeiter!B247="","",SUM(G247:DV247))</f>
        <v/>
      </c>
      <c r="G247" s="50" t="n"/>
      <c r="H247" s="50" t="n"/>
      <c r="I247" s="50" t="n"/>
      <c r="J247" s="50" t="n"/>
      <c r="K247" s="50" t="n"/>
      <c r="L247" s="50" t="n"/>
      <c r="M247" s="50" t="n"/>
      <c r="N247" s="50" t="n"/>
      <c r="O247" s="50" t="n"/>
      <c r="P247" s="50" t="n"/>
      <c r="Q247" s="50" t="n"/>
      <c r="R247" s="50" t="n"/>
      <c r="S247" s="50" t="n"/>
      <c r="T247" s="50" t="n"/>
      <c r="U247" s="50" t="n"/>
      <c r="V247" s="50" t="n"/>
      <c r="W247" s="50" t="n"/>
      <c r="X247" s="50" t="n"/>
      <c r="Y247" s="50" t="n"/>
      <c r="Z247" s="50" t="n"/>
      <c r="AA247" s="50" t="n"/>
      <c r="AB247" s="50" t="n"/>
      <c r="AC247" s="50" t="n"/>
      <c r="AD247" s="50" t="n"/>
      <c r="AE247" s="50" t="n"/>
      <c r="AF247" s="50" t="n"/>
      <c r="AG247" s="50" t="n"/>
      <c r="AH247" s="50" t="n"/>
      <c r="AI247" s="50" t="n"/>
      <c r="AJ247" s="50" t="n"/>
      <c r="AK247" s="50" t="n"/>
      <c r="AL247" s="50" t="n"/>
      <c r="AM247" s="50" t="n"/>
      <c r="AN247" s="50" t="n"/>
      <c r="AO247" s="50" t="n"/>
      <c r="AP247" s="50" t="n"/>
      <c r="AQ247" s="50" t="n"/>
      <c r="AR247" s="50" t="n"/>
      <c r="AS247" s="50" t="n"/>
      <c r="AT247" s="50" t="n"/>
      <c r="AU247" s="50" t="n"/>
      <c r="AV247" s="50" t="n"/>
      <c r="AW247" s="50" t="n"/>
      <c r="AX247" s="50" t="n"/>
      <c r="AY247" s="50" t="n"/>
      <c r="AZ247" s="50" t="n"/>
      <c r="BA247" s="50" t="n"/>
      <c r="BB247" s="50" t="n"/>
      <c r="BC247" s="50" t="n"/>
      <c r="BD247" s="50" t="n"/>
      <c r="BE247" s="50" t="n"/>
      <c r="BF247" s="50" t="n"/>
      <c r="BG247" s="50" t="n"/>
      <c r="BH247" s="50" t="n"/>
      <c r="BI247" s="50" t="n"/>
      <c r="BJ247" s="50" t="n"/>
      <c r="BK247" s="50" t="n"/>
      <c r="BL247" s="50" t="n"/>
      <c r="BM247" s="50" t="n"/>
      <c r="BN247" s="50" t="n"/>
      <c r="BO247" s="50" t="n"/>
      <c r="BP247" s="50" t="n"/>
      <c r="BQ247" s="50" t="n"/>
      <c r="BR247" s="50" t="n"/>
      <c r="BS247" s="50" t="n"/>
      <c r="BT247" s="50" t="n"/>
      <c r="BU247" s="50" t="n"/>
      <c r="BV247" s="50" t="n"/>
      <c r="BW247" s="50" t="n"/>
      <c r="BX247" s="50" t="n"/>
      <c r="BY247" s="50" t="n"/>
      <c r="BZ247" s="50" t="n"/>
      <c r="CA247" s="50" t="n"/>
      <c r="CB247" s="50" t="n"/>
      <c r="CC247" s="50" t="n"/>
      <c r="CD247" s="50" t="n"/>
      <c r="CE247" s="50" t="n"/>
      <c r="CF247" s="50" t="n"/>
      <c r="CG247" s="50" t="n"/>
      <c r="CH247" s="50" t="n"/>
      <c r="CI247" s="50" t="n"/>
      <c r="CJ247" s="50" t="n"/>
      <c r="CK247" s="50" t="n"/>
      <c r="CL247" s="50" t="n"/>
      <c r="CM247" s="50" t="n"/>
      <c r="CN247" s="50" t="n"/>
      <c r="CO247" s="50" t="n"/>
      <c r="CP247" s="50" t="n"/>
      <c r="CQ247" s="50" t="n"/>
      <c r="CR247" s="50" t="n"/>
      <c r="CS247" s="50" t="n"/>
      <c r="CT247" s="50" t="n"/>
      <c r="CU247" s="50" t="n"/>
      <c r="CV247" s="50" t="n"/>
      <c r="CW247" s="50" t="n"/>
      <c r="CX247" s="50" t="n"/>
      <c r="CY247" s="50" t="n"/>
      <c r="CZ247" s="50" t="n"/>
      <c r="DA247" s="50" t="n"/>
      <c r="DB247" s="50" t="n"/>
      <c r="DC247" s="50" t="n"/>
      <c r="DD247" s="50" t="n"/>
      <c r="DE247" s="50" t="n"/>
      <c r="DF247" s="50" t="n"/>
      <c r="DG247" s="50" t="n"/>
      <c r="DH247" s="50" t="n"/>
      <c r="DI247" s="50" t="n"/>
      <c r="DJ247" s="50" t="n"/>
      <c r="DK247" s="50" t="n"/>
      <c r="DL247" s="50" t="n"/>
      <c r="DM247" s="50" t="n"/>
      <c r="DN247" s="50" t="n"/>
      <c r="DO247" s="50" t="n"/>
      <c r="DP247" s="50" t="n"/>
      <c r="DQ247" s="50" t="n"/>
      <c r="DR247" s="50" t="n"/>
      <c r="DS247" s="50" t="n"/>
      <c r="DT247" s="50" t="n"/>
      <c r="DU247" s="50" t="n"/>
      <c r="DV247" s="50" t="n"/>
    </row>
    <row r="248">
      <c r="A248" s="47">
        <f>IF(Mitarbeiter!B248="","",Mitarbeiter!A248)</f>
        <v/>
      </c>
      <c r="B248" s="48">
        <f>IF(Mitarbeiter!B248="","",Mitarbeiter!B248)</f>
        <v/>
      </c>
      <c r="C248" s="49">
        <f>IF(Mitarbeiter!B248="","",Mitarbeiter!F248)</f>
        <v/>
      </c>
      <c r="D248" s="25">
        <f>IF(Mitarbeiter!B248="","",Berechnung!AD248)</f>
        <v/>
      </c>
      <c r="E248" s="25">
        <f>IF(Mitarbeiter!B248="","",SUM(G248:DV248))</f>
        <v/>
      </c>
      <c r="G248" s="50" t="n"/>
      <c r="H248" s="50" t="n"/>
      <c r="I248" s="50" t="n"/>
      <c r="J248" s="50" t="n"/>
      <c r="K248" s="50" t="n"/>
      <c r="L248" s="50" t="n"/>
      <c r="M248" s="50" t="n"/>
      <c r="N248" s="50" t="n"/>
      <c r="O248" s="50" t="n"/>
      <c r="P248" s="50" t="n"/>
      <c r="Q248" s="50" t="n"/>
      <c r="R248" s="50" t="n"/>
      <c r="S248" s="50" t="n"/>
      <c r="T248" s="50" t="n"/>
      <c r="U248" s="50" t="n"/>
      <c r="V248" s="50" t="n"/>
      <c r="W248" s="50" t="n"/>
      <c r="X248" s="50" t="n"/>
      <c r="Y248" s="50" t="n"/>
      <c r="Z248" s="50" t="n"/>
      <c r="AA248" s="50" t="n"/>
      <c r="AB248" s="50" t="n"/>
      <c r="AC248" s="50" t="n"/>
      <c r="AD248" s="50" t="n"/>
      <c r="AE248" s="50" t="n"/>
      <c r="AF248" s="50" t="n"/>
      <c r="AG248" s="50" t="n"/>
      <c r="AH248" s="50" t="n"/>
      <c r="AI248" s="50" t="n"/>
      <c r="AJ248" s="50" t="n"/>
      <c r="AK248" s="50" t="n"/>
      <c r="AL248" s="50" t="n"/>
      <c r="AM248" s="50" t="n"/>
      <c r="AN248" s="50" t="n"/>
      <c r="AO248" s="50" t="n"/>
      <c r="AP248" s="50" t="n"/>
      <c r="AQ248" s="50" t="n"/>
      <c r="AR248" s="50" t="n"/>
      <c r="AS248" s="50" t="n"/>
      <c r="AT248" s="50" t="n"/>
      <c r="AU248" s="50" t="n"/>
      <c r="AV248" s="50" t="n"/>
      <c r="AW248" s="50" t="n"/>
      <c r="AX248" s="50" t="n"/>
      <c r="AY248" s="50" t="n"/>
      <c r="AZ248" s="50" t="n"/>
      <c r="BA248" s="50" t="n"/>
      <c r="BB248" s="50" t="n"/>
      <c r="BC248" s="50" t="n"/>
      <c r="BD248" s="50" t="n"/>
      <c r="BE248" s="50" t="n"/>
      <c r="BF248" s="50" t="n"/>
      <c r="BG248" s="50" t="n"/>
      <c r="BH248" s="50" t="n"/>
      <c r="BI248" s="50" t="n"/>
      <c r="BJ248" s="50" t="n"/>
      <c r="BK248" s="50" t="n"/>
      <c r="BL248" s="50" t="n"/>
      <c r="BM248" s="50" t="n"/>
      <c r="BN248" s="50" t="n"/>
      <c r="BO248" s="50" t="n"/>
      <c r="BP248" s="50" t="n"/>
      <c r="BQ248" s="50" t="n"/>
      <c r="BR248" s="50" t="n"/>
      <c r="BS248" s="50" t="n"/>
      <c r="BT248" s="50" t="n"/>
      <c r="BU248" s="50" t="n"/>
      <c r="BV248" s="50" t="n"/>
      <c r="BW248" s="50" t="n"/>
      <c r="BX248" s="50" t="n"/>
      <c r="BY248" s="50" t="n"/>
      <c r="BZ248" s="50" t="n"/>
      <c r="CA248" s="50" t="n"/>
      <c r="CB248" s="50" t="n"/>
      <c r="CC248" s="50" t="n"/>
      <c r="CD248" s="50" t="n"/>
      <c r="CE248" s="50" t="n"/>
      <c r="CF248" s="50" t="n"/>
      <c r="CG248" s="50" t="n"/>
      <c r="CH248" s="50" t="n"/>
      <c r="CI248" s="50" t="n"/>
      <c r="CJ248" s="50" t="n"/>
      <c r="CK248" s="50" t="n"/>
      <c r="CL248" s="50" t="n"/>
      <c r="CM248" s="50" t="n"/>
      <c r="CN248" s="50" t="n"/>
      <c r="CO248" s="50" t="n"/>
      <c r="CP248" s="50" t="n"/>
      <c r="CQ248" s="50" t="n"/>
      <c r="CR248" s="50" t="n"/>
      <c r="CS248" s="50" t="n"/>
      <c r="CT248" s="50" t="n"/>
      <c r="CU248" s="50" t="n"/>
      <c r="CV248" s="50" t="n"/>
      <c r="CW248" s="50" t="n"/>
      <c r="CX248" s="50" t="n"/>
      <c r="CY248" s="50" t="n"/>
      <c r="CZ248" s="50" t="n"/>
      <c r="DA248" s="50" t="n"/>
      <c r="DB248" s="50" t="n"/>
      <c r="DC248" s="50" t="n"/>
      <c r="DD248" s="50" t="n"/>
      <c r="DE248" s="50" t="n"/>
      <c r="DF248" s="50" t="n"/>
      <c r="DG248" s="50" t="n"/>
      <c r="DH248" s="50" t="n"/>
      <c r="DI248" s="50" t="n"/>
      <c r="DJ248" s="50" t="n"/>
      <c r="DK248" s="50" t="n"/>
      <c r="DL248" s="50" t="n"/>
      <c r="DM248" s="50" t="n"/>
      <c r="DN248" s="50" t="n"/>
      <c r="DO248" s="50" t="n"/>
      <c r="DP248" s="50" t="n"/>
      <c r="DQ248" s="50" t="n"/>
      <c r="DR248" s="50" t="n"/>
      <c r="DS248" s="50" t="n"/>
      <c r="DT248" s="50" t="n"/>
      <c r="DU248" s="50" t="n"/>
      <c r="DV248" s="50" t="n"/>
    </row>
    <row r="249">
      <c r="A249" s="47">
        <f>IF(Mitarbeiter!B249="","",Mitarbeiter!A249)</f>
        <v/>
      </c>
      <c r="B249" s="48">
        <f>IF(Mitarbeiter!B249="","",Mitarbeiter!B249)</f>
        <v/>
      </c>
      <c r="C249" s="49">
        <f>IF(Mitarbeiter!B249="","",Mitarbeiter!F249)</f>
        <v/>
      </c>
      <c r="D249" s="25">
        <f>IF(Mitarbeiter!B249="","",Berechnung!AD249)</f>
        <v/>
      </c>
      <c r="E249" s="25">
        <f>IF(Mitarbeiter!B249="","",SUM(G249:DV249))</f>
        <v/>
      </c>
      <c r="G249" s="50" t="n"/>
      <c r="H249" s="50" t="n"/>
      <c r="I249" s="50" t="n"/>
      <c r="J249" s="50" t="n"/>
      <c r="K249" s="50" t="n"/>
      <c r="L249" s="50" t="n"/>
      <c r="M249" s="50" t="n"/>
      <c r="N249" s="50" t="n"/>
      <c r="O249" s="50" t="n"/>
      <c r="P249" s="50" t="n"/>
      <c r="Q249" s="50" t="n"/>
      <c r="R249" s="50" t="n"/>
      <c r="S249" s="50" t="n"/>
      <c r="T249" s="50" t="n"/>
      <c r="U249" s="50" t="n"/>
      <c r="V249" s="50" t="n"/>
      <c r="W249" s="50" t="n"/>
      <c r="X249" s="50" t="n"/>
      <c r="Y249" s="50" t="n"/>
      <c r="Z249" s="50" t="n"/>
      <c r="AA249" s="50" t="n"/>
      <c r="AB249" s="50" t="n"/>
      <c r="AC249" s="50" t="n"/>
      <c r="AD249" s="50" t="n"/>
      <c r="AE249" s="50" t="n"/>
      <c r="AF249" s="50" t="n"/>
      <c r="AG249" s="50" t="n"/>
      <c r="AH249" s="50" t="n"/>
      <c r="AI249" s="50" t="n"/>
      <c r="AJ249" s="50" t="n"/>
      <c r="AK249" s="50" t="n"/>
      <c r="AL249" s="50" t="n"/>
      <c r="AM249" s="50" t="n"/>
      <c r="AN249" s="50" t="n"/>
      <c r="AO249" s="50" t="n"/>
      <c r="AP249" s="50" t="n"/>
      <c r="AQ249" s="50" t="n"/>
      <c r="AR249" s="50" t="n"/>
      <c r="AS249" s="50" t="n"/>
      <c r="AT249" s="50" t="n"/>
      <c r="AU249" s="50" t="n"/>
      <c r="AV249" s="50" t="n"/>
      <c r="AW249" s="50" t="n"/>
      <c r="AX249" s="50" t="n"/>
      <c r="AY249" s="50" t="n"/>
      <c r="AZ249" s="50" t="n"/>
      <c r="BA249" s="50" t="n"/>
      <c r="BB249" s="50" t="n"/>
      <c r="BC249" s="50" t="n"/>
      <c r="BD249" s="50" t="n"/>
      <c r="BE249" s="50" t="n"/>
      <c r="BF249" s="50" t="n"/>
      <c r="BG249" s="50" t="n"/>
      <c r="BH249" s="50" t="n"/>
      <c r="BI249" s="50" t="n"/>
      <c r="BJ249" s="50" t="n"/>
      <c r="BK249" s="50" t="n"/>
      <c r="BL249" s="50" t="n"/>
      <c r="BM249" s="50" t="n"/>
      <c r="BN249" s="50" t="n"/>
      <c r="BO249" s="50" t="n"/>
      <c r="BP249" s="50" t="n"/>
      <c r="BQ249" s="50" t="n"/>
      <c r="BR249" s="50" t="n"/>
      <c r="BS249" s="50" t="n"/>
      <c r="BT249" s="50" t="n"/>
      <c r="BU249" s="50" t="n"/>
      <c r="BV249" s="50" t="n"/>
      <c r="BW249" s="50" t="n"/>
      <c r="BX249" s="50" t="n"/>
      <c r="BY249" s="50" t="n"/>
      <c r="BZ249" s="50" t="n"/>
      <c r="CA249" s="50" t="n"/>
      <c r="CB249" s="50" t="n"/>
      <c r="CC249" s="50" t="n"/>
      <c r="CD249" s="50" t="n"/>
      <c r="CE249" s="50" t="n"/>
      <c r="CF249" s="50" t="n"/>
      <c r="CG249" s="50" t="n"/>
      <c r="CH249" s="50" t="n"/>
      <c r="CI249" s="50" t="n"/>
      <c r="CJ249" s="50" t="n"/>
      <c r="CK249" s="50" t="n"/>
      <c r="CL249" s="50" t="n"/>
      <c r="CM249" s="50" t="n"/>
      <c r="CN249" s="50" t="n"/>
      <c r="CO249" s="50" t="n"/>
      <c r="CP249" s="50" t="n"/>
      <c r="CQ249" s="50" t="n"/>
      <c r="CR249" s="50" t="n"/>
      <c r="CS249" s="50" t="n"/>
      <c r="CT249" s="50" t="n"/>
      <c r="CU249" s="50" t="n"/>
      <c r="CV249" s="50" t="n"/>
      <c r="CW249" s="50" t="n"/>
      <c r="CX249" s="50" t="n"/>
      <c r="CY249" s="50" t="n"/>
      <c r="CZ249" s="50" t="n"/>
      <c r="DA249" s="50" t="n"/>
      <c r="DB249" s="50" t="n"/>
      <c r="DC249" s="50" t="n"/>
      <c r="DD249" s="50" t="n"/>
      <c r="DE249" s="50" t="n"/>
      <c r="DF249" s="50" t="n"/>
      <c r="DG249" s="50" t="n"/>
      <c r="DH249" s="50" t="n"/>
      <c r="DI249" s="50" t="n"/>
      <c r="DJ249" s="50" t="n"/>
      <c r="DK249" s="50" t="n"/>
      <c r="DL249" s="50" t="n"/>
      <c r="DM249" s="50" t="n"/>
      <c r="DN249" s="50" t="n"/>
      <c r="DO249" s="50" t="n"/>
      <c r="DP249" s="50" t="n"/>
      <c r="DQ249" s="50" t="n"/>
      <c r="DR249" s="50" t="n"/>
      <c r="DS249" s="50" t="n"/>
      <c r="DT249" s="50" t="n"/>
      <c r="DU249" s="50" t="n"/>
      <c r="DV249" s="50" t="n"/>
    </row>
    <row r="250">
      <c r="A250" s="47">
        <f>IF(Mitarbeiter!B250="","",Mitarbeiter!A250)</f>
        <v/>
      </c>
      <c r="B250" s="48">
        <f>IF(Mitarbeiter!B250="","",Mitarbeiter!B250)</f>
        <v/>
      </c>
      <c r="C250" s="49">
        <f>IF(Mitarbeiter!B250="","",Mitarbeiter!F250)</f>
        <v/>
      </c>
      <c r="D250" s="25">
        <f>IF(Mitarbeiter!B250="","",Berechnung!AD250)</f>
        <v/>
      </c>
      <c r="E250" s="25">
        <f>IF(Mitarbeiter!B250="","",SUM(G250:DV250))</f>
        <v/>
      </c>
      <c r="G250" s="50" t="n"/>
      <c r="H250" s="50" t="n"/>
      <c r="I250" s="50" t="n"/>
      <c r="J250" s="50" t="n"/>
      <c r="K250" s="50" t="n"/>
      <c r="L250" s="50" t="n"/>
      <c r="M250" s="50" t="n"/>
      <c r="N250" s="50" t="n"/>
      <c r="O250" s="50" t="n"/>
      <c r="P250" s="50" t="n"/>
      <c r="Q250" s="50" t="n"/>
      <c r="R250" s="50" t="n"/>
      <c r="S250" s="50" t="n"/>
      <c r="T250" s="50" t="n"/>
      <c r="U250" s="50" t="n"/>
      <c r="V250" s="50" t="n"/>
      <c r="W250" s="50" t="n"/>
      <c r="X250" s="50" t="n"/>
      <c r="Y250" s="50" t="n"/>
      <c r="Z250" s="50" t="n"/>
      <c r="AA250" s="50" t="n"/>
      <c r="AB250" s="50" t="n"/>
      <c r="AC250" s="50" t="n"/>
      <c r="AD250" s="50" t="n"/>
      <c r="AE250" s="50" t="n"/>
      <c r="AF250" s="50" t="n"/>
      <c r="AG250" s="50" t="n"/>
      <c r="AH250" s="50" t="n"/>
      <c r="AI250" s="50" t="n"/>
      <c r="AJ250" s="50" t="n"/>
      <c r="AK250" s="50" t="n"/>
      <c r="AL250" s="50" t="n"/>
      <c r="AM250" s="50" t="n"/>
      <c r="AN250" s="50" t="n"/>
      <c r="AO250" s="50" t="n"/>
      <c r="AP250" s="50" t="n"/>
      <c r="AQ250" s="50" t="n"/>
      <c r="AR250" s="50" t="n"/>
      <c r="AS250" s="50" t="n"/>
      <c r="AT250" s="50" t="n"/>
      <c r="AU250" s="50" t="n"/>
      <c r="AV250" s="50" t="n"/>
      <c r="AW250" s="50" t="n"/>
      <c r="AX250" s="50" t="n"/>
      <c r="AY250" s="50" t="n"/>
      <c r="AZ250" s="50" t="n"/>
      <c r="BA250" s="50" t="n"/>
      <c r="BB250" s="50" t="n"/>
      <c r="BC250" s="50" t="n"/>
      <c r="BD250" s="50" t="n"/>
      <c r="BE250" s="50" t="n"/>
      <c r="BF250" s="50" t="n"/>
      <c r="BG250" s="50" t="n"/>
      <c r="BH250" s="50" t="n"/>
      <c r="BI250" s="50" t="n"/>
      <c r="BJ250" s="50" t="n"/>
      <c r="BK250" s="50" t="n"/>
      <c r="BL250" s="50" t="n"/>
      <c r="BM250" s="50" t="n"/>
      <c r="BN250" s="50" t="n"/>
      <c r="BO250" s="50" t="n"/>
      <c r="BP250" s="50" t="n"/>
      <c r="BQ250" s="50" t="n"/>
      <c r="BR250" s="50" t="n"/>
      <c r="BS250" s="50" t="n"/>
      <c r="BT250" s="50" t="n"/>
      <c r="BU250" s="50" t="n"/>
      <c r="BV250" s="50" t="n"/>
      <c r="BW250" s="50" t="n"/>
      <c r="BX250" s="50" t="n"/>
      <c r="BY250" s="50" t="n"/>
      <c r="BZ250" s="50" t="n"/>
      <c r="CA250" s="50" t="n"/>
      <c r="CB250" s="50" t="n"/>
      <c r="CC250" s="50" t="n"/>
      <c r="CD250" s="50" t="n"/>
      <c r="CE250" s="50" t="n"/>
      <c r="CF250" s="50" t="n"/>
      <c r="CG250" s="50" t="n"/>
      <c r="CH250" s="50" t="n"/>
      <c r="CI250" s="50" t="n"/>
      <c r="CJ250" s="50" t="n"/>
      <c r="CK250" s="50" t="n"/>
      <c r="CL250" s="50" t="n"/>
      <c r="CM250" s="50" t="n"/>
      <c r="CN250" s="50" t="n"/>
      <c r="CO250" s="50" t="n"/>
      <c r="CP250" s="50" t="n"/>
      <c r="CQ250" s="50" t="n"/>
      <c r="CR250" s="50" t="n"/>
      <c r="CS250" s="50" t="n"/>
      <c r="CT250" s="50" t="n"/>
      <c r="CU250" s="50" t="n"/>
      <c r="CV250" s="50" t="n"/>
      <c r="CW250" s="50" t="n"/>
      <c r="CX250" s="50" t="n"/>
      <c r="CY250" s="50" t="n"/>
      <c r="CZ250" s="50" t="n"/>
      <c r="DA250" s="50" t="n"/>
      <c r="DB250" s="50" t="n"/>
      <c r="DC250" s="50" t="n"/>
      <c r="DD250" s="50" t="n"/>
      <c r="DE250" s="50" t="n"/>
      <c r="DF250" s="50" t="n"/>
      <c r="DG250" s="50" t="n"/>
      <c r="DH250" s="50" t="n"/>
      <c r="DI250" s="50" t="n"/>
      <c r="DJ250" s="50" t="n"/>
      <c r="DK250" s="50" t="n"/>
      <c r="DL250" s="50" t="n"/>
      <c r="DM250" s="50" t="n"/>
      <c r="DN250" s="50" t="n"/>
      <c r="DO250" s="50" t="n"/>
      <c r="DP250" s="50" t="n"/>
      <c r="DQ250" s="50" t="n"/>
      <c r="DR250" s="50" t="n"/>
      <c r="DS250" s="50" t="n"/>
      <c r="DT250" s="50" t="n"/>
      <c r="DU250" s="50" t="n"/>
      <c r="DV250" s="50" t="n"/>
    </row>
    <row r="251">
      <c r="A251" s="47">
        <f>IF(Mitarbeiter!B251="","",Mitarbeiter!A251)</f>
        <v/>
      </c>
      <c r="B251" s="48">
        <f>IF(Mitarbeiter!B251="","",Mitarbeiter!B251)</f>
        <v/>
      </c>
      <c r="C251" s="49">
        <f>IF(Mitarbeiter!B251="","",Mitarbeiter!F251)</f>
        <v/>
      </c>
      <c r="D251" s="25">
        <f>IF(Mitarbeiter!B251="","",Berechnung!AD251)</f>
        <v/>
      </c>
      <c r="E251" s="25">
        <f>IF(Mitarbeiter!B251="","",SUM(G251:DV251))</f>
        <v/>
      </c>
      <c r="G251" s="50" t="n"/>
      <c r="H251" s="50" t="n"/>
      <c r="I251" s="50" t="n"/>
      <c r="J251" s="50" t="n"/>
      <c r="K251" s="50" t="n"/>
      <c r="L251" s="50" t="n"/>
      <c r="M251" s="50" t="n"/>
      <c r="N251" s="50" t="n"/>
      <c r="O251" s="50" t="n"/>
      <c r="P251" s="50" t="n"/>
      <c r="Q251" s="50" t="n"/>
      <c r="R251" s="50" t="n"/>
      <c r="S251" s="50" t="n"/>
      <c r="T251" s="50" t="n"/>
      <c r="U251" s="50" t="n"/>
      <c r="V251" s="50" t="n"/>
      <c r="W251" s="50" t="n"/>
      <c r="X251" s="50" t="n"/>
      <c r="Y251" s="50" t="n"/>
      <c r="Z251" s="50" t="n"/>
      <c r="AA251" s="50" t="n"/>
      <c r="AB251" s="50" t="n"/>
      <c r="AC251" s="50" t="n"/>
      <c r="AD251" s="50" t="n"/>
      <c r="AE251" s="50" t="n"/>
      <c r="AF251" s="50" t="n"/>
      <c r="AG251" s="50" t="n"/>
      <c r="AH251" s="50" t="n"/>
      <c r="AI251" s="50" t="n"/>
      <c r="AJ251" s="50" t="n"/>
      <c r="AK251" s="50" t="n"/>
      <c r="AL251" s="50" t="n"/>
      <c r="AM251" s="50" t="n"/>
      <c r="AN251" s="50" t="n"/>
      <c r="AO251" s="50" t="n"/>
      <c r="AP251" s="50" t="n"/>
      <c r="AQ251" s="50" t="n"/>
      <c r="AR251" s="50" t="n"/>
      <c r="AS251" s="50" t="n"/>
      <c r="AT251" s="50" t="n"/>
      <c r="AU251" s="50" t="n"/>
      <c r="AV251" s="50" t="n"/>
      <c r="AW251" s="50" t="n"/>
      <c r="AX251" s="50" t="n"/>
      <c r="AY251" s="50" t="n"/>
      <c r="AZ251" s="50" t="n"/>
      <c r="BA251" s="50" t="n"/>
      <c r="BB251" s="50" t="n"/>
      <c r="BC251" s="50" t="n"/>
      <c r="BD251" s="50" t="n"/>
      <c r="BE251" s="50" t="n"/>
      <c r="BF251" s="50" t="n"/>
      <c r="BG251" s="50" t="n"/>
      <c r="BH251" s="50" t="n"/>
      <c r="BI251" s="50" t="n"/>
      <c r="BJ251" s="50" t="n"/>
      <c r="BK251" s="50" t="n"/>
      <c r="BL251" s="50" t="n"/>
      <c r="BM251" s="50" t="n"/>
      <c r="BN251" s="50" t="n"/>
      <c r="BO251" s="50" t="n"/>
      <c r="BP251" s="50" t="n"/>
      <c r="BQ251" s="50" t="n"/>
      <c r="BR251" s="50" t="n"/>
      <c r="BS251" s="50" t="n"/>
      <c r="BT251" s="50" t="n"/>
      <c r="BU251" s="50" t="n"/>
      <c r="BV251" s="50" t="n"/>
      <c r="BW251" s="50" t="n"/>
      <c r="BX251" s="50" t="n"/>
      <c r="BY251" s="50" t="n"/>
      <c r="BZ251" s="50" t="n"/>
      <c r="CA251" s="50" t="n"/>
      <c r="CB251" s="50" t="n"/>
      <c r="CC251" s="50" t="n"/>
      <c r="CD251" s="50" t="n"/>
      <c r="CE251" s="50" t="n"/>
      <c r="CF251" s="50" t="n"/>
      <c r="CG251" s="50" t="n"/>
      <c r="CH251" s="50" t="n"/>
      <c r="CI251" s="50" t="n"/>
      <c r="CJ251" s="50" t="n"/>
      <c r="CK251" s="50" t="n"/>
      <c r="CL251" s="50" t="n"/>
      <c r="CM251" s="50" t="n"/>
      <c r="CN251" s="50" t="n"/>
      <c r="CO251" s="50" t="n"/>
      <c r="CP251" s="50" t="n"/>
      <c r="CQ251" s="50" t="n"/>
      <c r="CR251" s="50" t="n"/>
      <c r="CS251" s="50" t="n"/>
      <c r="CT251" s="50" t="n"/>
      <c r="CU251" s="50" t="n"/>
      <c r="CV251" s="50" t="n"/>
      <c r="CW251" s="50" t="n"/>
      <c r="CX251" s="50" t="n"/>
      <c r="CY251" s="50" t="n"/>
      <c r="CZ251" s="50" t="n"/>
      <c r="DA251" s="50" t="n"/>
      <c r="DB251" s="50" t="n"/>
      <c r="DC251" s="50" t="n"/>
      <c r="DD251" s="50" t="n"/>
      <c r="DE251" s="50" t="n"/>
      <c r="DF251" s="50" t="n"/>
      <c r="DG251" s="50" t="n"/>
      <c r="DH251" s="50" t="n"/>
      <c r="DI251" s="50" t="n"/>
      <c r="DJ251" s="50" t="n"/>
      <c r="DK251" s="50" t="n"/>
      <c r="DL251" s="50" t="n"/>
      <c r="DM251" s="50" t="n"/>
      <c r="DN251" s="50" t="n"/>
      <c r="DO251" s="50" t="n"/>
      <c r="DP251" s="50" t="n"/>
      <c r="DQ251" s="50" t="n"/>
      <c r="DR251" s="50" t="n"/>
      <c r="DS251" s="50" t="n"/>
      <c r="DT251" s="50" t="n"/>
      <c r="DU251" s="50" t="n"/>
      <c r="DV251" s="50" t="n"/>
    </row>
    <row r="252">
      <c r="A252" s="47">
        <f>IF(Mitarbeiter!B252="","",Mitarbeiter!A252)</f>
        <v/>
      </c>
      <c r="B252" s="48">
        <f>IF(Mitarbeiter!B252="","",Mitarbeiter!B252)</f>
        <v/>
      </c>
      <c r="C252" s="49">
        <f>IF(Mitarbeiter!B252="","",Mitarbeiter!F252)</f>
        <v/>
      </c>
      <c r="D252" s="25">
        <f>IF(Mitarbeiter!B252="","",Berechnung!AD252)</f>
        <v/>
      </c>
      <c r="E252" s="25">
        <f>IF(Mitarbeiter!B252="","",SUM(G252:DV252))</f>
        <v/>
      </c>
      <c r="G252" s="50" t="n"/>
      <c r="H252" s="50" t="n"/>
      <c r="I252" s="50" t="n"/>
      <c r="J252" s="50" t="n"/>
      <c r="K252" s="50" t="n"/>
      <c r="L252" s="50" t="n"/>
      <c r="M252" s="50" t="n"/>
      <c r="N252" s="50" t="n"/>
      <c r="O252" s="50" t="n"/>
      <c r="P252" s="50" t="n"/>
      <c r="Q252" s="50" t="n"/>
      <c r="R252" s="50" t="n"/>
      <c r="S252" s="50" t="n"/>
      <c r="T252" s="50" t="n"/>
      <c r="U252" s="50" t="n"/>
      <c r="V252" s="50" t="n"/>
      <c r="W252" s="50" t="n"/>
      <c r="X252" s="50" t="n"/>
      <c r="Y252" s="50" t="n"/>
      <c r="Z252" s="50" t="n"/>
      <c r="AA252" s="50" t="n"/>
      <c r="AB252" s="50" t="n"/>
      <c r="AC252" s="50" t="n"/>
      <c r="AD252" s="50" t="n"/>
      <c r="AE252" s="50" t="n"/>
      <c r="AF252" s="50" t="n"/>
      <c r="AG252" s="50" t="n"/>
      <c r="AH252" s="50" t="n"/>
      <c r="AI252" s="50" t="n"/>
      <c r="AJ252" s="50" t="n"/>
      <c r="AK252" s="50" t="n"/>
      <c r="AL252" s="50" t="n"/>
      <c r="AM252" s="50" t="n"/>
      <c r="AN252" s="50" t="n"/>
      <c r="AO252" s="50" t="n"/>
      <c r="AP252" s="50" t="n"/>
      <c r="AQ252" s="50" t="n"/>
      <c r="AR252" s="50" t="n"/>
      <c r="AS252" s="50" t="n"/>
      <c r="AT252" s="50" t="n"/>
      <c r="AU252" s="50" t="n"/>
      <c r="AV252" s="50" t="n"/>
      <c r="AW252" s="50" t="n"/>
      <c r="AX252" s="50" t="n"/>
      <c r="AY252" s="50" t="n"/>
      <c r="AZ252" s="50" t="n"/>
      <c r="BA252" s="50" t="n"/>
      <c r="BB252" s="50" t="n"/>
      <c r="BC252" s="50" t="n"/>
      <c r="BD252" s="50" t="n"/>
      <c r="BE252" s="50" t="n"/>
      <c r="BF252" s="50" t="n"/>
      <c r="BG252" s="50" t="n"/>
      <c r="BH252" s="50" t="n"/>
      <c r="BI252" s="50" t="n"/>
      <c r="BJ252" s="50" t="n"/>
      <c r="BK252" s="50" t="n"/>
      <c r="BL252" s="50" t="n"/>
      <c r="BM252" s="50" t="n"/>
      <c r="BN252" s="50" t="n"/>
      <c r="BO252" s="50" t="n"/>
      <c r="BP252" s="50" t="n"/>
      <c r="BQ252" s="50" t="n"/>
      <c r="BR252" s="50" t="n"/>
      <c r="BS252" s="50" t="n"/>
      <c r="BT252" s="50" t="n"/>
      <c r="BU252" s="50" t="n"/>
      <c r="BV252" s="50" t="n"/>
      <c r="BW252" s="50" t="n"/>
      <c r="BX252" s="50" t="n"/>
      <c r="BY252" s="50" t="n"/>
      <c r="BZ252" s="50" t="n"/>
      <c r="CA252" s="50" t="n"/>
      <c r="CB252" s="50" t="n"/>
      <c r="CC252" s="50" t="n"/>
      <c r="CD252" s="50" t="n"/>
      <c r="CE252" s="50" t="n"/>
      <c r="CF252" s="50" t="n"/>
      <c r="CG252" s="50" t="n"/>
      <c r="CH252" s="50" t="n"/>
      <c r="CI252" s="50" t="n"/>
      <c r="CJ252" s="50" t="n"/>
      <c r="CK252" s="50" t="n"/>
      <c r="CL252" s="50" t="n"/>
      <c r="CM252" s="50" t="n"/>
      <c r="CN252" s="50" t="n"/>
      <c r="CO252" s="50" t="n"/>
      <c r="CP252" s="50" t="n"/>
      <c r="CQ252" s="50" t="n"/>
      <c r="CR252" s="50" t="n"/>
      <c r="CS252" s="50" t="n"/>
      <c r="CT252" s="50" t="n"/>
      <c r="CU252" s="50" t="n"/>
      <c r="CV252" s="50" t="n"/>
      <c r="CW252" s="50" t="n"/>
      <c r="CX252" s="50" t="n"/>
      <c r="CY252" s="50" t="n"/>
      <c r="CZ252" s="50" t="n"/>
      <c r="DA252" s="50" t="n"/>
      <c r="DB252" s="50" t="n"/>
      <c r="DC252" s="50" t="n"/>
      <c r="DD252" s="50" t="n"/>
      <c r="DE252" s="50" t="n"/>
      <c r="DF252" s="50" t="n"/>
      <c r="DG252" s="50" t="n"/>
      <c r="DH252" s="50" t="n"/>
      <c r="DI252" s="50" t="n"/>
      <c r="DJ252" s="50" t="n"/>
      <c r="DK252" s="50" t="n"/>
      <c r="DL252" s="50" t="n"/>
      <c r="DM252" s="50" t="n"/>
      <c r="DN252" s="50" t="n"/>
      <c r="DO252" s="50" t="n"/>
      <c r="DP252" s="50" t="n"/>
      <c r="DQ252" s="50" t="n"/>
      <c r="DR252" s="50" t="n"/>
      <c r="DS252" s="50" t="n"/>
      <c r="DT252" s="50" t="n"/>
      <c r="DU252" s="50" t="n"/>
      <c r="DV252" s="50" t="n"/>
    </row>
    <row r="253">
      <c r="A253" s="47">
        <f>IF(Mitarbeiter!B253="","",Mitarbeiter!A253)</f>
        <v/>
      </c>
      <c r="B253" s="48">
        <f>IF(Mitarbeiter!B253="","",Mitarbeiter!B253)</f>
        <v/>
      </c>
      <c r="C253" s="49">
        <f>IF(Mitarbeiter!B253="","",Mitarbeiter!F253)</f>
        <v/>
      </c>
      <c r="D253" s="25">
        <f>IF(Mitarbeiter!B253="","",Berechnung!AD253)</f>
        <v/>
      </c>
      <c r="E253" s="25">
        <f>IF(Mitarbeiter!B253="","",SUM(G253:DV253))</f>
        <v/>
      </c>
      <c r="G253" s="50" t="n"/>
      <c r="H253" s="50" t="n"/>
      <c r="I253" s="50" t="n"/>
      <c r="J253" s="50" t="n"/>
      <c r="K253" s="50" t="n"/>
      <c r="L253" s="50" t="n"/>
      <c r="M253" s="50" t="n"/>
      <c r="N253" s="50" t="n"/>
      <c r="O253" s="50" t="n"/>
      <c r="P253" s="50" t="n"/>
      <c r="Q253" s="50" t="n"/>
      <c r="R253" s="50" t="n"/>
      <c r="S253" s="50" t="n"/>
      <c r="T253" s="50" t="n"/>
      <c r="U253" s="50" t="n"/>
      <c r="V253" s="50" t="n"/>
      <c r="W253" s="50" t="n"/>
      <c r="X253" s="50" t="n"/>
      <c r="Y253" s="50" t="n"/>
      <c r="Z253" s="50" t="n"/>
      <c r="AA253" s="50" t="n"/>
      <c r="AB253" s="50" t="n"/>
      <c r="AC253" s="50" t="n"/>
      <c r="AD253" s="50" t="n"/>
      <c r="AE253" s="50" t="n"/>
      <c r="AF253" s="50" t="n"/>
      <c r="AG253" s="50" t="n"/>
      <c r="AH253" s="50" t="n"/>
      <c r="AI253" s="50" t="n"/>
      <c r="AJ253" s="50" t="n"/>
      <c r="AK253" s="50" t="n"/>
      <c r="AL253" s="50" t="n"/>
      <c r="AM253" s="50" t="n"/>
      <c r="AN253" s="50" t="n"/>
      <c r="AO253" s="50" t="n"/>
      <c r="AP253" s="50" t="n"/>
      <c r="AQ253" s="50" t="n"/>
      <c r="AR253" s="50" t="n"/>
      <c r="AS253" s="50" t="n"/>
      <c r="AT253" s="50" t="n"/>
      <c r="AU253" s="50" t="n"/>
      <c r="AV253" s="50" t="n"/>
      <c r="AW253" s="50" t="n"/>
      <c r="AX253" s="50" t="n"/>
      <c r="AY253" s="50" t="n"/>
      <c r="AZ253" s="50" t="n"/>
      <c r="BA253" s="50" t="n"/>
      <c r="BB253" s="50" t="n"/>
      <c r="BC253" s="50" t="n"/>
      <c r="BD253" s="50" t="n"/>
      <c r="BE253" s="50" t="n"/>
      <c r="BF253" s="50" t="n"/>
      <c r="BG253" s="50" t="n"/>
      <c r="BH253" s="50" t="n"/>
      <c r="BI253" s="50" t="n"/>
      <c r="BJ253" s="50" t="n"/>
      <c r="BK253" s="50" t="n"/>
      <c r="BL253" s="50" t="n"/>
      <c r="BM253" s="50" t="n"/>
      <c r="BN253" s="50" t="n"/>
      <c r="BO253" s="50" t="n"/>
      <c r="BP253" s="50" t="n"/>
      <c r="BQ253" s="50" t="n"/>
      <c r="BR253" s="50" t="n"/>
      <c r="BS253" s="50" t="n"/>
      <c r="BT253" s="50" t="n"/>
      <c r="BU253" s="50" t="n"/>
      <c r="BV253" s="50" t="n"/>
      <c r="BW253" s="50" t="n"/>
      <c r="BX253" s="50" t="n"/>
      <c r="BY253" s="50" t="n"/>
      <c r="BZ253" s="50" t="n"/>
      <c r="CA253" s="50" t="n"/>
      <c r="CB253" s="50" t="n"/>
      <c r="CC253" s="50" t="n"/>
      <c r="CD253" s="50" t="n"/>
      <c r="CE253" s="50" t="n"/>
      <c r="CF253" s="50" t="n"/>
      <c r="CG253" s="50" t="n"/>
      <c r="CH253" s="50" t="n"/>
      <c r="CI253" s="50" t="n"/>
      <c r="CJ253" s="50" t="n"/>
      <c r="CK253" s="50" t="n"/>
      <c r="CL253" s="50" t="n"/>
      <c r="CM253" s="50" t="n"/>
      <c r="CN253" s="50" t="n"/>
      <c r="CO253" s="50" t="n"/>
      <c r="CP253" s="50" t="n"/>
      <c r="CQ253" s="50" t="n"/>
      <c r="CR253" s="50" t="n"/>
      <c r="CS253" s="50" t="n"/>
      <c r="CT253" s="50" t="n"/>
      <c r="CU253" s="50" t="n"/>
      <c r="CV253" s="50" t="n"/>
      <c r="CW253" s="50" t="n"/>
      <c r="CX253" s="50" t="n"/>
      <c r="CY253" s="50" t="n"/>
      <c r="CZ253" s="50" t="n"/>
      <c r="DA253" s="50" t="n"/>
      <c r="DB253" s="50" t="n"/>
      <c r="DC253" s="50" t="n"/>
      <c r="DD253" s="50" t="n"/>
      <c r="DE253" s="50" t="n"/>
      <c r="DF253" s="50" t="n"/>
      <c r="DG253" s="50" t="n"/>
      <c r="DH253" s="50" t="n"/>
      <c r="DI253" s="50" t="n"/>
      <c r="DJ253" s="50" t="n"/>
      <c r="DK253" s="50" t="n"/>
      <c r="DL253" s="50" t="n"/>
      <c r="DM253" s="50" t="n"/>
      <c r="DN253" s="50" t="n"/>
      <c r="DO253" s="50" t="n"/>
      <c r="DP253" s="50" t="n"/>
      <c r="DQ253" s="50" t="n"/>
      <c r="DR253" s="50" t="n"/>
      <c r="DS253" s="50" t="n"/>
      <c r="DT253" s="50" t="n"/>
      <c r="DU253" s="50" t="n"/>
      <c r="DV253" s="50" t="n"/>
    </row>
    <row r="254">
      <c r="A254" s="47">
        <f>IF(Mitarbeiter!B254="","",Mitarbeiter!A254)</f>
        <v/>
      </c>
      <c r="B254" s="48">
        <f>IF(Mitarbeiter!B254="","",Mitarbeiter!B254)</f>
        <v/>
      </c>
      <c r="C254" s="49">
        <f>IF(Mitarbeiter!B254="","",Mitarbeiter!F254)</f>
        <v/>
      </c>
      <c r="D254" s="25">
        <f>IF(Mitarbeiter!B254="","",Berechnung!AD254)</f>
        <v/>
      </c>
      <c r="E254" s="25">
        <f>IF(Mitarbeiter!B254="","",SUM(G254:DV254))</f>
        <v/>
      </c>
      <c r="G254" s="50" t="n"/>
      <c r="H254" s="50" t="n"/>
      <c r="I254" s="50" t="n"/>
      <c r="J254" s="50" t="n"/>
      <c r="K254" s="50" t="n"/>
      <c r="L254" s="50" t="n"/>
      <c r="M254" s="50" t="n"/>
      <c r="N254" s="50" t="n"/>
      <c r="O254" s="50" t="n"/>
      <c r="P254" s="50" t="n"/>
      <c r="Q254" s="50" t="n"/>
      <c r="R254" s="50" t="n"/>
      <c r="S254" s="50" t="n"/>
      <c r="T254" s="50" t="n"/>
      <c r="U254" s="50" t="n"/>
      <c r="V254" s="50" t="n"/>
      <c r="W254" s="50" t="n"/>
      <c r="X254" s="50" t="n"/>
      <c r="Y254" s="50" t="n"/>
      <c r="Z254" s="50" t="n"/>
      <c r="AA254" s="50" t="n"/>
      <c r="AB254" s="50" t="n"/>
      <c r="AC254" s="50" t="n"/>
      <c r="AD254" s="50" t="n"/>
      <c r="AE254" s="50" t="n"/>
      <c r="AF254" s="50" t="n"/>
      <c r="AG254" s="50" t="n"/>
      <c r="AH254" s="50" t="n"/>
      <c r="AI254" s="50" t="n"/>
      <c r="AJ254" s="50" t="n"/>
      <c r="AK254" s="50" t="n"/>
      <c r="AL254" s="50" t="n"/>
      <c r="AM254" s="50" t="n"/>
      <c r="AN254" s="50" t="n"/>
      <c r="AO254" s="50" t="n"/>
      <c r="AP254" s="50" t="n"/>
      <c r="AQ254" s="50" t="n"/>
      <c r="AR254" s="50" t="n"/>
      <c r="AS254" s="50" t="n"/>
      <c r="AT254" s="50" t="n"/>
      <c r="AU254" s="50" t="n"/>
      <c r="AV254" s="50" t="n"/>
      <c r="AW254" s="50" t="n"/>
      <c r="AX254" s="50" t="n"/>
      <c r="AY254" s="50" t="n"/>
      <c r="AZ254" s="50" t="n"/>
      <c r="BA254" s="50" t="n"/>
      <c r="BB254" s="50" t="n"/>
      <c r="BC254" s="50" t="n"/>
      <c r="BD254" s="50" t="n"/>
      <c r="BE254" s="50" t="n"/>
      <c r="BF254" s="50" t="n"/>
      <c r="BG254" s="50" t="n"/>
      <c r="BH254" s="50" t="n"/>
      <c r="BI254" s="50" t="n"/>
      <c r="BJ254" s="50" t="n"/>
      <c r="BK254" s="50" t="n"/>
      <c r="BL254" s="50" t="n"/>
      <c r="BM254" s="50" t="n"/>
      <c r="BN254" s="50" t="n"/>
      <c r="BO254" s="50" t="n"/>
      <c r="BP254" s="50" t="n"/>
      <c r="BQ254" s="50" t="n"/>
      <c r="BR254" s="50" t="n"/>
      <c r="BS254" s="50" t="n"/>
      <c r="BT254" s="50" t="n"/>
      <c r="BU254" s="50" t="n"/>
      <c r="BV254" s="50" t="n"/>
      <c r="BW254" s="50" t="n"/>
      <c r="BX254" s="50" t="n"/>
      <c r="BY254" s="50" t="n"/>
      <c r="BZ254" s="50" t="n"/>
      <c r="CA254" s="50" t="n"/>
      <c r="CB254" s="50" t="n"/>
      <c r="CC254" s="50" t="n"/>
      <c r="CD254" s="50" t="n"/>
      <c r="CE254" s="50" t="n"/>
      <c r="CF254" s="50" t="n"/>
      <c r="CG254" s="50" t="n"/>
      <c r="CH254" s="50" t="n"/>
      <c r="CI254" s="50" t="n"/>
      <c r="CJ254" s="50" t="n"/>
      <c r="CK254" s="50" t="n"/>
      <c r="CL254" s="50" t="n"/>
      <c r="CM254" s="50" t="n"/>
      <c r="CN254" s="50" t="n"/>
      <c r="CO254" s="50" t="n"/>
      <c r="CP254" s="50" t="n"/>
      <c r="CQ254" s="50" t="n"/>
      <c r="CR254" s="50" t="n"/>
      <c r="CS254" s="50" t="n"/>
      <c r="CT254" s="50" t="n"/>
      <c r="CU254" s="50" t="n"/>
      <c r="CV254" s="50" t="n"/>
      <c r="CW254" s="50" t="n"/>
      <c r="CX254" s="50" t="n"/>
      <c r="CY254" s="50" t="n"/>
      <c r="CZ254" s="50" t="n"/>
      <c r="DA254" s="50" t="n"/>
      <c r="DB254" s="50" t="n"/>
      <c r="DC254" s="50" t="n"/>
      <c r="DD254" s="50" t="n"/>
      <c r="DE254" s="50" t="n"/>
      <c r="DF254" s="50" t="n"/>
      <c r="DG254" s="50" t="n"/>
      <c r="DH254" s="50" t="n"/>
      <c r="DI254" s="50" t="n"/>
      <c r="DJ254" s="50" t="n"/>
      <c r="DK254" s="50" t="n"/>
      <c r="DL254" s="50" t="n"/>
      <c r="DM254" s="50" t="n"/>
      <c r="DN254" s="50" t="n"/>
      <c r="DO254" s="50" t="n"/>
      <c r="DP254" s="50" t="n"/>
      <c r="DQ254" s="50" t="n"/>
      <c r="DR254" s="50" t="n"/>
      <c r="DS254" s="50" t="n"/>
      <c r="DT254" s="50" t="n"/>
      <c r="DU254" s="50" t="n"/>
      <c r="DV254" s="50" t="n"/>
    </row>
    <row r="255">
      <c r="A255" s="47">
        <f>IF(Mitarbeiter!B255="","",Mitarbeiter!A255)</f>
        <v/>
      </c>
      <c r="B255" s="48">
        <f>IF(Mitarbeiter!B255="","",Mitarbeiter!B255)</f>
        <v/>
      </c>
      <c r="C255" s="49">
        <f>IF(Mitarbeiter!B255="","",Mitarbeiter!F255)</f>
        <v/>
      </c>
      <c r="D255" s="25">
        <f>IF(Mitarbeiter!B255="","",Berechnung!AD255)</f>
        <v/>
      </c>
      <c r="E255" s="25">
        <f>IF(Mitarbeiter!B255="","",SUM(G255:DV255))</f>
        <v/>
      </c>
      <c r="G255" s="50" t="n"/>
      <c r="H255" s="50" t="n"/>
      <c r="I255" s="50" t="n"/>
      <c r="J255" s="50" t="n"/>
      <c r="K255" s="50" t="n"/>
      <c r="L255" s="50" t="n"/>
      <c r="M255" s="50" t="n"/>
      <c r="N255" s="50" t="n"/>
      <c r="O255" s="50" t="n"/>
      <c r="P255" s="50" t="n"/>
      <c r="Q255" s="50" t="n"/>
      <c r="R255" s="50" t="n"/>
      <c r="S255" s="50" t="n"/>
      <c r="T255" s="50" t="n"/>
      <c r="U255" s="50" t="n"/>
      <c r="V255" s="50" t="n"/>
      <c r="W255" s="50" t="n"/>
      <c r="X255" s="50" t="n"/>
      <c r="Y255" s="50" t="n"/>
      <c r="Z255" s="50" t="n"/>
      <c r="AA255" s="50" t="n"/>
      <c r="AB255" s="50" t="n"/>
      <c r="AC255" s="50" t="n"/>
      <c r="AD255" s="50" t="n"/>
      <c r="AE255" s="50" t="n"/>
      <c r="AF255" s="50" t="n"/>
      <c r="AG255" s="50" t="n"/>
      <c r="AH255" s="50" t="n"/>
      <c r="AI255" s="50" t="n"/>
      <c r="AJ255" s="50" t="n"/>
      <c r="AK255" s="50" t="n"/>
      <c r="AL255" s="50" t="n"/>
      <c r="AM255" s="50" t="n"/>
      <c r="AN255" s="50" t="n"/>
      <c r="AO255" s="50" t="n"/>
      <c r="AP255" s="50" t="n"/>
      <c r="AQ255" s="50" t="n"/>
      <c r="AR255" s="50" t="n"/>
      <c r="AS255" s="50" t="n"/>
      <c r="AT255" s="50" t="n"/>
      <c r="AU255" s="50" t="n"/>
      <c r="AV255" s="50" t="n"/>
      <c r="AW255" s="50" t="n"/>
      <c r="AX255" s="50" t="n"/>
      <c r="AY255" s="50" t="n"/>
      <c r="AZ255" s="50" t="n"/>
      <c r="BA255" s="50" t="n"/>
      <c r="BB255" s="50" t="n"/>
      <c r="BC255" s="50" t="n"/>
      <c r="BD255" s="50" t="n"/>
      <c r="BE255" s="50" t="n"/>
      <c r="BF255" s="50" t="n"/>
      <c r="BG255" s="50" t="n"/>
      <c r="BH255" s="50" t="n"/>
      <c r="BI255" s="50" t="n"/>
      <c r="BJ255" s="50" t="n"/>
      <c r="BK255" s="50" t="n"/>
      <c r="BL255" s="50" t="n"/>
      <c r="BM255" s="50" t="n"/>
      <c r="BN255" s="50" t="n"/>
      <c r="BO255" s="50" t="n"/>
      <c r="BP255" s="50" t="n"/>
      <c r="BQ255" s="50" t="n"/>
      <c r="BR255" s="50" t="n"/>
      <c r="BS255" s="50" t="n"/>
      <c r="BT255" s="50" t="n"/>
      <c r="BU255" s="50" t="n"/>
      <c r="BV255" s="50" t="n"/>
      <c r="BW255" s="50" t="n"/>
      <c r="BX255" s="50" t="n"/>
      <c r="BY255" s="50" t="n"/>
      <c r="BZ255" s="50" t="n"/>
      <c r="CA255" s="50" t="n"/>
      <c r="CB255" s="50" t="n"/>
      <c r="CC255" s="50" t="n"/>
      <c r="CD255" s="50" t="n"/>
      <c r="CE255" s="50" t="n"/>
      <c r="CF255" s="50" t="n"/>
      <c r="CG255" s="50" t="n"/>
      <c r="CH255" s="50" t="n"/>
      <c r="CI255" s="50" t="n"/>
      <c r="CJ255" s="50" t="n"/>
      <c r="CK255" s="50" t="n"/>
      <c r="CL255" s="50" t="n"/>
      <c r="CM255" s="50" t="n"/>
      <c r="CN255" s="50" t="n"/>
      <c r="CO255" s="50" t="n"/>
      <c r="CP255" s="50" t="n"/>
      <c r="CQ255" s="50" t="n"/>
      <c r="CR255" s="50" t="n"/>
      <c r="CS255" s="50" t="n"/>
      <c r="CT255" s="50" t="n"/>
      <c r="CU255" s="50" t="n"/>
      <c r="CV255" s="50" t="n"/>
      <c r="CW255" s="50" t="n"/>
      <c r="CX255" s="50" t="n"/>
      <c r="CY255" s="50" t="n"/>
      <c r="CZ255" s="50" t="n"/>
      <c r="DA255" s="50" t="n"/>
      <c r="DB255" s="50" t="n"/>
      <c r="DC255" s="50" t="n"/>
      <c r="DD255" s="50" t="n"/>
      <c r="DE255" s="50" t="n"/>
      <c r="DF255" s="50" t="n"/>
      <c r="DG255" s="50" t="n"/>
      <c r="DH255" s="50" t="n"/>
      <c r="DI255" s="50" t="n"/>
      <c r="DJ255" s="50" t="n"/>
      <c r="DK255" s="50" t="n"/>
      <c r="DL255" s="50" t="n"/>
      <c r="DM255" s="50" t="n"/>
      <c r="DN255" s="50" t="n"/>
      <c r="DO255" s="50" t="n"/>
      <c r="DP255" s="50" t="n"/>
      <c r="DQ255" s="50" t="n"/>
      <c r="DR255" s="50" t="n"/>
      <c r="DS255" s="50" t="n"/>
      <c r="DT255" s="50" t="n"/>
      <c r="DU255" s="50" t="n"/>
      <c r="DV255" s="50" t="n"/>
    </row>
    <row r="256">
      <c r="A256" s="47">
        <f>IF(Mitarbeiter!B256="","",Mitarbeiter!A256)</f>
        <v/>
      </c>
      <c r="B256" s="48">
        <f>IF(Mitarbeiter!B256="","",Mitarbeiter!B256)</f>
        <v/>
      </c>
      <c r="C256" s="49">
        <f>IF(Mitarbeiter!B256="","",Mitarbeiter!F256)</f>
        <v/>
      </c>
      <c r="D256" s="25">
        <f>IF(Mitarbeiter!B256="","",Berechnung!AD256)</f>
        <v/>
      </c>
      <c r="E256" s="25">
        <f>IF(Mitarbeiter!B256="","",SUM(G256:DV256))</f>
        <v/>
      </c>
      <c r="G256" s="50" t="n"/>
      <c r="H256" s="50" t="n"/>
      <c r="I256" s="50" t="n"/>
      <c r="J256" s="50" t="n"/>
      <c r="K256" s="50" t="n"/>
      <c r="L256" s="50" t="n"/>
      <c r="M256" s="50" t="n"/>
      <c r="N256" s="50" t="n"/>
      <c r="O256" s="50" t="n"/>
      <c r="P256" s="50" t="n"/>
      <c r="Q256" s="50" t="n"/>
      <c r="R256" s="50" t="n"/>
      <c r="S256" s="50" t="n"/>
      <c r="T256" s="50" t="n"/>
      <c r="U256" s="50" t="n"/>
      <c r="V256" s="50" t="n"/>
      <c r="W256" s="50" t="n"/>
      <c r="X256" s="50" t="n"/>
      <c r="Y256" s="50" t="n"/>
      <c r="Z256" s="50" t="n"/>
      <c r="AA256" s="50" t="n"/>
      <c r="AB256" s="50" t="n"/>
      <c r="AC256" s="50" t="n"/>
      <c r="AD256" s="50" t="n"/>
      <c r="AE256" s="50" t="n"/>
      <c r="AF256" s="50" t="n"/>
      <c r="AG256" s="50" t="n"/>
      <c r="AH256" s="50" t="n"/>
      <c r="AI256" s="50" t="n"/>
      <c r="AJ256" s="50" t="n"/>
      <c r="AK256" s="50" t="n"/>
      <c r="AL256" s="50" t="n"/>
      <c r="AM256" s="50" t="n"/>
      <c r="AN256" s="50" t="n"/>
      <c r="AO256" s="50" t="n"/>
      <c r="AP256" s="50" t="n"/>
      <c r="AQ256" s="50" t="n"/>
      <c r="AR256" s="50" t="n"/>
      <c r="AS256" s="50" t="n"/>
      <c r="AT256" s="50" t="n"/>
      <c r="AU256" s="50" t="n"/>
      <c r="AV256" s="50" t="n"/>
      <c r="AW256" s="50" t="n"/>
      <c r="AX256" s="50" t="n"/>
      <c r="AY256" s="50" t="n"/>
      <c r="AZ256" s="50" t="n"/>
      <c r="BA256" s="50" t="n"/>
      <c r="BB256" s="50" t="n"/>
      <c r="BC256" s="50" t="n"/>
      <c r="BD256" s="50" t="n"/>
      <c r="BE256" s="50" t="n"/>
      <c r="BF256" s="50" t="n"/>
      <c r="BG256" s="50" t="n"/>
      <c r="BH256" s="50" t="n"/>
      <c r="BI256" s="50" t="n"/>
      <c r="BJ256" s="50" t="n"/>
      <c r="BK256" s="50" t="n"/>
      <c r="BL256" s="50" t="n"/>
      <c r="BM256" s="50" t="n"/>
      <c r="BN256" s="50" t="n"/>
      <c r="BO256" s="50" t="n"/>
      <c r="BP256" s="50" t="n"/>
      <c r="BQ256" s="50" t="n"/>
      <c r="BR256" s="50" t="n"/>
      <c r="BS256" s="50" t="n"/>
      <c r="BT256" s="50" t="n"/>
      <c r="BU256" s="50" t="n"/>
      <c r="BV256" s="50" t="n"/>
      <c r="BW256" s="50" t="n"/>
      <c r="BX256" s="50" t="n"/>
      <c r="BY256" s="50" t="n"/>
      <c r="BZ256" s="50" t="n"/>
      <c r="CA256" s="50" t="n"/>
      <c r="CB256" s="50" t="n"/>
      <c r="CC256" s="50" t="n"/>
      <c r="CD256" s="50" t="n"/>
      <c r="CE256" s="50" t="n"/>
      <c r="CF256" s="50" t="n"/>
      <c r="CG256" s="50" t="n"/>
      <c r="CH256" s="50" t="n"/>
      <c r="CI256" s="50" t="n"/>
      <c r="CJ256" s="50" t="n"/>
      <c r="CK256" s="50" t="n"/>
      <c r="CL256" s="50" t="n"/>
      <c r="CM256" s="50" t="n"/>
      <c r="CN256" s="50" t="n"/>
      <c r="CO256" s="50" t="n"/>
      <c r="CP256" s="50" t="n"/>
      <c r="CQ256" s="50" t="n"/>
      <c r="CR256" s="50" t="n"/>
      <c r="CS256" s="50" t="n"/>
      <c r="CT256" s="50" t="n"/>
      <c r="CU256" s="50" t="n"/>
      <c r="CV256" s="50" t="n"/>
      <c r="CW256" s="50" t="n"/>
      <c r="CX256" s="50" t="n"/>
      <c r="CY256" s="50" t="n"/>
      <c r="CZ256" s="50" t="n"/>
      <c r="DA256" s="50" t="n"/>
      <c r="DB256" s="50" t="n"/>
      <c r="DC256" s="50" t="n"/>
      <c r="DD256" s="50" t="n"/>
      <c r="DE256" s="50" t="n"/>
      <c r="DF256" s="50" t="n"/>
      <c r="DG256" s="50" t="n"/>
      <c r="DH256" s="50" t="n"/>
      <c r="DI256" s="50" t="n"/>
      <c r="DJ256" s="50" t="n"/>
      <c r="DK256" s="50" t="n"/>
      <c r="DL256" s="50" t="n"/>
      <c r="DM256" s="50" t="n"/>
      <c r="DN256" s="50" t="n"/>
      <c r="DO256" s="50" t="n"/>
      <c r="DP256" s="50" t="n"/>
      <c r="DQ256" s="50" t="n"/>
      <c r="DR256" s="50" t="n"/>
      <c r="DS256" s="50" t="n"/>
      <c r="DT256" s="50" t="n"/>
      <c r="DU256" s="50" t="n"/>
      <c r="DV256" s="50" t="n"/>
    </row>
    <row r="257">
      <c r="A257" s="47">
        <f>IF(Mitarbeiter!B257="","",Mitarbeiter!A257)</f>
        <v/>
      </c>
      <c r="B257" s="48">
        <f>IF(Mitarbeiter!B257="","",Mitarbeiter!B257)</f>
        <v/>
      </c>
      <c r="C257" s="49">
        <f>IF(Mitarbeiter!B257="","",Mitarbeiter!F257)</f>
        <v/>
      </c>
      <c r="D257" s="25">
        <f>IF(Mitarbeiter!B257="","",Berechnung!AD257)</f>
        <v/>
      </c>
      <c r="E257" s="25">
        <f>IF(Mitarbeiter!B257="","",SUM(G257:DV257))</f>
        <v/>
      </c>
      <c r="G257" s="50" t="n"/>
      <c r="H257" s="50" t="n"/>
      <c r="I257" s="50" t="n"/>
      <c r="J257" s="50" t="n"/>
      <c r="K257" s="50" t="n"/>
      <c r="L257" s="50" t="n"/>
      <c r="M257" s="50" t="n"/>
      <c r="N257" s="50" t="n"/>
      <c r="O257" s="50" t="n"/>
      <c r="P257" s="50" t="n"/>
      <c r="Q257" s="50" t="n"/>
      <c r="R257" s="50" t="n"/>
      <c r="S257" s="50" t="n"/>
      <c r="T257" s="50" t="n"/>
      <c r="U257" s="50" t="n"/>
      <c r="V257" s="50" t="n"/>
      <c r="W257" s="50" t="n"/>
      <c r="X257" s="50" t="n"/>
      <c r="Y257" s="50" t="n"/>
      <c r="Z257" s="50" t="n"/>
      <c r="AA257" s="50" t="n"/>
      <c r="AB257" s="50" t="n"/>
      <c r="AC257" s="50" t="n"/>
      <c r="AD257" s="50" t="n"/>
      <c r="AE257" s="50" t="n"/>
      <c r="AF257" s="50" t="n"/>
      <c r="AG257" s="50" t="n"/>
      <c r="AH257" s="50" t="n"/>
      <c r="AI257" s="50" t="n"/>
      <c r="AJ257" s="50" t="n"/>
      <c r="AK257" s="50" t="n"/>
      <c r="AL257" s="50" t="n"/>
      <c r="AM257" s="50" t="n"/>
      <c r="AN257" s="50" t="n"/>
      <c r="AO257" s="50" t="n"/>
      <c r="AP257" s="50" t="n"/>
      <c r="AQ257" s="50" t="n"/>
      <c r="AR257" s="50" t="n"/>
      <c r="AS257" s="50" t="n"/>
      <c r="AT257" s="50" t="n"/>
      <c r="AU257" s="50" t="n"/>
      <c r="AV257" s="50" t="n"/>
      <c r="AW257" s="50" t="n"/>
      <c r="AX257" s="50" t="n"/>
      <c r="AY257" s="50" t="n"/>
      <c r="AZ257" s="50" t="n"/>
      <c r="BA257" s="50" t="n"/>
      <c r="BB257" s="50" t="n"/>
      <c r="BC257" s="50" t="n"/>
      <c r="BD257" s="50" t="n"/>
      <c r="BE257" s="50" t="n"/>
      <c r="BF257" s="50" t="n"/>
      <c r="BG257" s="50" t="n"/>
      <c r="BH257" s="50" t="n"/>
      <c r="BI257" s="50" t="n"/>
      <c r="BJ257" s="50" t="n"/>
      <c r="BK257" s="50" t="n"/>
      <c r="BL257" s="50" t="n"/>
      <c r="BM257" s="50" t="n"/>
      <c r="BN257" s="50" t="n"/>
      <c r="BO257" s="50" t="n"/>
      <c r="BP257" s="50" t="n"/>
      <c r="BQ257" s="50" t="n"/>
      <c r="BR257" s="50" t="n"/>
      <c r="BS257" s="50" t="n"/>
      <c r="BT257" s="50" t="n"/>
      <c r="BU257" s="50" t="n"/>
      <c r="BV257" s="50" t="n"/>
      <c r="BW257" s="50" t="n"/>
      <c r="BX257" s="50" t="n"/>
      <c r="BY257" s="50" t="n"/>
      <c r="BZ257" s="50" t="n"/>
      <c r="CA257" s="50" t="n"/>
      <c r="CB257" s="50" t="n"/>
      <c r="CC257" s="50" t="n"/>
      <c r="CD257" s="50" t="n"/>
      <c r="CE257" s="50" t="n"/>
      <c r="CF257" s="50" t="n"/>
      <c r="CG257" s="50" t="n"/>
      <c r="CH257" s="50" t="n"/>
      <c r="CI257" s="50" t="n"/>
      <c r="CJ257" s="50" t="n"/>
      <c r="CK257" s="50" t="n"/>
      <c r="CL257" s="50" t="n"/>
      <c r="CM257" s="50" t="n"/>
      <c r="CN257" s="50" t="n"/>
      <c r="CO257" s="50" t="n"/>
      <c r="CP257" s="50" t="n"/>
      <c r="CQ257" s="50" t="n"/>
      <c r="CR257" s="50" t="n"/>
      <c r="CS257" s="50" t="n"/>
      <c r="CT257" s="50" t="n"/>
      <c r="CU257" s="50" t="n"/>
      <c r="CV257" s="50" t="n"/>
      <c r="CW257" s="50" t="n"/>
      <c r="CX257" s="50" t="n"/>
      <c r="CY257" s="50" t="n"/>
      <c r="CZ257" s="50" t="n"/>
      <c r="DA257" s="50" t="n"/>
      <c r="DB257" s="50" t="n"/>
      <c r="DC257" s="50" t="n"/>
      <c r="DD257" s="50" t="n"/>
      <c r="DE257" s="50" t="n"/>
      <c r="DF257" s="50" t="n"/>
      <c r="DG257" s="50" t="n"/>
      <c r="DH257" s="50" t="n"/>
      <c r="DI257" s="50" t="n"/>
      <c r="DJ257" s="50" t="n"/>
      <c r="DK257" s="50" t="n"/>
      <c r="DL257" s="50" t="n"/>
      <c r="DM257" s="50" t="n"/>
      <c r="DN257" s="50" t="n"/>
      <c r="DO257" s="50" t="n"/>
      <c r="DP257" s="50" t="n"/>
      <c r="DQ257" s="50" t="n"/>
      <c r="DR257" s="50" t="n"/>
      <c r="DS257" s="50" t="n"/>
      <c r="DT257" s="50" t="n"/>
      <c r="DU257" s="50" t="n"/>
      <c r="DV257" s="50" t="n"/>
    </row>
    <row r="258">
      <c r="A258" s="47">
        <f>IF(Mitarbeiter!B258="","",Mitarbeiter!A258)</f>
        <v/>
      </c>
      <c r="B258" s="48">
        <f>IF(Mitarbeiter!B258="","",Mitarbeiter!B258)</f>
        <v/>
      </c>
      <c r="C258" s="49">
        <f>IF(Mitarbeiter!B258="","",Mitarbeiter!F258)</f>
        <v/>
      </c>
      <c r="D258" s="25">
        <f>IF(Mitarbeiter!B258="","",Berechnung!AD258)</f>
        <v/>
      </c>
      <c r="E258" s="25">
        <f>IF(Mitarbeiter!B258="","",SUM(G258:DV258))</f>
        <v/>
      </c>
      <c r="G258" s="50" t="n"/>
      <c r="H258" s="50" t="n"/>
      <c r="I258" s="50" t="n"/>
      <c r="J258" s="50" t="n"/>
      <c r="K258" s="50" t="n"/>
      <c r="L258" s="50" t="n"/>
      <c r="M258" s="50" t="n"/>
      <c r="N258" s="50" t="n"/>
      <c r="O258" s="50" t="n"/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  <c r="AB258" s="50" t="n"/>
      <c r="AC258" s="50" t="n"/>
      <c r="AD258" s="50" t="n"/>
      <c r="AE258" s="50" t="n"/>
      <c r="AF258" s="50" t="n"/>
      <c r="AG258" s="50" t="n"/>
      <c r="AH258" s="50" t="n"/>
      <c r="AI258" s="50" t="n"/>
      <c r="AJ258" s="50" t="n"/>
      <c r="AK258" s="50" t="n"/>
      <c r="AL258" s="50" t="n"/>
      <c r="AM258" s="50" t="n"/>
      <c r="AN258" s="50" t="n"/>
      <c r="AO258" s="50" t="n"/>
      <c r="AP258" s="50" t="n"/>
      <c r="AQ258" s="50" t="n"/>
      <c r="AR258" s="50" t="n"/>
      <c r="AS258" s="50" t="n"/>
      <c r="AT258" s="50" t="n"/>
      <c r="AU258" s="50" t="n"/>
      <c r="AV258" s="50" t="n"/>
      <c r="AW258" s="50" t="n"/>
      <c r="AX258" s="50" t="n"/>
      <c r="AY258" s="50" t="n"/>
      <c r="AZ258" s="50" t="n"/>
      <c r="BA258" s="50" t="n"/>
      <c r="BB258" s="50" t="n"/>
      <c r="BC258" s="50" t="n"/>
      <c r="BD258" s="50" t="n"/>
      <c r="BE258" s="50" t="n"/>
      <c r="BF258" s="50" t="n"/>
      <c r="BG258" s="50" t="n"/>
      <c r="BH258" s="50" t="n"/>
      <c r="BI258" s="50" t="n"/>
      <c r="BJ258" s="50" t="n"/>
      <c r="BK258" s="50" t="n"/>
      <c r="BL258" s="50" t="n"/>
      <c r="BM258" s="50" t="n"/>
      <c r="BN258" s="50" t="n"/>
      <c r="BO258" s="50" t="n"/>
      <c r="BP258" s="50" t="n"/>
      <c r="BQ258" s="50" t="n"/>
      <c r="BR258" s="50" t="n"/>
      <c r="BS258" s="50" t="n"/>
      <c r="BT258" s="50" t="n"/>
      <c r="BU258" s="50" t="n"/>
      <c r="BV258" s="50" t="n"/>
      <c r="BW258" s="50" t="n"/>
      <c r="BX258" s="50" t="n"/>
      <c r="BY258" s="50" t="n"/>
      <c r="BZ258" s="50" t="n"/>
      <c r="CA258" s="50" t="n"/>
      <c r="CB258" s="50" t="n"/>
      <c r="CC258" s="50" t="n"/>
      <c r="CD258" s="50" t="n"/>
      <c r="CE258" s="50" t="n"/>
      <c r="CF258" s="50" t="n"/>
      <c r="CG258" s="50" t="n"/>
      <c r="CH258" s="50" t="n"/>
      <c r="CI258" s="50" t="n"/>
      <c r="CJ258" s="50" t="n"/>
      <c r="CK258" s="50" t="n"/>
      <c r="CL258" s="50" t="n"/>
      <c r="CM258" s="50" t="n"/>
      <c r="CN258" s="50" t="n"/>
      <c r="CO258" s="50" t="n"/>
      <c r="CP258" s="50" t="n"/>
      <c r="CQ258" s="50" t="n"/>
      <c r="CR258" s="50" t="n"/>
      <c r="CS258" s="50" t="n"/>
      <c r="CT258" s="50" t="n"/>
      <c r="CU258" s="50" t="n"/>
      <c r="CV258" s="50" t="n"/>
      <c r="CW258" s="50" t="n"/>
      <c r="CX258" s="50" t="n"/>
      <c r="CY258" s="50" t="n"/>
      <c r="CZ258" s="50" t="n"/>
      <c r="DA258" s="50" t="n"/>
      <c r="DB258" s="50" t="n"/>
      <c r="DC258" s="50" t="n"/>
      <c r="DD258" s="50" t="n"/>
      <c r="DE258" s="50" t="n"/>
      <c r="DF258" s="50" t="n"/>
      <c r="DG258" s="50" t="n"/>
      <c r="DH258" s="50" t="n"/>
      <c r="DI258" s="50" t="n"/>
      <c r="DJ258" s="50" t="n"/>
      <c r="DK258" s="50" t="n"/>
      <c r="DL258" s="50" t="n"/>
      <c r="DM258" s="50" t="n"/>
      <c r="DN258" s="50" t="n"/>
      <c r="DO258" s="50" t="n"/>
      <c r="DP258" s="50" t="n"/>
      <c r="DQ258" s="50" t="n"/>
      <c r="DR258" s="50" t="n"/>
      <c r="DS258" s="50" t="n"/>
      <c r="DT258" s="50" t="n"/>
      <c r="DU258" s="50" t="n"/>
      <c r="DV258" s="50" t="n"/>
    </row>
    <row r="259">
      <c r="A259" s="47">
        <f>IF(Mitarbeiter!B259="","",Mitarbeiter!A259)</f>
        <v/>
      </c>
      <c r="B259" s="48">
        <f>IF(Mitarbeiter!B259="","",Mitarbeiter!B259)</f>
        <v/>
      </c>
      <c r="C259" s="49">
        <f>IF(Mitarbeiter!B259="","",Mitarbeiter!F259)</f>
        <v/>
      </c>
      <c r="D259" s="25">
        <f>IF(Mitarbeiter!B259="","",Berechnung!AD259)</f>
        <v/>
      </c>
      <c r="E259" s="25">
        <f>IF(Mitarbeiter!B259="","",SUM(G259:DV259))</f>
        <v/>
      </c>
      <c r="G259" s="50" t="n"/>
      <c r="H259" s="50" t="n"/>
      <c r="I259" s="50" t="n"/>
      <c r="J259" s="50" t="n"/>
      <c r="K259" s="50" t="n"/>
      <c r="L259" s="50" t="n"/>
      <c r="M259" s="50" t="n"/>
      <c r="N259" s="50" t="n"/>
      <c r="O259" s="50" t="n"/>
      <c r="P259" s="50" t="n"/>
      <c r="Q259" s="50" t="n"/>
      <c r="R259" s="50" t="n"/>
      <c r="S259" s="50" t="n"/>
      <c r="T259" s="50" t="n"/>
      <c r="U259" s="50" t="n"/>
      <c r="V259" s="50" t="n"/>
      <c r="W259" s="50" t="n"/>
      <c r="X259" s="50" t="n"/>
      <c r="Y259" s="50" t="n"/>
      <c r="Z259" s="50" t="n"/>
      <c r="AA259" s="50" t="n"/>
      <c r="AB259" s="50" t="n"/>
      <c r="AC259" s="50" t="n"/>
      <c r="AD259" s="50" t="n"/>
      <c r="AE259" s="50" t="n"/>
      <c r="AF259" s="50" t="n"/>
      <c r="AG259" s="50" t="n"/>
      <c r="AH259" s="50" t="n"/>
      <c r="AI259" s="50" t="n"/>
      <c r="AJ259" s="50" t="n"/>
      <c r="AK259" s="50" t="n"/>
      <c r="AL259" s="50" t="n"/>
      <c r="AM259" s="50" t="n"/>
      <c r="AN259" s="50" t="n"/>
      <c r="AO259" s="50" t="n"/>
      <c r="AP259" s="50" t="n"/>
      <c r="AQ259" s="50" t="n"/>
      <c r="AR259" s="50" t="n"/>
      <c r="AS259" s="50" t="n"/>
      <c r="AT259" s="50" t="n"/>
      <c r="AU259" s="50" t="n"/>
      <c r="AV259" s="50" t="n"/>
      <c r="AW259" s="50" t="n"/>
      <c r="AX259" s="50" t="n"/>
      <c r="AY259" s="50" t="n"/>
      <c r="AZ259" s="50" t="n"/>
      <c r="BA259" s="50" t="n"/>
      <c r="BB259" s="50" t="n"/>
      <c r="BC259" s="50" t="n"/>
      <c r="BD259" s="50" t="n"/>
      <c r="BE259" s="50" t="n"/>
      <c r="BF259" s="50" t="n"/>
      <c r="BG259" s="50" t="n"/>
      <c r="BH259" s="50" t="n"/>
      <c r="BI259" s="50" t="n"/>
      <c r="BJ259" s="50" t="n"/>
      <c r="BK259" s="50" t="n"/>
      <c r="BL259" s="50" t="n"/>
      <c r="BM259" s="50" t="n"/>
      <c r="BN259" s="50" t="n"/>
      <c r="BO259" s="50" t="n"/>
      <c r="BP259" s="50" t="n"/>
      <c r="BQ259" s="50" t="n"/>
      <c r="BR259" s="50" t="n"/>
      <c r="BS259" s="50" t="n"/>
      <c r="BT259" s="50" t="n"/>
      <c r="BU259" s="50" t="n"/>
      <c r="BV259" s="50" t="n"/>
      <c r="BW259" s="50" t="n"/>
      <c r="BX259" s="50" t="n"/>
      <c r="BY259" s="50" t="n"/>
      <c r="BZ259" s="50" t="n"/>
      <c r="CA259" s="50" t="n"/>
      <c r="CB259" s="50" t="n"/>
      <c r="CC259" s="50" t="n"/>
      <c r="CD259" s="50" t="n"/>
      <c r="CE259" s="50" t="n"/>
      <c r="CF259" s="50" t="n"/>
      <c r="CG259" s="50" t="n"/>
      <c r="CH259" s="50" t="n"/>
      <c r="CI259" s="50" t="n"/>
      <c r="CJ259" s="50" t="n"/>
      <c r="CK259" s="50" t="n"/>
      <c r="CL259" s="50" t="n"/>
      <c r="CM259" s="50" t="n"/>
      <c r="CN259" s="50" t="n"/>
      <c r="CO259" s="50" t="n"/>
      <c r="CP259" s="50" t="n"/>
      <c r="CQ259" s="50" t="n"/>
      <c r="CR259" s="50" t="n"/>
      <c r="CS259" s="50" t="n"/>
      <c r="CT259" s="50" t="n"/>
      <c r="CU259" s="50" t="n"/>
      <c r="CV259" s="50" t="n"/>
      <c r="CW259" s="50" t="n"/>
      <c r="CX259" s="50" t="n"/>
      <c r="CY259" s="50" t="n"/>
      <c r="CZ259" s="50" t="n"/>
      <c r="DA259" s="50" t="n"/>
      <c r="DB259" s="50" t="n"/>
      <c r="DC259" s="50" t="n"/>
      <c r="DD259" s="50" t="n"/>
      <c r="DE259" s="50" t="n"/>
      <c r="DF259" s="50" t="n"/>
      <c r="DG259" s="50" t="n"/>
      <c r="DH259" s="50" t="n"/>
      <c r="DI259" s="50" t="n"/>
      <c r="DJ259" s="50" t="n"/>
      <c r="DK259" s="50" t="n"/>
      <c r="DL259" s="50" t="n"/>
      <c r="DM259" s="50" t="n"/>
      <c r="DN259" s="50" t="n"/>
      <c r="DO259" s="50" t="n"/>
      <c r="DP259" s="50" t="n"/>
      <c r="DQ259" s="50" t="n"/>
      <c r="DR259" s="50" t="n"/>
      <c r="DS259" s="50" t="n"/>
      <c r="DT259" s="50" t="n"/>
      <c r="DU259" s="50" t="n"/>
      <c r="DV259" s="50" t="n"/>
    </row>
    <row r="260">
      <c r="A260" s="47">
        <f>IF(Mitarbeiter!B260="","",Mitarbeiter!A260)</f>
        <v/>
      </c>
      <c r="B260" s="48">
        <f>IF(Mitarbeiter!B260="","",Mitarbeiter!B260)</f>
        <v/>
      </c>
      <c r="C260" s="49">
        <f>IF(Mitarbeiter!B260="","",Mitarbeiter!F260)</f>
        <v/>
      </c>
      <c r="D260" s="25">
        <f>IF(Mitarbeiter!B260="","",Berechnung!AD260)</f>
        <v/>
      </c>
      <c r="E260" s="25">
        <f>IF(Mitarbeiter!B260="","",SUM(G260:DV260))</f>
        <v/>
      </c>
      <c r="G260" s="50" t="n"/>
      <c r="H260" s="50" t="n"/>
      <c r="I260" s="50" t="n"/>
      <c r="J260" s="50" t="n"/>
      <c r="K260" s="50" t="n"/>
      <c r="L260" s="50" t="n"/>
      <c r="M260" s="50" t="n"/>
      <c r="N260" s="50" t="n"/>
      <c r="O260" s="50" t="n"/>
      <c r="P260" s="50" t="n"/>
      <c r="Q260" s="50" t="n"/>
      <c r="R260" s="50" t="n"/>
      <c r="S260" s="50" t="n"/>
      <c r="T260" s="50" t="n"/>
      <c r="U260" s="50" t="n"/>
      <c r="V260" s="50" t="n"/>
      <c r="W260" s="50" t="n"/>
      <c r="X260" s="50" t="n"/>
      <c r="Y260" s="50" t="n"/>
      <c r="Z260" s="50" t="n"/>
      <c r="AA260" s="50" t="n"/>
      <c r="AB260" s="50" t="n"/>
      <c r="AC260" s="50" t="n"/>
      <c r="AD260" s="50" t="n"/>
      <c r="AE260" s="50" t="n"/>
      <c r="AF260" s="50" t="n"/>
      <c r="AG260" s="50" t="n"/>
      <c r="AH260" s="50" t="n"/>
      <c r="AI260" s="50" t="n"/>
      <c r="AJ260" s="50" t="n"/>
      <c r="AK260" s="50" t="n"/>
      <c r="AL260" s="50" t="n"/>
      <c r="AM260" s="50" t="n"/>
      <c r="AN260" s="50" t="n"/>
      <c r="AO260" s="50" t="n"/>
      <c r="AP260" s="50" t="n"/>
      <c r="AQ260" s="50" t="n"/>
      <c r="AR260" s="50" t="n"/>
      <c r="AS260" s="50" t="n"/>
      <c r="AT260" s="50" t="n"/>
      <c r="AU260" s="50" t="n"/>
      <c r="AV260" s="50" t="n"/>
      <c r="AW260" s="50" t="n"/>
      <c r="AX260" s="50" t="n"/>
      <c r="AY260" s="50" t="n"/>
      <c r="AZ260" s="50" t="n"/>
      <c r="BA260" s="50" t="n"/>
      <c r="BB260" s="50" t="n"/>
      <c r="BC260" s="50" t="n"/>
      <c r="BD260" s="50" t="n"/>
      <c r="BE260" s="50" t="n"/>
      <c r="BF260" s="50" t="n"/>
      <c r="BG260" s="50" t="n"/>
      <c r="BH260" s="50" t="n"/>
      <c r="BI260" s="50" t="n"/>
      <c r="BJ260" s="50" t="n"/>
      <c r="BK260" s="50" t="n"/>
      <c r="BL260" s="50" t="n"/>
      <c r="BM260" s="50" t="n"/>
      <c r="BN260" s="50" t="n"/>
      <c r="BO260" s="50" t="n"/>
      <c r="BP260" s="50" t="n"/>
      <c r="BQ260" s="50" t="n"/>
      <c r="BR260" s="50" t="n"/>
      <c r="BS260" s="50" t="n"/>
      <c r="BT260" s="50" t="n"/>
      <c r="BU260" s="50" t="n"/>
      <c r="BV260" s="50" t="n"/>
      <c r="BW260" s="50" t="n"/>
      <c r="BX260" s="50" t="n"/>
      <c r="BY260" s="50" t="n"/>
      <c r="BZ260" s="50" t="n"/>
      <c r="CA260" s="50" t="n"/>
      <c r="CB260" s="50" t="n"/>
      <c r="CC260" s="50" t="n"/>
      <c r="CD260" s="50" t="n"/>
      <c r="CE260" s="50" t="n"/>
      <c r="CF260" s="50" t="n"/>
      <c r="CG260" s="50" t="n"/>
      <c r="CH260" s="50" t="n"/>
      <c r="CI260" s="50" t="n"/>
      <c r="CJ260" s="50" t="n"/>
      <c r="CK260" s="50" t="n"/>
      <c r="CL260" s="50" t="n"/>
      <c r="CM260" s="50" t="n"/>
      <c r="CN260" s="50" t="n"/>
      <c r="CO260" s="50" t="n"/>
      <c r="CP260" s="50" t="n"/>
      <c r="CQ260" s="50" t="n"/>
      <c r="CR260" s="50" t="n"/>
      <c r="CS260" s="50" t="n"/>
      <c r="CT260" s="50" t="n"/>
      <c r="CU260" s="50" t="n"/>
      <c r="CV260" s="50" t="n"/>
      <c r="CW260" s="50" t="n"/>
      <c r="CX260" s="50" t="n"/>
      <c r="CY260" s="50" t="n"/>
      <c r="CZ260" s="50" t="n"/>
      <c r="DA260" s="50" t="n"/>
      <c r="DB260" s="50" t="n"/>
      <c r="DC260" s="50" t="n"/>
      <c r="DD260" s="50" t="n"/>
      <c r="DE260" s="50" t="n"/>
      <c r="DF260" s="50" t="n"/>
      <c r="DG260" s="50" t="n"/>
      <c r="DH260" s="50" t="n"/>
      <c r="DI260" s="50" t="n"/>
      <c r="DJ260" s="50" t="n"/>
      <c r="DK260" s="50" t="n"/>
      <c r="DL260" s="50" t="n"/>
      <c r="DM260" s="50" t="n"/>
      <c r="DN260" s="50" t="n"/>
      <c r="DO260" s="50" t="n"/>
      <c r="DP260" s="50" t="n"/>
      <c r="DQ260" s="50" t="n"/>
      <c r="DR260" s="50" t="n"/>
      <c r="DS260" s="50" t="n"/>
      <c r="DT260" s="50" t="n"/>
      <c r="DU260" s="50" t="n"/>
      <c r="DV260" s="50" t="n"/>
    </row>
    <row r="261">
      <c r="A261" s="47">
        <f>IF(Mitarbeiter!B261="","",Mitarbeiter!A261)</f>
        <v/>
      </c>
      <c r="B261" s="48">
        <f>IF(Mitarbeiter!B261="","",Mitarbeiter!B261)</f>
        <v/>
      </c>
      <c r="C261" s="49">
        <f>IF(Mitarbeiter!B261="","",Mitarbeiter!F261)</f>
        <v/>
      </c>
      <c r="D261" s="25">
        <f>IF(Mitarbeiter!B261="","",Berechnung!AD261)</f>
        <v/>
      </c>
      <c r="E261" s="25">
        <f>IF(Mitarbeiter!B261="","",SUM(G261:DV261))</f>
        <v/>
      </c>
      <c r="G261" s="50" t="n"/>
      <c r="H261" s="50" t="n"/>
      <c r="I261" s="50" t="n"/>
      <c r="J261" s="50" t="n"/>
      <c r="K261" s="50" t="n"/>
      <c r="L261" s="50" t="n"/>
      <c r="M261" s="50" t="n"/>
      <c r="N261" s="50" t="n"/>
      <c r="O261" s="50" t="n"/>
      <c r="P261" s="50" t="n"/>
      <c r="Q261" s="50" t="n"/>
      <c r="R261" s="50" t="n"/>
      <c r="S261" s="50" t="n"/>
      <c r="T261" s="50" t="n"/>
      <c r="U261" s="50" t="n"/>
      <c r="V261" s="50" t="n"/>
      <c r="W261" s="50" t="n"/>
      <c r="X261" s="50" t="n"/>
      <c r="Y261" s="50" t="n"/>
      <c r="Z261" s="50" t="n"/>
      <c r="AA261" s="50" t="n"/>
      <c r="AB261" s="50" t="n"/>
      <c r="AC261" s="50" t="n"/>
      <c r="AD261" s="50" t="n"/>
      <c r="AE261" s="50" t="n"/>
      <c r="AF261" s="50" t="n"/>
      <c r="AG261" s="50" t="n"/>
      <c r="AH261" s="50" t="n"/>
      <c r="AI261" s="50" t="n"/>
      <c r="AJ261" s="50" t="n"/>
      <c r="AK261" s="50" t="n"/>
      <c r="AL261" s="50" t="n"/>
      <c r="AM261" s="50" t="n"/>
      <c r="AN261" s="50" t="n"/>
      <c r="AO261" s="50" t="n"/>
      <c r="AP261" s="50" t="n"/>
      <c r="AQ261" s="50" t="n"/>
      <c r="AR261" s="50" t="n"/>
      <c r="AS261" s="50" t="n"/>
      <c r="AT261" s="50" t="n"/>
      <c r="AU261" s="50" t="n"/>
      <c r="AV261" s="50" t="n"/>
      <c r="AW261" s="50" t="n"/>
      <c r="AX261" s="50" t="n"/>
      <c r="AY261" s="50" t="n"/>
      <c r="AZ261" s="50" t="n"/>
      <c r="BA261" s="50" t="n"/>
      <c r="BB261" s="50" t="n"/>
      <c r="BC261" s="50" t="n"/>
      <c r="BD261" s="50" t="n"/>
      <c r="BE261" s="50" t="n"/>
      <c r="BF261" s="50" t="n"/>
      <c r="BG261" s="50" t="n"/>
      <c r="BH261" s="50" t="n"/>
      <c r="BI261" s="50" t="n"/>
      <c r="BJ261" s="50" t="n"/>
      <c r="BK261" s="50" t="n"/>
      <c r="BL261" s="50" t="n"/>
      <c r="BM261" s="50" t="n"/>
      <c r="BN261" s="50" t="n"/>
      <c r="BO261" s="50" t="n"/>
      <c r="BP261" s="50" t="n"/>
      <c r="BQ261" s="50" t="n"/>
      <c r="BR261" s="50" t="n"/>
      <c r="BS261" s="50" t="n"/>
      <c r="BT261" s="50" t="n"/>
      <c r="BU261" s="50" t="n"/>
      <c r="BV261" s="50" t="n"/>
      <c r="BW261" s="50" t="n"/>
      <c r="BX261" s="50" t="n"/>
      <c r="BY261" s="50" t="n"/>
      <c r="BZ261" s="50" t="n"/>
      <c r="CA261" s="50" t="n"/>
      <c r="CB261" s="50" t="n"/>
      <c r="CC261" s="50" t="n"/>
      <c r="CD261" s="50" t="n"/>
      <c r="CE261" s="50" t="n"/>
      <c r="CF261" s="50" t="n"/>
      <c r="CG261" s="50" t="n"/>
      <c r="CH261" s="50" t="n"/>
      <c r="CI261" s="50" t="n"/>
      <c r="CJ261" s="50" t="n"/>
      <c r="CK261" s="50" t="n"/>
      <c r="CL261" s="50" t="n"/>
      <c r="CM261" s="50" t="n"/>
      <c r="CN261" s="50" t="n"/>
      <c r="CO261" s="50" t="n"/>
      <c r="CP261" s="50" t="n"/>
      <c r="CQ261" s="50" t="n"/>
      <c r="CR261" s="50" t="n"/>
      <c r="CS261" s="50" t="n"/>
      <c r="CT261" s="50" t="n"/>
      <c r="CU261" s="50" t="n"/>
      <c r="CV261" s="50" t="n"/>
      <c r="CW261" s="50" t="n"/>
      <c r="CX261" s="50" t="n"/>
      <c r="CY261" s="50" t="n"/>
      <c r="CZ261" s="50" t="n"/>
      <c r="DA261" s="50" t="n"/>
      <c r="DB261" s="50" t="n"/>
      <c r="DC261" s="50" t="n"/>
      <c r="DD261" s="50" t="n"/>
      <c r="DE261" s="50" t="n"/>
      <c r="DF261" s="50" t="n"/>
      <c r="DG261" s="50" t="n"/>
      <c r="DH261" s="50" t="n"/>
      <c r="DI261" s="50" t="n"/>
      <c r="DJ261" s="50" t="n"/>
      <c r="DK261" s="50" t="n"/>
      <c r="DL261" s="50" t="n"/>
      <c r="DM261" s="50" t="n"/>
      <c r="DN261" s="50" t="n"/>
      <c r="DO261" s="50" t="n"/>
      <c r="DP261" s="50" t="n"/>
      <c r="DQ261" s="50" t="n"/>
      <c r="DR261" s="50" t="n"/>
      <c r="DS261" s="50" t="n"/>
      <c r="DT261" s="50" t="n"/>
      <c r="DU261" s="50" t="n"/>
      <c r="DV261" s="50" t="n"/>
    </row>
    <row r="262">
      <c r="A262" s="47">
        <f>IF(Mitarbeiter!B262="","",Mitarbeiter!A262)</f>
        <v/>
      </c>
      <c r="B262" s="48">
        <f>IF(Mitarbeiter!B262="","",Mitarbeiter!B262)</f>
        <v/>
      </c>
      <c r="C262" s="49">
        <f>IF(Mitarbeiter!B262="","",Mitarbeiter!F262)</f>
        <v/>
      </c>
      <c r="D262" s="25">
        <f>IF(Mitarbeiter!B262="","",Berechnung!AD262)</f>
        <v/>
      </c>
      <c r="E262" s="25">
        <f>IF(Mitarbeiter!B262="","",SUM(G262:DV262))</f>
        <v/>
      </c>
      <c r="G262" s="50" t="n"/>
      <c r="H262" s="50" t="n"/>
      <c r="I262" s="50" t="n"/>
      <c r="J262" s="50" t="n"/>
      <c r="K262" s="50" t="n"/>
      <c r="L262" s="50" t="n"/>
      <c r="M262" s="50" t="n"/>
      <c r="N262" s="50" t="n"/>
      <c r="O262" s="50" t="n"/>
      <c r="P262" s="50" t="n"/>
      <c r="Q262" s="50" t="n"/>
      <c r="R262" s="50" t="n"/>
      <c r="S262" s="50" t="n"/>
      <c r="T262" s="50" t="n"/>
      <c r="U262" s="50" t="n"/>
      <c r="V262" s="50" t="n"/>
      <c r="W262" s="50" t="n"/>
      <c r="X262" s="50" t="n"/>
      <c r="Y262" s="50" t="n"/>
      <c r="Z262" s="50" t="n"/>
      <c r="AA262" s="50" t="n"/>
      <c r="AB262" s="50" t="n"/>
      <c r="AC262" s="50" t="n"/>
      <c r="AD262" s="50" t="n"/>
      <c r="AE262" s="50" t="n"/>
      <c r="AF262" s="50" t="n"/>
      <c r="AG262" s="50" t="n"/>
      <c r="AH262" s="50" t="n"/>
      <c r="AI262" s="50" t="n"/>
      <c r="AJ262" s="50" t="n"/>
      <c r="AK262" s="50" t="n"/>
      <c r="AL262" s="50" t="n"/>
      <c r="AM262" s="50" t="n"/>
      <c r="AN262" s="50" t="n"/>
      <c r="AO262" s="50" t="n"/>
      <c r="AP262" s="50" t="n"/>
      <c r="AQ262" s="50" t="n"/>
      <c r="AR262" s="50" t="n"/>
      <c r="AS262" s="50" t="n"/>
      <c r="AT262" s="50" t="n"/>
      <c r="AU262" s="50" t="n"/>
      <c r="AV262" s="50" t="n"/>
      <c r="AW262" s="50" t="n"/>
      <c r="AX262" s="50" t="n"/>
      <c r="AY262" s="50" t="n"/>
      <c r="AZ262" s="50" t="n"/>
      <c r="BA262" s="50" t="n"/>
      <c r="BB262" s="50" t="n"/>
      <c r="BC262" s="50" t="n"/>
      <c r="BD262" s="50" t="n"/>
      <c r="BE262" s="50" t="n"/>
      <c r="BF262" s="50" t="n"/>
      <c r="BG262" s="50" t="n"/>
      <c r="BH262" s="50" t="n"/>
      <c r="BI262" s="50" t="n"/>
      <c r="BJ262" s="50" t="n"/>
      <c r="BK262" s="50" t="n"/>
      <c r="BL262" s="50" t="n"/>
      <c r="BM262" s="50" t="n"/>
      <c r="BN262" s="50" t="n"/>
      <c r="BO262" s="50" t="n"/>
      <c r="BP262" s="50" t="n"/>
      <c r="BQ262" s="50" t="n"/>
      <c r="BR262" s="50" t="n"/>
      <c r="BS262" s="50" t="n"/>
      <c r="BT262" s="50" t="n"/>
      <c r="BU262" s="50" t="n"/>
      <c r="BV262" s="50" t="n"/>
      <c r="BW262" s="50" t="n"/>
      <c r="BX262" s="50" t="n"/>
      <c r="BY262" s="50" t="n"/>
      <c r="BZ262" s="50" t="n"/>
      <c r="CA262" s="50" t="n"/>
      <c r="CB262" s="50" t="n"/>
      <c r="CC262" s="50" t="n"/>
      <c r="CD262" s="50" t="n"/>
      <c r="CE262" s="50" t="n"/>
      <c r="CF262" s="50" t="n"/>
      <c r="CG262" s="50" t="n"/>
      <c r="CH262" s="50" t="n"/>
      <c r="CI262" s="50" t="n"/>
      <c r="CJ262" s="50" t="n"/>
      <c r="CK262" s="50" t="n"/>
      <c r="CL262" s="50" t="n"/>
      <c r="CM262" s="50" t="n"/>
      <c r="CN262" s="50" t="n"/>
      <c r="CO262" s="50" t="n"/>
      <c r="CP262" s="50" t="n"/>
      <c r="CQ262" s="50" t="n"/>
      <c r="CR262" s="50" t="n"/>
      <c r="CS262" s="50" t="n"/>
      <c r="CT262" s="50" t="n"/>
      <c r="CU262" s="50" t="n"/>
      <c r="CV262" s="50" t="n"/>
      <c r="CW262" s="50" t="n"/>
      <c r="CX262" s="50" t="n"/>
      <c r="CY262" s="50" t="n"/>
      <c r="CZ262" s="50" t="n"/>
      <c r="DA262" s="50" t="n"/>
      <c r="DB262" s="50" t="n"/>
      <c r="DC262" s="50" t="n"/>
      <c r="DD262" s="50" t="n"/>
      <c r="DE262" s="50" t="n"/>
      <c r="DF262" s="50" t="n"/>
      <c r="DG262" s="50" t="n"/>
      <c r="DH262" s="50" t="n"/>
      <c r="DI262" s="50" t="n"/>
      <c r="DJ262" s="50" t="n"/>
      <c r="DK262" s="50" t="n"/>
      <c r="DL262" s="50" t="n"/>
      <c r="DM262" s="50" t="n"/>
      <c r="DN262" s="50" t="n"/>
      <c r="DO262" s="50" t="n"/>
      <c r="DP262" s="50" t="n"/>
      <c r="DQ262" s="50" t="n"/>
      <c r="DR262" s="50" t="n"/>
      <c r="DS262" s="50" t="n"/>
      <c r="DT262" s="50" t="n"/>
      <c r="DU262" s="50" t="n"/>
      <c r="DV262" s="50" t="n"/>
    </row>
    <row r="263">
      <c r="A263" s="47">
        <f>IF(Mitarbeiter!B263="","",Mitarbeiter!A263)</f>
        <v/>
      </c>
      <c r="B263" s="48">
        <f>IF(Mitarbeiter!B263="","",Mitarbeiter!B263)</f>
        <v/>
      </c>
      <c r="C263" s="49">
        <f>IF(Mitarbeiter!B263="","",Mitarbeiter!F263)</f>
        <v/>
      </c>
      <c r="D263" s="25">
        <f>IF(Mitarbeiter!B263="","",Berechnung!AD263)</f>
        <v/>
      </c>
      <c r="E263" s="25">
        <f>IF(Mitarbeiter!B263="","",SUM(G263:DV263))</f>
        <v/>
      </c>
      <c r="G263" s="50" t="n"/>
      <c r="H263" s="50" t="n"/>
      <c r="I263" s="50" t="n"/>
      <c r="J263" s="50" t="n"/>
      <c r="K263" s="50" t="n"/>
      <c r="L263" s="50" t="n"/>
      <c r="M263" s="50" t="n"/>
      <c r="N263" s="50" t="n"/>
      <c r="O263" s="50" t="n"/>
      <c r="P263" s="50" t="n"/>
      <c r="Q263" s="50" t="n"/>
      <c r="R263" s="50" t="n"/>
      <c r="S263" s="50" t="n"/>
      <c r="T263" s="50" t="n"/>
      <c r="U263" s="50" t="n"/>
      <c r="V263" s="50" t="n"/>
      <c r="W263" s="50" t="n"/>
      <c r="X263" s="50" t="n"/>
      <c r="Y263" s="50" t="n"/>
      <c r="Z263" s="50" t="n"/>
      <c r="AA263" s="50" t="n"/>
      <c r="AB263" s="50" t="n"/>
      <c r="AC263" s="50" t="n"/>
      <c r="AD263" s="50" t="n"/>
      <c r="AE263" s="50" t="n"/>
      <c r="AF263" s="50" t="n"/>
      <c r="AG263" s="50" t="n"/>
      <c r="AH263" s="50" t="n"/>
      <c r="AI263" s="50" t="n"/>
      <c r="AJ263" s="50" t="n"/>
      <c r="AK263" s="50" t="n"/>
      <c r="AL263" s="50" t="n"/>
      <c r="AM263" s="50" t="n"/>
      <c r="AN263" s="50" t="n"/>
      <c r="AO263" s="50" t="n"/>
      <c r="AP263" s="50" t="n"/>
      <c r="AQ263" s="50" t="n"/>
      <c r="AR263" s="50" t="n"/>
      <c r="AS263" s="50" t="n"/>
      <c r="AT263" s="50" t="n"/>
      <c r="AU263" s="50" t="n"/>
      <c r="AV263" s="50" t="n"/>
      <c r="AW263" s="50" t="n"/>
      <c r="AX263" s="50" t="n"/>
      <c r="AY263" s="50" t="n"/>
      <c r="AZ263" s="50" t="n"/>
      <c r="BA263" s="50" t="n"/>
      <c r="BB263" s="50" t="n"/>
      <c r="BC263" s="50" t="n"/>
      <c r="BD263" s="50" t="n"/>
      <c r="BE263" s="50" t="n"/>
      <c r="BF263" s="50" t="n"/>
      <c r="BG263" s="50" t="n"/>
      <c r="BH263" s="50" t="n"/>
      <c r="BI263" s="50" t="n"/>
      <c r="BJ263" s="50" t="n"/>
      <c r="BK263" s="50" t="n"/>
      <c r="BL263" s="50" t="n"/>
      <c r="BM263" s="50" t="n"/>
      <c r="BN263" s="50" t="n"/>
      <c r="BO263" s="50" t="n"/>
      <c r="BP263" s="50" t="n"/>
      <c r="BQ263" s="50" t="n"/>
      <c r="BR263" s="50" t="n"/>
      <c r="BS263" s="50" t="n"/>
      <c r="BT263" s="50" t="n"/>
      <c r="BU263" s="50" t="n"/>
      <c r="BV263" s="50" t="n"/>
      <c r="BW263" s="50" t="n"/>
      <c r="BX263" s="50" t="n"/>
      <c r="BY263" s="50" t="n"/>
      <c r="BZ263" s="50" t="n"/>
      <c r="CA263" s="50" t="n"/>
      <c r="CB263" s="50" t="n"/>
      <c r="CC263" s="50" t="n"/>
      <c r="CD263" s="50" t="n"/>
      <c r="CE263" s="50" t="n"/>
      <c r="CF263" s="50" t="n"/>
      <c r="CG263" s="50" t="n"/>
      <c r="CH263" s="50" t="n"/>
      <c r="CI263" s="50" t="n"/>
      <c r="CJ263" s="50" t="n"/>
      <c r="CK263" s="50" t="n"/>
      <c r="CL263" s="50" t="n"/>
      <c r="CM263" s="50" t="n"/>
      <c r="CN263" s="50" t="n"/>
      <c r="CO263" s="50" t="n"/>
      <c r="CP263" s="50" t="n"/>
      <c r="CQ263" s="50" t="n"/>
      <c r="CR263" s="50" t="n"/>
      <c r="CS263" s="50" t="n"/>
      <c r="CT263" s="50" t="n"/>
      <c r="CU263" s="50" t="n"/>
      <c r="CV263" s="50" t="n"/>
      <c r="CW263" s="50" t="n"/>
      <c r="CX263" s="50" t="n"/>
      <c r="CY263" s="50" t="n"/>
      <c r="CZ263" s="50" t="n"/>
      <c r="DA263" s="50" t="n"/>
      <c r="DB263" s="50" t="n"/>
      <c r="DC263" s="50" t="n"/>
      <c r="DD263" s="50" t="n"/>
      <c r="DE263" s="50" t="n"/>
      <c r="DF263" s="50" t="n"/>
      <c r="DG263" s="50" t="n"/>
      <c r="DH263" s="50" t="n"/>
      <c r="DI263" s="50" t="n"/>
      <c r="DJ263" s="50" t="n"/>
      <c r="DK263" s="50" t="n"/>
      <c r="DL263" s="50" t="n"/>
      <c r="DM263" s="50" t="n"/>
      <c r="DN263" s="50" t="n"/>
      <c r="DO263" s="50" t="n"/>
      <c r="DP263" s="50" t="n"/>
      <c r="DQ263" s="50" t="n"/>
      <c r="DR263" s="50" t="n"/>
      <c r="DS263" s="50" t="n"/>
      <c r="DT263" s="50" t="n"/>
      <c r="DU263" s="50" t="n"/>
      <c r="DV263" s="50" t="n"/>
    </row>
    <row r="264">
      <c r="A264" s="47">
        <f>IF(Mitarbeiter!B264="","",Mitarbeiter!A264)</f>
        <v/>
      </c>
      <c r="B264" s="48">
        <f>IF(Mitarbeiter!B264="","",Mitarbeiter!B264)</f>
        <v/>
      </c>
      <c r="C264" s="49">
        <f>IF(Mitarbeiter!B264="","",Mitarbeiter!F264)</f>
        <v/>
      </c>
      <c r="D264" s="25">
        <f>IF(Mitarbeiter!B264="","",Berechnung!AD264)</f>
        <v/>
      </c>
      <c r="E264" s="25">
        <f>IF(Mitarbeiter!B264="","",SUM(G264:DV264))</f>
        <v/>
      </c>
      <c r="G264" s="50" t="n"/>
      <c r="H264" s="50" t="n"/>
      <c r="I264" s="50" t="n"/>
      <c r="J264" s="50" t="n"/>
      <c r="K264" s="50" t="n"/>
      <c r="L264" s="50" t="n"/>
      <c r="M264" s="50" t="n"/>
      <c r="N264" s="50" t="n"/>
      <c r="O264" s="50" t="n"/>
      <c r="P264" s="50" t="n"/>
      <c r="Q264" s="50" t="n"/>
      <c r="R264" s="50" t="n"/>
      <c r="S264" s="50" t="n"/>
      <c r="T264" s="50" t="n"/>
      <c r="U264" s="50" t="n"/>
      <c r="V264" s="50" t="n"/>
      <c r="W264" s="50" t="n"/>
      <c r="X264" s="50" t="n"/>
      <c r="Y264" s="50" t="n"/>
      <c r="Z264" s="50" t="n"/>
      <c r="AA264" s="50" t="n"/>
      <c r="AB264" s="50" t="n"/>
      <c r="AC264" s="50" t="n"/>
      <c r="AD264" s="50" t="n"/>
      <c r="AE264" s="50" t="n"/>
      <c r="AF264" s="50" t="n"/>
      <c r="AG264" s="50" t="n"/>
      <c r="AH264" s="50" t="n"/>
      <c r="AI264" s="50" t="n"/>
      <c r="AJ264" s="50" t="n"/>
      <c r="AK264" s="50" t="n"/>
      <c r="AL264" s="50" t="n"/>
      <c r="AM264" s="50" t="n"/>
      <c r="AN264" s="50" t="n"/>
      <c r="AO264" s="50" t="n"/>
      <c r="AP264" s="50" t="n"/>
      <c r="AQ264" s="50" t="n"/>
      <c r="AR264" s="50" t="n"/>
      <c r="AS264" s="50" t="n"/>
      <c r="AT264" s="50" t="n"/>
      <c r="AU264" s="50" t="n"/>
      <c r="AV264" s="50" t="n"/>
      <c r="AW264" s="50" t="n"/>
      <c r="AX264" s="50" t="n"/>
      <c r="AY264" s="50" t="n"/>
      <c r="AZ264" s="50" t="n"/>
      <c r="BA264" s="50" t="n"/>
      <c r="BB264" s="50" t="n"/>
      <c r="BC264" s="50" t="n"/>
      <c r="BD264" s="50" t="n"/>
      <c r="BE264" s="50" t="n"/>
      <c r="BF264" s="50" t="n"/>
      <c r="BG264" s="50" t="n"/>
      <c r="BH264" s="50" t="n"/>
      <c r="BI264" s="50" t="n"/>
      <c r="BJ264" s="50" t="n"/>
      <c r="BK264" s="50" t="n"/>
      <c r="BL264" s="50" t="n"/>
      <c r="BM264" s="50" t="n"/>
      <c r="BN264" s="50" t="n"/>
      <c r="BO264" s="50" t="n"/>
      <c r="BP264" s="50" t="n"/>
      <c r="BQ264" s="50" t="n"/>
      <c r="BR264" s="50" t="n"/>
      <c r="BS264" s="50" t="n"/>
      <c r="BT264" s="50" t="n"/>
      <c r="BU264" s="50" t="n"/>
      <c r="BV264" s="50" t="n"/>
      <c r="BW264" s="50" t="n"/>
      <c r="BX264" s="50" t="n"/>
      <c r="BY264" s="50" t="n"/>
      <c r="BZ264" s="50" t="n"/>
      <c r="CA264" s="50" t="n"/>
      <c r="CB264" s="50" t="n"/>
      <c r="CC264" s="50" t="n"/>
      <c r="CD264" s="50" t="n"/>
      <c r="CE264" s="50" t="n"/>
      <c r="CF264" s="50" t="n"/>
      <c r="CG264" s="50" t="n"/>
      <c r="CH264" s="50" t="n"/>
      <c r="CI264" s="50" t="n"/>
      <c r="CJ264" s="50" t="n"/>
      <c r="CK264" s="50" t="n"/>
      <c r="CL264" s="50" t="n"/>
      <c r="CM264" s="50" t="n"/>
      <c r="CN264" s="50" t="n"/>
      <c r="CO264" s="50" t="n"/>
      <c r="CP264" s="50" t="n"/>
      <c r="CQ264" s="50" t="n"/>
      <c r="CR264" s="50" t="n"/>
      <c r="CS264" s="50" t="n"/>
      <c r="CT264" s="50" t="n"/>
      <c r="CU264" s="50" t="n"/>
      <c r="CV264" s="50" t="n"/>
      <c r="CW264" s="50" t="n"/>
      <c r="CX264" s="50" t="n"/>
      <c r="CY264" s="50" t="n"/>
      <c r="CZ264" s="50" t="n"/>
      <c r="DA264" s="50" t="n"/>
      <c r="DB264" s="50" t="n"/>
      <c r="DC264" s="50" t="n"/>
      <c r="DD264" s="50" t="n"/>
      <c r="DE264" s="50" t="n"/>
      <c r="DF264" s="50" t="n"/>
      <c r="DG264" s="50" t="n"/>
      <c r="DH264" s="50" t="n"/>
      <c r="DI264" s="50" t="n"/>
      <c r="DJ264" s="50" t="n"/>
      <c r="DK264" s="50" t="n"/>
      <c r="DL264" s="50" t="n"/>
      <c r="DM264" s="50" t="n"/>
      <c r="DN264" s="50" t="n"/>
      <c r="DO264" s="50" t="n"/>
      <c r="DP264" s="50" t="n"/>
      <c r="DQ264" s="50" t="n"/>
      <c r="DR264" s="50" t="n"/>
      <c r="DS264" s="50" t="n"/>
      <c r="DT264" s="50" t="n"/>
      <c r="DU264" s="50" t="n"/>
      <c r="DV264" s="50" t="n"/>
    </row>
    <row r="265">
      <c r="A265" s="47">
        <f>IF(Mitarbeiter!B265="","",Mitarbeiter!A265)</f>
        <v/>
      </c>
      <c r="B265" s="48">
        <f>IF(Mitarbeiter!B265="","",Mitarbeiter!B265)</f>
        <v/>
      </c>
      <c r="C265" s="49">
        <f>IF(Mitarbeiter!B265="","",Mitarbeiter!F265)</f>
        <v/>
      </c>
      <c r="D265" s="25">
        <f>IF(Mitarbeiter!B265="","",Berechnung!AD265)</f>
        <v/>
      </c>
      <c r="E265" s="25">
        <f>IF(Mitarbeiter!B265="","",SUM(G265:DV265))</f>
        <v/>
      </c>
      <c r="G265" s="50" t="n"/>
      <c r="H265" s="50" t="n"/>
      <c r="I265" s="50" t="n"/>
      <c r="J265" s="50" t="n"/>
      <c r="K265" s="50" t="n"/>
      <c r="L265" s="50" t="n"/>
      <c r="M265" s="50" t="n"/>
      <c r="N265" s="50" t="n"/>
      <c r="O265" s="50" t="n"/>
      <c r="P265" s="50" t="n"/>
      <c r="Q265" s="50" t="n"/>
      <c r="R265" s="50" t="n"/>
      <c r="S265" s="50" t="n"/>
      <c r="T265" s="50" t="n"/>
      <c r="U265" s="50" t="n"/>
      <c r="V265" s="50" t="n"/>
      <c r="W265" s="50" t="n"/>
      <c r="X265" s="50" t="n"/>
      <c r="Y265" s="50" t="n"/>
      <c r="Z265" s="50" t="n"/>
      <c r="AA265" s="50" t="n"/>
      <c r="AB265" s="50" t="n"/>
      <c r="AC265" s="50" t="n"/>
      <c r="AD265" s="50" t="n"/>
      <c r="AE265" s="50" t="n"/>
      <c r="AF265" s="50" t="n"/>
      <c r="AG265" s="50" t="n"/>
      <c r="AH265" s="50" t="n"/>
      <c r="AI265" s="50" t="n"/>
      <c r="AJ265" s="50" t="n"/>
      <c r="AK265" s="50" t="n"/>
      <c r="AL265" s="50" t="n"/>
      <c r="AM265" s="50" t="n"/>
      <c r="AN265" s="50" t="n"/>
      <c r="AO265" s="50" t="n"/>
      <c r="AP265" s="50" t="n"/>
      <c r="AQ265" s="50" t="n"/>
      <c r="AR265" s="50" t="n"/>
      <c r="AS265" s="50" t="n"/>
      <c r="AT265" s="50" t="n"/>
      <c r="AU265" s="50" t="n"/>
      <c r="AV265" s="50" t="n"/>
      <c r="AW265" s="50" t="n"/>
      <c r="AX265" s="50" t="n"/>
      <c r="AY265" s="50" t="n"/>
      <c r="AZ265" s="50" t="n"/>
      <c r="BA265" s="50" t="n"/>
      <c r="BB265" s="50" t="n"/>
      <c r="BC265" s="50" t="n"/>
      <c r="BD265" s="50" t="n"/>
      <c r="BE265" s="50" t="n"/>
      <c r="BF265" s="50" t="n"/>
      <c r="BG265" s="50" t="n"/>
      <c r="BH265" s="50" t="n"/>
      <c r="BI265" s="50" t="n"/>
      <c r="BJ265" s="50" t="n"/>
      <c r="BK265" s="50" t="n"/>
      <c r="BL265" s="50" t="n"/>
      <c r="BM265" s="50" t="n"/>
      <c r="BN265" s="50" t="n"/>
      <c r="BO265" s="50" t="n"/>
      <c r="BP265" s="50" t="n"/>
      <c r="BQ265" s="50" t="n"/>
      <c r="BR265" s="50" t="n"/>
      <c r="BS265" s="50" t="n"/>
      <c r="BT265" s="50" t="n"/>
      <c r="BU265" s="50" t="n"/>
      <c r="BV265" s="50" t="n"/>
      <c r="BW265" s="50" t="n"/>
      <c r="BX265" s="50" t="n"/>
      <c r="BY265" s="50" t="n"/>
      <c r="BZ265" s="50" t="n"/>
      <c r="CA265" s="50" t="n"/>
      <c r="CB265" s="50" t="n"/>
      <c r="CC265" s="50" t="n"/>
      <c r="CD265" s="50" t="n"/>
      <c r="CE265" s="50" t="n"/>
      <c r="CF265" s="50" t="n"/>
      <c r="CG265" s="50" t="n"/>
      <c r="CH265" s="50" t="n"/>
      <c r="CI265" s="50" t="n"/>
      <c r="CJ265" s="50" t="n"/>
      <c r="CK265" s="50" t="n"/>
      <c r="CL265" s="50" t="n"/>
      <c r="CM265" s="50" t="n"/>
      <c r="CN265" s="50" t="n"/>
      <c r="CO265" s="50" t="n"/>
      <c r="CP265" s="50" t="n"/>
      <c r="CQ265" s="50" t="n"/>
      <c r="CR265" s="50" t="n"/>
      <c r="CS265" s="50" t="n"/>
      <c r="CT265" s="50" t="n"/>
      <c r="CU265" s="50" t="n"/>
      <c r="CV265" s="50" t="n"/>
      <c r="CW265" s="50" t="n"/>
      <c r="CX265" s="50" t="n"/>
      <c r="CY265" s="50" t="n"/>
      <c r="CZ265" s="50" t="n"/>
      <c r="DA265" s="50" t="n"/>
      <c r="DB265" s="50" t="n"/>
      <c r="DC265" s="50" t="n"/>
      <c r="DD265" s="50" t="n"/>
      <c r="DE265" s="50" t="n"/>
      <c r="DF265" s="50" t="n"/>
      <c r="DG265" s="50" t="n"/>
      <c r="DH265" s="50" t="n"/>
      <c r="DI265" s="50" t="n"/>
      <c r="DJ265" s="50" t="n"/>
      <c r="DK265" s="50" t="n"/>
      <c r="DL265" s="50" t="n"/>
      <c r="DM265" s="50" t="n"/>
      <c r="DN265" s="50" t="n"/>
      <c r="DO265" s="50" t="n"/>
      <c r="DP265" s="50" t="n"/>
      <c r="DQ265" s="50" t="n"/>
      <c r="DR265" s="50" t="n"/>
      <c r="DS265" s="50" t="n"/>
      <c r="DT265" s="50" t="n"/>
      <c r="DU265" s="50" t="n"/>
      <c r="DV265" s="50" t="n"/>
    </row>
    <row r="266">
      <c r="A266" s="47">
        <f>IF(Mitarbeiter!B266="","",Mitarbeiter!A266)</f>
        <v/>
      </c>
      <c r="B266" s="48">
        <f>IF(Mitarbeiter!B266="","",Mitarbeiter!B266)</f>
        <v/>
      </c>
      <c r="C266" s="49">
        <f>IF(Mitarbeiter!B266="","",Mitarbeiter!F266)</f>
        <v/>
      </c>
      <c r="D266" s="25">
        <f>IF(Mitarbeiter!B266="","",Berechnung!AD266)</f>
        <v/>
      </c>
      <c r="E266" s="25">
        <f>IF(Mitarbeiter!B266="","",SUM(G266:DV266))</f>
        <v/>
      </c>
      <c r="G266" s="50" t="n"/>
      <c r="H266" s="50" t="n"/>
      <c r="I266" s="50" t="n"/>
      <c r="J266" s="50" t="n"/>
      <c r="K266" s="50" t="n"/>
      <c r="L266" s="50" t="n"/>
      <c r="M266" s="50" t="n"/>
      <c r="N266" s="50" t="n"/>
      <c r="O266" s="50" t="n"/>
      <c r="P266" s="50" t="n"/>
      <c r="Q266" s="50" t="n"/>
      <c r="R266" s="50" t="n"/>
      <c r="S266" s="50" t="n"/>
      <c r="T266" s="50" t="n"/>
      <c r="U266" s="50" t="n"/>
      <c r="V266" s="50" t="n"/>
      <c r="W266" s="50" t="n"/>
      <c r="X266" s="50" t="n"/>
      <c r="Y266" s="50" t="n"/>
      <c r="Z266" s="50" t="n"/>
      <c r="AA266" s="50" t="n"/>
      <c r="AB266" s="50" t="n"/>
      <c r="AC266" s="50" t="n"/>
      <c r="AD266" s="50" t="n"/>
      <c r="AE266" s="50" t="n"/>
      <c r="AF266" s="50" t="n"/>
      <c r="AG266" s="50" t="n"/>
      <c r="AH266" s="50" t="n"/>
      <c r="AI266" s="50" t="n"/>
      <c r="AJ266" s="50" t="n"/>
      <c r="AK266" s="50" t="n"/>
      <c r="AL266" s="50" t="n"/>
      <c r="AM266" s="50" t="n"/>
      <c r="AN266" s="50" t="n"/>
      <c r="AO266" s="50" t="n"/>
      <c r="AP266" s="50" t="n"/>
      <c r="AQ266" s="50" t="n"/>
      <c r="AR266" s="50" t="n"/>
      <c r="AS266" s="50" t="n"/>
      <c r="AT266" s="50" t="n"/>
      <c r="AU266" s="50" t="n"/>
      <c r="AV266" s="50" t="n"/>
      <c r="AW266" s="50" t="n"/>
      <c r="AX266" s="50" t="n"/>
      <c r="AY266" s="50" t="n"/>
      <c r="AZ266" s="50" t="n"/>
      <c r="BA266" s="50" t="n"/>
      <c r="BB266" s="50" t="n"/>
      <c r="BC266" s="50" t="n"/>
      <c r="BD266" s="50" t="n"/>
      <c r="BE266" s="50" t="n"/>
      <c r="BF266" s="50" t="n"/>
      <c r="BG266" s="50" t="n"/>
      <c r="BH266" s="50" t="n"/>
      <c r="BI266" s="50" t="n"/>
      <c r="BJ266" s="50" t="n"/>
      <c r="BK266" s="50" t="n"/>
      <c r="BL266" s="50" t="n"/>
      <c r="BM266" s="50" t="n"/>
      <c r="BN266" s="50" t="n"/>
      <c r="BO266" s="50" t="n"/>
      <c r="BP266" s="50" t="n"/>
      <c r="BQ266" s="50" t="n"/>
      <c r="BR266" s="50" t="n"/>
      <c r="BS266" s="50" t="n"/>
      <c r="BT266" s="50" t="n"/>
      <c r="BU266" s="50" t="n"/>
      <c r="BV266" s="50" t="n"/>
      <c r="BW266" s="50" t="n"/>
      <c r="BX266" s="50" t="n"/>
      <c r="BY266" s="50" t="n"/>
      <c r="BZ266" s="50" t="n"/>
      <c r="CA266" s="50" t="n"/>
      <c r="CB266" s="50" t="n"/>
      <c r="CC266" s="50" t="n"/>
      <c r="CD266" s="50" t="n"/>
      <c r="CE266" s="50" t="n"/>
      <c r="CF266" s="50" t="n"/>
      <c r="CG266" s="50" t="n"/>
      <c r="CH266" s="50" t="n"/>
      <c r="CI266" s="50" t="n"/>
      <c r="CJ266" s="50" t="n"/>
      <c r="CK266" s="50" t="n"/>
      <c r="CL266" s="50" t="n"/>
      <c r="CM266" s="50" t="n"/>
      <c r="CN266" s="50" t="n"/>
      <c r="CO266" s="50" t="n"/>
      <c r="CP266" s="50" t="n"/>
      <c r="CQ266" s="50" t="n"/>
      <c r="CR266" s="50" t="n"/>
      <c r="CS266" s="50" t="n"/>
      <c r="CT266" s="50" t="n"/>
      <c r="CU266" s="50" t="n"/>
      <c r="CV266" s="50" t="n"/>
      <c r="CW266" s="50" t="n"/>
      <c r="CX266" s="50" t="n"/>
      <c r="CY266" s="50" t="n"/>
      <c r="CZ266" s="50" t="n"/>
      <c r="DA266" s="50" t="n"/>
      <c r="DB266" s="50" t="n"/>
      <c r="DC266" s="50" t="n"/>
      <c r="DD266" s="50" t="n"/>
      <c r="DE266" s="50" t="n"/>
      <c r="DF266" s="50" t="n"/>
      <c r="DG266" s="50" t="n"/>
      <c r="DH266" s="50" t="n"/>
      <c r="DI266" s="50" t="n"/>
      <c r="DJ266" s="50" t="n"/>
      <c r="DK266" s="50" t="n"/>
      <c r="DL266" s="50" t="n"/>
      <c r="DM266" s="50" t="n"/>
      <c r="DN266" s="50" t="n"/>
      <c r="DO266" s="50" t="n"/>
      <c r="DP266" s="50" t="n"/>
      <c r="DQ266" s="50" t="n"/>
      <c r="DR266" s="50" t="n"/>
      <c r="DS266" s="50" t="n"/>
      <c r="DT266" s="50" t="n"/>
      <c r="DU266" s="50" t="n"/>
      <c r="DV266" s="50" t="n"/>
    </row>
    <row r="267">
      <c r="A267" s="47">
        <f>IF(Mitarbeiter!B267="","",Mitarbeiter!A267)</f>
        <v/>
      </c>
      <c r="B267" s="48">
        <f>IF(Mitarbeiter!B267="","",Mitarbeiter!B267)</f>
        <v/>
      </c>
      <c r="C267" s="49">
        <f>IF(Mitarbeiter!B267="","",Mitarbeiter!F267)</f>
        <v/>
      </c>
      <c r="D267" s="25">
        <f>IF(Mitarbeiter!B267="","",Berechnung!AD267)</f>
        <v/>
      </c>
      <c r="E267" s="25">
        <f>IF(Mitarbeiter!B267="","",SUM(G267:DV267))</f>
        <v/>
      </c>
      <c r="G267" s="50" t="n"/>
      <c r="H267" s="50" t="n"/>
      <c r="I267" s="50" t="n"/>
      <c r="J267" s="50" t="n"/>
      <c r="K267" s="50" t="n"/>
      <c r="L267" s="50" t="n"/>
      <c r="M267" s="50" t="n"/>
      <c r="N267" s="50" t="n"/>
      <c r="O267" s="50" t="n"/>
      <c r="P267" s="50" t="n"/>
      <c r="Q267" s="50" t="n"/>
      <c r="R267" s="50" t="n"/>
      <c r="S267" s="50" t="n"/>
      <c r="T267" s="50" t="n"/>
      <c r="U267" s="50" t="n"/>
      <c r="V267" s="50" t="n"/>
      <c r="W267" s="50" t="n"/>
      <c r="X267" s="50" t="n"/>
      <c r="Y267" s="50" t="n"/>
      <c r="Z267" s="50" t="n"/>
      <c r="AA267" s="50" t="n"/>
      <c r="AB267" s="50" t="n"/>
      <c r="AC267" s="50" t="n"/>
      <c r="AD267" s="50" t="n"/>
      <c r="AE267" s="50" t="n"/>
      <c r="AF267" s="50" t="n"/>
      <c r="AG267" s="50" t="n"/>
      <c r="AH267" s="50" t="n"/>
      <c r="AI267" s="50" t="n"/>
      <c r="AJ267" s="50" t="n"/>
      <c r="AK267" s="50" t="n"/>
      <c r="AL267" s="50" t="n"/>
      <c r="AM267" s="50" t="n"/>
      <c r="AN267" s="50" t="n"/>
      <c r="AO267" s="50" t="n"/>
      <c r="AP267" s="50" t="n"/>
      <c r="AQ267" s="50" t="n"/>
      <c r="AR267" s="50" t="n"/>
      <c r="AS267" s="50" t="n"/>
      <c r="AT267" s="50" t="n"/>
      <c r="AU267" s="50" t="n"/>
      <c r="AV267" s="50" t="n"/>
      <c r="AW267" s="50" t="n"/>
      <c r="AX267" s="50" t="n"/>
      <c r="AY267" s="50" t="n"/>
      <c r="AZ267" s="50" t="n"/>
      <c r="BA267" s="50" t="n"/>
      <c r="BB267" s="50" t="n"/>
      <c r="BC267" s="50" t="n"/>
      <c r="BD267" s="50" t="n"/>
      <c r="BE267" s="50" t="n"/>
      <c r="BF267" s="50" t="n"/>
      <c r="BG267" s="50" t="n"/>
      <c r="BH267" s="50" t="n"/>
      <c r="BI267" s="50" t="n"/>
      <c r="BJ267" s="50" t="n"/>
      <c r="BK267" s="50" t="n"/>
      <c r="BL267" s="50" t="n"/>
      <c r="BM267" s="50" t="n"/>
      <c r="BN267" s="50" t="n"/>
      <c r="BO267" s="50" t="n"/>
      <c r="BP267" s="50" t="n"/>
      <c r="BQ267" s="50" t="n"/>
      <c r="BR267" s="50" t="n"/>
      <c r="BS267" s="50" t="n"/>
      <c r="BT267" s="50" t="n"/>
      <c r="BU267" s="50" t="n"/>
      <c r="BV267" s="50" t="n"/>
      <c r="BW267" s="50" t="n"/>
      <c r="BX267" s="50" t="n"/>
      <c r="BY267" s="50" t="n"/>
      <c r="BZ267" s="50" t="n"/>
      <c r="CA267" s="50" t="n"/>
      <c r="CB267" s="50" t="n"/>
      <c r="CC267" s="50" t="n"/>
      <c r="CD267" s="50" t="n"/>
      <c r="CE267" s="50" t="n"/>
      <c r="CF267" s="50" t="n"/>
      <c r="CG267" s="50" t="n"/>
      <c r="CH267" s="50" t="n"/>
      <c r="CI267" s="50" t="n"/>
      <c r="CJ267" s="50" t="n"/>
      <c r="CK267" s="50" t="n"/>
      <c r="CL267" s="50" t="n"/>
      <c r="CM267" s="50" t="n"/>
      <c r="CN267" s="50" t="n"/>
      <c r="CO267" s="50" t="n"/>
      <c r="CP267" s="50" t="n"/>
      <c r="CQ267" s="50" t="n"/>
      <c r="CR267" s="50" t="n"/>
      <c r="CS267" s="50" t="n"/>
      <c r="CT267" s="50" t="n"/>
      <c r="CU267" s="50" t="n"/>
      <c r="CV267" s="50" t="n"/>
      <c r="CW267" s="50" t="n"/>
      <c r="CX267" s="50" t="n"/>
      <c r="CY267" s="50" t="n"/>
      <c r="CZ267" s="50" t="n"/>
      <c r="DA267" s="50" t="n"/>
      <c r="DB267" s="50" t="n"/>
      <c r="DC267" s="50" t="n"/>
      <c r="DD267" s="50" t="n"/>
      <c r="DE267" s="50" t="n"/>
      <c r="DF267" s="50" t="n"/>
      <c r="DG267" s="50" t="n"/>
      <c r="DH267" s="50" t="n"/>
      <c r="DI267" s="50" t="n"/>
      <c r="DJ267" s="50" t="n"/>
      <c r="DK267" s="50" t="n"/>
      <c r="DL267" s="50" t="n"/>
      <c r="DM267" s="50" t="n"/>
      <c r="DN267" s="50" t="n"/>
      <c r="DO267" s="50" t="n"/>
      <c r="DP267" s="50" t="n"/>
      <c r="DQ267" s="50" t="n"/>
      <c r="DR267" s="50" t="n"/>
      <c r="DS267" s="50" t="n"/>
      <c r="DT267" s="50" t="n"/>
      <c r="DU267" s="50" t="n"/>
      <c r="DV267" s="50" t="n"/>
    </row>
    <row r="268">
      <c r="A268" s="47">
        <f>IF(Mitarbeiter!B268="","",Mitarbeiter!A268)</f>
        <v/>
      </c>
      <c r="B268" s="48">
        <f>IF(Mitarbeiter!B268="","",Mitarbeiter!B268)</f>
        <v/>
      </c>
      <c r="C268" s="49">
        <f>IF(Mitarbeiter!B268="","",Mitarbeiter!F268)</f>
        <v/>
      </c>
      <c r="D268" s="25">
        <f>IF(Mitarbeiter!B268="","",Berechnung!AD268)</f>
        <v/>
      </c>
      <c r="E268" s="25">
        <f>IF(Mitarbeiter!B268="","",SUM(G268:DV268))</f>
        <v/>
      </c>
      <c r="G268" s="50" t="n"/>
      <c r="H268" s="50" t="n"/>
      <c r="I268" s="50" t="n"/>
      <c r="J268" s="50" t="n"/>
      <c r="K268" s="50" t="n"/>
      <c r="L268" s="50" t="n"/>
      <c r="M268" s="50" t="n"/>
      <c r="N268" s="50" t="n"/>
      <c r="O268" s="50" t="n"/>
      <c r="P268" s="50" t="n"/>
      <c r="Q268" s="50" t="n"/>
      <c r="R268" s="50" t="n"/>
      <c r="S268" s="50" t="n"/>
      <c r="T268" s="50" t="n"/>
      <c r="U268" s="50" t="n"/>
      <c r="V268" s="50" t="n"/>
      <c r="W268" s="50" t="n"/>
      <c r="X268" s="50" t="n"/>
      <c r="Y268" s="50" t="n"/>
      <c r="Z268" s="50" t="n"/>
      <c r="AA268" s="50" t="n"/>
      <c r="AB268" s="50" t="n"/>
      <c r="AC268" s="50" t="n"/>
      <c r="AD268" s="50" t="n"/>
      <c r="AE268" s="50" t="n"/>
      <c r="AF268" s="50" t="n"/>
      <c r="AG268" s="50" t="n"/>
      <c r="AH268" s="50" t="n"/>
      <c r="AI268" s="50" t="n"/>
      <c r="AJ268" s="50" t="n"/>
      <c r="AK268" s="50" t="n"/>
      <c r="AL268" s="50" t="n"/>
      <c r="AM268" s="50" t="n"/>
      <c r="AN268" s="50" t="n"/>
      <c r="AO268" s="50" t="n"/>
      <c r="AP268" s="50" t="n"/>
      <c r="AQ268" s="50" t="n"/>
      <c r="AR268" s="50" t="n"/>
      <c r="AS268" s="50" t="n"/>
      <c r="AT268" s="50" t="n"/>
      <c r="AU268" s="50" t="n"/>
      <c r="AV268" s="50" t="n"/>
      <c r="AW268" s="50" t="n"/>
      <c r="AX268" s="50" t="n"/>
      <c r="AY268" s="50" t="n"/>
      <c r="AZ268" s="50" t="n"/>
      <c r="BA268" s="50" t="n"/>
      <c r="BB268" s="50" t="n"/>
      <c r="BC268" s="50" t="n"/>
      <c r="BD268" s="50" t="n"/>
      <c r="BE268" s="50" t="n"/>
      <c r="BF268" s="50" t="n"/>
      <c r="BG268" s="50" t="n"/>
      <c r="BH268" s="50" t="n"/>
      <c r="BI268" s="50" t="n"/>
      <c r="BJ268" s="50" t="n"/>
      <c r="BK268" s="50" t="n"/>
      <c r="BL268" s="50" t="n"/>
      <c r="BM268" s="50" t="n"/>
      <c r="BN268" s="50" t="n"/>
      <c r="BO268" s="50" t="n"/>
      <c r="BP268" s="50" t="n"/>
      <c r="BQ268" s="50" t="n"/>
      <c r="BR268" s="50" t="n"/>
      <c r="BS268" s="50" t="n"/>
      <c r="BT268" s="50" t="n"/>
      <c r="BU268" s="50" t="n"/>
      <c r="BV268" s="50" t="n"/>
      <c r="BW268" s="50" t="n"/>
      <c r="BX268" s="50" t="n"/>
      <c r="BY268" s="50" t="n"/>
      <c r="BZ268" s="50" t="n"/>
      <c r="CA268" s="50" t="n"/>
      <c r="CB268" s="50" t="n"/>
      <c r="CC268" s="50" t="n"/>
      <c r="CD268" s="50" t="n"/>
      <c r="CE268" s="50" t="n"/>
      <c r="CF268" s="50" t="n"/>
      <c r="CG268" s="50" t="n"/>
      <c r="CH268" s="50" t="n"/>
      <c r="CI268" s="50" t="n"/>
      <c r="CJ268" s="50" t="n"/>
      <c r="CK268" s="50" t="n"/>
      <c r="CL268" s="50" t="n"/>
      <c r="CM268" s="50" t="n"/>
      <c r="CN268" s="50" t="n"/>
      <c r="CO268" s="50" t="n"/>
      <c r="CP268" s="50" t="n"/>
      <c r="CQ268" s="50" t="n"/>
      <c r="CR268" s="50" t="n"/>
      <c r="CS268" s="50" t="n"/>
      <c r="CT268" s="50" t="n"/>
      <c r="CU268" s="50" t="n"/>
      <c r="CV268" s="50" t="n"/>
      <c r="CW268" s="50" t="n"/>
      <c r="CX268" s="50" t="n"/>
      <c r="CY268" s="50" t="n"/>
      <c r="CZ268" s="50" t="n"/>
      <c r="DA268" s="50" t="n"/>
      <c r="DB268" s="50" t="n"/>
      <c r="DC268" s="50" t="n"/>
      <c r="DD268" s="50" t="n"/>
      <c r="DE268" s="50" t="n"/>
      <c r="DF268" s="50" t="n"/>
      <c r="DG268" s="50" t="n"/>
      <c r="DH268" s="50" t="n"/>
      <c r="DI268" s="50" t="n"/>
      <c r="DJ268" s="50" t="n"/>
      <c r="DK268" s="50" t="n"/>
      <c r="DL268" s="50" t="n"/>
      <c r="DM268" s="50" t="n"/>
      <c r="DN268" s="50" t="n"/>
      <c r="DO268" s="50" t="n"/>
      <c r="DP268" s="50" t="n"/>
      <c r="DQ268" s="50" t="n"/>
      <c r="DR268" s="50" t="n"/>
      <c r="DS268" s="50" t="n"/>
      <c r="DT268" s="50" t="n"/>
      <c r="DU268" s="50" t="n"/>
      <c r="DV268" s="50" t="n"/>
    </row>
    <row r="269">
      <c r="A269" s="47">
        <f>IF(Mitarbeiter!B269="","",Mitarbeiter!A269)</f>
        <v/>
      </c>
      <c r="B269" s="48">
        <f>IF(Mitarbeiter!B269="","",Mitarbeiter!B269)</f>
        <v/>
      </c>
      <c r="C269" s="49">
        <f>IF(Mitarbeiter!B269="","",Mitarbeiter!F269)</f>
        <v/>
      </c>
      <c r="D269" s="25">
        <f>IF(Mitarbeiter!B269="","",Berechnung!AD269)</f>
        <v/>
      </c>
      <c r="E269" s="25">
        <f>IF(Mitarbeiter!B269="","",SUM(G269:DV269))</f>
        <v/>
      </c>
      <c r="G269" s="50" t="n"/>
      <c r="H269" s="50" t="n"/>
      <c r="I269" s="50" t="n"/>
      <c r="J269" s="50" t="n"/>
      <c r="K269" s="50" t="n"/>
      <c r="L269" s="50" t="n"/>
      <c r="M269" s="50" t="n"/>
      <c r="N269" s="50" t="n"/>
      <c r="O269" s="50" t="n"/>
      <c r="P269" s="50" t="n"/>
      <c r="Q269" s="50" t="n"/>
      <c r="R269" s="50" t="n"/>
      <c r="S269" s="50" t="n"/>
      <c r="T269" s="50" t="n"/>
      <c r="U269" s="50" t="n"/>
      <c r="V269" s="50" t="n"/>
      <c r="W269" s="50" t="n"/>
      <c r="X269" s="50" t="n"/>
      <c r="Y269" s="50" t="n"/>
      <c r="Z269" s="50" t="n"/>
      <c r="AA269" s="50" t="n"/>
      <c r="AB269" s="50" t="n"/>
      <c r="AC269" s="50" t="n"/>
      <c r="AD269" s="50" t="n"/>
      <c r="AE269" s="50" t="n"/>
      <c r="AF269" s="50" t="n"/>
      <c r="AG269" s="50" t="n"/>
      <c r="AH269" s="50" t="n"/>
      <c r="AI269" s="50" t="n"/>
      <c r="AJ269" s="50" t="n"/>
      <c r="AK269" s="50" t="n"/>
      <c r="AL269" s="50" t="n"/>
      <c r="AM269" s="50" t="n"/>
      <c r="AN269" s="50" t="n"/>
      <c r="AO269" s="50" t="n"/>
      <c r="AP269" s="50" t="n"/>
      <c r="AQ269" s="50" t="n"/>
      <c r="AR269" s="50" t="n"/>
      <c r="AS269" s="50" t="n"/>
      <c r="AT269" s="50" t="n"/>
      <c r="AU269" s="50" t="n"/>
      <c r="AV269" s="50" t="n"/>
      <c r="AW269" s="50" t="n"/>
      <c r="AX269" s="50" t="n"/>
      <c r="AY269" s="50" t="n"/>
      <c r="AZ269" s="50" t="n"/>
      <c r="BA269" s="50" t="n"/>
      <c r="BB269" s="50" t="n"/>
      <c r="BC269" s="50" t="n"/>
      <c r="BD269" s="50" t="n"/>
      <c r="BE269" s="50" t="n"/>
      <c r="BF269" s="50" t="n"/>
      <c r="BG269" s="50" t="n"/>
      <c r="BH269" s="50" t="n"/>
      <c r="BI269" s="50" t="n"/>
      <c r="BJ269" s="50" t="n"/>
      <c r="BK269" s="50" t="n"/>
      <c r="BL269" s="50" t="n"/>
      <c r="BM269" s="50" t="n"/>
      <c r="BN269" s="50" t="n"/>
      <c r="BO269" s="50" t="n"/>
      <c r="BP269" s="50" t="n"/>
      <c r="BQ269" s="50" t="n"/>
      <c r="BR269" s="50" t="n"/>
      <c r="BS269" s="50" t="n"/>
      <c r="BT269" s="50" t="n"/>
      <c r="BU269" s="50" t="n"/>
      <c r="BV269" s="50" t="n"/>
      <c r="BW269" s="50" t="n"/>
      <c r="BX269" s="50" t="n"/>
      <c r="BY269" s="50" t="n"/>
      <c r="BZ269" s="50" t="n"/>
      <c r="CA269" s="50" t="n"/>
      <c r="CB269" s="50" t="n"/>
      <c r="CC269" s="50" t="n"/>
      <c r="CD269" s="50" t="n"/>
      <c r="CE269" s="50" t="n"/>
      <c r="CF269" s="50" t="n"/>
      <c r="CG269" s="50" t="n"/>
      <c r="CH269" s="50" t="n"/>
      <c r="CI269" s="50" t="n"/>
      <c r="CJ269" s="50" t="n"/>
      <c r="CK269" s="50" t="n"/>
      <c r="CL269" s="50" t="n"/>
      <c r="CM269" s="50" t="n"/>
      <c r="CN269" s="50" t="n"/>
      <c r="CO269" s="50" t="n"/>
      <c r="CP269" s="50" t="n"/>
      <c r="CQ269" s="50" t="n"/>
      <c r="CR269" s="50" t="n"/>
      <c r="CS269" s="50" t="n"/>
      <c r="CT269" s="50" t="n"/>
      <c r="CU269" s="50" t="n"/>
      <c r="CV269" s="50" t="n"/>
      <c r="CW269" s="50" t="n"/>
      <c r="CX269" s="50" t="n"/>
      <c r="CY269" s="50" t="n"/>
      <c r="CZ269" s="50" t="n"/>
      <c r="DA269" s="50" t="n"/>
      <c r="DB269" s="50" t="n"/>
      <c r="DC269" s="50" t="n"/>
      <c r="DD269" s="50" t="n"/>
      <c r="DE269" s="50" t="n"/>
      <c r="DF269" s="50" t="n"/>
      <c r="DG269" s="50" t="n"/>
      <c r="DH269" s="50" t="n"/>
      <c r="DI269" s="50" t="n"/>
      <c r="DJ269" s="50" t="n"/>
      <c r="DK269" s="50" t="n"/>
      <c r="DL269" s="50" t="n"/>
      <c r="DM269" s="50" t="n"/>
      <c r="DN269" s="50" t="n"/>
      <c r="DO269" s="50" t="n"/>
      <c r="DP269" s="50" t="n"/>
      <c r="DQ269" s="50" t="n"/>
      <c r="DR269" s="50" t="n"/>
      <c r="DS269" s="50" t="n"/>
      <c r="DT269" s="50" t="n"/>
      <c r="DU269" s="50" t="n"/>
      <c r="DV269" s="50" t="n"/>
    </row>
    <row r="270">
      <c r="A270" s="47">
        <f>IF(Mitarbeiter!B270="","",Mitarbeiter!A270)</f>
        <v/>
      </c>
      <c r="B270" s="48">
        <f>IF(Mitarbeiter!B270="","",Mitarbeiter!B270)</f>
        <v/>
      </c>
      <c r="C270" s="49">
        <f>IF(Mitarbeiter!B270="","",Mitarbeiter!F270)</f>
        <v/>
      </c>
      <c r="D270" s="25">
        <f>IF(Mitarbeiter!B270="","",Berechnung!AD270)</f>
        <v/>
      </c>
      <c r="E270" s="25">
        <f>IF(Mitarbeiter!B270="","",SUM(G270:DV270))</f>
        <v/>
      </c>
      <c r="G270" s="50" t="n"/>
      <c r="H270" s="50" t="n"/>
      <c r="I270" s="50" t="n"/>
      <c r="J270" s="50" t="n"/>
      <c r="K270" s="50" t="n"/>
      <c r="L270" s="50" t="n"/>
      <c r="M270" s="50" t="n"/>
      <c r="N270" s="50" t="n"/>
      <c r="O270" s="50" t="n"/>
      <c r="P270" s="50" t="n"/>
      <c r="Q270" s="50" t="n"/>
      <c r="R270" s="50" t="n"/>
      <c r="S270" s="50" t="n"/>
      <c r="T270" s="50" t="n"/>
      <c r="U270" s="50" t="n"/>
      <c r="V270" s="50" t="n"/>
      <c r="W270" s="50" t="n"/>
      <c r="X270" s="50" t="n"/>
      <c r="Y270" s="50" t="n"/>
      <c r="Z270" s="50" t="n"/>
      <c r="AA270" s="50" t="n"/>
      <c r="AB270" s="50" t="n"/>
      <c r="AC270" s="50" t="n"/>
      <c r="AD270" s="50" t="n"/>
      <c r="AE270" s="50" t="n"/>
      <c r="AF270" s="50" t="n"/>
      <c r="AG270" s="50" t="n"/>
      <c r="AH270" s="50" t="n"/>
      <c r="AI270" s="50" t="n"/>
      <c r="AJ270" s="50" t="n"/>
      <c r="AK270" s="50" t="n"/>
      <c r="AL270" s="50" t="n"/>
      <c r="AM270" s="50" t="n"/>
      <c r="AN270" s="50" t="n"/>
      <c r="AO270" s="50" t="n"/>
      <c r="AP270" s="50" t="n"/>
      <c r="AQ270" s="50" t="n"/>
      <c r="AR270" s="50" t="n"/>
      <c r="AS270" s="50" t="n"/>
      <c r="AT270" s="50" t="n"/>
      <c r="AU270" s="50" t="n"/>
      <c r="AV270" s="50" t="n"/>
      <c r="AW270" s="50" t="n"/>
      <c r="AX270" s="50" t="n"/>
      <c r="AY270" s="50" t="n"/>
      <c r="AZ270" s="50" t="n"/>
      <c r="BA270" s="50" t="n"/>
      <c r="BB270" s="50" t="n"/>
      <c r="BC270" s="50" t="n"/>
      <c r="BD270" s="50" t="n"/>
      <c r="BE270" s="50" t="n"/>
      <c r="BF270" s="50" t="n"/>
      <c r="BG270" s="50" t="n"/>
      <c r="BH270" s="50" t="n"/>
      <c r="BI270" s="50" t="n"/>
      <c r="BJ270" s="50" t="n"/>
      <c r="BK270" s="50" t="n"/>
      <c r="BL270" s="50" t="n"/>
      <c r="BM270" s="50" t="n"/>
      <c r="BN270" s="50" t="n"/>
      <c r="BO270" s="50" t="n"/>
      <c r="BP270" s="50" t="n"/>
      <c r="BQ270" s="50" t="n"/>
      <c r="BR270" s="50" t="n"/>
      <c r="BS270" s="50" t="n"/>
      <c r="BT270" s="50" t="n"/>
      <c r="BU270" s="50" t="n"/>
      <c r="BV270" s="50" t="n"/>
      <c r="BW270" s="50" t="n"/>
      <c r="BX270" s="50" t="n"/>
      <c r="BY270" s="50" t="n"/>
      <c r="BZ270" s="50" t="n"/>
      <c r="CA270" s="50" t="n"/>
      <c r="CB270" s="50" t="n"/>
      <c r="CC270" s="50" t="n"/>
      <c r="CD270" s="50" t="n"/>
      <c r="CE270" s="50" t="n"/>
      <c r="CF270" s="50" t="n"/>
      <c r="CG270" s="50" t="n"/>
      <c r="CH270" s="50" t="n"/>
      <c r="CI270" s="50" t="n"/>
      <c r="CJ270" s="50" t="n"/>
      <c r="CK270" s="50" t="n"/>
      <c r="CL270" s="50" t="n"/>
      <c r="CM270" s="50" t="n"/>
      <c r="CN270" s="50" t="n"/>
      <c r="CO270" s="50" t="n"/>
      <c r="CP270" s="50" t="n"/>
      <c r="CQ270" s="50" t="n"/>
      <c r="CR270" s="50" t="n"/>
      <c r="CS270" s="50" t="n"/>
      <c r="CT270" s="50" t="n"/>
      <c r="CU270" s="50" t="n"/>
      <c r="CV270" s="50" t="n"/>
      <c r="CW270" s="50" t="n"/>
      <c r="CX270" s="50" t="n"/>
      <c r="CY270" s="50" t="n"/>
      <c r="CZ270" s="50" t="n"/>
      <c r="DA270" s="50" t="n"/>
      <c r="DB270" s="50" t="n"/>
      <c r="DC270" s="50" t="n"/>
      <c r="DD270" s="50" t="n"/>
      <c r="DE270" s="50" t="n"/>
      <c r="DF270" s="50" t="n"/>
      <c r="DG270" s="50" t="n"/>
      <c r="DH270" s="50" t="n"/>
      <c r="DI270" s="50" t="n"/>
      <c r="DJ270" s="50" t="n"/>
      <c r="DK270" s="50" t="n"/>
      <c r="DL270" s="50" t="n"/>
      <c r="DM270" s="50" t="n"/>
      <c r="DN270" s="50" t="n"/>
      <c r="DO270" s="50" t="n"/>
      <c r="DP270" s="50" t="n"/>
      <c r="DQ270" s="50" t="n"/>
      <c r="DR270" s="50" t="n"/>
      <c r="DS270" s="50" t="n"/>
      <c r="DT270" s="50" t="n"/>
      <c r="DU270" s="50" t="n"/>
      <c r="DV270" s="50" t="n"/>
    </row>
    <row r="271">
      <c r="A271" s="47">
        <f>IF(Mitarbeiter!B271="","",Mitarbeiter!A271)</f>
        <v/>
      </c>
      <c r="B271" s="48">
        <f>IF(Mitarbeiter!B271="","",Mitarbeiter!B271)</f>
        <v/>
      </c>
      <c r="C271" s="49">
        <f>IF(Mitarbeiter!B271="","",Mitarbeiter!F271)</f>
        <v/>
      </c>
      <c r="D271" s="25">
        <f>IF(Mitarbeiter!B271="","",Berechnung!AD271)</f>
        <v/>
      </c>
      <c r="E271" s="25">
        <f>IF(Mitarbeiter!B271="","",SUM(G271:DV271))</f>
        <v/>
      </c>
      <c r="G271" s="50" t="n"/>
      <c r="H271" s="50" t="n"/>
      <c r="I271" s="50" t="n"/>
      <c r="J271" s="50" t="n"/>
      <c r="K271" s="50" t="n"/>
      <c r="L271" s="50" t="n"/>
      <c r="M271" s="50" t="n"/>
      <c r="N271" s="50" t="n"/>
      <c r="O271" s="50" t="n"/>
      <c r="P271" s="50" t="n"/>
      <c r="Q271" s="50" t="n"/>
      <c r="R271" s="50" t="n"/>
      <c r="S271" s="50" t="n"/>
      <c r="T271" s="50" t="n"/>
      <c r="U271" s="50" t="n"/>
      <c r="V271" s="50" t="n"/>
      <c r="W271" s="50" t="n"/>
      <c r="X271" s="50" t="n"/>
      <c r="Y271" s="50" t="n"/>
      <c r="Z271" s="50" t="n"/>
      <c r="AA271" s="50" t="n"/>
      <c r="AB271" s="50" t="n"/>
      <c r="AC271" s="50" t="n"/>
      <c r="AD271" s="50" t="n"/>
      <c r="AE271" s="50" t="n"/>
      <c r="AF271" s="50" t="n"/>
      <c r="AG271" s="50" t="n"/>
      <c r="AH271" s="50" t="n"/>
      <c r="AI271" s="50" t="n"/>
      <c r="AJ271" s="50" t="n"/>
      <c r="AK271" s="50" t="n"/>
      <c r="AL271" s="50" t="n"/>
      <c r="AM271" s="50" t="n"/>
      <c r="AN271" s="50" t="n"/>
      <c r="AO271" s="50" t="n"/>
      <c r="AP271" s="50" t="n"/>
      <c r="AQ271" s="50" t="n"/>
      <c r="AR271" s="50" t="n"/>
      <c r="AS271" s="50" t="n"/>
      <c r="AT271" s="50" t="n"/>
      <c r="AU271" s="50" t="n"/>
      <c r="AV271" s="50" t="n"/>
      <c r="AW271" s="50" t="n"/>
      <c r="AX271" s="50" t="n"/>
      <c r="AY271" s="50" t="n"/>
      <c r="AZ271" s="50" t="n"/>
      <c r="BA271" s="50" t="n"/>
      <c r="BB271" s="50" t="n"/>
      <c r="BC271" s="50" t="n"/>
      <c r="BD271" s="50" t="n"/>
      <c r="BE271" s="50" t="n"/>
      <c r="BF271" s="50" t="n"/>
      <c r="BG271" s="50" t="n"/>
      <c r="BH271" s="50" t="n"/>
      <c r="BI271" s="50" t="n"/>
      <c r="BJ271" s="50" t="n"/>
      <c r="BK271" s="50" t="n"/>
      <c r="BL271" s="50" t="n"/>
      <c r="BM271" s="50" t="n"/>
      <c r="BN271" s="50" t="n"/>
      <c r="BO271" s="50" t="n"/>
      <c r="BP271" s="50" t="n"/>
      <c r="BQ271" s="50" t="n"/>
      <c r="BR271" s="50" t="n"/>
      <c r="BS271" s="50" t="n"/>
      <c r="BT271" s="50" t="n"/>
      <c r="BU271" s="50" t="n"/>
      <c r="BV271" s="50" t="n"/>
      <c r="BW271" s="50" t="n"/>
      <c r="BX271" s="50" t="n"/>
      <c r="BY271" s="50" t="n"/>
      <c r="BZ271" s="50" t="n"/>
      <c r="CA271" s="50" t="n"/>
      <c r="CB271" s="50" t="n"/>
      <c r="CC271" s="50" t="n"/>
      <c r="CD271" s="50" t="n"/>
      <c r="CE271" s="50" t="n"/>
      <c r="CF271" s="50" t="n"/>
      <c r="CG271" s="50" t="n"/>
      <c r="CH271" s="50" t="n"/>
      <c r="CI271" s="50" t="n"/>
      <c r="CJ271" s="50" t="n"/>
      <c r="CK271" s="50" t="n"/>
      <c r="CL271" s="50" t="n"/>
      <c r="CM271" s="50" t="n"/>
      <c r="CN271" s="50" t="n"/>
      <c r="CO271" s="50" t="n"/>
      <c r="CP271" s="50" t="n"/>
      <c r="CQ271" s="50" t="n"/>
      <c r="CR271" s="50" t="n"/>
      <c r="CS271" s="50" t="n"/>
      <c r="CT271" s="50" t="n"/>
      <c r="CU271" s="50" t="n"/>
      <c r="CV271" s="50" t="n"/>
      <c r="CW271" s="50" t="n"/>
      <c r="CX271" s="50" t="n"/>
      <c r="CY271" s="50" t="n"/>
      <c r="CZ271" s="50" t="n"/>
      <c r="DA271" s="50" t="n"/>
      <c r="DB271" s="50" t="n"/>
      <c r="DC271" s="50" t="n"/>
      <c r="DD271" s="50" t="n"/>
      <c r="DE271" s="50" t="n"/>
      <c r="DF271" s="50" t="n"/>
      <c r="DG271" s="50" t="n"/>
      <c r="DH271" s="50" t="n"/>
      <c r="DI271" s="50" t="n"/>
      <c r="DJ271" s="50" t="n"/>
      <c r="DK271" s="50" t="n"/>
      <c r="DL271" s="50" t="n"/>
      <c r="DM271" s="50" t="n"/>
      <c r="DN271" s="50" t="n"/>
      <c r="DO271" s="50" t="n"/>
      <c r="DP271" s="50" t="n"/>
      <c r="DQ271" s="50" t="n"/>
      <c r="DR271" s="50" t="n"/>
      <c r="DS271" s="50" t="n"/>
      <c r="DT271" s="50" t="n"/>
      <c r="DU271" s="50" t="n"/>
      <c r="DV271" s="50" t="n"/>
    </row>
    <row r="272">
      <c r="A272" s="47">
        <f>IF(Mitarbeiter!B272="","",Mitarbeiter!A272)</f>
        <v/>
      </c>
      <c r="B272" s="48">
        <f>IF(Mitarbeiter!B272="","",Mitarbeiter!B272)</f>
        <v/>
      </c>
      <c r="C272" s="49">
        <f>IF(Mitarbeiter!B272="","",Mitarbeiter!F272)</f>
        <v/>
      </c>
      <c r="D272" s="25">
        <f>IF(Mitarbeiter!B272="","",Berechnung!AD272)</f>
        <v/>
      </c>
      <c r="E272" s="25">
        <f>IF(Mitarbeiter!B272="","",SUM(G272:DV272))</f>
        <v/>
      </c>
      <c r="G272" s="50" t="n"/>
      <c r="H272" s="50" t="n"/>
      <c r="I272" s="50" t="n"/>
      <c r="J272" s="50" t="n"/>
      <c r="K272" s="50" t="n"/>
      <c r="L272" s="50" t="n"/>
      <c r="M272" s="50" t="n"/>
      <c r="N272" s="50" t="n"/>
      <c r="O272" s="50" t="n"/>
      <c r="P272" s="50" t="n"/>
      <c r="Q272" s="50" t="n"/>
      <c r="R272" s="50" t="n"/>
      <c r="S272" s="50" t="n"/>
      <c r="T272" s="50" t="n"/>
      <c r="U272" s="50" t="n"/>
      <c r="V272" s="50" t="n"/>
      <c r="W272" s="50" t="n"/>
      <c r="X272" s="50" t="n"/>
      <c r="Y272" s="50" t="n"/>
      <c r="Z272" s="50" t="n"/>
      <c r="AA272" s="50" t="n"/>
      <c r="AB272" s="50" t="n"/>
      <c r="AC272" s="50" t="n"/>
      <c r="AD272" s="50" t="n"/>
      <c r="AE272" s="50" t="n"/>
      <c r="AF272" s="50" t="n"/>
      <c r="AG272" s="50" t="n"/>
      <c r="AH272" s="50" t="n"/>
      <c r="AI272" s="50" t="n"/>
      <c r="AJ272" s="50" t="n"/>
      <c r="AK272" s="50" t="n"/>
      <c r="AL272" s="50" t="n"/>
      <c r="AM272" s="50" t="n"/>
      <c r="AN272" s="50" t="n"/>
      <c r="AO272" s="50" t="n"/>
      <c r="AP272" s="50" t="n"/>
      <c r="AQ272" s="50" t="n"/>
      <c r="AR272" s="50" t="n"/>
      <c r="AS272" s="50" t="n"/>
      <c r="AT272" s="50" t="n"/>
      <c r="AU272" s="50" t="n"/>
      <c r="AV272" s="50" t="n"/>
      <c r="AW272" s="50" t="n"/>
      <c r="AX272" s="50" t="n"/>
      <c r="AY272" s="50" t="n"/>
      <c r="AZ272" s="50" t="n"/>
      <c r="BA272" s="50" t="n"/>
      <c r="BB272" s="50" t="n"/>
      <c r="BC272" s="50" t="n"/>
      <c r="BD272" s="50" t="n"/>
      <c r="BE272" s="50" t="n"/>
      <c r="BF272" s="50" t="n"/>
      <c r="BG272" s="50" t="n"/>
      <c r="BH272" s="50" t="n"/>
      <c r="BI272" s="50" t="n"/>
      <c r="BJ272" s="50" t="n"/>
      <c r="BK272" s="50" t="n"/>
      <c r="BL272" s="50" t="n"/>
      <c r="BM272" s="50" t="n"/>
      <c r="BN272" s="50" t="n"/>
      <c r="BO272" s="50" t="n"/>
      <c r="BP272" s="50" t="n"/>
      <c r="BQ272" s="50" t="n"/>
      <c r="BR272" s="50" t="n"/>
      <c r="BS272" s="50" t="n"/>
      <c r="BT272" s="50" t="n"/>
      <c r="BU272" s="50" t="n"/>
      <c r="BV272" s="50" t="n"/>
      <c r="BW272" s="50" t="n"/>
      <c r="BX272" s="50" t="n"/>
      <c r="BY272" s="50" t="n"/>
      <c r="BZ272" s="50" t="n"/>
      <c r="CA272" s="50" t="n"/>
      <c r="CB272" s="50" t="n"/>
      <c r="CC272" s="50" t="n"/>
      <c r="CD272" s="50" t="n"/>
      <c r="CE272" s="50" t="n"/>
      <c r="CF272" s="50" t="n"/>
      <c r="CG272" s="50" t="n"/>
      <c r="CH272" s="50" t="n"/>
      <c r="CI272" s="50" t="n"/>
      <c r="CJ272" s="50" t="n"/>
      <c r="CK272" s="50" t="n"/>
      <c r="CL272" s="50" t="n"/>
      <c r="CM272" s="50" t="n"/>
      <c r="CN272" s="50" t="n"/>
      <c r="CO272" s="50" t="n"/>
      <c r="CP272" s="50" t="n"/>
      <c r="CQ272" s="50" t="n"/>
      <c r="CR272" s="50" t="n"/>
      <c r="CS272" s="50" t="n"/>
      <c r="CT272" s="50" t="n"/>
      <c r="CU272" s="50" t="n"/>
      <c r="CV272" s="50" t="n"/>
      <c r="CW272" s="50" t="n"/>
      <c r="CX272" s="50" t="n"/>
      <c r="CY272" s="50" t="n"/>
      <c r="CZ272" s="50" t="n"/>
      <c r="DA272" s="50" t="n"/>
      <c r="DB272" s="50" t="n"/>
      <c r="DC272" s="50" t="n"/>
      <c r="DD272" s="50" t="n"/>
      <c r="DE272" s="50" t="n"/>
      <c r="DF272" s="50" t="n"/>
      <c r="DG272" s="50" t="n"/>
      <c r="DH272" s="50" t="n"/>
      <c r="DI272" s="50" t="n"/>
      <c r="DJ272" s="50" t="n"/>
      <c r="DK272" s="50" t="n"/>
      <c r="DL272" s="50" t="n"/>
      <c r="DM272" s="50" t="n"/>
      <c r="DN272" s="50" t="n"/>
      <c r="DO272" s="50" t="n"/>
      <c r="DP272" s="50" t="n"/>
      <c r="DQ272" s="50" t="n"/>
      <c r="DR272" s="50" t="n"/>
      <c r="DS272" s="50" t="n"/>
      <c r="DT272" s="50" t="n"/>
      <c r="DU272" s="50" t="n"/>
      <c r="DV272" s="50" t="n"/>
    </row>
    <row r="273">
      <c r="A273" s="47">
        <f>IF(Mitarbeiter!B273="","",Mitarbeiter!A273)</f>
        <v/>
      </c>
      <c r="B273" s="48">
        <f>IF(Mitarbeiter!B273="","",Mitarbeiter!B273)</f>
        <v/>
      </c>
      <c r="C273" s="49">
        <f>IF(Mitarbeiter!B273="","",Mitarbeiter!F273)</f>
        <v/>
      </c>
      <c r="D273" s="25">
        <f>IF(Mitarbeiter!B273="","",Berechnung!AD273)</f>
        <v/>
      </c>
      <c r="E273" s="25">
        <f>IF(Mitarbeiter!B273="","",SUM(G273:DV273))</f>
        <v/>
      </c>
      <c r="G273" s="50" t="n"/>
      <c r="H273" s="50" t="n"/>
      <c r="I273" s="50" t="n"/>
      <c r="J273" s="50" t="n"/>
      <c r="K273" s="50" t="n"/>
      <c r="L273" s="50" t="n"/>
      <c r="M273" s="50" t="n"/>
      <c r="N273" s="50" t="n"/>
      <c r="O273" s="50" t="n"/>
      <c r="P273" s="50" t="n"/>
      <c r="Q273" s="50" t="n"/>
      <c r="R273" s="50" t="n"/>
      <c r="S273" s="50" t="n"/>
      <c r="T273" s="50" t="n"/>
      <c r="U273" s="50" t="n"/>
      <c r="V273" s="50" t="n"/>
      <c r="W273" s="50" t="n"/>
      <c r="X273" s="50" t="n"/>
      <c r="Y273" s="50" t="n"/>
      <c r="Z273" s="50" t="n"/>
      <c r="AA273" s="50" t="n"/>
      <c r="AB273" s="50" t="n"/>
      <c r="AC273" s="50" t="n"/>
      <c r="AD273" s="50" t="n"/>
      <c r="AE273" s="50" t="n"/>
      <c r="AF273" s="50" t="n"/>
      <c r="AG273" s="50" t="n"/>
      <c r="AH273" s="50" t="n"/>
      <c r="AI273" s="50" t="n"/>
      <c r="AJ273" s="50" t="n"/>
      <c r="AK273" s="50" t="n"/>
      <c r="AL273" s="50" t="n"/>
      <c r="AM273" s="50" t="n"/>
      <c r="AN273" s="50" t="n"/>
      <c r="AO273" s="50" t="n"/>
      <c r="AP273" s="50" t="n"/>
      <c r="AQ273" s="50" t="n"/>
      <c r="AR273" s="50" t="n"/>
      <c r="AS273" s="50" t="n"/>
      <c r="AT273" s="50" t="n"/>
      <c r="AU273" s="50" t="n"/>
      <c r="AV273" s="50" t="n"/>
      <c r="AW273" s="50" t="n"/>
      <c r="AX273" s="50" t="n"/>
      <c r="AY273" s="50" t="n"/>
      <c r="AZ273" s="50" t="n"/>
      <c r="BA273" s="50" t="n"/>
      <c r="BB273" s="50" t="n"/>
      <c r="BC273" s="50" t="n"/>
      <c r="BD273" s="50" t="n"/>
      <c r="BE273" s="50" t="n"/>
      <c r="BF273" s="50" t="n"/>
      <c r="BG273" s="50" t="n"/>
      <c r="BH273" s="50" t="n"/>
      <c r="BI273" s="50" t="n"/>
      <c r="BJ273" s="50" t="n"/>
      <c r="BK273" s="50" t="n"/>
      <c r="BL273" s="50" t="n"/>
      <c r="BM273" s="50" t="n"/>
      <c r="BN273" s="50" t="n"/>
      <c r="BO273" s="50" t="n"/>
      <c r="BP273" s="50" t="n"/>
      <c r="BQ273" s="50" t="n"/>
      <c r="BR273" s="50" t="n"/>
      <c r="BS273" s="50" t="n"/>
      <c r="BT273" s="50" t="n"/>
      <c r="BU273" s="50" t="n"/>
      <c r="BV273" s="50" t="n"/>
      <c r="BW273" s="50" t="n"/>
      <c r="BX273" s="50" t="n"/>
      <c r="BY273" s="50" t="n"/>
      <c r="BZ273" s="50" t="n"/>
      <c r="CA273" s="50" t="n"/>
      <c r="CB273" s="50" t="n"/>
      <c r="CC273" s="50" t="n"/>
      <c r="CD273" s="50" t="n"/>
      <c r="CE273" s="50" t="n"/>
      <c r="CF273" s="50" t="n"/>
      <c r="CG273" s="50" t="n"/>
      <c r="CH273" s="50" t="n"/>
      <c r="CI273" s="50" t="n"/>
      <c r="CJ273" s="50" t="n"/>
      <c r="CK273" s="50" t="n"/>
      <c r="CL273" s="50" t="n"/>
      <c r="CM273" s="50" t="n"/>
      <c r="CN273" s="50" t="n"/>
      <c r="CO273" s="50" t="n"/>
      <c r="CP273" s="50" t="n"/>
      <c r="CQ273" s="50" t="n"/>
      <c r="CR273" s="50" t="n"/>
      <c r="CS273" s="50" t="n"/>
      <c r="CT273" s="50" t="n"/>
      <c r="CU273" s="50" t="n"/>
      <c r="CV273" s="50" t="n"/>
      <c r="CW273" s="50" t="n"/>
      <c r="CX273" s="50" t="n"/>
      <c r="CY273" s="50" t="n"/>
      <c r="CZ273" s="50" t="n"/>
      <c r="DA273" s="50" t="n"/>
      <c r="DB273" s="50" t="n"/>
      <c r="DC273" s="50" t="n"/>
      <c r="DD273" s="50" t="n"/>
      <c r="DE273" s="50" t="n"/>
      <c r="DF273" s="50" t="n"/>
      <c r="DG273" s="50" t="n"/>
      <c r="DH273" s="50" t="n"/>
      <c r="DI273" s="50" t="n"/>
      <c r="DJ273" s="50" t="n"/>
      <c r="DK273" s="50" t="n"/>
      <c r="DL273" s="50" t="n"/>
      <c r="DM273" s="50" t="n"/>
      <c r="DN273" s="50" t="n"/>
      <c r="DO273" s="50" t="n"/>
      <c r="DP273" s="50" t="n"/>
      <c r="DQ273" s="50" t="n"/>
      <c r="DR273" s="50" t="n"/>
      <c r="DS273" s="50" t="n"/>
      <c r="DT273" s="50" t="n"/>
      <c r="DU273" s="50" t="n"/>
      <c r="DV273" s="50" t="n"/>
    </row>
    <row r="274">
      <c r="A274" s="47">
        <f>IF(Mitarbeiter!B274="","",Mitarbeiter!A274)</f>
        <v/>
      </c>
      <c r="B274" s="48">
        <f>IF(Mitarbeiter!B274="","",Mitarbeiter!B274)</f>
        <v/>
      </c>
      <c r="C274" s="49">
        <f>IF(Mitarbeiter!B274="","",Mitarbeiter!F274)</f>
        <v/>
      </c>
      <c r="D274" s="25">
        <f>IF(Mitarbeiter!B274="","",Berechnung!AD274)</f>
        <v/>
      </c>
      <c r="E274" s="25">
        <f>IF(Mitarbeiter!B274="","",SUM(G274:DV274))</f>
        <v/>
      </c>
      <c r="G274" s="50" t="n"/>
      <c r="H274" s="50" t="n"/>
      <c r="I274" s="50" t="n"/>
      <c r="J274" s="50" t="n"/>
      <c r="K274" s="50" t="n"/>
      <c r="L274" s="50" t="n"/>
      <c r="M274" s="50" t="n"/>
      <c r="N274" s="50" t="n"/>
      <c r="O274" s="50" t="n"/>
      <c r="P274" s="50" t="n"/>
      <c r="Q274" s="50" t="n"/>
      <c r="R274" s="50" t="n"/>
      <c r="S274" s="50" t="n"/>
      <c r="T274" s="50" t="n"/>
      <c r="U274" s="50" t="n"/>
      <c r="V274" s="50" t="n"/>
      <c r="W274" s="50" t="n"/>
      <c r="X274" s="50" t="n"/>
      <c r="Y274" s="50" t="n"/>
      <c r="Z274" s="50" t="n"/>
      <c r="AA274" s="50" t="n"/>
      <c r="AB274" s="50" t="n"/>
      <c r="AC274" s="50" t="n"/>
      <c r="AD274" s="50" t="n"/>
      <c r="AE274" s="50" t="n"/>
      <c r="AF274" s="50" t="n"/>
      <c r="AG274" s="50" t="n"/>
      <c r="AH274" s="50" t="n"/>
      <c r="AI274" s="50" t="n"/>
      <c r="AJ274" s="50" t="n"/>
      <c r="AK274" s="50" t="n"/>
      <c r="AL274" s="50" t="n"/>
      <c r="AM274" s="50" t="n"/>
      <c r="AN274" s="50" t="n"/>
      <c r="AO274" s="50" t="n"/>
      <c r="AP274" s="50" t="n"/>
      <c r="AQ274" s="50" t="n"/>
      <c r="AR274" s="50" t="n"/>
      <c r="AS274" s="50" t="n"/>
      <c r="AT274" s="50" t="n"/>
      <c r="AU274" s="50" t="n"/>
      <c r="AV274" s="50" t="n"/>
      <c r="AW274" s="50" t="n"/>
      <c r="AX274" s="50" t="n"/>
      <c r="AY274" s="50" t="n"/>
      <c r="AZ274" s="50" t="n"/>
      <c r="BA274" s="50" t="n"/>
      <c r="BB274" s="50" t="n"/>
      <c r="BC274" s="50" t="n"/>
      <c r="BD274" s="50" t="n"/>
      <c r="BE274" s="50" t="n"/>
      <c r="BF274" s="50" t="n"/>
      <c r="BG274" s="50" t="n"/>
      <c r="BH274" s="50" t="n"/>
      <c r="BI274" s="50" t="n"/>
      <c r="BJ274" s="50" t="n"/>
      <c r="BK274" s="50" t="n"/>
      <c r="BL274" s="50" t="n"/>
      <c r="BM274" s="50" t="n"/>
      <c r="BN274" s="50" t="n"/>
      <c r="BO274" s="50" t="n"/>
      <c r="BP274" s="50" t="n"/>
      <c r="BQ274" s="50" t="n"/>
      <c r="BR274" s="50" t="n"/>
      <c r="BS274" s="50" t="n"/>
      <c r="BT274" s="50" t="n"/>
      <c r="BU274" s="50" t="n"/>
      <c r="BV274" s="50" t="n"/>
      <c r="BW274" s="50" t="n"/>
      <c r="BX274" s="50" t="n"/>
      <c r="BY274" s="50" t="n"/>
      <c r="BZ274" s="50" t="n"/>
      <c r="CA274" s="50" t="n"/>
      <c r="CB274" s="50" t="n"/>
      <c r="CC274" s="50" t="n"/>
      <c r="CD274" s="50" t="n"/>
      <c r="CE274" s="50" t="n"/>
      <c r="CF274" s="50" t="n"/>
      <c r="CG274" s="50" t="n"/>
      <c r="CH274" s="50" t="n"/>
      <c r="CI274" s="50" t="n"/>
      <c r="CJ274" s="50" t="n"/>
      <c r="CK274" s="50" t="n"/>
      <c r="CL274" s="50" t="n"/>
      <c r="CM274" s="50" t="n"/>
      <c r="CN274" s="50" t="n"/>
      <c r="CO274" s="50" t="n"/>
      <c r="CP274" s="50" t="n"/>
      <c r="CQ274" s="50" t="n"/>
      <c r="CR274" s="50" t="n"/>
      <c r="CS274" s="50" t="n"/>
      <c r="CT274" s="50" t="n"/>
      <c r="CU274" s="50" t="n"/>
      <c r="CV274" s="50" t="n"/>
      <c r="CW274" s="50" t="n"/>
      <c r="CX274" s="50" t="n"/>
      <c r="CY274" s="50" t="n"/>
      <c r="CZ274" s="50" t="n"/>
      <c r="DA274" s="50" t="n"/>
      <c r="DB274" s="50" t="n"/>
      <c r="DC274" s="50" t="n"/>
      <c r="DD274" s="50" t="n"/>
      <c r="DE274" s="50" t="n"/>
      <c r="DF274" s="50" t="n"/>
      <c r="DG274" s="50" t="n"/>
      <c r="DH274" s="50" t="n"/>
      <c r="DI274" s="50" t="n"/>
      <c r="DJ274" s="50" t="n"/>
      <c r="DK274" s="50" t="n"/>
      <c r="DL274" s="50" t="n"/>
      <c r="DM274" s="50" t="n"/>
      <c r="DN274" s="50" t="n"/>
      <c r="DO274" s="50" t="n"/>
      <c r="DP274" s="50" t="n"/>
      <c r="DQ274" s="50" t="n"/>
      <c r="DR274" s="50" t="n"/>
      <c r="DS274" s="50" t="n"/>
      <c r="DT274" s="50" t="n"/>
      <c r="DU274" s="50" t="n"/>
      <c r="DV274" s="50" t="n"/>
    </row>
    <row r="275">
      <c r="A275" s="47">
        <f>IF(Mitarbeiter!B275="","",Mitarbeiter!A275)</f>
        <v/>
      </c>
      <c r="B275" s="48">
        <f>IF(Mitarbeiter!B275="","",Mitarbeiter!B275)</f>
        <v/>
      </c>
      <c r="C275" s="49">
        <f>IF(Mitarbeiter!B275="","",Mitarbeiter!F275)</f>
        <v/>
      </c>
      <c r="D275" s="25">
        <f>IF(Mitarbeiter!B275="","",Berechnung!AD275)</f>
        <v/>
      </c>
      <c r="E275" s="25">
        <f>IF(Mitarbeiter!B275="","",SUM(G275:DV275))</f>
        <v/>
      </c>
      <c r="G275" s="50" t="n"/>
      <c r="H275" s="50" t="n"/>
      <c r="I275" s="50" t="n"/>
      <c r="J275" s="50" t="n"/>
      <c r="K275" s="50" t="n"/>
      <c r="L275" s="50" t="n"/>
      <c r="M275" s="50" t="n"/>
      <c r="N275" s="50" t="n"/>
      <c r="O275" s="50" t="n"/>
      <c r="P275" s="50" t="n"/>
      <c r="Q275" s="50" t="n"/>
      <c r="R275" s="50" t="n"/>
      <c r="S275" s="50" t="n"/>
      <c r="T275" s="50" t="n"/>
      <c r="U275" s="50" t="n"/>
      <c r="V275" s="50" t="n"/>
      <c r="W275" s="50" t="n"/>
      <c r="X275" s="50" t="n"/>
      <c r="Y275" s="50" t="n"/>
      <c r="Z275" s="50" t="n"/>
      <c r="AA275" s="50" t="n"/>
      <c r="AB275" s="50" t="n"/>
      <c r="AC275" s="50" t="n"/>
      <c r="AD275" s="50" t="n"/>
      <c r="AE275" s="50" t="n"/>
      <c r="AF275" s="50" t="n"/>
      <c r="AG275" s="50" t="n"/>
      <c r="AH275" s="50" t="n"/>
      <c r="AI275" s="50" t="n"/>
      <c r="AJ275" s="50" t="n"/>
      <c r="AK275" s="50" t="n"/>
      <c r="AL275" s="50" t="n"/>
      <c r="AM275" s="50" t="n"/>
      <c r="AN275" s="50" t="n"/>
      <c r="AO275" s="50" t="n"/>
      <c r="AP275" s="50" t="n"/>
      <c r="AQ275" s="50" t="n"/>
      <c r="AR275" s="50" t="n"/>
      <c r="AS275" s="50" t="n"/>
      <c r="AT275" s="50" t="n"/>
      <c r="AU275" s="50" t="n"/>
      <c r="AV275" s="50" t="n"/>
      <c r="AW275" s="50" t="n"/>
      <c r="AX275" s="50" t="n"/>
      <c r="AY275" s="50" t="n"/>
      <c r="AZ275" s="50" t="n"/>
      <c r="BA275" s="50" t="n"/>
      <c r="BB275" s="50" t="n"/>
      <c r="BC275" s="50" t="n"/>
      <c r="BD275" s="50" t="n"/>
      <c r="BE275" s="50" t="n"/>
      <c r="BF275" s="50" t="n"/>
      <c r="BG275" s="50" t="n"/>
      <c r="BH275" s="50" t="n"/>
      <c r="BI275" s="50" t="n"/>
      <c r="BJ275" s="50" t="n"/>
      <c r="BK275" s="50" t="n"/>
      <c r="BL275" s="50" t="n"/>
      <c r="BM275" s="50" t="n"/>
      <c r="BN275" s="50" t="n"/>
      <c r="BO275" s="50" t="n"/>
      <c r="BP275" s="50" t="n"/>
      <c r="BQ275" s="50" t="n"/>
      <c r="BR275" s="50" t="n"/>
      <c r="BS275" s="50" t="n"/>
      <c r="BT275" s="50" t="n"/>
      <c r="BU275" s="50" t="n"/>
      <c r="BV275" s="50" t="n"/>
      <c r="BW275" s="50" t="n"/>
      <c r="BX275" s="50" t="n"/>
      <c r="BY275" s="50" t="n"/>
      <c r="BZ275" s="50" t="n"/>
      <c r="CA275" s="50" t="n"/>
      <c r="CB275" s="50" t="n"/>
      <c r="CC275" s="50" t="n"/>
      <c r="CD275" s="50" t="n"/>
      <c r="CE275" s="50" t="n"/>
      <c r="CF275" s="50" t="n"/>
      <c r="CG275" s="50" t="n"/>
      <c r="CH275" s="50" t="n"/>
      <c r="CI275" s="50" t="n"/>
      <c r="CJ275" s="50" t="n"/>
      <c r="CK275" s="50" t="n"/>
      <c r="CL275" s="50" t="n"/>
      <c r="CM275" s="50" t="n"/>
      <c r="CN275" s="50" t="n"/>
      <c r="CO275" s="50" t="n"/>
      <c r="CP275" s="50" t="n"/>
      <c r="CQ275" s="50" t="n"/>
      <c r="CR275" s="50" t="n"/>
      <c r="CS275" s="50" t="n"/>
      <c r="CT275" s="50" t="n"/>
      <c r="CU275" s="50" t="n"/>
      <c r="CV275" s="50" t="n"/>
      <c r="CW275" s="50" t="n"/>
      <c r="CX275" s="50" t="n"/>
      <c r="CY275" s="50" t="n"/>
      <c r="CZ275" s="50" t="n"/>
      <c r="DA275" s="50" t="n"/>
      <c r="DB275" s="50" t="n"/>
      <c r="DC275" s="50" t="n"/>
      <c r="DD275" s="50" t="n"/>
      <c r="DE275" s="50" t="n"/>
      <c r="DF275" s="50" t="n"/>
      <c r="DG275" s="50" t="n"/>
      <c r="DH275" s="50" t="n"/>
      <c r="DI275" s="50" t="n"/>
      <c r="DJ275" s="50" t="n"/>
      <c r="DK275" s="50" t="n"/>
      <c r="DL275" s="50" t="n"/>
      <c r="DM275" s="50" t="n"/>
      <c r="DN275" s="50" t="n"/>
      <c r="DO275" s="50" t="n"/>
      <c r="DP275" s="50" t="n"/>
      <c r="DQ275" s="50" t="n"/>
      <c r="DR275" s="50" t="n"/>
      <c r="DS275" s="50" t="n"/>
      <c r="DT275" s="50" t="n"/>
      <c r="DU275" s="50" t="n"/>
      <c r="DV275" s="50" t="n"/>
    </row>
    <row r="276">
      <c r="A276" s="47">
        <f>IF(Mitarbeiter!B276="","",Mitarbeiter!A276)</f>
        <v/>
      </c>
      <c r="B276" s="48">
        <f>IF(Mitarbeiter!B276="","",Mitarbeiter!B276)</f>
        <v/>
      </c>
      <c r="C276" s="49">
        <f>IF(Mitarbeiter!B276="","",Mitarbeiter!F276)</f>
        <v/>
      </c>
      <c r="D276" s="25">
        <f>IF(Mitarbeiter!B276="","",Berechnung!AD276)</f>
        <v/>
      </c>
      <c r="E276" s="25">
        <f>IF(Mitarbeiter!B276="","",SUM(G276:DV276))</f>
        <v/>
      </c>
      <c r="G276" s="50" t="n"/>
      <c r="H276" s="50" t="n"/>
      <c r="I276" s="50" t="n"/>
      <c r="J276" s="50" t="n"/>
      <c r="K276" s="50" t="n"/>
      <c r="L276" s="50" t="n"/>
      <c r="M276" s="50" t="n"/>
      <c r="N276" s="50" t="n"/>
      <c r="O276" s="50" t="n"/>
      <c r="P276" s="50" t="n"/>
      <c r="Q276" s="50" t="n"/>
      <c r="R276" s="50" t="n"/>
      <c r="S276" s="50" t="n"/>
      <c r="T276" s="50" t="n"/>
      <c r="U276" s="50" t="n"/>
      <c r="V276" s="50" t="n"/>
      <c r="W276" s="50" t="n"/>
      <c r="X276" s="50" t="n"/>
      <c r="Y276" s="50" t="n"/>
      <c r="Z276" s="50" t="n"/>
      <c r="AA276" s="50" t="n"/>
      <c r="AB276" s="50" t="n"/>
      <c r="AC276" s="50" t="n"/>
      <c r="AD276" s="50" t="n"/>
      <c r="AE276" s="50" t="n"/>
      <c r="AF276" s="50" t="n"/>
      <c r="AG276" s="50" t="n"/>
      <c r="AH276" s="50" t="n"/>
      <c r="AI276" s="50" t="n"/>
      <c r="AJ276" s="50" t="n"/>
      <c r="AK276" s="50" t="n"/>
      <c r="AL276" s="50" t="n"/>
      <c r="AM276" s="50" t="n"/>
      <c r="AN276" s="50" t="n"/>
      <c r="AO276" s="50" t="n"/>
      <c r="AP276" s="50" t="n"/>
      <c r="AQ276" s="50" t="n"/>
      <c r="AR276" s="50" t="n"/>
      <c r="AS276" s="50" t="n"/>
      <c r="AT276" s="50" t="n"/>
      <c r="AU276" s="50" t="n"/>
      <c r="AV276" s="50" t="n"/>
      <c r="AW276" s="50" t="n"/>
      <c r="AX276" s="50" t="n"/>
      <c r="AY276" s="50" t="n"/>
      <c r="AZ276" s="50" t="n"/>
      <c r="BA276" s="50" t="n"/>
      <c r="BB276" s="50" t="n"/>
      <c r="BC276" s="50" t="n"/>
      <c r="BD276" s="50" t="n"/>
      <c r="BE276" s="50" t="n"/>
      <c r="BF276" s="50" t="n"/>
      <c r="BG276" s="50" t="n"/>
      <c r="BH276" s="50" t="n"/>
      <c r="BI276" s="50" t="n"/>
      <c r="BJ276" s="50" t="n"/>
      <c r="BK276" s="50" t="n"/>
      <c r="BL276" s="50" t="n"/>
      <c r="BM276" s="50" t="n"/>
      <c r="BN276" s="50" t="n"/>
      <c r="BO276" s="50" t="n"/>
      <c r="BP276" s="50" t="n"/>
      <c r="BQ276" s="50" t="n"/>
      <c r="BR276" s="50" t="n"/>
      <c r="BS276" s="50" t="n"/>
      <c r="BT276" s="50" t="n"/>
      <c r="BU276" s="50" t="n"/>
      <c r="BV276" s="50" t="n"/>
      <c r="BW276" s="50" t="n"/>
      <c r="BX276" s="50" t="n"/>
      <c r="BY276" s="50" t="n"/>
      <c r="BZ276" s="50" t="n"/>
      <c r="CA276" s="50" t="n"/>
      <c r="CB276" s="50" t="n"/>
      <c r="CC276" s="50" t="n"/>
      <c r="CD276" s="50" t="n"/>
      <c r="CE276" s="50" t="n"/>
      <c r="CF276" s="50" t="n"/>
      <c r="CG276" s="50" t="n"/>
      <c r="CH276" s="50" t="n"/>
      <c r="CI276" s="50" t="n"/>
      <c r="CJ276" s="50" t="n"/>
      <c r="CK276" s="50" t="n"/>
      <c r="CL276" s="50" t="n"/>
      <c r="CM276" s="50" t="n"/>
      <c r="CN276" s="50" t="n"/>
      <c r="CO276" s="50" t="n"/>
      <c r="CP276" s="50" t="n"/>
      <c r="CQ276" s="50" t="n"/>
      <c r="CR276" s="50" t="n"/>
      <c r="CS276" s="50" t="n"/>
      <c r="CT276" s="50" t="n"/>
      <c r="CU276" s="50" t="n"/>
      <c r="CV276" s="50" t="n"/>
      <c r="CW276" s="50" t="n"/>
      <c r="CX276" s="50" t="n"/>
      <c r="CY276" s="50" t="n"/>
      <c r="CZ276" s="50" t="n"/>
      <c r="DA276" s="50" t="n"/>
      <c r="DB276" s="50" t="n"/>
      <c r="DC276" s="50" t="n"/>
      <c r="DD276" s="50" t="n"/>
      <c r="DE276" s="50" t="n"/>
      <c r="DF276" s="50" t="n"/>
      <c r="DG276" s="50" t="n"/>
      <c r="DH276" s="50" t="n"/>
      <c r="DI276" s="50" t="n"/>
      <c r="DJ276" s="50" t="n"/>
      <c r="DK276" s="50" t="n"/>
      <c r="DL276" s="50" t="n"/>
      <c r="DM276" s="50" t="n"/>
      <c r="DN276" s="50" t="n"/>
      <c r="DO276" s="50" t="n"/>
      <c r="DP276" s="50" t="n"/>
      <c r="DQ276" s="50" t="n"/>
      <c r="DR276" s="50" t="n"/>
      <c r="DS276" s="50" t="n"/>
      <c r="DT276" s="50" t="n"/>
      <c r="DU276" s="50" t="n"/>
      <c r="DV276" s="50" t="n"/>
    </row>
    <row r="277">
      <c r="A277" s="47">
        <f>IF(Mitarbeiter!B277="","",Mitarbeiter!A277)</f>
        <v/>
      </c>
      <c r="B277" s="48">
        <f>IF(Mitarbeiter!B277="","",Mitarbeiter!B277)</f>
        <v/>
      </c>
      <c r="C277" s="49">
        <f>IF(Mitarbeiter!B277="","",Mitarbeiter!F277)</f>
        <v/>
      </c>
      <c r="D277" s="25">
        <f>IF(Mitarbeiter!B277="","",Berechnung!AD277)</f>
        <v/>
      </c>
      <c r="E277" s="25">
        <f>IF(Mitarbeiter!B277="","",SUM(G277:DV277))</f>
        <v/>
      </c>
      <c r="G277" s="50" t="n"/>
      <c r="H277" s="50" t="n"/>
      <c r="I277" s="50" t="n"/>
      <c r="J277" s="50" t="n"/>
      <c r="K277" s="50" t="n"/>
      <c r="L277" s="50" t="n"/>
      <c r="M277" s="50" t="n"/>
      <c r="N277" s="50" t="n"/>
      <c r="O277" s="50" t="n"/>
      <c r="P277" s="50" t="n"/>
      <c r="Q277" s="50" t="n"/>
      <c r="R277" s="50" t="n"/>
      <c r="S277" s="50" t="n"/>
      <c r="T277" s="50" t="n"/>
      <c r="U277" s="50" t="n"/>
      <c r="V277" s="50" t="n"/>
      <c r="W277" s="50" t="n"/>
      <c r="X277" s="50" t="n"/>
      <c r="Y277" s="50" t="n"/>
      <c r="Z277" s="50" t="n"/>
      <c r="AA277" s="50" t="n"/>
      <c r="AB277" s="50" t="n"/>
      <c r="AC277" s="50" t="n"/>
      <c r="AD277" s="50" t="n"/>
      <c r="AE277" s="50" t="n"/>
      <c r="AF277" s="50" t="n"/>
      <c r="AG277" s="50" t="n"/>
      <c r="AH277" s="50" t="n"/>
      <c r="AI277" s="50" t="n"/>
      <c r="AJ277" s="50" t="n"/>
      <c r="AK277" s="50" t="n"/>
      <c r="AL277" s="50" t="n"/>
      <c r="AM277" s="50" t="n"/>
      <c r="AN277" s="50" t="n"/>
      <c r="AO277" s="50" t="n"/>
      <c r="AP277" s="50" t="n"/>
      <c r="AQ277" s="50" t="n"/>
      <c r="AR277" s="50" t="n"/>
      <c r="AS277" s="50" t="n"/>
      <c r="AT277" s="50" t="n"/>
      <c r="AU277" s="50" t="n"/>
      <c r="AV277" s="50" t="n"/>
      <c r="AW277" s="50" t="n"/>
      <c r="AX277" s="50" t="n"/>
      <c r="AY277" s="50" t="n"/>
      <c r="AZ277" s="50" t="n"/>
      <c r="BA277" s="50" t="n"/>
      <c r="BB277" s="50" t="n"/>
      <c r="BC277" s="50" t="n"/>
      <c r="BD277" s="50" t="n"/>
      <c r="BE277" s="50" t="n"/>
      <c r="BF277" s="50" t="n"/>
      <c r="BG277" s="50" t="n"/>
      <c r="BH277" s="50" t="n"/>
      <c r="BI277" s="50" t="n"/>
      <c r="BJ277" s="50" t="n"/>
      <c r="BK277" s="50" t="n"/>
      <c r="BL277" s="50" t="n"/>
      <c r="BM277" s="50" t="n"/>
      <c r="BN277" s="50" t="n"/>
      <c r="BO277" s="50" t="n"/>
      <c r="BP277" s="50" t="n"/>
      <c r="BQ277" s="50" t="n"/>
      <c r="BR277" s="50" t="n"/>
      <c r="BS277" s="50" t="n"/>
      <c r="BT277" s="50" t="n"/>
      <c r="BU277" s="50" t="n"/>
      <c r="BV277" s="50" t="n"/>
      <c r="BW277" s="50" t="n"/>
      <c r="BX277" s="50" t="n"/>
      <c r="BY277" s="50" t="n"/>
      <c r="BZ277" s="50" t="n"/>
      <c r="CA277" s="50" t="n"/>
      <c r="CB277" s="50" t="n"/>
      <c r="CC277" s="50" t="n"/>
      <c r="CD277" s="50" t="n"/>
      <c r="CE277" s="50" t="n"/>
      <c r="CF277" s="50" t="n"/>
      <c r="CG277" s="50" t="n"/>
      <c r="CH277" s="50" t="n"/>
      <c r="CI277" s="50" t="n"/>
      <c r="CJ277" s="50" t="n"/>
      <c r="CK277" s="50" t="n"/>
      <c r="CL277" s="50" t="n"/>
      <c r="CM277" s="50" t="n"/>
      <c r="CN277" s="50" t="n"/>
      <c r="CO277" s="50" t="n"/>
      <c r="CP277" s="50" t="n"/>
      <c r="CQ277" s="50" t="n"/>
      <c r="CR277" s="50" t="n"/>
      <c r="CS277" s="50" t="n"/>
      <c r="CT277" s="50" t="n"/>
      <c r="CU277" s="50" t="n"/>
      <c r="CV277" s="50" t="n"/>
      <c r="CW277" s="50" t="n"/>
      <c r="CX277" s="50" t="n"/>
      <c r="CY277" s="50" t="n"/>
      <c r="CZ277" s="50" t="n"/>
      <c r="DA277" s="50" t="n"/>
      <c r="DB277" s="50" t="n"/>
      <c r="DC277" s="50" t="n"/>
      <c r="DD277" s="50" t="n"/>
      <c r="DE277" s="50" t="n"/>
      <c r="DF277" s="50" t="n"/>
      <c r="DG277" s="50" t="n"/>
      <c r="DH277" s="50" t="n"/>
      <c r="DI277" s="50" t="n"/>
      <c r="DJ277" s="50" t="n"/>
      <c r="DK277" s="50" t="n"/>
      <c r="DL277" s="50" t="n"/>
      <c r="DM277" s="50" t="n"/>
      <c r="DN277" s="50" t="n"/>
      <c r="DO277" s="50" t="n"/>
      <c r="DP277" s="50" t="n"/>
      <c r="DQ277" s="50" t="n"/>
      <c r="DR277" s="50" t="n"/>
      <c r="DS277" s="50" t="n"/>
      <c r="DT277" s="50" t="n"/>
      <c r="DU277" s="50" t="n"/>
      <c r="DV277" s="50" t="n"/>
    </row>
    <row r="278">
      <c r="A278" s="47">
        <f>IF(Mitarbeiter!B278="","",Mitarbeiter!A278)</f>
        <v/>
      </c>
      <c r="B278" s="48">
        <f>IF(Mitarbeiter!B278="","",Mitarbeiter!B278)</f>
        <v/>
      </c>
      <c r="C278" s="49">
        <f>IF(Mitarbeiter!B278="","",Mitarbeiter!F278)</f>
        <v/>
      </c>
      <c r="D278" s="25">
        <f>IF(Mitarbeiter!B278="","",Berechnung!AD278)</f>
        <v/>
      </c>
      <c r="E278" s="25">
        <f>IF(Mitarbeiter!B278="","",SUM(G278:DV278))</f>
        <v/>
      </c>
      <c r="G278" s="50" t="n"/>
      <c r="H278" s="50" t="n"/>
      <c r="I278" s="50" t="n"/>
      <c r="J278" s="50" t="n"/>
      <c r="K278" s="50" t="n"/>
      <c r="L278" s="50" t="n"/>
      <c r="M278" s="50" t="n"/>
      <c r="N278" s="50" t="n"/>
      <c r="O278" s="50" t="n"/>
      <c r="P278" s="50" t="n"/>
      <c r="Q278" s="50" t="n"/>
      <c r="R278" s="50" t="n"/>
      <c r="S278" s="50" t="n"/>
      <c r="T278" s="50" t="n"/>
      <c r="U278" s="50" t="n"/>
      <c r="V278" s="50" t="n"/>
      <c r="W278" s="50" t="n"/>
      <c r="X278" s="50" t="n"/>
      <c r="Y278" s="50" t="n"/>
      <c r="Z278" s="50" t="n"/>
      <c r="AA278" s="50" t="n"/>
      <c r="AB278" s="50" t="n"/>
      <c r="AC278" s="50" t="n"/>
      <c r="AD278" s="50" t="n"/>
      <c r="AE278" s="50" t="n"/>
      <c r="AF278" s="50" t="n"/>
      <c r="AG278" s="50" t="n"/>
      <c r="AH278" s="50" t="n"/>
      <c r="AI278" s="50" t="n"/>
      <c r="AJ278" s="50" t="n"/>
      <c r="AK278" s="50" t="n"/>
      <c r="AL278" s="50" t="n"/>
      <c r="AM278" s="50" t="n"/>
      <c r="AN278" s="50" t="n"/>
      <c r="AO278" s="50" t="n"/>
      <c r="AP278" s="50" t="n"/>
      <c r="AQ278" s="50" t="n"/>
      <c r="AR278" s="50" t="n"/>
      <c r="AS278" s="50" t="n"/>
      <c r="AT278" s="50" t="n"/>
      <c r="AU278" s="50" t="n"/>
      <c r="AV278" s="50" t="n"/>
      <c r="AW278" s="50" t="n"/>
      <c r="AX278" s="50" t="n"/>
      <c r="AY278" s="50" t="n"/>
      <c r="AZ278" s="50" t="n"/>
      <c r="BA278" s="50" t="n"/>
      <c r="BB278" s="50" t="n"/>
      <c r="BC278" s="50" t="n"/>
      <c r="BD278" s="50" t="n"/>
      <c r="BE278" s="50" t="n"/>
      <c r="BF278" s="50" t="n"/>
      <c r="BG278" s="50" t="n"/>
      <c r="BH278" s="50" t="n"/>
      <c r="BI278" s="50" t="n"/>
      <c r="BJ278" s="50" t="n"/>
      <c r="BK278" s="50" t="n"/>
      <c r="BL278" s="50" t="n"/>
      <c r="BM278" s="50" t="n"/>
      <c r="BN278" s="50" t="n"/>
      <c r="BO278" s="50" t="n"/>
      <c r="BP278" s="50" t="n"/>
      <c r="BQ278" s="50" t="n"/>
      <c r="BR278" s="50" t="n"/>
      <c r="BS278" s="50" t="n"/>
      <c r="BT278" s="50" t="n"/>
      <c r="BU278" s="50" t="n"/>
      <c r="BV278" s="50" t="n"/>
      <c r="BW278" s="50" t="n"/>
      <c r="BX278" s="50" t="n"/>
      <c r="BY278" s="50" t="n"/>
      <c r="BZ278" s="50" t="n"/>
      <c r="CA278" s="50" t="n"/>
      <c r="CB278" s="50" t="n"/>
      <c r="CC278" s="50" t="n"/>
      <c r="CD278" s="50" t="n"/>
      <c r="CE278" s="50" t="n"/>
      <c r="CF278" s="50" t="n"/>
      <c r="CG278" s="50" t="n"/>
      <c r="CH278" s="50" t="n"/>
      <c r="CI278" s="50" t="n"/>
      <c r="CJ278" s="50" t="n"/>
      <c r="CK278" s="50" t="n"/>
      <c r="CL278" s="50" t="n"/>
      <c r="CM278" s="50" t="n"/>
      <c r="CN278" s="50" t="n"/>
      <c r="CO278" s="50" t="n"/>
      <c r="CP278" s="50" t="n"/>
      <c r="CQ278" s="50" t="n"/>
      <c r="CR278" s="50" t="n"/>
      <c r="CS278" s="50" t="n"/>
      <c r="CT278" s="50" t="n"/>
      <c r="CU278" s="50" t="n"/>
      <c r="CV278" s="50" t="n"/>
      <c r="CW278" s="50" t="n"/>
      <c r="CX278" s="50" t="n"/>
      <c r="CY278" s="50" t="n"/>
      <c r="CZ278" s="50" t="n"/>
      <c r="DA278" s="50" t="n"/>
      <c r="DB278" s="50" t="n"/>
      <c r="DC278" s="50" t="n"/>
      <c r="DD278" s="50" t="n"/>
      <c r="DE278" s="50" t="n"/>
      <c r="DF278" s="50" t="n"/>
      <c r="DG278" s="50" t="n"/>
      <c r="DH278" s="50" t="n"/>
      <c r="DI278" s="50" t="n"/>
      <c r="DJ278" s="50" t="n"/>
      <c r="DK278" s="50" t="n"/>
      <c r="DL278" s="50" t="n"/>
      <c r="DM278" s="50" t="n"/>
      <c r="DN278" s="50" t="n"/>
      <c r="DO278" s="50" t="n"/>
      <c r="DP278" s="50" t="n"/>
      <c r="DQ278" s="50" t="n"/>
      <c r="DR278" s="50" t="n"/>
      <c r="DS278" s="50" t="n"/>
      <c r="DT278" s="50" t="n"/>
      <c r="DU278" s="50" t="n"/>
      <c r="DV278" s="50" t="n"/>
    </row>
    <row r="279">
      <c r="A279" s="47">
        <f>IF(Mitarbeiter!B279="","",Mitarbeiter!A279)</f>
        <v/>
      </c>
      <c r="B279" s="48">
        <f>IF(Mitarbeiter!B279="","",Mitarbeiter!B279)</f>
        <v/>
      </c>
      <c r="C279" s="49">
        <f>IF(Mitarbeiter!B279="","",Mitarbeiter!F279)</f>
        <v/>
      </c>
      <c r="D279" s="25">
        <f>IF(Mitarbeiter!B279="","",Berechnung!AD279)</f>
        <v/>
      </c>
      <c r="E279" s="25">
        <f>IF(Mitarbeiter!B279="","",SUM(G279:DV279))</f>
        <v/>
      </c>
      <c r="G279" s="50" t="n"/>
      <c r="H279" s="50" t="n"/>
      <c r="I279" s="50" t="n"/>
      <c r="J279" s="50" t="n"/>
      <c r="K279" s="50" t="n"/>
      <c r="L279" s="50" t="n"/>
      <c r="M279" s="50" t="n"/>
      <c r="N279" s="50" t="n"/>
      <c r="O279" s="50" t="n"/>
      <c r="P279" s="50" t="n"/>
      <c r="Q279" s="50" t="n"/>
      <c r="R279" s="50" t="n"/>
      <c r="S279" s="50" t="n"/>
      <c r="T279" s="50" t="n"/>
      <c r="U279" s="50" t="n"/>
      <c r="V279" s="50" t="n"/>
      <c r="W279" s="50" t="n"/>
      <c r="X279" s="50" t="n"/>
      <c r="Y279" s="50" t="n"/>
      <c r="Z279" s="50" t="n"/>
      <c r="AA279" s="50" t="n"/>
      <c r="AB279" s="50" t="n"/>
      <c r="AC279" s="50" t="n"/>
      <c r="AD279" s="50" t="n"/>
      <c r="AE279" s="50" t="n"/>
      <c r="AF279" s="50" t="n"/>
      <c r="AG279" s="50" t="n"/>
      <c r="AH279" s="50" t="n"/>
      <c r="AI279" s="50" t="n"/>
      <c r="AJ279" s="50" t="n"/>
      <c r="AK279" s="50" t="n"/>
      <c r="AL279" s="50" t="n"/>
      <c r="AM279" s="50" t="n"/>
      <c r="AN279" s="50" t="n"/>
      <c r="AO279" s="50" t="n"/>
      <c r="AP279" s="50" t="n"/>
      <c r="AQ279" s="50" t="n"/>
      <c r="AR279" s="50" t="n"/>
      <c r="AS279" s="50" t="n"/>
      <c r="AT279" s="50" t="n"/>
      <c r="AU279" s="50" t="n"/>
      <c r="AV279" s="50" t="n"/>
      <c r="AW279" s="50" t="n"/>
      <c r="AX279" s="50" t="n"/>
      <c r="AY279" s="50" t="n"/>
      <c r="AZ279" s="50" t="n"/>
      <c r="BA279" s="50" t="n"/>
      <c r="BB279" s="50" t="n"/>
      <c r="BC279" s="50" t="n"/>
      <c r="BD279" s="50" t="n"/>
      <c r="BE279" s="50" t="n"/>
      <c r="BF279" s="50" t="n"/>
      <c r="BG279" s="50" t="n"/>
      <c r="BH279" s="50" t="n"/>
      <c r="BI279" s="50" t="n"/>
      <c r="BJ279" s="50" t="n"/>
      <c r="BK279" s="50" t="n"/>
      <c r="BL279" s="50" t="n"/>
      <c r="BM279" s="50" t="n"/>
      <c r="BN279" s="50" t="n"/>
      <c r="BO279" s="50" t="n"/>
      <c r="BP279" s="50" t="n"/>
      <c r="BQ279" s="50" t="n"/>
      <c r="BR279" s="50" t="n"/>
      <c r="BS279" s="50" t="n"/>
      <c r="BT279" s="50" t="n"/>
      <c r="BU279" s="50" t="n"/>
      <c r="BV279" s="50" t="n"/>
      <c r="BW279" s="50" t="n"/>
      <c r="BX279" s="50" t="n"/>
      <c r="BY279" s="50" t="n"/>
      <c r="BZ279" s="50" t="n"/>
      <c r="CA279" s="50" t="n"/>
      <c r="CB279" s="50" t="n"/>
      <c r="CC279" s="50" t="n"/>
      <c r="CD279" s="50" t="n"/>
      <c r="CE279" s="50" t="n"/>
      <c r="CF279" s="50" t="n"/>
      <c r="CG279" s="50" t="n"/>
      <c r="CH279" s="50" t="n"/>
      <c r="CI279" s="50" t="n"/>
      <c r="CJ279" s="50" t="n"/>
      <c r="CK279" s="50" t="n"/>
      <c r="CL279" s="50" t="n"/>
      <c r="CM279" s="50" t="n"/>
      <c r="CN279" s="50" t="n"/>
      <c r="CO279" s="50" t="n"/>
      <c r="CP279" s="50" t="n"/>
      <c r="CQ279" s="50" t="n"/>
      <c r="CR279" s="50" t="n"/>
      <c r="CS279" s="50" t="n"/>
      <c r="CT279" s="50" t="n"/>
      <c r="CU279" s="50" t="n"/>
      <c r="CV279" s="50" t="n"/>
      <c r="CW279" s="50" t="n"/>
      <c r="CX279" s="50" t="n"/>
      <c r="CY279" s="50" t="n"/>
      <c r="CZ279" s="50" t="n"/>
      <c r="DA279" s="50" t="n"/>
      <c r="DB279" s="50" t="n"/>
      <c r="DC279" s="50" t="n"/>
      <c r="DD279" s="50" t="n"/>
      <c r="DE279" s="50" t="n"/>
      <c r="DF279" s="50" t="n"/>
      <c r="DG279" s="50" t="n"/>
      <c r="DH279" s="50" t="n"/>
      <c r="DI279" s="50" t="n"/>
      <c r="DJ279" s="50" t="n"/>
      <c r="DK279" s="50" t="n"/>
      <c r="DL279" s="50" t="n"/>
      <c r="DM279" s="50" t="n"/>
      <c r="DN279" s="50" t="n"/>
      <c r="DO279" s="50" t="n"/>
      <c r="DP279" s="50" t="n"/>
      <c r="DQ279" s="50" t="n"/>
      <c r="DR279" s="50" t="n"/>
      <c r="DS279" s="50" t="n"/>
      <c r="DT279" s="50" t="n"/>
      <c r="DU279" s="50" t="n"/>
      <c r="DV279" s="50" t="n"/>
    </row>
    <row r="280">
      <c r="A280" s="47">
        <f>IF(Mitarbeiter!B280="","",Mitarbeiter!A280)</f>
        <v/>
      </c>
      <c r="B280" s="48">
        <f>IF(Mitarbeiter!B280="","",Mitarbeiter!B280)</f>
        <v/>
      </c>
      <c r="C280" s="49">
        <f>IF(Mitarbeiter!B280="","",Mitarbeiter!F280)</f>
        <v/>
      </c>
      <c r="D280" s="25">
        <f>IF(Mitarbeiter!B280="","",Berechnung!AD280)</f>
        <v/>
      </c>
      <c r="E280" s="25">
        <f>IF(Mitarbeiter!B280="","",SUM(G280:DV280))</f>
        <v/>
      </c>
      <c r="G280" s="50" t="n"/>
      <c r="H280" s="50" t="n"/>
      <c r="I280" s="50" t="n"/>
      <c r="J280" s="50" t="n"/>
      <c r="K280" s="50" t="n"/>
      <c r="L280" s="50" t="n"/>
      <c r="M280" s="50" t="n"/>
      <c r="N280" s="50" t="n"/>
      <c r="O280" s="50" t="n"/>
      <c r="P280" s="50" t="n"/>
      <c r="Q280" s="50" t="n"/>
      <c r="R280" s="50" t="n"/>
      <c r="S280" s="50" t="n"/>
      <c r="T280" s="50" t="n"/>
      <c r="U280" s="50" t="n"/>
      <c r="V280" s="50" t="n"/>
      <c r="W280" s="50" t="n"/>
      <c r="X280" s="50" t="n"/>
      <c r="Y280" s="50" t="n"/>
      <c r="Z280" s="50" t="n"/>
      <c r="AA280" s="50" t="n"/>
      <c r="AB280" s="50" t="n"/>
      <c r="AC280" s="50" t="n"/>
      <c r="AD280" s="50" t="n"/>
      <c r="AE280" s="50" t="n"/>
      <c r="AF280" s="50" t="n"/>
      <c r="AG280" s="50" t="n"/>
      <c r="AH280" s="50" t="n"/>
      <c r="AI280" s="50" t="n"/>
      <c r="AJ280" s="50" t="n"/>
      <c r="AK280" s="50" t="n"/>
      <c r="AL280" s="50" t="n"/>
      <c r="AM280" s="50" t="n"/>
      <c r="AN280" s="50" t="n"/>
      <c r="AO280" s="50" t="n"/>
      <c r="AP280" s="50" t="n"/>
      <c r="AQ280" s="50" t="n"/>
      <c r="AR280" s="50" t="n"/>
      <c r="AS280" s="50" t="n"/>
      <c r="AT280" s="50" t="n"/>
      <c r="AU280" s="50" t="n"/>
      <c r="AV280" s="50" t="n"/>
      <c r="AW280" s="50" t="n"/>
      <c r="AX280" s="50" t="n"/>
      <c r="AY280" s="50" t="n"/>
      <c r="AZ280" s="50" t="n"/>
      <c r="BA280" s="50" t="n"/>
      <c r="BB280" s="50" t="n"/>
      <c r="BC280" s="50" t="n"/>
      <c r="BD280" s="50" t="n"/>
      <c r="BE280" s="50" t="n"/>
      <c r="BF280" s="50" t="n"/>
      <c r="BG280" s="50" t="n"/>
      <c r="BH280" s="50" t="n"/>
      <c r="BI280" s="50" t="n"/>
      <c r="BJ280" s="50" t="n"/>
      <c r="BK280" s="50" t="n"/>
      <c r="BL280" s="50" t="n"/>
      <c r="BM280" s="50" t="n"/>
      <c r="BN280" s="50" t="n"/>
      <c r="BO280" s="50" t="n"/>
      <c r="BP280" s="50" t="n"/>
      <c r="BQ280" s="50" t="n"/>
      <c r="BR280" s="50" t="n"/>
      <c r="BS280" s="50" t="n"/>
      <c r="BT280" s="50" t="n"/>
      <c r="BU280" s="50" t="n"/>
      <c r="BV280" s="50" t="n"/>
      <c r="BW280" s="50" t="n"/>
      <c r="BX280" s="50" t="n"/>
      <c r="BY280" s="50" t="n"/>
      <c r="BZ280" s="50" t="n"/>
      <c r="CA280" s="50" t="n"/>
      <c r="CB280" s="50" t="n"/>
      <c r="CC280" s="50" t="n"/>
      <c r="CD280" s="50" t="n"/>
      <c r="CE280" s="50" t="n"/>
      <c r="CF280" s="50" t="n"/>
      <c r="CG280" s="50" t="n"/>
      <c r="CH280" s="50" t="n"/>
      <c r="CI280" s="50" t="n"/>
      <c r="CJ280" s="50" t="n"/>
      <c r="CK280" s="50" t="n"/>
      <c r="CL280" s="50" t="n"/>
      <c r="CM280" s="50" t="n"/>
      <c r="CN280" s="50" t="n"/>
      <c r="CO280" s="50" t="n"/>
      <c r="CP280" s="50" t="n"/>
      <c r="CQ280" s="50" t="n"/>
      <c r="CR280" s="50" t="n"/>
      <c r="CS280" s="50" t="n"/>
      <c r="CT280" s="50" t="n"/>
      <c r="CU280" s="50" t="n"/>
      <c r="CV280" s="50" t="n"/>
      <c r="CW280" s="50" t="n"/>
      <c r="CX280" s="50" t="n"/>
      <c r="CY280" s="50" t="n"/>
      <c r="CZ280" s="50" t="n"/>
      <c r="DA280" s="50" t="n"/>
      <c r="DB280" s="50" t="n"/>
      <c r="DC280" s="50" t="n"/>
      <c r="DD280" s="50" t="n"/>
      <c r="DE280" s="50" t="n"/>
      <c r="DF280" s="50" t="n"/>
      <c r="DG280" s="50" t="n"/>
      <c r="DH280" s="50" t="n"/>
      <c r="DI280" s="50" t="n"/>
      <c r="DJ280" s="50" t="n"/>
      <c r="DK280" s="50" t="n"/>
      <c r="DL280" s="50" t="n"/>
      <c r="DM280" s="50" t="n"/>
      <c r="DN280" s="50" t="n"/>
      <c r="DO280" s="50" t="n"/>
      <c r="DP280" s="50" t="n"/>
      <c r="DQ280" s="50" t="n"/>
      <c r="DR280" s="50" t="n"/>
      <c r="DS280" s="50" t="n"/>
      <c r="DT280" s="50" t="n"/>
      <c r="DU280" s="50" t="n"/>
      <c r="DV280" s="50" t="n"/>
    </row>
    <row r="281">
      <c r="A281" s="47">
        <f>IF(Mitarbeiter!B281="","",Mitarbeiter!A281)</f>
        <v/>
      </c>
      <c r="B281" s="48">
        <f>IF(Mitarbeiter!B281="","",Mitarbeiter!B281)</f>
        <v/>
      </c>
      <c r="C281" s="49">
        <f>IF(Mitarbeiter!B281="","",Mitarbeiter!F281)</f>
        <v/>
      </c>
      <c r="D281" s="25">
        <f>IF(Mitarbeiter!B281="","",Berechnung!AD281)</f>
        <v/>
      </c>
      <c r="E281" s="25">
        <f>IF(Mitarbeiter!B281="","",SUM(G281:DV281))</f>
        <v/>
      </c>
      <c r="G281" s="50" t="n"/>
      <c r="H281" s="50" t="n"/>
      <c r="I281" s="50" t="n"/>
      <c r="J281" s="50" t="n"/>
      <c r="K281" s="50" t="n"/>
      <c r="L281" s="50" t="n"/>
      <c r="M281" s="50" t="n"/>
      <c r="N281" s="50" t="n"/>
      <c r="O281" s="50" t="n"/>
      <c r="P281" s="50" t="n"/>
      <c r="Q281" s="50" t="n"/>
      <c r="R281" s="50" t="n"/>
      <c r="S281" s="50" t="n"/>
      <c r="T281" s="50" t="n"/>
      <c r="U281" s="50" t="n"/>
      <c r="V281" s="50" t="n"/>
      <c r="W281" s="50" t="n"/>
      <c r="X281" s="50" t="n"/>
      <c r="Y281" s="50" t="n"/>
      <c r="Z281" s="50" t="n"/>
      <c r="AA281" s="50" t="n"/>
      <c r="AB281" s="50" t="n"/>
      <c r="AC281" s="50" t="n"/>
      <c r="AD281" s="50" t="n"/>
      <c r="AE281" s="50" t="n"/>
      <c r="AF281" s="50" t="n"/>
      <c r="AG281" s="50" t="n"/>
      <c r="AH281" s="50" t="n"/>
      <c r="AI281" s="50" t="n"/>
      <c r="AJ281" s="50" t="n"/>
      <c r="AK281" s="50" t="n"/>
      <c r="AL281" s="50" t="n"/>
      <c r="AM281" s="50" t="n"/>
      <c r="AN281" s="50" t="n"/>
      <c r="AO281" s="50" t="n"/>
      <c r="AP281" s="50" t="n"/>
      <c r="AQ281" s="50" t="n"/>
      <c r="AR281" s="50" t="n"/>
      <c r="AS281" s="50" t="n"/>
      <c r="AT281" s="50" t="n"/>
      <c r="AU281" s="50" t="n"/>
      <c r="AV281" s="50" t="n"/>
      <c r="AW281" s="50" t="n"/>
      <c r="AX281" s="50" t="n"/>
      <c r="AY281" s="50" t="n"/>
      <c r="AZ281" s="50" t="n"/>
      <c r="BA281" s="50" t="n"/>
      <c r="BB281" s="50" t="n"/>
      <c r="BC281" s="50" t="n"/>
      <c r="BD281" s="50" t="n"/>
      <c r="BE281" s="50" t="n"/>
      <c r="BF281" s="50" t="n"/>
      <c r="BG281" s="50" t="n"/>
      <c r="BH281" s="50" t="n"/>
      <c r="BI281" s="50" t="n"/>
      <c r="BJ281" s="50" t="n"/>
      <c r="BK281" s="50" t="n"/>
      <c r="BL281" s="50" t="n"/>
      <c r="BM281" s="50" t="n"/>
      <c r="BN281" s="50" t="n"/>
      <c r="BO281" s="50" t="n"/>
      <c r="BP281" s="50" t="n"/>
      <c r="BQ281" s="50" t="n"/>
      <c r="BR281" s="50" t="n"/>
      <c r="BS281" s="50" t="n"/>
      <c r="BT281" s="50" t="n"/>
      <c r="BU281" s="50" t="n"/>
      <c r="BV281" s="50" t="n"/>
      <c r="BW281" s="50" t="n"/>
      <c r="BX281" s="50" t="n"/>
      <c r="BY281" s="50" t="n"/>
      <c r="BZ281" s="50" t="n"/>
      <c r="CA281" s="50" t="n"/>
      <c r="CB281" s="50" t="n"/>
      <c r="CC281" s="50" t="n"/>
      <c r="CD281" s="50" t="n"/>
      <c r="CE281" s="50" t="n"/>
      <c r="CF281" s="50" t="n"/>
      <c r="CG281" s="50" t="n"/>
      <c r="CH281" s="50" t="n"/>
      <c r="CI281" s="50" t="n"/>
      <c r="CJ281" s="50" t="n"/>
      <c r="CK281" s="50" t="n"/>
      <c r="CL281" s="50" t="n"/>
      <c r="CM281" s="50" t="n"/>
      <c r="CN281" s="50" t="n"/>
      <c r="CO281" s="50" t="n"/>
      <c r="CP281" s="50" t="n"/>
      <c r="CQ281" s="50" t="n"/>
      <c r="CR281" s="50" t="n"/>
      <c r="CS281" s="50" t="n"/>
      <c r="CT281" s="50" t="n"/>
      <c r="CU281" s="50" t="n"/>
      <c r="CV281" s="50" t="n"/>
      <c r="CW281" s="50" t="n"/>
      <c r="CX281" s="50" t="n"/>
      <c r="CY281" s="50" t="n"/>
      <c r="CZ281" s="50" t="n"/>
      <c r="DA281" s="50" t="n"/>
      <c r="DB281" s="50" t="n"/>
      <c r="DC281" s="50" t="n"/>
      <c r="DD281" s="50" t="n"/>
      <c r="DE281" s="50" t="n"/>
      <c r="DF281" s="50" t="n"/>
      <c r="DG281" s="50" t="n"/>
      <c r="DH281" s="50" t="n"/>
      <c r="DI281" s="50" t="n"/>
      <c r="DJ281" s="50" t="n"/>
      <c r="DK281" s="50" t="n"/>
      <c r="DL281" s="50" t="n"/>
      <c r="DM281" s="50" t="n"/>
      <c r="DN281" s="50" t="n"/>
      <c r="DO281" s="50" t="n"/>
      <c r="DP281" s="50" t="n"/>
      <c r="DQ281" s="50" t="n"/>
      <c r="DR281" s="50" t="n"/>
      <c r="DS281" s="50" t="n"/>
      <c r="DT281" s="50" t="n"/>
      <c r="DU281" s="50" t="n"/>
      <c r="DV281" s="50" t="n"/>
    </row>
    <row r="282">
      <c r="A282" s="47">
        <f>IF(Mitarbeiter!B282="","",Mitarbeiter!A282)</f>
        <v/>
      </c>
      <c r="B282" s="48">
        <f>IF(Mitarbeiter!B282="","",Mitarbeiter!B282)</f>
        <v/>
      </c>
      <c r="C282" s="49">
        <f>IF(Mitarbeiter!B282="","",Mitarbeiter!F282)</f>
        <v/>
      </c>
      <c r="D282" s="25">
        <f>IF(Mitarbeiter!B282="","",Berechnung!AD282)</f>
        <v/>
      </c>
      <c r="E282" s="25">
        <f>IF(Mitarbeiter!B282="","",SUM(G282:DV282))</f>
        <v/>
      </c>
      <c r="G282" s="50" t="n"/>
      <c r="H282" s="50" t="n"/>
      <c r="I282" s="50" t="n"/>
      <c r="J282" s="50" t="n"/>
      <c r="K282" s="50" t="n"/>
      <c r="L282" s="50" t="n"/>
      <c r="M282" s="50" t="n"/>
      <c r="N282" s="50" t="n"/>
      <c r="O282" s="50" t="n"/>
      <c r="P282" s="50" t="n"/>
      <c r="Q282" s="50" t="n"/>
      <c r="R282" s="50" t="n"/>
      <c r="S282" s="50" t="n"/>
      <c r="T282" s="50" t="n"/>
      <c r="U282" s="50" t="n"/>
      <c r="V282" s="50" t="n"/>
      <c r="W282" s="50" t="n"/>
      <c r="X282" s="50" t="n"/>
      <c r="Y282" s="50" t="n"/>
      <c r="Z282" s="50" t="n"/>
      <c r="AA282" s="50" t="n"/>
      <c r="AB282" s="50" t="n"/>
      <c r="AC282" s="50" t="n"/>
      <c r="AD282" s="50" t="n"/>
      <c r="AE282" s="50" t="n"/>
      <c r="AF282" s="50" t="n"/>
      <c r="AG282" s="50" t="n"/>
      <c r="AH282" s="50" t="n"/>
      <c r="AI282" s="50" t="n"/>
      <c r="AJ282" s="50" t="n"/>
      <c r="AK282" s="50" t="n"/>
      <c r="AL282" s="50" t="n"/>
      <c r="AM282" s="50" t="n"/>
      <c r="AN282" s="50" t="n"/>
      <c r="AO282" s="50" t="n"/>
      <c r="AP282" s="50" t="n"/>
      <c r="AQ282" s="50" t="n"/>
      <c r="AR282" s="50" t="n"/>
      <c r="AS282" s="50" t="n"/>
      <c r="AT282" s="50" t="n"/>
      <c r="AU282" s="50" t="n"/>
      <c r="AV282" s="50" t="n"/>
      <c r="AW282" s="50" t="n"/>
      <c r="AX282" s="50" t="n"/>
      <c r="AY282" s="50" t="n"/>
      <c r="AZ282" s="50" t="n"/>
      <c r="BA282" s="50" t="n"/>
      <c r="BB282" s="50" t="n"/>
      <c r="BC282" s="50" t="n"/>
      <c r="BD282" s="50" t="n"/>
      <c r="BE282" s="50" t="n"/>
      <c r="BF282" s="50" t="n"/>
      <c r="BG282" s="50" t="n"/>
      <c r="BH282" s="50" t="n"/>
      <c r="BI282" s="50" t="n"/>
      <c r="BJ282" s="50" t="n"/>
      <c r="BK282" s="50" t="n"/>
      <c r="BL282" s="50" t="n"/>
      <c r="BM282" s="50" t="n"/>
      <c r="BN282" s="50" t="n"/>
      <c r="BO282" s="50" t="n"/>
      <c r="BP282" s="50" t="n"/>
      <c r="BQ282" s="50" t="n"/>
      <c r="BR282" s="50" t="n"/>
      <c r="BS282" s="50" t="n"/>
      <c r="BT282" s="50" t="n"/>
      <c r="BU282" s="50" t="n"/>
      <c r="BV282" s="50" t="n"/>
      <c r="BW282" s="50" t="n"/>
      <c r="BX282" s="50" t="n"/>
      <c r="BY282" s="50" t="n"/>
      <c r="BZ282" s="50" t="n"/>
      <c r="CA282" s="50" t="n"/>
      <c r="CB282" s="50" t="n"/>
      <c r="CC282" s="50" t="n"/>
      <c r="CD282" s="50" t="n"/>
      <c r="CE282" s="50" t="n"/>
      <c r="CF282" s="50" t="n"/>
      <c r="CG282" s="50" t="n"/>
      <c r="CH282" s="50" t="n"/>
      <c r="CI282" s="50" t="n"/>
      <c r="CJ282" s="50" t="n"/>
      <c r="CK282" s="50" t="n"/>
      <c r="CL282" s="50" t="n"/>
      <c r="CM282" s="50" t="n"/>
      <c r="CN282" s="50" t="n"/>
      <c r="CO282" s="50" t="n"/>
      <c r="CP282" s="50" t="n"/>
      <c r="CQ282" s="50" t="n"/>
      <c r="CR282" s="50" t="n"/>
      <c r="CS282" s="50" t="n"/>
      <c r="CT282" s="50" t="n"/>
      <c r="CU282" s="50" t="n"/>
      <c r="CV282" s="50" t="n"/>
      <c r="CW282" s="50" t="n"/>
      <c r="CX282" s="50" t="n"/>
      <c r="CY282" s="50" t="n"/>
      <c r="CZ282" s="50" t="n"/>
      <c r="DA282" s="50" t="n"/>
      <c r="DB282" s="50" t="n"/>
      <c r="DC282" s="50" t="n"/>
      <c r="DD282" s="50" t="n"/>
      <c r="DE282" s="50" t="n"/>
      <c r="DF282" s="50" t="n"/>
      <c r="DG282" s="50" t="n"/>
      <c r="DH282" s="50" t="n"/>
      <c r="DI282" s="50" t="n"/>
      <c r="DJ282" s="50" t="n"/>
      <c r="DK282" s="50" t="n"/>
      <c r="DL282" s="50" t="n"/>
      <c r="DM282" s="50" t="n"/>
      <c r="DN282" s="50" t="n"/>
      <c r="DO282" s="50" t="n"/>
      <c r="DP282" s="50" t="n"/>
      <c r="DQ282" s="50" t="n"/>
      <c r="DR282" s="50" t="n"/>
      <c r="DS282" s="50" t="n"/>
      <c r="DT282" s="50" t="n"/>
      <c r="DU282" s="50" t="n"/>
      <c r="DV282" s="50" t="n"/>
    </row>
    <row r="283">
      <c r="A283" s="47">
        <f>IF(Mitarbeiter!B283="","",Mitarbeiter!A283)</f>
        <v/>
      </c>
      <c r="B283" s="48">
        <f>IF(Mitarbeiter!B283="","",Mitarbeiter!B283)</f>
        <v/>
      </c>
      <c r="C283" s="49">
        <f>IF(Mitarbeiter!B283="","",Mitarbeiter!F283)</f>
        <v/>
      </c>
      <c r="D283" s="25">
        <f>IF(Mitarbeiter!B283="","",Berechnung!AD283)</f>
        <v/>
      </c>
      <c r="E283" s="25">
        <f>IF(Mitarbeiter!B283="","",SUM(G283:DV283))</f>
        <v/>
      </c>
      <c r="G283" s="50" t="n"/>
      <c r="H283" s="50" t="n"/>
      <c r="I283" s="50" t="n"/>
      <c r="J283" s="50" t="n"/>
      <c r="K283" s="50" t="n"/>
      <c r="L283" s="50" t="n"/>
      <c r="M283" s="50" t="n"/>
      <c r="N283" s="50" t="n"/>
      <c r="O283" s="50" t="n"/>
      <c r="P283" s="50" t="n"/>
      <c r="Q283" s="50" t="n"/>
      <c r="R283" s="50" t="n"/>
      <c r="S283" s="50" t="n"/>
      <c r="T283" s="50" t="n"/>
      <c r="U283" s="50" t="n"/>
      <c r="V283" s="50" t="n"/>
      <c r="W283" s="50" t="n"/>
      <c r="X283" s="50" t="n"/>
      <c r="Y283" s="50" t="n"/>
      <c r="Z283" s="50" t="n"/>
      <c r="AA283" s="50" t="n"/>
      <c r="AB283" s="50" t="n"/>
      <c r="AC283" s="50" t="n"/>
      <c r="AD283" s="50" t="n"/>
      <c r="AE283" s="50" t="n"/>
      <c r="AF283" s="50" t="n"/>
      <c r="AG283" s="50" t="n"/>
      <c r="AH283" s="50" t="n"/>
      <c r="AI283" s="50" t="n"/>
      <c r="AJ283" s="50" t="n"/>
      <c r="AK283" s="50" t="n"/>
      <c r="AL283" s="50" t="n"/>
      <c r="AM283" s="50" t="n"/>
      <c r="AN283" s="50" t="n"/>
      <c r="AO283" s="50" t="n"/>
      <c r="AP283" s="50" t="n"/>
      <c r="AQ283" s="50" t="n"/>
      <c r="AR283" s="50" t="n"/>
      <c r="AS283" s="50" t="n"/>
      <c r="AT283" s="50" t="n"/>
      <c r="AU283" s="50" t="n"/>
      <c r="AV283" s="50" t="n"/>
      <c r="AW283" s="50" t="n"/>
      <c r="AX283" s="50" t="n"/>
      <c r="AY283" s="50" t="n"/>
      <c r="AZ283" s="50" t="n"/>
      <c r="BA283" s="50" t="n"/>
      <c r="BB283" s="50" t="n"/>
      <c r="BC283" s="50" t="n"/>
      <c r="BD283" s="50" t="n"/>
      <c r="BE283" s="50" t="n"/>
      <c r="BF283" s="50" t="n"/>
      <c r="BG283" s="50" t="n"/>
      <c r="BH283" s="50" t="n"/>
      <c r="BI283" s="50" t="n"/>
      <c r="BJ283" s="50" t="n"/>
      <c r="BK283" s="50" t="n"/>
      <c r="BL283" s="50" t="n"/>
      <c r="BM283" s="50" t="n"/>
      <c r="BN283" s="50" t="n"/>
      <c r="BO283" s="50" t="n"/>
      <c r="BP283" s="50" t="n"/>
      <c r="BQ283" s="50" t="n"/>
      <c r="BR283" s="50" t="n"/>
      <c r="BS283" s="50" t="n"/>
      <c r="BT283" s="50" t="n"/>
      <c r="BU283" s="50" t="n"/>
      <c r="BV283" s="50" t="n"/>
      <c r="BW283" s="50" t="n"/>
      <c r="BX283" s="50" t="n"/>
      <c r="BY283" s="50" t="n"/>
      <c r="BZ283" s="50" t="n"/>
      <c r="CA283" s="50" t="n"/>
      <c r="CB283" s="50" t="n"/>
      <c r="CC283" s="50" t="n"/>
      <c r="CD283" s="50" t="n"/>
      <c r="CE283" s="50" t="n"/>
      <c r="CF283" s="50" t="n"/>
      <c r="CG283" s="50" t="n"/>
      <c r="CH283" s="50" t="n"/>
      <c r="CI283" s="50" t="n"/>
      <c r="CJ283" s="50" t="n"/>
      <c r="CK283" s="50" t="n"/>
      <c r="CL283" s="50" t="n"/>
      <c r="CM283" s="50" t="n"/>
      <c r="CN283" s="50" t="n"/>
      <c r="CO283" s="50" t="n"/>
      <c r="CP283" s="50" t="n"/>
      <c r="CQ283" s="50" t="n"/>
      <c r="CR283" s="50" t="n"/>
      <c r="CS283" s="50" t="n"/>
      <c r="CT283" s="50" t="n"/>
      <c r="CU283" s="50" t="n"/>
      <c r="CV283" s="50" t="n"/>
      <c r="CW283" s="50" t="n"/>
      <c r="CX283" s="50" t="n"/>
      <c r="CY283" s="50" t="n"/>
      <c r="CZ283" s="50" t="n"/>
      <c r="DA283" s="50" t="n"/>
      <c r="DB283" s="50" t="n"/>
      <c r="DC283" s="50" t="n"/>
      <c r="DD283" s="50" t="n"/>
      <c r="DE283" s="50" t="n"/>
      <c r="DF283" s="50" t="n"/>
      <c r="DG283" s="50" t="n"/>
      <c r="DH283" s="50" t="n"/>
      <c r="DI283" s="50" t="n"/>
      <c r="DJ283" s="50" t="n"/>
      <c r="DK283" s="50" t="n"/>
      <c r="DL283" s="50" t="n"/>
      <c r="DM283" s="50" t="n"/>
      <c r="DN283" s="50" t="n"/>
      <c r="DO283" s="50" t="n"/>
      <c r="DP283" s="50" t="n"/>
      <c r="DQ283" s="50" t="n"/>
      <c r="DR283" s="50" t="n"/>
      <c r="DS283" s="50" t="n"/>
      <c r="DT283" s="50" t="n"/>
      <c r="DU283" s="50" t="n"/>
      <c r="DV283" s="50" t="n"/>
    </row>
    <row r="284">
      <c r="A284" s="47">
        <f>IF(Mitarbeiter!B284="","",Mitarbeiter!A284)</f>
        <v/>
      </c>
      <c r="B284" s="48">
        <f>IF(Mitarbeiter!B284="","",Mitarbeiter!B284)</f>
        <v/>
      </c>
      <c r="C284" s="49">
        <f>IF(Mitarbeiter!B284="","",Mitarbeiter!F284)</f>
        <v/>
      </c>
      <c r="D284" s="25">
        <f>IF(Mitarbeiter!B284="","",Berechnung!AD284)</f>
        <v/>
      </c>
      <c r="E284" s="25">
        <f>IF(Mitarbeiter!B284="","",SUM(G284:DV284))</f>
        <v/>
      </c>
      <c r="G284" s="50" t="n"/>
      <c r="H284" s="50" t="n"/>
      <c r="I284" s="50" t="n"/>
      <c r="J284" s="50" t="n"/>
      <c r="K284" s="50" t="n"/>
      <c r="L284" s="50" t="n"/>
      <c r="M284" s="50" t="n"/>
      <c r="N284" s="50" t="n"/>
      <c r="O284" s="50" t="n"/>
      <c r="P284" s="50" t="n"/>
      <c r="Q284" s="50" t="n"/>
      <c r="R284" s="50" t="n"/>
      <c r="S284" s="50" t="n"/>
      <c r="T284" s="50" t="n"/>
      <c r="U284" s="50" t="n"/>
      <c r="V284" s="50" t="n"/>
      <c r="W284" s="50" t="n"/>
      <c r="X284" s="50" t="n"/>
      <c r="Y284" s="50" t="n"/>
      <c r="Z284" s="50" t="n"/>
      <c r="AA284" s="50" t="n"/>
      <c r="AB284" s="50" t="n"/>
      <c r="AC284" s="50" t="n"/>
      <c r="AD284" s="50" t="n"/>
      <c r="AE284" s="50" t="n"/>
      <c r="AF284" s="50" t="n"/>
      <c r="AG284" s="50" t="n"/>
      <c r="AH284" s="50" t="n"/>
      <c r="AI284" s="50" t="n"/>
      <c r="AJ284" s="50" t="n"/>
      <c r="AK284" s="50" t="n"/>
      <c r="AL284" s="50" t="n"/>
      <c r="AM284" s="50" t="n"/>
      <c r="AN284" s="50" t="n"/>
      <c r="AO284" s="50" t="n"/>
      <c r="AP284" s="50" t="n"/>
      <c r="AQ284" s="50" t="n"/>
      <c r="AR284" s="50" t="n"/>
      <c r="AS284" s="50" t="n"/>
      <c r="AT284" s="50" t="n"/>
      <c r="AU284" s="50" t="n"/>
      <c r="AV284" s="50" t="n"/>
      <c r="AW284" s="50" t="n"/>
      <c r="AX284" s="50" t="n"/>
      <c r="AY284" s="50" t="n"/>
      <c r="AZ284" s="50" t="n"/>
      <c r="BA284" s="50" t="n"/>
      <c r="BB284" s="50" t="n"/>
      <c r="BC284" s="50" t="n"/>
      <c r="BD284" s="50" t="n"/>
      <c r="BE284" s="50" t="n"/>
      <c r="BF284" s="50" t="n"/>
      <c r="BG284" s="50" t="n"/>
      <c r="BH284" s="50" t="n"/>
      <c r="BI284" s="50" t="n"/>
      <c r="BJ284" s="50" t="n"/>
      <c r="BK284" s="50" t="n"/>
      <c r="BL284" s="50" t="n"/>
      <c r="BM284" s="50" t="n"/>
      <c r="BN284" s="50" t="n"/>
      <c r="BO284" s="50" t="n"/>
      <c r="BP284" s="50" t="n"/>
      <c r="BQ284" s="50" t="n"/>
      <c r="BR284" s="50" t="n"/>
      <c r="BS284" s="50" t="n"/>
      <c r="BT284" s="50" t="n"/>
      <c r="BU284" s="50" t="n"/>
      <c r="BV284" s="50" t="n"/>
      <c r="BW284" s="50" t="n"/>
      <c r="BX284" s="50" t="n"/>
      <c r="BY284" s="50" t="n"/>
      <c r="BZ284" s="50" t="n"/>
      <c r="CA284" s="50" t="n"/>
      <c r="CB284" s="50" t="n"/>
      <c r="CC284" s="50" t="n"/>
      <c r="CD284" s="50" t="n"/>
      <c r="CE284" s="50" t="n"/>
      <c r="CF284" s="50" t="n"/>
      <c r="CG284" s="50" t="n"/>
      <c r="CH284" s="50" t="n"/>
      <c r="CI284" s="50" t="n"/>
      <c r="CJ284" s="50" t="n"/>
      <c r="CK284" s="50" t="n"/>
      <c r="CL284" s="50" t="n"/>
      <c r="CM284" s="50" t="n"/>
      <c r="CN284" s="50" t="n"/>
      <c r="CO284" s="50" t="n"/>
      <c r="CP284" s="50" t="n"/>
      <c r="CQ284" s="50" t="n"/>
      <c r="CR284" s="50" t="n"/>
      <c r="CS284" s="50" t="n"/>
      <c r="CT284" s="50" t="n"/>
      <c r="CU284" s="50" t="n"/>
      <c r="CV284" s="50" t="n"/>
      <c r="CW284" s="50" t="n"/>
      <c r="CX284" s="50" t="n"/>
      <c r="CY284" s="50" t="n"/>
      <c r="CZ284" s="50" t="n"/>
      <c r="DA284" s="50" t="n"/>
      <c r="DB284" s="50" t="n"/>
      <c r="DC284" s="50" t="n"/>
      <c r="DD284" s="50" t="n"/>
      <c r="DE284" s="50" t="n"/>
      <c r="DF284" s="50" t="n"/>
      <c r="DG284" s="50" t="n"/>
      <c r="DH284" s="50" t="n"/>
      <c r="DI284" s="50" t="n"/>
      <c r="DJ284" s="50" t="n"/>
      <c r="DK284" s="50" t="n"/>
      <c r="DL284" s="50" t="n"/>
      <c r="DM284" s="50" t="n"/>
      <c r="DN284" s="50" t="n"/>
      <c r="DO284" s="50" t="n"/>
      <c r="DP284" s="50" t="n"/>
      <c r="DQ284" s="50" t="n"/>
      <c r="DR284" s="50" t="n"/>
      <c r="DS284" s="50" t="n"/>
      <c r="DT284" s="50" t="n"/>
      <c r="DU284" s="50" t="n"/>
      <c r="DV284" s="50" t="n"/>
    </row>
    <row r="285">
      <c r="A285" s="47">
        <f>IF(Mitarbeiter!B285="","",Mitarbeiter!A285)</f>
        <v/>
      </c>
      <c r="B285" s="48">
        <f>IF(Mitarbeiter!B285="","",Mitarbeiter!B285)</f>
        <v/>
      </c>
      <c r="C285" s="49">
        <f>IF(Mitarbeiter!B285="","",Mitarbeiter!F285)</f>
        <v/>
      </c>
      <c r="D285" s="25">
        <f>IF(Mitarbeiter!B285="","",Berechnung!AD285)</f>
        <v/>
      </c>
      <c r="E285" s="25">
        <f>IF(Mitarbeiter!B285="","",SUM(G285:DV285))</f>
        <v/>
      </c>
      <c r="G285" s="50" t="n"/>
      <c r="H285" s="50" t="n"/>
      <c r="I285" s="50" t="n"/>
      <c r="J285" s="50" t="n"/>
      <c r="K285" s="50" t="n"/>
      <c r="L285" s="50" t="n"/>
      <c r="M285" s="50" t="n"/>
      <c r="N285" s="50" t="n"/>
      <c r="O285" s="50" t="n"/>
      <c r="P285" s="50" t="n"/>
      <c r="Q285" s="50" t="n"/>
      <c r="R285" s="50" t="n"/>
      <c r="S285" s="50" t="n"/>
      <c r="T285" s="50" t="n"/>
      <c r="U285" s="50" t="n"/>
      <c r="V285" s="50" t="n"/>
      <c r="W285" s="50" t="n"/>
      <c r="X285" s="50" t="n"/>
      <c r="Y285" s="50" t="n"/>
      <c r="Z285" s="50" t="n"/>
      <c r="AA285" s="50" t="n"/>
      <c r="AB285" s="50" t="n"/>
      <c r="AC285" s="50" t="n"/>
      <c r="AD285" s="50" t="n"/>
      <c r="AE285" s="50" t="n"/>
      <c r="AF285" s="50" t="n"/>
      <c r="AG285" s="50" t="n"/>
      <c r="AH285" s="50" t="n"/>
      <c r="AI285" s="50" t="n"/>
      <c r="AJ285" s="50" t="n"/>
      <c r="AK285" s="50" t="n"/>
      <c r="AL285" s="50" t="n"/>
      <c r="AM285" s="50" t="n"/>
      <c r="AN285" s="50" t="n"/>
      <c r="AO285" s="50" t="n"/>
      <c r="AP285" s="50" t="n"/>
      <c r="AQ285" s="50" t="n"/>
      <c r="AR285" s="50" t="n"/>
      <c r="AS285" s="50" t="n"/>
      <c r="AT285" s="50" t="n"/>
      <c r="AU285" s="50" t="n"/>
      <c r="AV285" s="50" t="n"/>
      <c r="AW285" s="50" t="n"/>
      <c r="AX285" s="50" t="n"/>
      <c r="AY285" s="50" t="n"/>
      <c r="AZ285" s="50" t="n"/>
      <c r="BA285" s="50" t="n"/>
      <c r="BB285" s="50" t="n"/>
      <c r="BC285" s="50" t="n"/>
      <c r="BD285" s="50" t="n"/>
      <c r="BE285" s="50" t="n"/>
      <c r="BF285" s="50" t="n"/>
      <c r="BG285" s="50" t="n"/>
      <c r="BH285" s="50" t="n"/>
      <c r="BI285" s="50" t="n"/>
      <c r="BJ285" s="50" t="n"/>
      <c r="BK285" s="50" t="n"/>
      <c r="BL285" s="50" t="n"/>
      <c r="BM285" s="50" t="n"/>
      <c r="BN285" s="50" t="n"/>
      <c r="BO285" s="50" t="n"/>
      <c r="BP285" s="50" t="n"/>
      <c r="BQ285" s="50" t="n"/>
      <c r="BR285" s="50" t="n"/>
      <c r="BS285" s="50" t="n"/>
      <c r="BT285" s="50" t="n"/>
      <c r="BU285" s="50" t="n"/>
      <c r="BV285" s="50" t="n"/>
      <c r="BW285" s="50" t="n"/>
      <c r="BX285" s="50" t="n"/>
      <c r="BY285" s="50" t="n"/>
      <c r="BZ285" s="50" t="n"/>
      <c r="CA285" s="50" t="n"/>
      <c r="CB285" s="50" t="n"/>
      <c r="CC285" s="50" t="n"/>
      <c r="CD285" s="50" t="n"/>
      <c r="CE285" s="50" t="n"/>
      <c r="CF285" s="50" t="n"/>
      <c r="CG285" s="50" t="n"/>
      <c r="CH285" s="50" t="n"/>
      <c r="CI285" s="50" t="n"/>
      <c r="CJ285" s="50" t="n"/>
      <c r="CK285" s="50" t="n"/>
      <c r="CL285" s="50" t="n"/>
      <c r="CM285" s="50" t="n"/>
      <c r="CN285" s="50" t="n"/>
      <c r="CO285" s="50" t="n"/>
      <c r="CP285" s="50" t="n"/>
      <c r="CQ285" s="50" t="n"/>
      <c r="CR285" s="50" t="n"/>
      <c r="CS285" s="50" t="n"/>
      <c r="CT285" s="50" t="n"/>
      <c r="CU285" s="50" t="n"/>
      <c r="CV285" s="50" t="n"/>
      <c r="CW285" s="50" t="n"/>
      <c r="CX285" s="50" t="n"/>
      <c r="CY285" s="50" t="n"/>
      <c r="CZ285" s="50" t="n"/>
      <c r="DA285" s="50" t="n"/>
      <c r="DB285" s="50" t="n"/>
      <c r="DC285" s="50" t="n"/>
      <c r="DD285" s="50" t="n"/>
      <c r="DE285" s="50" t="n"/>
      <c r="DF285" s="50" t="n"/>
      <c r="DG285" s="50" t="n"/>
      <c r="DH285" s="50" t="n"/>
      <c r="DI285" s="50" t="n"/>
      <c r="DJ285" s="50" t="n"/>
      <c r="DK285" s="50" t="n"/>
      <c r="DL285" s="50" t="n"/>
      <c r="DM285" s="50" t="n"/>
      <c r="DN285" s="50" t="n"/>
      <c r="DO285" s="50" t="n"/>
      <c r="DP285" s="50" t="n"/>
      <c r="DQ285" s="50" t="n"/>
      <c r="DR285" s="50" t="n"/>
      <c r="DS285" s="50" t="n"/>
      <c r="DT285" s="50" t="n"/>
      <c r="DU285" s="50" t="n"/>
      <c r="DV285" s="50" t="n"/>
    </row>
    <row r="286">
      <c r="A286" s="47">
        <f>IF(Mitarbeiter!B286="","",Mitarbeiter!A286)</f>
        <v/>
      </c>
      <c r="B286" s="48">
        <f>IF(Mitarbeiter!B286="","",Mitarbeiter!B286)</f>
        <v/>
      </c>
      <c r="C286" s="49">
        <f>IF(Mitarbeiter!B286="","",Mitarbeiter!F286)</f>
        <v/>
      </c>
      <c r="D286" s="25">
        <f>IF(Mitarbeiter!B286="","",Berechnung!AD286)</f>
        <v/>
      </c>
      <c r="E286" s="25">
        <f>IF(Mitarbeiter!B286="","",SUM(G286:DV286))</f>
        <v/>
      </c>
      <c r="G286" s="50" t="n"/>
      <c r="H286" s="50" t="n"/>
      <c r="I286" s="50" t="n"/>
      <c r="J286" s="50" t="n"/>
      <c r="K286" s="50" t="n"/>
      <c r="L286" s="50" t="n"/>
      <c r="M286" s="50" t="n"/>
      <c r="N286" s="50" t="n"/>
      <c r="O286" s="50" t="n"/>
      <c r="P286" s="50" t="n"/>
      <c r="Q286" s="50" t="n"/>
      <c r="R286" s="50" t="n"/>
      <c r="S286" s="50" t="n"/>
      <c r="T286" s="50" t="n"/>
      <c r="U286" s="50" t="n"/>
      <c r="V286" s="50" t="n"/>
      <c r="W286" s="50" t="n"/>
      <c r="X286" s="50" t="n"/>
      <c r="Y286" s="50" t="n"/>
      <c r="Z286" s="50" t="n"/>
      <c r="AA286" s="50" t="n"/>
      <c r="AB286" s="50" t="n"/>
      <c r="AC286" s="50" t="n"/>
      <c r="AD286" s="50" t="n"/>
      <c r="AE286" s="50" t="n"/>
      <c r="AF286" s="50" t="n"/>
      <c r="AG286" s="50" t="n"/>
      <c r="AH286" s="50" t="n"/>
      <c r="AI286" s="50" t="n"/>
      <c r="AJ286" s="50" t="n"/>
      <c r="AK286" s="50" t="n"/>
      <c r="AL286" s="50" t="n"/>
      <c r="AM286" s="50" t="n"/>
      <c r="AN286" s="50" t="n"/>
      <c r="AO286" s="50" t="n"/>
      <c r="AP286" s="50" t="n"/>
      <c r="AQ286" s="50" t="n"/>
      <c r="AR286" s="50" t="n"/>
      <c r="AS286" s="50" t="n"/>
      <c r="AT286" s="50" t="n"/>
      <c r="AU286" s="50" t="n"/>
      <c r="AV286" s="50" t="n"/>
      <c r="AW286" s="50" t="n"/>
      <c r="AX286" s="50" t="n"/>
      <c r="AY286" s="50" t="n"/>
      <c r="AZ286" s="50" t="n"/>
      <c r="BA286" s="50" t="n"/>
      <c r="BB286" s="50" t="n"/>
      <c r="BC286" s="50" t="n"/>
      <c r="BD286" s="50" t="n"/>
      <c r="BE286" s="50" t="n"/>
      <c r="BF286" s="50" t="n"/>
      <c r="BG286" s="50" t="n"/>
      <c r="BH286" s="50" t="n"/>
      <c r="BI286" s="50" t="n"/>
      <c r="BJ286" s="50" t="n"/>
      <c r="BK286" s="50" t="n"/>
      <c r="BL286" s="50" t="n"/>
      <c r="BM286" s="50" t="n"/>
      <c r="BN286" s="50" t="n"/>
      <c r="BO286" s="50" t="n"/>
      <c r="BP286" s="50" t="n"/>
      <c r="BQ286" s="50" t="n"/>
      <c r="BR286" s="50" t="n"/>
      <c r="BS286" s="50" t="n"/>
      <c r="BT286" s="50" t="n"/>
      <c r="BU286" s="50" t="n"/>
      <c r="BV286" s="50" t="n"/>
      <c r="BW286" s="50" t="n"/>
      <c r="BX286" s="50" t="n"/>
      <c r="BY286" s="50" t="n"/>
      <c r="BZ286" s="50" t="n"/>
      <c r="CA286" s="50" t="n"/>
      <c r="CB286" s="50" t="n"/>
      <c r="CC286" s="50" t="n"/>
      <c r="CD286" s="50" t="n"/>
      <c r="CE286" s="50" t="n"/>
      <c r="CF286" s="50" t="n"/>
      <c r="CG286" s="50" t="n"/>
      <c r="CH286" s="50" t="n"/>
      <c r="CI286" s="50" t="n"/>
      <c r="CJ286" s="50" t="n"/>
      <c r="CK286" s="50" t="n"/>
      <c r="CL286" s="50" t="n"/>
      <c r="CM286" s="50" t="n"/>
      <c r="CN286" s="50" t="n"/>
      <c r="CO286" s="50" t="n"/>
      <c r="CP286" s="50" t="n"/>
      <c r="CQ286" s="50" t="n"/>
      <c r="CR286" s="50" t="n"/>
      <c r="CS286" s="50" t="n"/>
      <c r="CT286" s="50" t="n"/>
      <c r="CU286" s="50" t="n"/>
      <c r="CV286" s="50" t="n"/>
      <c r="CW286" s="50" t="n"/>
      <c r="CX286" s="50" t="n"/>
      <c r="CY286" s="50" t="n"/>
      <c r="CZ286" s="50" t="n"/>
      <c r="DA286" s="50" t="n"/>
      <c r="DB286" s="50" t="n"/>
      <c r="DC286" s="50" t="n"/>
      <c r="DD286" s="50" t="n"/>
      <c r="DE286" s="50" t="n"/>
      <c r="DF286" s="50" t="n"/>
      <c r="DG286" s="50" t="n"/>
      <c r="DH286" s="50" t="n"/>
      <c r="DI286" s="50" t="n"/>
      <c r="DJ286" s="50" t="n"/>
      <c r="DK286" s="50" t="n"/>
      <c r="DL286" s="50" t="n"/>
      <c r="DM286" s="50" t="n"/>
      <c r="DN286" s="50" t="n"/>
      <c r="DO286" s="50" t="n"/>
      <c r="DP286" s="50" t="n"/>
      <c r="DQ286" s="50" t="n"/>
      <c r="DR286" s="50" t="n"/>
      <c r="DS286" s="50" t="n"/>
      <c r="DT286" s="50" t="n"/>
      <c r="DU286" s="50" t="n"/>
      <c r="DV286" s="50" t="n"/>
    </row>
    <row r="287">
      <c r="A287" s="47">
        <f>IF(Mitarbeiter!B287="","",Mitarbeiter!A287)</f>
        <v/>
      </c>
      <c r="B287" s="48">
        <f>IF(Mitarbeiter!B287="","",Mitarbeiter!B287)</f>
        <v/>
      </c>
      <c r="C287" s="49">
        <f>IF(Mitarbeiter!B287="","",Mitarbeiter!F287)</f>
        <v/>
      </c>
      <c r="D287" s="25">
        <f>IF(Mitarbeiter!B287="","",Berechnung!AD287)</f>
        <v/>
      </c>
      <c r="E287" s="25">
        <f>IF(Mitarbeiter!B287="","",SUM(G287:DV287))</f>
        <v/>
      </c>
      <c r="G287" s="50" t="n"/>
      <c r="H287" s="50" t="n"/>
      <c r="I287" s="50" t="n"/>
      <c r="J287" s="50" t="n"/>
      <c r="K287" s="50" t="n"/>
      <c r="L287" s="50" t="n"/>
      <c r="M287" s="50" t="n"/>
      <c r="N287" s="50" t="n"/>
      <c r="O287" s="50" t="n"/>
      <c r="P287" s="50" t="n"/>
      <c r="Q287" s="50" t="n"/>
      <c r="R287" s="50" t="n"/>
      <c r="S287" s="50" t="n"/>
      <c r="T287" s="50" t="n"/>
      <c r="U287" s="50" t="n"/>
      <c r="V287" s="50" t="n"/>
      <c r="W287" s="50" t="n"/>
      <c r="X287" s="50" t="n"/>
      <c r="Y287" s="50" t="n"/>
      <c r="Z287" s="50" t="n"/>
      <c r="AA287" s="50" t="n"/>
      <c r="AB287" s="50" t="n"/>
      <c r="AC287" s="50" t="n"/>
      <c r="AD287" s="50" t="n"/>
      <c r="AE287" s="50" t="n"/>
      <c r="AF287" s="50" t="n"/>
      <c r="AG287" s="50" t="n"/>
      <c r="AH287" s="50" t="n"/>
      <c r="AI287" s="50" t="n"/>
      <c r="AJ287" s="50" t="n"/>
      <c r="AK287" s="50" t="n"/>
      <c r="AL287" s="50" t="n"/>
      <c r="AM287" s="50" t="n"/>
      <c r="AN287" s="50" t="n"/>
      <c r="AO287" s="50" t="n"/>
      <c r="AP287" s="50" t="n"/>
      <c r="AQ287" s="50" t="n"/>
      <c r="AR287" s="50" t="n"/>
      <c r="AS287" s="50" t="n"/>
      <c r="AT287" s="50" t="n"/>
      <c r="AU287" s="50" t="n"/>
      <c r="AV287" s="50" t="n"/>
      <c r="AW287" s="50" t="n"/>
      <c r="AX287" s="50" t="n"/>
      <c r="AY287" s="50" t="n"/>
      <c r="AZ287" s="50" t="n"/>
      <c r="BA287" s="50" t="n"/>
      <c r="BB287" s="50" t="n"/>
      <c r="BC287" s="50" t="n"/>
      <c r="BD287" s="50" t="n"/>
      <c r="BE287" s="50" t="n"/>
      <c r="BF287" s="50" t="n"/>
      <c r="BG287" s="50" t="n"/>
      <c r="BH287" s="50" t="n"/>
      <c r="BI287" s="50" t="n"/>
      <c r="BJ287" s="50" t="n"/>
      <c r="BK287" s="50" t="n"/>
      <c r="BL287" s="50" t="n"/>
      <c r="BM287" s="50" t="n"/>
      <c r="BN287" s="50" t="n"/>
      <c r="BO287" s="50" t="n"/>
      <c r="BP287" s="50" t="n"/>
      <c r="BQ287" s="50" t="n"/>
      <c r="BR287" s="50" t="n"/>
      <c r="BS287" s="50" t="n"/>
      <c r="BT287" s="50" t="n"/>
      <c r="BU287" s="50" t="n"/>
      <c r="BV287" s="50" t="n"/>
      <c r="BW287" s="50" t="n"/>
      <c r="BX287" s="50" t="n"/>
      <c r="BY287" s="50" t="n"/>
      <c r="BZ287" s="50" t="n"/>
      <c r="CA287" s="50" t="n"/>
      <c r="CB287" s="50" t="n"/>
      <c r="CC287" s="50" t="n"/>
      <c r="CD287" s="50" t="n"/>
      <c r="CE287" s="50" t="n"/>
      <c r="CF287" s="50" t="n"/>
      <c r="CG287" s="50" t="n"/>
      <c r="CH287" s="50" t="n"/>
      <c r="CI287" s="50" t="n"/>
      <c r="CJ287" s="50" t="n"/>
      <c r="CK287" s="50" t="n"/>
      <c r="CL287" s="50" t="n"/>
      <c r="CM287" s="50" t="n"/>
      <c r="CN287" s="50" t="n"/>
      <c r="CO287" s="50" t="n"/>
      <c r="CP287" s="50" t="n"/>
      <c r="CQ287" s="50" t="n"/>
      <c r="CR287" s="50" t="n"/>
      <c r="CS287" s="50" t="n"/>
      <c r="CT287" s="50" t="n"/>
      <c r="CU287" s="50" t="n"/>
      <c r="CV287" s="50" t="n"/>
      <c r="CW287" s="50" t="n"/>
      <c r="CX287" s="50" t="n"/>
      <c r="CY287" s="50" t="n"/>
      <c r="CZ287" s="50" t="n"/>
      <c r="DA287" s="50" t="n"/>
      <c r="DB287" s="50" t="n"/>
      <c r="DC287" s="50" t="n"/>
      <c r="DD287" s="50" t="n"/>
      <c r="DE287" s="50" t="n"/>
      <c r="DF287" s="50" t="n"/>
      <c r="DG287" s="50" t="n"/>
      <c r="DH287" s="50" t="n"/>
      <c r="DI287" s="50" t="n"/>
      <c r="DJ287" s="50" t="n"/>
      <c r="DK287" s="50" t="n"/>
      <c r="DL287" s="50" t="n"/>
      <c r="DM287" s="50" t="n"/>
      <c r="DN287" s="50" t="n"/>
      <c r="DO287" s="50" t="n"/>
      <c r="DP287" s="50" t="n"/>
      <c r="DQ287" s="50" t="n"/>
      <c r="DR287" s="50" t="n"/>
      <c r="DS287" s="50" t="n"/>
      <c r="DT287" s="50" t="n"/>
      <c r="DU287" s="50" t="n"/>
      <c r="DV287" s="50" t="n"/>
    </row>
    <row r="288">
      <c r="A288" s="47">
        <f>IF(Mitarbeiter!B288="","",Mitarbeiter!A288)</f>
        <v/>
      </c>
      <c r="B288" s="48">
        <f>IF(Mitarbeiter!B288="","",Mitarbeiter!B288)</f>
        <v/>
      </c>
      <c r="C288" s="49">
        <f>IF(Mitarbeiter!B288="","",Mitarbeiter!F288)</f>
        <v/>
      </c>
      <c r="D288" s="25">
        <f>IF(Mitarbeiter!B288="","",Berechnung!AD288)</f>
        <v/>
      </c>
      <c r="E288" s="25">
        <f>IF(Mitarbeiter!B288="","",SUM(G288:DV288))</f>
        <v/>
      </c>
      <c r="G288" s="50" t="n"/>
      <c r="H288" s="50" t="n"/>
      <c r="I288" s="50" t="n"/>
      <c r="J288" s="50" t="n"/>
      <c r="K288" s="50" t="n"/>
      <c r="L288" s="50" t="n"/>
      <c r="M288" s="50" t="n"/>
      <c r="N288" s="50" t="n"/>
      <c r="O288" s="50" t="n"/>
      <c r="P288" s="50" t="n"/>
      <c r="Q288" s="50" t="n"/>
      <c r="R288" s="50" t="n"/>
      <c r="S288" s="50" t="n"/>
      <c r="T288" s="50" t="n"/>
      <c r="U288" s="50" t="n"/>
      <c r="V288" s="50" t="n"/>
      <c r="W288" s="50" t="n"/>
      <c r="X288" s="50" t="n"/>
      <c r="Y288" s="50" t="n"/>
      <c r="Z288" s="50" t="n"/>
      <c r="AA288" s="50" t="n"/>
      <c r="AB288" s="50" t="n"/>
      <c r="AC288" s="50" t="n"/>
      <c r="AD288" s="50" t="n"/>
      <c r="AE288" s="50" t="n"/>
      <c r="AF288" s="50" t="n"/>
      <c r="AG288" s="50" t="n"/>
      <c r="AH288" s="50" t="n"/>
      <c r="AI288" s="50" t="n"/>
      <c r="AJ288" s="50" t="n"/>
      <c r="AK288" s="50" t="n"/>
      <c r="AL288" s="50" t="n"/>
      <c r="AM288" s="50" t="n"/>
      <c r="AN288" s="50" t="n"/>
      <c r="AO288" s="50" t="n"/>
      <c r="AP288" s="50" t="n"/>
      <c r="AQ288" s="50" t="n"/>
      <c r="AR288" s="50" t="n"/>
      <c r="AS288" s="50" t="n"/>
      <c r="AT288" s="50" t="n"/>
      <c r="AU288" s="50" t="n"/>
      <c r="AV288" s="50" t="n"/>
      <c r="AW288" s="50" t="n"/>
      <c r="AX288" s="50" t="n"/>
      <c r="AY288" s="50" t="n"/>
      <c r="AZ288" s="50" t="n"/>
      <c r="BA288" s="50" t="n"/>
      <c r="BB288" s="50" t="n"/>
      <c r="BC288" s="50" t="n"/>
      <c r="BD288" s="50" t="n"/>
      <c r="BE288" s="50" t="n"/>
      <c r="BF288" s="50" t="n"/>
      <c r="BG288" s="50" t="n"/>
      <c r="BH288" s="50" t="n"/>
      <c r="BI288" s="50" t="n"/>
      <c r="BJ288" s="50" t="n"/>
      <c r="BK288" s="50" t="n"/>
      <c r="BL288" s="50" t="n"/>
      <c r="BM288" s="50" t="n"/>
      <c r="BN288" s="50" t="n"/>
      <c r="BO288" s="50" t="n"/>
      <c r="BP288" s="50" t="n"/>
      <c r="BQ288" s="50" t="n"/>
      <c r="BR288" s="50" t="n"/>
      <c r="BS288" s="50" t="n"/>
      <c r="BT288" s="50" t="n"/>
      <c r="BU288" s="50" t="n"/>
      <c r="BV288" s="50" t="n"/>
      <c r="BW288" s="50" t="n"/>
      <c r="BX288" s="50" t="n"/>
      <c r="BY288" s="50" t="n"/>
      <c r="BZ288" s="50" t="n"/>
      <c r="CA288" s="50" t="n"/>
      <c r="CB288" s="50" t="n"/>
      <c r="CC288" s="50" t="n"/>
      <c r="CD288" s="50" t="n"/>
      <c r="CE288" s="50" t="n"/>
      <c r="CF288" s="50" t="n"/>
      <c r="CG288" s="50" t="n"/>
      <c r="CH288" s="50" t="n"/>
      <c r="CI288" s="50" t="n"/>
      <c r="CJ288" s="50" t="n"/>
      <c r="CK288" s="50" t="n"/>
      <c r="CL288" s="50" t="n"/>
      <c r="CM288" s="50" t="n"/>
      <c r="CN288" s="50" t="n"/>
      <c r="CO288" s="50" t="n"/>
      <c r="CP288" s="50" t="n"/>
      <c r="CQ288" s="50" t="n"/>
      <c r="CR288" s="50" t="n"/>
      <c r="CS288" s="50" t="n"/>
      <c r="CT288" s="50" t="n"/>
      <c r="CU288" s="50" t="n"/>
      <c r="CV288" s="50" t="n"/>
      <c r="CW288" s="50" t="n"/>
      <c r="CX288" s="50" t="n"/>
      <c r="CY288" s="50" t="n"/>
      <c r="CZ288" s="50" t="n"/>
      <c r="DA288" s="50" t="n"/>
      <c r="DB288" s="50" t="n"/>
      <c r="DC288" s="50" t="n"/>
      <c r="DD288" s="50" t="n"/>
      <c r="DE288" s="50" t="n"/>
      <c r="DF288" s="50" t="n"/>
      <c r="DG288" s="50" t="n"/>
      <c r="DH288" s="50" t="n"/>
      <c r="DI288" s="50" t="n"/>
      <c r="DJ288" s="50" t="n"/>
      <c r="DK288" s="50" t="n"/>
      <c r="DL288" s="50" t="n"/>
      <c r="DM288" s="50" t="n"/>
      <c r="DN288" s="50" t="n"/>
      <c r="DO288" s="50" t="n"/>
      <c r="DP288" s="50" t="n"/>
      <c r="DQ288" s="50" t="n"/>
      <c r="DR288" s="50" t="n"/>
      <c r="DS288" s="50" t="n"/>
      <c r="DT288" s="50" t="n"/>
      <c r="DU288" s="50" t="n"/>
      <c r="DV288" s="50" t="n"/>
    </row>
    <row r="289">
      <c r="A289" s="47">
        <f>IF(Mitarbeiter!B289="","",Mitarbeiter!A289)</f>
        <v/>
      </c>
      <c r="B289" s="48">
        <f>IF(Mitarbeiter!B289="","",Mitarbeiter!B289)</f>
        <v/>
      </c>
      <c r="C289" s="49">
        <f>IF(Mitarbeiter!B289="","",Mitarbeiter!F289)</f>
        <v/>
      </c>
      <c r="D289" s="25">
        <f>IF(Mitarbeiter!B289="","",Berechnung!AD289)</f>
        <v/>
      </c>
      <c r="E289" s="25">
        <f>IF(Mitarbeiter!B289="","",SUM(G289:DV289))</f>
        <v/>
      </c>
      <c r="G289" s="50" t="n"/>
      <c r="H289" s="50" t="n"/>
      <c r="I289" s="50" t="n"/>
      <c r="J289" s="50" t="n"/>
      <c r="K289" s="50" t="n"/>
      <c r="L289" s="50" t="n"/>
      <c r="M289" s="50" t="n"/>
      <c r="N289" s="50" t="n"/>
      <c r="O289" s="50" t="n"/>
      <c r="P289" s="50" t="n"/>
      <c r="Q289" s="50" t="n"/>
      <c r="R289" s="50" t="n"/>
      <c r="S289" s="50" t="n"/>
      <c r="T289" s="50" t="n"/>
      <c r="U289" s="50" t="n"/>
      <c r="V289" s="50" t="n"/>
      <c r="W289" s="50" t="n"/>
      <c r="X289" s="50" t="n"/>
      <c r="Y289" s="50" t="n"/>
      <c r="Z289" s="50" t="n"/>
      <c r="AA289" s="50" t="n"/>
      <c r="AB289" s="50" t="n"/>
      <c r="AC289" s="50" t="n"/>
      <c r="AD289" s="50" t="n"/>
      <c r="AE289" s="50" t="n"/>
      <c r="AF289" s="50" t="n"/>
      <c r="AG289" s="50" t="n"/>
      <c r="AH289" s="50" t="n"/>
      <c r="AI289" s="50" t="n"/>
      <c r="AJ289" s="50" t="n"/>
      <c r="AK289" s="50" t="n"/>
      <c r="AL289" s="50" t="n"/>
      <c r="AM289" s="50" t="n"/>
      <c r="AN289" s="50" t="n"/>
      <c r="AO289" s="50" t="n"/>
      <c r="AP289" s="50" t="n"/>
      <c r="AQ289" s="50" t="n"/>
      <c r="AR289" s="50" t="n"/>
      <c r="AS289" s="50" t="n"/>
      <c r="AT289" s="50" t="n"/>
      <c r="AU289" s="50" t="n"/>
      <c r="AV289" s="50" t="n"/>
      <c r="AW289" s="50" t="n"/>
      <c r="AX289" s="50" t="n"/>
      <c r="AY289" s="50" t="n"/>
      <c r="AZ289" s="50" t="n"/>
      <c r="BA289" s="50" t="n"/>
      <c r="BB289" s="50" t="n"/>
      <c r="BC289" s="50" t="n"/>
      <c r="BD289" s="50" t="n"/>
      <c r="BE289" s="50" t="n"/>
      <c r="BF289" s="50" t="n"/>
      <c r="BG289" s="50" t="n"/>
      <c r="BH289" s="50" t="n"/>
      <c r="BI289" s="50" t="n"/>
      <c r="BJ289" s="50" t="n"/>
      <c r="BK289" s="50" t="n"/>
      <c r="BL289" s="50" t="n"/>
      <c r="BM289" s="50" t="n"/>
      <c r="BN289" s="50" t="n"/>
      <c r="BO289" s="50" t="n"/>
      <c r="BP289" s="50" t="n"/>
      <c r="BQ289" s="50" t="n"/>
      <c r="BR289" s="50" t="n"/>
      <c r="BS289" s="50" t="n"/>
      <c r="BT289" s="50" t="n"/>
      <c r="BU289" s="50" t="n"/>
      <c r="BV289" s="50" t="n"/>
      <c r="BW289" s="50" t="n"/>
      <c r="BX289" s="50" t="n"/>
      <c r="BY289" s="50" t="n"/>
      <c r="BZ289" s="50" t="n"/>
      <c r="CA289" s="50" t="n"/>
      <c r="CB289" s="50" t="n"/>
      <c r="CC289" s="50" t="n"/>
      <c r="CD289" s="50" t="n"/>
      <c r="CE289" s="50" t="n"/>
      <c r="CF289" s="50" t="n"/>
      <c r="CG289" s="50" t="n"/>
      <c r="CH289" s="50" t="n"/>
      <c r="CI289" s="50" t="n"/>
      <c r="CJ289" s="50" t="n"/>
      <c r="CK289" s="50" t="n"/>
      <c r="CL289" s="50" t="n"/>
      <c r="CM289" s="50" t="n"/>
      <c r="CN289" s="50" t="n"/>
      <c r="CO289" s="50" t="n"/>
      <c r="CP289" s="50" t="n"/>
      <c r="CQ289" s="50" t="n"/>
      <c r="CR289" s="50" t="n"/>
      <c r="CS289" s="50" t="n"/>
      <c r="CT289" s="50" t="n"/>
      <c r="CU289" s="50" t="n"/>
      <c r="CV289" s="50" t="n"/>
      <c r="CW289" s="50" t="n"/>
      <c r="CX289" s="50" t="n"/>
      <c r="CY289" s="50" t="n"/>
      <c r="CZ289" s="50" t="n"/>
      <c r="DA289" s="50" t="n"/>
      <c r="DB289" s="50" t="n"/>
      <c r="DC289" s="50" t="n"/>
      <c r="DD289" s="50" t="n"/>
      <c r="DE289" s="50" t="n"/>
      <c r="DF289" s="50" t="n"/>
      <c r="DG289" s="50" t="n"/>
      <c r="DH289" s="50" t="n"/>
      <c r="DI289" s="50" t="n"/>
      <c r="DJ289" s="50" t="n"/>
      <c r="DK289" s="50" t="n"/>
      <c r="DL289" s="50" t="n"/>
      <c r="DM289" s="50" t="n"/>
      <c r="DN289" s="50" t="n"/>
      <c r="DO289" s="50" t="n"/>
      <c r="DP289" s="50" t="n"/>
      <c r="DQ289" s="50" t="n"/>
      <c r="DR289" s="50" t="n"/>
      <c r="DS289" s="50" t="n"/>
      <c r="DT289" s="50" t="n"/>
      <c r="DU289" s="50" t="n"/>
      <c r="DV289" s="50" t="n"/>
    </row>
    <row r="290">
      <c r="A290" s="47">
        <f>IF(Mitarbeiter!B290="","",Mitarbeiter!A290)</f>
        <v/>
      </c>
      <c r="B290" s="48">
        <f>IF(Mitarbeiter!B290="","",Mitarbeiter!B290)</f>
        <v/>
      </c>
      <c r="C290" s="49">
        <f>IF(Mitarbeiter!B290="","",Mitarbeiter!F290)</f>
        <v/>
      </c>
      <c r="D290" s="25">
        <f>IF(Mitarbeiter!B290="","",Berechnung!AD290)</f>
        <v/>
      </c>
      <c r="E290" s="25">
        <f>IF(Mitarbeiter!B290="","",SUM(G290:DV290))</f>
        <v/>
      </c>
      <c r="G290" s="50" t="n"/>
      <c r="H290" s="50" t="n"/>
      <c r="I290" s="50" t="n"/>
      <c r="J290" s="50" t="n"/>
      <c r="K290" s="50" t="n"/>
      <c r="L290" s="50" t="n"/>
      <c r="M290" s="50" t="n"/>
      <c r="N290" s="50" t="n"/>
      <c r="O290" s="50" t="n"/>
      <c r="P290" s="50" t="n"/>
      <c r="Q290" s="50" t="n"/>
      <c r="R290" s="50" t="n"/>
      <c r="S290" s="50" t="n"/>
      <c r="T290" s="50" t="n"/>
      <c r="U290" s="50" t="n"/>
      <c r="V290" s="50" t="n"/>
      <c r="W290" s="50" t="n"/>
      <c r="X290" s="50" t="n"/>
      <c r="Y290" s="50" t="n"/>
      <c r="Z290" s="50" t="n"/>
      <c r="AA290" s="50" t="n"/>
      <c r="AB290" s="50" t="n"/>
      <c r="AC290" s="50" t="n"/>
      <c r="AD290" s="50" t="n"/>
      <c r="AE290" s="50" t="n"/>
      <c r="AF290" s="50" t="n"/>
      <c r="AG290" s="50" t="n"/>
      <c r="AH290" s="50" t="n"/>
      <c r="AI290" s="50" t="n"/>
      <c r="AJ290" s="50" t="n"/>
      <c r="AK290" s="50" t="n"/>
      <c r="AL290" s="50" t="n"/>
      <c r="AM290" s="50" t="n"/>
      <c r="AN290" s="50" t="n"/>
      <c r="AO290" s="50" t="n"/>
      <c r="AP290" s="50" t="n"/>
      <c r="AQ290" s="50" t="n"/>
      <c r="AR290" s="50" t="n"/>
      <c r="AS290" s="50" t="n"/>
      <c r="AT290" s="50" t="n"/>
      <c r="AU290" s="50" t="n"/>
      <c r="AV290" s="50" t="n"/>
      <c r="AW290" s="50" t="n"/>
      <c r="AX290" s="50" t="n"/>
      <c r="AY290" s="50" t="n"/>
      <c r="AZ290" s="50" t="n"/>
      <c r="BA290" s="50" t="n"/>
      <c r="BB290" s="50" t="n"/>
      <c r="BC290" s="50" t="n"/>
      <c r="BD290" s="50" t="n"/>
      <c r="BE290" s="50" t="n"/>
      <c r="BF290" s="50" t="n"/>
      <c r="BG290" s="50" t="n"/>
      <c r="BH290" s="50" t="n"/>
      <c r="BI290" s="50" t="n"/>
      <c r="BJ290" s="50" t="n"/>
      <c r="BK290" s="50" t="n"/>
      <c r="BL290" s="50" t="n"/>
      <c r="BM290" s="50" t="n"/>
      <c r="BN290" s="50" t="n"/>
      <c r="BO290" s="50" t="n"/>
      <c r="BP290" s="50" t="n"/>
      <c r="BQ290" s="50" t="n"/>
      <c r="BR290" s="50" t="n"/>
      <c r="BS290" s="50" t="n"/>
      <c r="BT290" s="50" t="n"/>
      <c r="BU290" s="50" t="n"/>
      <c r="BV290" s="50" t="n"/>
      <c r="BW290" s="50" t="n"/>
      <c r="BX290" s="50" t="n"/>
      <c r="BY290" s="50" t="n"/>
      <c r="BZ290" s="50" t="n"/>
      <c r="CA290" s="50" t="n"/>
      <c r="CB290" s="50" t="n"/>
      <c r="CC290" s="50" t="n"/>
      <c r="CD290" s="50" t="n"/>
      <c r="CE290" s="50" t="n"/>
      <c r="CF290" s="50" t="n"/>
      <c r="CG290" s="50" t="n"/>
      <c r="CH290" s="50" t="n"/>
      <c r="CI290" s="50" t="n"/>
      <c r="CJ290" s="50" t="n"/>
      <c r="CK290" s="50" t="n"/>
      <c r="CL290" s="50" t="n"/>
      <c r="CM290" s="50" t="n"/>
      <c r="CN290" s="50" t="n"/>
      <c r="CO290" s="50" t="n"/>
      <c r="CP290" s="50" t="n"/>
      <c r="CQ290" s="50" t="n"/>
      <c r="CR290" s="50" t="n"/>
      <c r="CS290" s="50" t="n"/>
      <c r="CT290" s="50" t="n"/>
      <c r="CU290" s="50" t="n"/>
      <c r="CV290" s="50" t="n"/>
      <c r="CW290" s="50" t="n"/>
      <c r="CX290" s="50" t="n"/>
      <c r="CY290" s="50" t="n"/>
      <c r="CZ290" s="50" t="n"/>
      <c r="DA290" s="50" t="n"/>
      <c r="DB290" s="50" t="n"/>
      <c r="DC290" s="50" t="n"/>
      <c r="DD290" s="50" t="n"/>
      <c r="DE290" s="50" t="n"/>
      <c r="DF290" s="50" t="n"/>
      <c r="DG290" s="50" t="n"/>
      <c r="DH290" s="50" t="n"/>
      <c r="DI290" s="50" t="n"/>
      <c r="DJ290" s="50" t="n"/>
      <c r="DK290" s="50" t="n"/>
      <c r="DL290" s="50" t="n"/>
      <c r="DM290" s="50" t="n"/>
      <c r="DN290" s="50" t="n"/>
      <c r="DO290" s="50" t="n"/>
      <c r="DP290" s="50" t="n"/>
      <c r="DQ290" s="50" t="n"/>
      <c r="DR290" s="50" t="n"/>
      <c r="DS290" s="50" t="n"/>
      <c r="DT290" s="50" t="n"/>
      <c r="DU290" s="50" t="n"/>
      <c r="DV290" s="50" t="n"/>
    </row>
    <row r="291">
      <c r="A291" s="47">
        <f>IF(Mitarbeiter!B291="","",Mitarbeiter!A291)</f>
        <v/>
      </c>
      <c r="B291" s="48">
        <f>IF(Mitarbeiter!B291="","",Mitarbeiter!B291)</f>
        <v/>
      </c>
      <c r="C291" s="49">
        <f>IF(Mitarbeiter!B291="","",Mitarbeiter!F291)</f>
        <v/>
      </c>
      <c r="D291" s="25">
        <f>IF(Mitarbeiter!B291="","",Berechnung!AD291)</f>
        <v/>
      </c>
      <c r="E291" s="25">
        <f>IF(Mitarbeiter!B291="","",SUM(G291:DV291))</f>
        <v/>
      </c>
      <c r="G291" s="50" t="n"/>
      <c r="H291" s="50" t="n"/>
      <c r="I291" s="50" t="n"/>
      <c r="J291" s="50" t="n"/>
      <c r="K291" s="50" t="n"/>
      <c r="L291" s="50" t="n"/>
      <c r="M291" s="50" t="n"/>
      <c r="N291" s="50" t="n"/>
      <c r="O291" s="50" t="n"/>
      <c r="P291" s="50" t="n"/>
      <c r="Q291" s="50" t="n"/>
      <c r="R291" s="50" t="n"/>
      <c r="S291" s="50" t="n"/>
      <c r="T291" s="50" t="n"/>
      <c r="U291" s="50" t="n"/>
      <c r="V291" s="50" t="n"/>
      <c r="W291" s="50" t="n"/>
      <c r="X291" s="50" t="n"/>
      <c r="Y291" s="50" t="n"/>
      <c r="Z291" s="50" t="n"/>
      <c r="AA291" s="50" t="n"/>
      <c r="AB291" s="50" t="n"/>
      <c r="AC291" s="50" t="n"/>
      <c r="AD291" s="50" t="n"/>
      <c r="AE291" s="50" t="n"/>
      <c r="AF291" s="50" t="n"/>
      <c r="AG291" s="50" t="n"/>
      <c r="AH291" s="50" t="n"/>
      <c r="AI291" s="50" t="n"/>
      <c r="AJ291" s="50" t="n"/>
      <c r="AK291" s="50" t="n"/>
      <c r="AL291" s="50" t="n"/>
      <c r="AM291" s="50" t="n"/>
      <c r="AN291" s="50" t="n"/>
      <c r="AO291" s="50" t="n"/>
      <c r="AP291" s="50" t="n"/>
      <c r="AQ291" s="50" t="n"/>
      <c r="AR291" s="50" t="n"/>
      <c r="AS291" s="50" t="n"/>
      <c r="AT291" s="50" t="n"/>
      <c r="AU291" s="50" t="n"/>
      <c r="AV291" s="50" t="n"/>
      <c r="AW291" s="50" t="n"/>
      <c r="AX291" s="50" t="n"/>
      <c r="AY291" s="50" t="n"/>
      <c r="AZ291" s="50" t="n"/>
      <c r="BA291" s="50" t="n"/>
      <c r="BB291" s="50" t="n"/>
      <c r="BC291" s="50" t="n"/>
      <c r="BD291" s="50" t="n"/>
      <c r="BE291" s="50" t="n"/>
      <c r="BF291" s="50" t="n"/>
      <c r="BG291" s="50" t="n"/>
      <c r="BH291" s="50" t="n"/>
      <c r="BI291" s="50" t="n"/>
      <c r="BJ291" s="50" t="n"/>
      <c r="BK291" s="50" t="n"/>
      <c r="BL291" s="50" t="n"/>
      <c r="BM291" s="50" t="n"/>
      <c r="BN291" s="50" t="n"/>
      <c r="BO291" s="50" t="n"/>
      <c r="BP291" s="50" t="n"/>
      <c r="BQ291" s="50" t="n"/>
      <c r="BR291" s="50" t="n"/>
      <c r="BS291" s="50" t="n"/>
      <c r="BT291" s="50" t="n"/>
      <c r="BU291" s="50" t="n"/>
      <c r="BV291" s="50" t="n"/>
      <c r="BW291" s="50" t="n"/>
      <c r="BX291" s="50" t="n"/>
      <c r="BY291" s="50" t="n"/>
      <c r="BZ291" s="50" t="n"/>
      <c r="CA291" s="50" t="n"/>
      <c r="CB291" s="50" t="n"/>
      <c r="CC291" s="50" t="n"/>
      <c r="CD291" s="50" t="n"/>
      <c r="CE291" s="50" t="n"/>
      <c r="CF291" s="50" t="n"/>
      <c r="CG291" s="50" t="n"/>
      <c r="CH291" s="50" t="n"/>
      <c r="CI291" s="50" t="n"/>
      <c r="CJ291" s="50" t="n"/>
      <c r="CK291" s="50" t="n"/>
      <c r="CL291" s="50" t="n"/>
      <c r="CM291" s="50" t="n"/>
      <c r="CN291" s="50" t="n"/>
      <c r="CO291" s="50" t="n"/>
      <c r="CP291" s="50" t="n"/>
      <c r="CQ291" s="50" t="n"/>
      <c r="CR291" s="50" t="n"/>
      <c r="CS291" s="50" t="n"/>
      <c r="CT291" s="50" t="n"/>
      <c r="CU291" s="50" t="n"/>
      <c r="CV291" s="50" t="n"/>
      <c r="CW291" s="50" t="n"/>
      <c r="CX291" s="50" t="n"/>
      <c r="CY291" s="50" t="n"/>
      <c r="CZ291" s="50" t="n"/>
      <c r="DA291" s="50" t="n"/>
      <c r="DB291" s="50" t="n"/>
      <c r="DC291" s="50" t="n"/>
      <c r="DD291" s="50" t="n"/>
      <c r="DE291" s="50" t="n"/>
      <c r="DF291" s="50" t="n"/>
      <c r="DG291" s="50" t="n"/>
      <c r="DH291" s="50" t="n"/>
      <c r="DI291" s="50" t="n"/>
      <c r="DJ291" s="50" t="n"/>
      <c r="DK291" s="50" t="n"/>
      <c r="DL291" s="50" t="n"/>
      <c r="DM291" s="50" t="n"/>
      <c r="DN291" s="50" t="n"/>
      <c r="DO291" s="50" t="n"/>
      <c r="DP291" s="50" t="n"/>
      <c r="DQ291" s="50" t="n"/>
      <c r="DR291" s="50" t="n"/>
      <c r="DS291" s="50" t="n"/>
      <c r="DT291" s="50" t="n"/>
      <c r="DU291" s="50" t="n"/>
      <c r="DV291" s="50" t="n"/>
    </row>
    <row r="292">
      <c r="A292" s="47">
        <f>IF(Mitarbeiter!B292="","",Mitarbeiter!A292)</f>
        <v/>
      </c>
      <c r="B292" s="48">
        <f>IF(Mitarbeiter!B292="","",Mitarbeiter!B292)</f>
        <v/>
      </c>
      <c r="C292" s="49">
        <f>IF(Mitarbeiter!B292="","",Mitarbeiter!F292)</f>
        <v/>
      </c>
      <c r="D292" s="25">
        <f>IF(Mitarbeiter!B292="","",Berechnung!AD292)</f>
        <v/>
      </c>
      <c r="E292" s="25">
        <f>IF(Mitarbeiter!B292="","",SUM(G292:DV292))</f>
        <v/>
      </c>
      <c r="G292" s="50" t="n"/>
      <c r="H292" s="50" t="n"/>
      <c r="I292" s="50" t="n"/>
      <c r="J292" s="50" t="n"/>
      <c r="K292" s="50" t="n"/>
      <c r="L292" s="50" t="n"/>
      <c r="M292" s="50" t="n"/>
      <c r="N292" s="50" t="n"/>
      <c r="O292" s="50" t="n"/>
      <c r="P292" s="50" t="n"/>
      <c r="Q292" s="50" t="n"/>
      <c r="R292" s="50" t="n"/>
      <c r="S292" s="50" t="n"/>
      <c r="T292" s="50" t="n"/>
      <c r="U292" s="50" t="n"/>
      <c r="V292" s="50" t="n"/>
      <c r="W292" s="50" t="n"/>
      <c r="X292" s="50" t="n"/>
      <c r="Y292" s="50" t="n"/>
      <c r="Z292" s="50" t="n"/>
      <c r="AA292" s="50" t="n"/>
      <c r="AB292" s="50" t="n"/>
      <c r="AC292" s="50" t="n"/>
      <c r="AD292" s="50" t="n"/>
      <c r="AE292" s="50" t="n"/>
      <c r="AF292" s="50" t="n"/>
      <c r="AG292" s="50" t="n"/>
      <c r="AH292" s="50" t="n"/>
      <c r="AI292" s="50" t="n"/>
      <c r="AJ292" s="50" t="n"/>
      <c r="AK292" s="50" t="n"/>
      <c r="AL292" s="50" t="n"/>
      <c r="AM292" s="50" t="n"/>
      <c r="AN292" s="50" t="n"/>
      <c r="AO292" s="50" t="n"/>
      <c r="AP292" s="50" t="n"/>
      <c r="AQ292" s="50" t="n"/>
      <c r="AR292" s="50" t="n"/>
      <c r="AS292" s="50" t="n"/>
      <c r="AT292" s="50" t="n"/>
      <c r="AU292" s="50" t="n"/>
      <c r="AV292" s="50" t="n"/>
      <c r="AW292" s="50" t="n"/>
      <c r="AX292" s="50" t="n"/>
      <c r="AY292" s="50" t="n"/>
      <c r="AZ292" s="50" t="n"/>
      <c r="BA292" s="50" t="n"/>
      <c r="BB292" s="50" t="n"/>
      <c r="BC292" s="50" t="n"/>
      <c r="BD292" s="50" t="n"/>
      <c r="BE292" s="50" t="n"/>
      <c r="BF292" s="50" t="n"/>
      <c r="BG292" s="50" t="n"/>
      <c r="BH292" s="50" t="n"/>
      <c r="BI292" s="50" t="n"/>
      <c r="BJ292" s="50" t="n"/>
      <c r="BK292" s="50" t="n"/>
      <c r="BL292" s="50" t="n"/>
      <c r="BM292" s="50" t="n"/>
      <c r="BN292" s="50" t="n"/>
      <c r="BO292" s="50" t="n"/>
      <c r="BP292" s="50" t="n"/>
      <c r="BQ292" s="50" t="n"/>
      <c r="BR292" s="50" t="n"/>
      <c r="BS292" s="50" t="n"/>
      <c r="BT292" s="50" t="n"/>
      <c r="BU292" s="50" t="n"/>
      <c r="BV292" s="50" t="n"/>
      <c r="BW292" s="50" t="n"/>
      <c r="BX292" s="50" t="n"/>
      <c r="BY292" s="50" t="n"/>
      <c r="BZ292" s="50" t="n"/>
      <c r="CA292" s="50" t="n"/>
      <c r="CB292" s="50" t="n"/>
      <c r="CC292" s="50" t="n"/>
      <c r="CD292" s="50" t="n"/>
      <c r="CE292" s="50" t="n"/>
      <c r="CF292" s="50" t="n"/>
      <c r="CG292" s="50" t="n"/>
      <c r="CH292" s="50" t="n"/>
      <c r="CI292" s="50" t="n"/>
      <c r="CJ292" s="50" t="n"/>
      <c r="CK292" s="50" t="n"/>
      <c r="CL292" s="50" t="n"/>
      <c r="CM292" s="50" t="n"/>
      <c r="CN292" s="50" t="n"/>
      <c r="CO292" s="50" t="n"/>
      <c r="CP292" s="50" t="n"/>
      <c r="CQ292" s="50" t="n"/>
      <c r="CR292" s="50" t="n"/>
      <c r="CS292" s="50" t="n"/>
      <c r="CT292" s="50" t="n"/>
      <c r="CU292" s="50" t="n"/>
      <c r="CV292" s="50" t="n"/>
      <c r="CW292" s="50" t="n"/>
      <c r="CX292" s="50" t="n"/>
      <c r="CY292" s="50" t="n"/>
      <c r="CZ292" s="50" t="n"/>
      <c r="DA292" s="50" t="n"/>
      <c r="DB292" s="50" t="n"/>
      <c r="DC292" s="50" t="n"/>
      <c r="DD292" s="50" t="n"/>
      <c r="DE292" s="50" t="n"/>
      <c r="DF292" s="50" t="n"/>
      <c r="DG292" s="50" t="n"/>
      <c r="DH292" s="50" t="n"/>
      <c r="DI292" s="50" t="n"/>
      <c r="DJ292" s="50" t="n"/>
      <c r="DK292" s="50" t="n"/>
      <c r="DL292" s="50" t="n"/>
      <c r="DM292" s="50" t="n"/>
      <c r="DN292" s="50" t="n"/>
      <c r="DO292" s="50" t="n"/>
      <c r="DP292" s="50" t="n"/>
      <c r="DQ292" s="50" t="n"/>
      <c r="DR292" s="50" t="n"/>
      <c r="DS292" s="50" t="n"/>
      <c r="DT292" s="50" t="n"/>
      <c r="DU292" s="50" t="n"/>
      <c r="DV292" s="50" t="n"/>
    </row>
    <row r="293">
      <c r="A293" s="47">
        <f>IF(Mitarbeiter!B293="","",Mitarbeiter!A293)</f>
        <v/>
      </c>
      <c r="B293" s="48">
        <f>IF(Mitarbeiter!B293="","",Mitarbeiter!B293)</f>
        <v/>
      </c>
      <c r="C293" s="49">
        <f>IF(Mitarbeiter!B293="","",Mitarbeiter!F293)</f>
        <v/>
      </c>
      <c r="D293" s="25">
        <f>IF(Mitarbeiter!B293="","",Berechnung!AD293)</f>
        <v/>
      </c>
      <c r="E293" s="25">
        <f>IF(Mitarbeiter!B293="","",SUM(G293:DV293))</f>
        <v/>
      </c>
      <c r="G293" s="50" t="n"/>
      <c r="H293" s="50" t="n"/>
      <c r="I293" s="50" t="n"/>
      <c r="J293" s="50" t="n"/>
      <c r="K293" s="50" t="n"/>
      <c r="L293" s="50" t="n"/>
      <c r="M293" s="50" t="n"/>
      <c r="N293" s="50" t="n"/>
      <c r="O293" s="50" t="n"/>
      <c r="P293" s="50" t="n"/>
      <c r="Q293" s="50" t="n"/>
      <c r="R293" s="50" t="n"/>
      <c r="S293" s="50" t="n"/>
      <c r="T293" s="50" t="n"/>
      <c r="U293" s="50" t="n"/>
      <c r="V293" s="50" t="n"/>
      <c r="W293" s="50" t="n"/>
      <c r="X293" s="50" t="n"/>
      <c r="Y293" s="50" t="n"/>
      <c r="Z293" s="50" t="n"/>
      <c r="AA293" s="50" t="n"/>
      <c r="AB293" s="50" t="n"/>
      <c r="AC293" s="50" t="n"/>
      <c r="AD293" s="50" t="n"/>
      <c r="AE293" s="50" t="n"/>
      <c r="AF293" s="50" t="n"/>
      <c r="AG293" s="50" t="n"/>
      <c r="AH293" s="50" t="n"/>
      <c r="AI293" s="50" t="n"/>
      <c r="AJ293" s="50" t="n"/>
      <c r="AK293" s="50" t="n"/>
      <c r="AL293" s="50" t="n"/>
      <c r="AM293" s="50" t="n"/>
      <c r="AN293" s="50" t="n"/>
      <c r="AO293" s="50" t="n"/>
      <c r="AP293" s="50" t="n"/>
      <c r="AQ293" s="50" t="n"/>
      <c r="AR293" s="50" t="n"/>
      <c r="AS293" s="50" t="n"/>
      <c r="AT293" s="50" t="n"/>
      <c r="AU293" s="50" t="n"/>
      <c r="AV293" s="50" t="n"/>
      <c r="AW293" s="50" t="n"/>
      <c r="AX293" s="50" t="n"/>
      <c r="AY293" s="50" t="n"/>
      <c r="AZ293" s="50" t="n"/>
      <c r="BA293" s="50" t="n"/>
      <c r="BB293" s="50" t="n"/>
      <c r="BC293" s="50" t="n"/>
      <c r="BD293" s="50" t="n"/>
      <c r="BE293" s="50" t="n"/>
      <c r="BF293" s="50" t="n"/>
      <c r="BG293" s="50" t="n"/>
      <c r="BH293" s="50" t="n"/>
      <c r="BI293" s="50" t="n"/>
      <c r="BJ293" s="50" t="n"/>
      <c r="BK293" s="50" t="n"/>
      <c r="BL293" s="50" t="n"/>
      <c r="BM293" s="50" t="n"/>
      <c r="BN293" s="50" t="n"/>
      <c r="BO293" s="50" t="n"/>
      <c r="BP293" s="50" t="n"/>
      <c r="BQ293" s="50" t="n"/>
      <c r="BR293" s="50" t="n"/>
      <c r="BS293" s="50" t="n"/>
      <c r="BT293" s="50" t="n"/>
      <c r="BU293" s="50" t="n"/>
      <c r="BV293" s="50" t="n"/>
      <c r="BW293" s="50" t="n"/>
      <c r="BX293" s="50" t="n"/>
      <c r="BY293" s="50" t="n"/>
      <c r="BZ293" s="50" t="n"/>
      <c r="CA293" s="50" t="n"/>
      <c r="CB293" s="50" t="n"/>
      <c r="CC293" s="50" t="n"/>
      <c r="CD293" s="50" t="n"/>
      <c r="CE293" s="50" t="n"/>
      <c r="CF293" s="50" t="n"/>
      <c r="CG293" s="50" t="n"/>
      <c r="CH293" s="50" t="n"/>
      <c r="CI293" s="50" t="n"/>
      <c r="CJ293" s="50" t="n"/>
      <c r="CK293" s="50" t="n"/>
      <c r="CL293" s="50" t="n"/>
      <c r="CM293" s="50" t="n"/>
      <c r="CN293" s="50" t="n"/>
      <c r="CO293" s="50" t="n"/>
      <c r="CP293" s="50" t="n"/>
      <c r="CQ293" s="50" t="n"/>
      <c r="CR293" s="50" t="n"/>
      <c r="CS293" s="50" t="n"/>
      <c r="CT293" s="50" t="n"/>
      <c r="CU293" s="50" t="n"/>
      <c r="CV293" s="50" t="n"/>
      <c r="CW293" s="50" t="n"/>
      <c r="CX293" s="50" t="n"/>
      <c r="CY293" s="50" t="n"/>
      <c r="CZ293" s="50" t="n"/>
      <c r="DA293" s="50" t="n"/>
      <c r="DB293" s="50" t="n"/>
      <c r="DC293" s="50" t="n"/>
      <c r="DD293" s="50" t="n"/>
      <c r="DE293" s="50" t="n"/>
      <c r="DF293" s="50" t="n"/>
      <c r="DG293" s="50" t="n"/>
      <c r="DH293" s="50" t="n"/>
      <c r="DI293" s="50" t="n"/>
      <c r="DJ293" s="50" t="n"/>
      <c r="DK293" s="50" t="n"/>
      <c r="DL293" s="50" t="n"/>
      <c r="DM293" s="50" t="n"/>
      <c r="DN293" s="50" t="n"/>
      <c r="DO293" s="50" t="n"/>
      <c r="DP293" s="50" t="n"/>
      <c r="DQ293" s="50" t="n"/>
      <c r="DR293" s="50" t="n"/>
      <c r="DS293" s="50" t="n"/>
      <c r="DT293" s="50" t="n"/>
      <c r="DU293" s="50" t="n"/>
      <c r="DV293" s="50" t="n"/>
    </row>
    <row r="294">
      <c r="A294" s="47">
        <f>IF(Mitarbeiter!B294="","",Mitarbeiter!A294)</f>
        <v/>
      </c>
      <c r="B294" s="48">
        <f>IF(Mitarbeiter!B294="","",Mitarbeiter!B294)</f>
        <v/>
      </c>
      <c r="C294" s="49">
        <f>IF(Mitarbeiter!B294="","",Mitarbeiter!F294)</f>
        <v/>
      </c>
      <c r="D294" s="25">
        <f>IF(Mitarbeiter!B294="","",Berechnung!AD294)</f>
        <v/>
      </c>
      <c r="E294" s="25">
        <f>IF(Mitarbeiter!B294="","",SUM(G294:DV294))</f>
        <v/>
      </c>
      <c r="G294" s="50" t="n"/>
      <c r="H294" s="50" t="n"/>
      <c r="I294" s="50" t="n"/>
      <c r="J294" s="50" t="n"/>
      <c r="K294" s="50" t="n"/>
      <c r="L294" s="50" t="n"/>
      <c r="M294" s="50" t="n"/>
      <c r="N294" s="50" t="n"/>
      <c r="O294" s="50" t="n"/>
      <c r="P294" s="50" t="n"/>
      <c r="Q294" s="50" t="n"/>
      <c r="R294" s="50" t="n"/>
      <c r="S294" s="50" t="n"/>
      <c r="T294" s="50" t="n"/>
      <c r="U294" s="50" t="n"/>
      <c r="V294" s="50" t="n"/>
      <c r="W294" s="50" t="n"/>
      <c r="X294" s="50" t="n"/>
      <c r="Y294" s="50" t="n"/>
      <c r="Z294" s="50" t="n"/>
      <c r="AA294" s="50" t="n"/>
      <c r="AB294" s="50" t="n"/>
      <c r="AC294" s="50" t="n"/>
      <c r="AD294" s="50" t="n"/>
      <c r="AE294" s="50" t="n"/>
      <c r="AF294" s="50" t="n"/>
      <c r="AG294" s="50" t="n"/>
      <c r="AH294" s="50" t="n"/>
      <c r="AI294" s="50" t="n"/>
      <c r="AJ294" s="50" t="n"/>
      <c r="AK294" s="50" t="n"/>
      <c r="AL294" s="50" t="n"/>
      <c r="AM294" s="50" t="n"/>
      <c r="AN294" s="50" t="n"/>
      <c r="AO294" s="50" t="n"/>
      <c r="AP294" s="50" t="n"/>
      <c r="AQ294" s="50" t="n"/>
      <c r="AR294" s="50" t="n"/>
      <c r="AS294" s="50" t="n"/>
      <c r="AT294" s="50" t="n"/>
      <c r="AU294" s="50" t="n"/>
      <c r="AV294" s="50" t="n"/>
      <c r="AW294" s="50" t="n"/>
      <c r="AX294" s="50" t="n"/>
      <c r="AY294" s="50" t="n"/>
      <c r="AZ294" s="50" t="n"/>
      <c r="BA294" s="50" t="n"/>
      <c r="BB294" s="50" t="n"/>
      <c r="BC294" s="50" t="n"/>
      <c r="BD294" s="50" t="n"/>
      <c r="BE294" s="50" t="n"/>
      <c r="BF294" s="50" t="n"/>
      <c r="BG294" s="50" t="n"/>
      <c r="BH294" s="50" t="n"/>
      <c r="BI294" s="50" t="n"/>
      <c r="BJ294" s="50" t="n"/>
      <c r="BK294" s="50" t="n"/>
      <c r="BL294" s="50" t="n"/>
      <c r="BM294" s="50" t="n"/>
      <c r="BN294" s="50" t="n"/>
      <c r="BO294" s="50" t="n"/>
      <c r="BP294" s="50" t="n"/>
      <c r="BQ294" s="50" t="n"/>
      <c r="BR294" s="50" t="n"/>
      <c r="BS294" s="50" t="n"/>
      <c r="BT294" s="50" t="n"/>
      <c r="BU294" s="50" t="n"/>
      <c r="BV294" s="50" t="n"/>
      <c r="BW294" s="50" t="n"/>
      <c r="BX294" s="50" t="n"/>
      <c r="BY294" s="50" t="n"/>
      <c r="BZ294" s="50" t="n"/>
      <c r="CA294" s="50" t="n"/>
      <c r="CB294" s="50" t="n"/>
      <c r="CC294" s="50" t="n"/>
      <c r="CD294" s="50" t="n"/>
      <c r="CE294" s="50" t="n"/>
      <c r="CF294" s="50" t="n"/>
      <c r="CG294" s="50" t="n"/>
      <c r="CH294" s="50" t="n"/>
      <c r="CI294" s="50" t="n"/>
      <c r="CJ294" s="50" t="n"/>
      <c r="CK294" s="50" t="n"/>
      <c r="CL294" s="50" t="n"/>
      <c r="CM294" s="50" t="n"/>
      <c r="CN294" s="50" t="n"/>
      <c r="CO294" s="50" t="n"/>
      <c r="CP294" s="50" t="n"/>
      <c r="CQ294" s="50" t="n"/>
      <c r="CR294" s="50" t="n"/>
      <c r="CS294" s="50" t="n"/>
      <c r="CT294" s="50" t="n"/>
      <c r="CU294" s="50" t="n"/>
      <c r="CV294" s="50" t="n"/>
      <c r="CW294" s="50" t="n"/>
      <c r="CX294" s="50" t="n"/>
      <c r="CY294" s="50" t="n"/>
      <c r="CZ294" s="50" t="n"/>
      <c r="DA294" s="50" t="n"/>
      <c r="DB294" s="50" t="n"/>
      <c r="DC294" s="50" t="n"/>
      <c r="DD294" s="50" t="n"/>
      <c r="DE294" s="50" t="n"/>
      <c r="DF294" s="50" t="n"/>
      <c r="DG294" s="50" t="n"/>
      <c r="DH294" s="50" t="n"/>
      <c r="DI294" s="50" t="n"/>
      <c r="DJ294" s="50" t="n"/>
      <c r="DK294" s="50" t="n"/>
      <c r="DL294" s="50" t="n"/>
      <c r="DM294" s="50" t="n"/>
      <c r="DN294" s="50" t="n"/>
      <c r="DO294" s="50" t="n"/>
      <c r="DP294" s="50" t="n"/>
      <c r="DQ294" s="50" t="n"/>
      <c r="DR294" s="50" t="n"/>
      <c r="DS294" s="50" t="n"/>
      <c r="DT294" s="50" t="n"/>
      <c r="DU294" s="50" t="n"/>
      <c r="DV294" s="50" t="n"/>
    </row>
    <row r="295">
      <c r="A295" s="47">
        <f>IF(Mitarbeiter!B295="","",Mitarbeiter!A295)</f>
        <v/>
      </c>
      <c r="B295" s="48">
        <f>IF(Mitarbeiter!B295="","",Mitarbeiter!B295)</f>
        <v/>
      </c>
      <c r="C295" s="49">
        <f>IF(Mitarbeiter!B295="","",Mitarbeiter!F295)</f>
        <v/>
      </c>
      <c r="D295" s="25">
        <f>IF(Mitarbeiter!B295="","",Berechnung!AD295)</f>
        <v/>
      </c>
      <c r="E295" s="25">
        <f>IF(Mitarbeiter!B295="","",SUM(G295:DV295))</f>
        <v/>
      </c>
      <c r="G295" s="50" t="n"/>
      <c r="H295" s="50" t="n"/>
      <c r="I295" s="50" t="n"/>
      <c r="J295" s="50" t="n"/>
      <c r="K295" s="50" t="n"/>
      <c r="L295" s="50" t="n"/>
      <c r="M295" s="50" t="n"/>
      <c r="N295" s="50" t="n"/>
      <c r="O295" s="50" t="n"/>
      <c r="P295" s="50" t="n"/>
      <c r="Q295" s="50" t="n"/>
      <c r="R295" s="50" t="n"/>
      <c r="S295" s="50" t="n"/>
      <c r="T295" s="50" t="n"/>
      <c r="U295" s="50" t="n"/>
      <c r="V295" s="50" t="n"/>
      <c r="W295" s="50" t="n"/>
      <c r="X295" s="50" t="n"/>
      <c r="Y295" s="50" t="n"/>
      <c r="Z295" s="50" t="n"/>
      <c r="AA295" s="50" t="n"/>
      <c r="AB295" s="50" t="n"/>
      <c r="AC295" s="50" t="n"/>
      <c r="AD295" s="50" t="n"/>
      <c r="AE295" s="50" t="n"/>
      <c r="AF295" s="50" t="n"/>
      <c r="AG295" s="50" t="n"/>
      <c r="AH295" s="50" t="n"/>
      <c r="AI295" s="50" t="n"/>
      <c r="AJ295" s="50" t="n"/>
      <c r="AK295" s="50" t="n"/>
      <c r="AL295" s="50" t="n"/>
      <c r="AM295" s="50" t="n"/>
      <c r="AN295" s="50" t="n"/>
      <c r="AO295" s="50" t="n"/>
      <c r="AP295" s="50" t="n"/>
      <c r="AQ295" s="50" t="n"/>
      <c r="AR295" s="50" t="n"/>
      <c r="AS295" s="50" t="n"/>
      <c r="AT295" s="50" t="n"/>
      <c r="AU295" s="50" t="n"/>
      <c r="AV295" s="50" t="n"/>
      <c r="AW295" s="50" t="n"/>
      <c r="AX295" s="50" t="n"/>
      <c r="AY295" s="50" t="n"/>
      <c r="AZ295" s="50" t="n"/>
      <c r="BA295" s="50" t="n"/>
      <c r="BB295" s="50" t="n"/>
      <c r="BC295" s="50" t="n"/>
      <c r="BD295" s="50" t="n"/>
      <c r="BE295" s="50" t="n"/>
      <c r="BF295" s="50" t="n"/>
      <c r="BG295" s="50" t="n"/>
      <c r="BH295" s="50" t="n"/>
      <c r="BI295" s="50" t="n"/>
      <c r="BJ295" s="50" t="n"/>
      <c r="BK295" s="50" t="n"/>
      <c r="BL295" s="50" t="n"/>
      <c r="BM295" s="50" t="n"/>
      <c r="BN295" s="50" t="n"/>
      <c r="BO295" s="50" t="n"/>
      <c r="BP295" s="50" t="n"/>
      <c r="BQ295" s="50" t="n"/>
      <c r="BR295" s="50" t="n"/>
      <c r="BS295" s="50" t="n"/>
      <c r="BT295" s="50" t="n"/>
      <c r="BU295" s="50" t="n"/>
      <c r="BV295" s="50" t="n"/>
      <c r="BW295" s="50" t="n"/>
      <c r="BX295" s="50" t="n"/>
      <c r="BY295" s="50" t="n"/>
      <c r="BZ295" s="50" t="n"/>
      <c r="CA295" s="50" t="n"/>
      <c r="CB295" s="50" t="n"/>
      <c r="CC295" s="50" t="n"/>
      <c r="CD295" s="50" t="n"/>
      <c r="CE295" s="50" t="n"/>
      <c r="CF295" s="50" t="n"/>
      <c r="CG295" s="50" t="n"/>
      <c r="CH295" s="50" t="n"/>
      <c r="CI295" s="50" t="n"/>
      <c r="CJ295" s="50" t="n"/>
      <c r="CK295" s="50" t="n"/>
      <c r="CL295" s="50" t="n"/>
      <c r="CM295" s="50" t="n"/>
      <c r="CN295" s="50" t="n"/>
      <c r="CO295" s="50" t="n"/>
      <c r="CP295" s="50" t="n"/>
      <c r="CQ295" s="50" t="n"/>
      <c r="CR295" s="50" t="n"/>
      <c r="CS295" s="50" t="n"/>
      <c r="CT295" s="50" t="n"/>
      <c r="CU295" s="50" t="n"/>
      <c r="CV295" s="50" t="n"/>
      <c r="CW295" s="50" t="n"/>
      <c r="CX295" s="50" t="n"/>
      <c r="CY295" s="50" t="n"/>
      <c r="CZ295" s="50" t="n"/>
      <c r="DA295" s="50" t="n"/>
      <c r="DB295" s="50" t="n"/>
      <c r="DC295" s="50" t="n"/>
      <c r="DD295" s="50" t="n"/>
      <c r="DE295" s="50" t="n"/>
      <c r="DF295" s="50" t="n"/>
      <c r="DG295" s="50" t="n"/>
      <c r="DH295" s="50" t="n"/>
      <c r="DI295" s="50" t="n"/>
      <c r="DJ295" s="50" t="n"/>
      <c r="DK295" s="50" t="n"/>
      <c r="DL295" s="50" t="n"/>
      <c r="DM295" s="50" t="n"/>
      <c r="DN295" s="50" t="n"/>
      <c r="DO295" s="50" t="n"/>
      <c r="DP295" s="50" t="n"/>
      <c r="DQ295" s="50" t="n"/>
      <c r="DR295" s="50" t="n"/>
      <c r="DS295" s="50" t="n"/>
      <c r="DT295" s="50" t="n"/>
      <c r="DU295" s="50" t="n"/>
      <c r="DV295" s="50" t="n"/>
    </row>
    <row r="296">
      <c r="A296" s="47">
        <f>IF(Mitarbeiter!B296="","",Mitarbeiter!A296)</f>
        <v/>
      </c>
      <c r="B296" s="48">
        <f>IF(Mitarbeiter!B296="","",Mitarbeiter!B296)</f>
        <v/>
      </c>
      <c r="C296" s="49">
        <f>IF(Mitarbeiter!B296="","",Mitarbeiter!F296)</f>
        <v/>
      </c>
      <c r="D296" s="25">
        <f>IF(Mitarbeiter!B296="","",Berechnung!AD296)</f>
        <v/>
      </c>
      <c r="E296" s="25">
        <f>IF(Mitarbeiter!B296="","",SUM(G296:DV296))</f>
        <v/>
      </c>
      <c r="G296" s="50" t="n"/>
      <c r="H296" s="50" t="n"/>
      <c r="I296" s="50" t="n"/>
      <c r="J296" s="50" t="n"/>
      <c r="K296" s="50" t="n"/>
      <c r="L296" s="50" t="n"/>
      <c r="M296" s="50" t="n"/>
      <c r="N296" s="50" t="n"/>
      <c r="O296" s="50" t="n"/>
      <c r="P296" s="50" t="n"/>
      <c r="Q296" s="50" t="n"/>
      <c r="R296" s="50" t="n"/>
      <c r="S296" s="50" t="n"/>
      <c r="T296" s="50" t="n"/>
      <c r="U296" s="50" t="n"/>
      <c r="V296" s="50" t="n"/>
      <c r="W296" s="50" t="n"/>
      <c r="X296" s="50" t="n"/>
      <c r="Y296" s="50" t="n"/>
      <c r="Z296" s="50" t="n"/>
      <c r="AA296" s="50" t="n"/>
      <c r="AB296" s="50" t="n"/>
      <c r="AC296" s="50" t="n"/>
      <c r="AD296" s="50" t="n"/>
      <c r="AE296" s="50" t="n"/>
      <c r="AF296" s="50" t="n"/>
      <c r="AG296" s="50" t="n"/>
      <c r="AH296" s="50" t="n"/>
      <c r="AI296" s="50" t="n"/>
      <c r="AJ296" s="50" t="n"/>
      <c r="AK296" s="50" t="n"/>
      <c r="AL296" s="50" t="n"/>
      <c r="AM296" s="50" t="n"/>
      <c r="AN296" s="50" t="n"/>
      <c r="AO296" s="50" t="n"/>
      <c r="AP296" s="50" t="n"/>
      <c r="AQ296" s="50" t="n"/>
      <c r="AR296" s="50" t="n"/>
      <c r="AS296" s="50" t="n"/>
      <c r="AT296" s="50" t="n"/>
      <c r="AU296" s="50" t="n"/>
      <c r="AV296" s="50" t="n"/>
      <c r="AW296" s="50" t="n"/>
      <c r="AX296" s="50" t="n"/>
      <c r="AY296" s="50" t="n"/>
      <c r="AZ296" s="50" t="n"/>
      <c r="BA296" s="50" t="n"/>
      <c r="BB296" s="50" t="n"/>
      <c r="BC296" s="50" t="n"/>
      <c r="BD296" s="50" t="n"/>
      <c r="BE296" s="50" t="n"/>
      <c r="BF296" s="50" t="n"/>
      <c r="BG296" s="50" t="n"/>
      <c r="BH296" s="50" t="n"/>
      <c r="BI296" s="50" t="n"/>
      <c r="BJ296" s="50" t="n"/>
      <c r="BK296" s="50" t="n"/>
      <c r="BL296" s="50" t="n"/>
      <c r="BM296" s="50" t="n"/>
      <c r="BN296" s="50" t="n"/>
      <c r="BO296" s="50" t="n"/>
      <c r="BP296" s="50" t="n"/>
      <c r="BQ296" s="50" t="n"/>
      <c r="BR296" s="50" t="n"/>
      <c r="BS296" s="50" t="n"/>
      <c r="BT296" s="50" t="n"/>
      <c r="BU296" s="50" t="n"/>
      <c r="BV296" s="50" t="n"/>
      <c r="BW296" s="50" t="n"/>
      <c r="BX296" s="50" t="n"/>
      <c r="BY296" s="50" t="n"/>
      <c r="BZ296" s="50" t="n"/>
      <c r="CA296" s="50" t="n"/>
      <c r="CB296" s="50" t="n"/>
      <c r="CC296" s="50" t="n"/>
      <c r="CD296" s="50" t="n"/>
      <c r="CE296" s="50" t="n"/>
      <c r="CF296" s="50" t="n"/>
      <c r="CG296" s="50" t="n"/>
      <c r="CH296" s="50" t="n"/>
      <c r="CI296" s="50" t="n"/>
      <c r="CJ296" s="50" t="n"/>
      <c r="CK296" s="50" t="n"/>
      <c r="CL296" s="50" t="n"/>
      <c r="CM296" s="50" t="n"/>
      <c r="CN296" s="50" t="n"/>
      <c r="CO296" s="50" t="n"/>
      <c r="CP296" s="50" t="n"/>
      <c r="CQ296" s="50" t="n"/>
      <c r="CR296" s="50" t="n"/>
      <c r="CS296" s="50" t="n"/>
      <c r="CT296" s="50" t="n"/>
      <c r="CU296" s="50" t="n"/>
      <c r="CV296" s="50" t="n"/>
      <c r="CW296" s="50" t="n"/>
      <c r="CX296" s="50" t="n"/>
      <c r="CY296" s="50" t="n"/>
      <c r="CZ296" s="50" t="n"/>
      <c r="DA296" s="50" t="n"/>
      <c r="DB296" s="50" t="n"/>
      <c r="DC296" s="50" t="n"/>
      <c r="DD296" s="50" t="n"/>
      <c r="DE296" s="50" t="n"/>
      <c r="DF296" s="50" t="n"/>
      <c r="DG296" s="50" t="n"/>
      <c r="DH296" s="50" t="n"/>
      <c r="DI296" s="50" t="n"/>
      <c r="DJ296" s="50" t="n"/>
      <c r="DK296" s="50" t="n"/>
      <c r="DL296" s="50" t="n"/>
      <c r="DM296" s="50" t="n"/>
      <c r="DN296" s="50" t="n"/>
      <c r="DO296" s="50" t="n"/>
      <c r="DP296" s="50" t="n"/>
      <c r="DQ296" s="50" t="n"/>
      <c r="DR296" s="50" t="n"/>
      <c r="DS296" s="50" t="n"/>
      <c r="DT296" s="50" t="n"/>
      <c r="DU296" s="50" t="n"/>
      <c r="DV296" s="50" t="n"/>
    </row>
    <row r="297">
      <c r="A297" s="47">
        <f>IF(Mitarbeiter!B297="","",Mitarbeiter!A297)</f>
        <v/>
      </c>
      <c r="B297" s="48">
        <f>IF(Mitarbeiter!B297="","",Mitarbeiter!B297)</f>
        <v/>
      </c>
      <c r="C297" s="49">
        <f>IF(Mitarbeiter!B297="","",Mitarbeiter!F297)</f>
        <v/>
      </c>
      <c r="D297" s="25">
        <f>IF(Mitarbeiter!B297="","",Berechnung!AD297)</f>
        <v/>
      </c>
      <c r="E297" s="25">
        <f>IF(Mitarbeiter!B297="","",SUM(G297:DV297))</f>
        <v/>
      </c>
      <c r="G297" s="50" t="n"/>
      <c r="H297" s="50" t="n"/>
      <c r="I297" s="50" t="n"/>
      <c r="J297" s="50" t="n"/>
      <c r="K297" s="50" t="n"/>
      <c r="L297" s="50" t="n"/>
      <c r="M297" s="50" t="n"/>
      <c r="N297" s="50" t="n"/>
      <c r="O297" s="50" t="n"/>
      <c r="P297" s="50" t="n"/>
      <c r="Q297" s="50" t="n"/>
      <c r="R297" s="50" t="n"/>
      <c r="S297" s="50" t="n"/>
      <c r="T297" s="50" t="n"/>
      <c r="U297" s="50" t="n"/>
      <c r="V297" s="50" t="n"/>
      <c r="W297" s="50" t="n"/>
      <c r="X297" s="50" t="n"/>
      <c r="Y297" s="50" t="n"/>
      <c r="Z297" s="50" t="n"/>
      <c r="AA297" s="50" t="n"/>
      <c r="AB297" s="50" t="n"/>
      <c r="AC297" s="50" t="n"/>
      <c r="AD297" s="50" t="n"/>
      <c r="AE297" s="50" t="n"/>
      <c r="AF297" s="50" t="n"/>
      <c r="AG297" s="50" t="n"/>
      <c r="AH297" s="50" t="n"/>
      <c r="AI297" s="50" t="n"/>
      <c r="AJ297" s="50" t="n"/>
      <c r="AK297" s="50" t="n"/>
      <c r="AL297" s="50" t="n"/>
      <c r="AM297" s="50" t="n"/>
      <c r="AN297" s="50" t="n"/>
      <c r="AO297" s="50" t="n"/>
      <c r="AP297" s="50" t="n"/>
      <c r="AQ297" s="50" t="n"/>
      <c r="AR297" s="50" t="n"/>
      <c r="AS297" s="50" t="n"/>
      <c r="AT297" s="50" t="n"/>
      <c r="AU297" s="50" t="n"/>
      <c r="AV297" s="50" t="n"/>
      <c r="AW297" s="50" t="n"/>
      <c r="AX297" s="50" t="n"/>
      <c r="AY297" s="50" t="n"/>
      <c r="AZ297" s="50" t="n"/>
      <c r="BA297" s="50" t="n"/>
      <c r="BB297" s="50" t="n"/>
      <c r="BC297" s="50" t="n"/>
      <c r="BD297" s="50" t="n"/>
      <c r="BE297" s="50" t="n"/>
      <c r="BF297" s="50" t="n"/>
      <c r="BG297" s="50" t="n"/>
      <c r="BH297" s="50" t="n"/>
      <c r="BI297" s="50" t="n"/>
      <c r="BJ297" s="50" t="n"/>
      <c r="BK297" s="50" t="n"/>
      <c r="BL297" s="50" t="n"/>
      <c r="BM297" s="50" t="n"/>
      <c r="BN297" s="50" t="n"/>
      <c r="BO297" s="50" t="n"/>
      <c r="BP297" s="50" t="n"/>
      <c r="BQ297" s="50" t="n"/>
      <c r="BR297" s="50" t="n"/>
      <c r="BS297" s="50" t="n"/>
      <c r="BT297" s="50" t="n"/>
      <c r="BU297" s="50" t="n"/>
      <c r="BV297" s="50" t="n"/>
      <c r="BW297" s="50" t="n"/>
      <c r="BX297" s="50" t="n"/>
      <c r="BY297" s="50" t="n"/>
      <c r="BZ297" s="50" t="n"/>
      <c r="CA297" s="50" t="n"/>
      <c r="CB297" s="50" t="n"/>
      <c r="CC297" s="50" t="n"/>
      <c r="CD297" s="50" t="n"/>
      <c r="CE297" s="50" t="n"/>
      <c r="CF297" s="50" t="n"/>
      <c r="CG297" s="50" t="n"/>
      <c r="CH297" s="50" t="n"/>
      <c r="CI297" s="50" t="n"/>
      <c r="CJ297" s="50" t="n"/>
      <c r="CK297" s="50" t="n"/>
      <c r="CL297" s="50" t="n"/>
      <c r="CM297" s="50" t="n"/>
      <c r="CN297" s="50" t="n"/>
      <c r="CO297" s="50" t="n"/>
      <c r="CP297" s="50" t="n"/>
      <c r="CQ297" s="50" t="n"/>
      <c r="CR297" s="50" t="n"/>
      <c r="CS297" s="50" t="n"/>
      <c r="CT297" s="50" t="n"/>
      <c r="CU297" s="50" t="n"/>
      <c r="CV297" s="50" t="n"/>
      <c r="CW297" s="50" t="n"/>
      <c r="CX297" s="50" t="n"/>
      <c r="CY297" s="50" t="n"/>
      <c r="CZ297" s="50" t="n"/>
      <c r="DA297" s="50" t="n"/>
      <c r="DB297" s="50" t="n"/>
      <c r="DC297" s="50" t="n"/>
      <c r="DD297" s="50" t="n"/>
      <c r="DE297" s="50" t="n"/>
      <c r="DF297" s="50" t="n"/>
      <c r="DG297" s="50" t="n"/>
      <c r="DH297" s="50" t="n"/>
      <c r="DI297" s="50" t="n"/>
      <c r="DJ297" s="50" t="n"/>
      <c r="DK297" s="50" t="n"/>
      <c r="DL297" s="50" t="n"/>
      <c r="DM297" s="50" t="n"/>
      <c r="DN297" s="50" t="n"/>
      <c r="DO297" s="50" t="n"/>
      <c r="DP297" s="50" t="n"/>
      <c r="DQ297" s="50" t="n"/>
      <c r="DR297" s="50" t="n"/>
      <c r="DS297" s="50" t="n"/>
      <c r="DT297" s="50" t="n"/>
      <c r="DU297" s="50" t="n"/>
      <c r="DV297" s="50" t="n"/>
    </row>
    <row r="298">
      <c r="A298" s="47">
        <f>IF(Mitarbeiter!B298="","",Mitarbeiter!A298)</f>
        <v/>
      </c>
      <c r="B298" s="48">
        <f>IF(Mitarbeiter!B298="","",Mitarbeiter!B298)</f>
        <v/>
      </c>
      <c r="C298" s="49">
        <f>IF(Mitarbeiter!B298="","",Mitarbeiter!F298)</f>
        <v/>
      </c>
      <c r="D298" s="25">
        <f>IF(Mitarbeiter!B298="","",Berechnung!AD298)</f>
        <v/>
      </c>
      <c r="E298" s="25">
        <f>IF(Mitarbeiter!B298="","",SUM(G298:DV298))</f>
        <v/>
      </c>
      <c r="G298" s="50" t="n"/>
      <c r="H298" s="50" t="n"/>
      <c r="I298" s="50" t="n"/>
      <c r="J298" s="50" t="n"/>
      <c r="K298" s="50" t="n"/>
      <c r="L298" s="50" t="n"/>
      <c r="M298" s="50" t="n"/>
      <c r="N298" s="50" t="n"/>
      <c r="O298" s="50" t="n"/>
      <c r="P298" s="50" t="n"/>
      <c r="Q298" s="50" t="n"/>
      <c r="R298" s="50" t="n"/>
      <c r="S298" s="50" t="n"/>
      <c r="T298" s="50" t="n"/>
      <c r="U298" s="50" t="n"/>
      <c r="V298" s="50" t="n"/>
      <c r="W298" s="50" t="n"/>
      <c r="X298" s="50" t="n"/>
      <c r="Y298" s="50" t="n"/>
      <c r="Z298" s="50" t="n"/>
      <c r="AA298" s="50" t="n"/>
      <c r="AB298" s="50" t="n"/>
      <c r="AC298" s="50" t="n"/>
      <c r="AD298" s="50" t="n"/>
      <c r="AE298" s="50" t="n"/>
      <c r="AF298" s="50" t="n"/>
      <c r="AG298" s="50" t="n"/>
      <c r="AH298" s="50" t="n"/>
      <c r="AI298" s="50" t="n"/>
      <c r="AJ298" s="50" t="n"/>
      <c r="AK298" s="50" t="n"/>
      <c r="AL298" s="50" t="n"/>
      <c r="AM298" s="50" t="n"/>
      <c r="AN298" s="50" t="n"/>
      <c r="AO298" s="50" t="n"/>
      <c r="AP298" s="50" t="n"/>
      <c r="AQ298" s="50" t="n"/>
      <c r="AR298" s="50" t="n"/>
      <c r="AS298" s="50" t="n"/>
      <c r="AT298" s="50" t="n"/>
      <c r="AU298" s="50" t="n"/>
      <c r="AV298" s="50" t="n"/>
      <c r="AW298" s="50" t="n"/>
      <c r="AX298" s="50" t="n"/>
      <c r="AY298" s="50" t="n"/>
      <c r="AZ298" s="50" t="n"/>
      <c r="BA298" s="50" t="n"/>
      <c r="BB298" s="50" t="n"/>
      <c r="BC298" s="50" t="n"/>
      <c r="BD298" s="50" t="n"/>
      <c r="BE298" s="50" t="n"/>
      <c r="BF298" s="50" t="n"/>
      <c r="BG298" s="50" t="n"/>
      <c r="BH298" s="50" t="n"/>
      <c r="BI298" s="50" t="n"/>
      <c r="BJ298" s="50" t="n"/>
      <c r="BK298" s="50" t="n"/>
      <c r="BL298" s="50" t="n"/>
      <c r="BM298" s="50" t="n"/>
      <c r="BN298" s="50" t="n"/>
      <c r="BO298" s="50" t="n"/>
      <c r="BP298" s="50" t="n"/>
      <c r="BQ298" s="50" t="n"/>
      <c r="BR298" s="50" t="n"/>
      <c r="BS298" s="50" t="n"/>
      <c r="BT298" s="50" t="n"/>
      <c r="BU298" s="50" t="n"/>
      <c r="BV298" s="50" t="n"/>
      <c r="BW298" s="50" t="n"/>
      <c r="BX298" s="50" t="n"/>
      <c r="BY298" s="50" t="n"/>
      <c r="BZ298" s="50" t="n"/>
      <c r="CA298" s="50" t="n"/>
      <c r="CB298" s="50" t="n"/>
      <c r="CC298" s="50" t="n"/>
      <c r="CD298" s="50" t="n"/>
      <c r="CE298" s="50" t="n"/>
      <c r="CF298" s="50" t="n"/>
      <c r="CG298" s="50" t="n"/>
      <c r="CH298" s="50" t="n"/>
      <c r="CI298" s="50" t="n"/>
      <c r="CJ298" s="50" t="n"/>
      <c r="CK298" s="50" t="n"/>
      <c r="CL298" s="50" t="n"/>
      <c r="CM298" s="50" t="n"/>
      <c r="CN298" s="50" t="n"/>
      <c r="CO298" s="50" t="n"/>
      <c r="CP298" s="50" t="n"/>
      <c r="CQ298" s="50" t="n"/>
      <c r="CR298" s="50" t="n"/>
      <c r="CS298" s="50" t="n"/>
      <c r="CT298" s="50" t="n"/>
      <c r="CU298" s="50" t="n"/>
      <c r="CV298" s="50" t="n"/>
      <c r="CW298" s="50" t="n"/>
      <c r="CX298" s="50" t="n"/>
      <c r="CY298" s="50" t="n"/>
      <c r="CZ298" s="50" t="n"/>
      <c r="DA298" s="50" t="n"/>
      <c r="DB298" s="50" t="n"/>
      <c r="DC298" s="50" t="n"/>
      <c r="DD298" s="50" t="n"/>
      <c r="DE298" s="50" t="n"/>
      <c r="DF298" s="50" t="n"/>
      <c r="DG298" s="50" t="n"/>
      <c r="DH298" s="50" t="n"/>
      <c r="DI298" s="50" t="n"/>
      <c r="DJ298" s="50" t="n"/>
      <c r="DK298" s="50" t="n"/>
      <c r="DL298" s="50" t="n"/>
      <c r="DM298" s="50" t="n"/>
      <c r="DN298" s="50" t="n"/>
      <c r="DO298" s="50" t="n"/>
      <c r="DP298" s="50" t="n"/>
      <c r="DQ298" s="50" t="n"/>
      <c r="DR298" s="50" t="n"/>
      <c r="DS298" s="50" t="n"/>
      <c r="DT298" s="50" t="n"/>
      <c r="DU298" s="50" t="n"/>
      <c r="DV298" s="50" t="n"/>
    </row>
    <row r="299">
      <c r="A299" s="47">
        <f>IF(Mitarbeiter!B299="","",Mitarbeiter!A299)</f>
        <v/>
      </c>
      <c r="B299" s="48">
        <f>IF(Mitarbeiter!B299="","",Mitarbeiter!B299)</f>
        <v/>
      </c>
      <c r="C299" s="49">
        <f>IF(Mitarbeiter!B299="","",Mitarbeiter!F299)</f>
        <v/>
      </c>
      <c r="D299" s="25">
        <f>IF(Mitarbeiter!B299="","",Berechnung!AD299)</f>
        <v/>
      </c>
      <c r="E299" s="25">
        <f>IF(Mitarbeiter!B299="","",SUM(G299:DV299))</f>
        <v/>
      </c>
      <c r="G299" s="50" t="n"/>
      <c r="H299" s="50" t="n"/>
      <c r="I299" s="50" t="n"/>
      <c r="J299" s="50" t="n"/>
      <c r="K299" s="50" t="n"/>
      <c r="L299" s="50" t="n"/>
      <c r="M299" s="50" t="n"/>
      <c r="N299" s="50" t="n"/>
      <c r="O299" s="50" t="n"/>
      <c r="P299" s="50" t="n"/>
      <c r="Q299" s="50" t="n"/>
      <c r="R299" s="50" t="n"/>
      <c r="S299" s="50" t="n"/>
      <c r="T299" s="50" t="n"/>
      <c r="U299" s="50" t="n"/>
      <c r="V299" s="50" t="n"/>
      <c r="W299" s="50" t="n"/>
      <c r="X299" s="50" t="n"/>
      <c r="Y299" s="50" t="n"/>
      <c r="Z299" s="50" t="n"/>
      <c r="AA299" s="50" t="n"/>
      <c r="AB299" s="50" t="n"/>
      <c r="AC299" s="50" t="n"/>
      <c r="AD299" s="50" t="n"/>
      <c r="AE299" s="50" t="n"/>
      <c r="AF299" s="50" t="n"/>
      <c r="AG299" s="50" t="n"/>
      <c r="AH299" s="50" t="n"/>
      <c r="AI299" s="50" t="n"/>
      <c r="AJ299" s="50" t="n"/>
      <c r="AK299" s="50" t="n"/>
      <c r="AL299" s="50" t="n"/>
      <c r="AM299" s="50" t="n"/>
      <c r="AN299" s="50" t="n"/>
      <c r="AO299" s="50" t="n"/>
      <c r="AP299" s="50" t="n"/>
      <c r="AQ299" s="50" t="n"/>
      <c r="AR299" s="50" t="n"/>
      <c r="AS299" s="50" t="n"/>
      <c r="AT299" s="50" t="n"/>
      <c r="AU299" s="50" t="n"/>
      <c r="AV299" s="50" t="n"/>
      <c r="AW299" s="50" t="n"/>
      <c r="AX299" s="50" t="n"/>
      <c r="AY299" s="50" t="n"/>
      <c r="AZ299" s="50" t="n"/>
      <c r="BA299" s="50" t="n"/>
      <c r="BB299" s="50" t="n"/>
      <c r="BC299" s="50" t="n"/>
      <c r="BD299" s="50" t="n"/>
      <c r="BE299" s="50" t="n"/>
      <c r="BF299" s="50" t="n"/>
      <c r="BG299" s="50" t="n"/>
      <c r="BH299" s="50" t="n"/>
      <c r="BI299" s="50" t="n"/>
      <c r="BJ299" s="50" t="n"/>
      <c r="BK299" s="50" t="n"/>
      <c r="BL299" s="50" t="n"/>
      <c r="BM299" s="50" t="n"/>
      <c r="BN299" s="50" t="n"/>
      <c r="BO299" s="50" t="n"/>
      <c r="BP299" s="50" t="n"/>
      <c r="BQ299" s="50" t="n"/>
      <c r="BR299" s="50" t="n"/>
      <c r="BS299" s="50" t="n"/>
      <c r="BT299" s="50" t="n"/>
      <c r="BU299" s="50" t="n"/>
      <c r="BV299" s="50" t="n"/>
      <c r="BW299" s="50" t="n"/>
      <c r="BX299" s="50" t="n"/>
      <c r="BY299" s="50" t="n"/>
      <c r="BZ299" s="50" t="n"/>
      <c r="CA299" s="50" t="n"/>
      <c r="CB299" s="50" t="n"/>
      <c r="CC299" s="50" t="n"/>
      <c r="CD299" s="50" t="n"/>
      <c r="CE299" s="50" t="n"/>
      <c r="CF299" s="50" t="n"/>
      <c r="CG299" s="50" t="n"/>
      <c r="CH299" s="50" t="n"/>
      <c r="CI299" s="50" t="n"/>
      <c r="CJ299" s="50" t="n"/>
      <c r="CK299" s="50" t="n"/>
      <c r="CL299" s="50" t="n"/>
      <c r="CM299" s="50" t="n"/>
      <c r="CN299" s="50" t="n"/>
      <c r="CO299" s="50" t="n"/>
      <c r="CP299" s="50" t="n"/>
      <c r="CQ299" s="50" t="n"/>
      <c r="CR299" s="50" t="n"/>
      <c r="CS299" s="50" t="n"/>
      <c r="CT299" s="50" t="n"/>
      <c r="CU299" s="50" t="n"/>
      <c r="CV299" s="50" t="n"/>
      <c r="CW299" s="50" t="n"/>
      <c r="CX299" s="50" t="n"/>
      <c r="CY299" s="50" t="n"/>
      <c r="CZ299" s="50" t="n"/>
      <c r="DA299" s="50" t="n"/>
      <c r="DB299" s="50" t="n"/>
      <c r="DC299" s="50" t="n"/>
      <c r="DD299" s="50" t="n"/>
      <c r="DE299" s="50" t="n"/>
      <c r="DF299" s="50" t="n"/>
      <c r="DG299" s="50" t="n"/>
      <c r="DH299" s="50" t="n"/>
      <c r="DI299" s="50" t="n"/>
      <c r="DJ299" s="50" t="n"/>
      <c r="DK299" s="50" t="n"/>
      <c r="DL299" s="50" t="n"/>
      <c r="DM299" s="50" t="n"/>
      <c r="DN299" s="50" t="n"/>
      <c r="DO299" s="50" t="n"/>
      <c r="DP299" s="50" t="n"/>
      <c r="DQ299" s="50" t="n"/>
      <c r="DR299" s="50" t="n"/>
      <c r="DS299" s="50" t="n"/>
      <c r="DT299" s="50" t="n"/>
      <c r="DU299" s="50" t="n"/>
      <c r="DV299" s="50" t="n"/>
    </row>
    <row r="300">
      <c r="A300" s="47">
        <f>IF(Mitarbeiter!B300="","",Mitarbeiter!A300)</f>
        <v/>
      </c>
      <c r="B300" s="48">
        <f>IF(Mitarbeiter!B300="","",Mitarbeiter!B300)</f>
        <v/>
      </c>
      <c r="C300" s="49">
        <f>IF(Mitarbeiter!B300="","",Mitarbeiter!F300)</f>
        <v/>
      </c>
      <c r="D300" s="25">
        <f>IF(Mitarbeiter!B300="","",Berechnung!AD300)</f>
        <v/>
      </c>
      <c r="E300" s="25">
        <f>IF(Mitarbeiter!B300="","",SUM(G300:DV300))</f>
        <v/>
      </c>
      <c r="G300" s="50" t="n"/>
      <c r="H300" s="50" t="n"/>
      <c r="I300" s="50" t="n"/>
      <c r="J300" s="50" t="n"/>
      <c r="K300" s="50" t="n"/>
      <c r="L300" s="50" t="n"/>
      <c r="M300" s="50" t="n"/>
      <c r="N300" s="50" t="n"/>
      <c r="O300" s="50" t="n"/>
      <c r="P300" s="50" t="n"/>
      <c r="Q300" s="50" t="n"/>
      <c r="R300" s="50" t="n"/>
      <c r="S300" s="50" t="n"/>
      <c r="T300" s="50" t="n"/>
      <c r="U300" s="50" t="n"/>
      <c r="V300" s="50" t="n"/>
      <c r="W300" s="50" t="n"/>
      <c r="X300" s="50" t="n"/>
      <c r="Y300" s="50" t="n"/>
      <c r="Z300" s="50" t="n"/>
      <c r="AA300" s="50" t="n"/>
      <c r="AB300" s="50" t="n"/>
      <c r="AC300" s="50" t="n"/>
      <c r="AD300" s="50" t="n"/>
      <c r="AE300" s="50" t="n"/>
      <c r="AF300" s="50" t="n"/>
      <c r="AG300" s="50" t="n"/>
      <c r="AH300" s="50" t="n"/>
      <c r="AI300" s="50" t="n"/>
      <c r="AJ300" s="50" t="n"/>
      <c r="AK300" s="50" t="n"/>
      <c r="AL300" s="50" t="n"/>
      <c r="AM300" s="50" t="n"/>
      <c r="AN300" s="50" t="n"/>
      <c r="AO300" s="50" t="n"/>
      <c r="AP300" s="50" t="n"/>
      <c r="AQ300" s="50" t="n"/>
      <c r="AR300" s="50" t="n"/>
      <c r="AS300" s="50" t="n"/>
      <c r="AT300" s="50" t="n"/>
      <c r="AU300" s="50" t="n"/>
      <c r="AV300" s="50" t="n"/>
      <c r="AW300" s="50" t="n"/>
      <c r="AX300" s="50" t="n"/>
      <c r="AY300" s="50" t="n"/>
      <c r="AZ300" s="50" t="n"/>
      <c r="BA300" s="50" t="n"/>
      <c r="BB300" s="50" t="n"/>
      <c r="BC300" s="50" t="n"/>
      <c r="BD300" s="50" t="n"/>
      <c r="BE300" s="50" t="n"/>
      <c r="BF300" s="50" t="n"/>
      <c r="BG300" s="50" t="n"/>
      <c r="BH300" s="50" t="n"/>
      <c r="BI300" s="50" t="n"/>
      <c r="BJ300" s="50" t="n"/>
      <c r="BK300" s="50" t="n"/>
      <c r="BL300" s="50" t="n"/>
      <c r="BM300" s="50" t="n"/>
      <c r="BN300" s="50" t="n"/>
      <c r="BO300" s="50" t="n"/>
      <c r="BP300" s="50" t="n"/>
      <c r="BQ300" s="50" t="n"/>
      <c r="BR300" s="50" t="n"/>
      <c r="BS300" s="50" t="n"/>
      <c r="BT300" s="50" t="n"/>
      <c r="BU300" s="50" t="n"/>
      <c r="BV300" s="50" t="n"/>
      <c r="BW300" s="50" t="n"/>
      <c r="BX300" s="50" t="n"/>
      <c r="BY300" s="50" t="n"/>
      <c r="BZ300" s="50" t="n"/>
      <c r="CA300" s="50" t="n"/>
      <c r="CB300" s="50" t="n"/>
      <c r="CC300" s="50" t="n"/>
      <c r="CD300" s="50" t="n"/>
      <c r="CE300" s="50" t="n"/>
      <c r="CF300" s="50" t="n"/>
      <c r="CG300" s="50" t="n"/>
      <c r="CH300" s="50" t="n"/>
      <c r="CI300" s="50" t="n"/>
      <c r="CJ300" s="50" t="n"/>
      <c r="CK300" s="50" t="n"/>
      <c r="CL300" s="50" t="n"/>
      <c r="CM300" s="50" t="n"/>
      <c r="CN300" s="50" t="n"/>
      <c r="CO300" s="50" t="n"/>
      <c r="CP300" s="50" t="n"/>
      <c r="CQ300" s="50" t="n"/>
      <c r="CR300" s="50" t="n"/>
      <c r="CS300" s="50" t="n"/>
      <c r="CT300" s="50" t="n"/>
      <c r="CU300" s="50" t="n"/>
      <c r="CV300" s="50" t="n"/>
      <c r="CW300" s="50" t="n"/>
      <c r="CX300" s="50" t="n"/>
      <c r="CY300" s="50" t="n"/>
      <c r="CZ300" s="50" t="n"/>
      <c r="DA300" s="50" t="n"/>
      <c r="DB300" s="50" t="n"/>
      <c r="DC300" s="50" t="n"/>
      <c r="DD300" s="50" t="n"/>
      <c r="DE300" s="50" t="n"/>
      <c r="DF300" s="50" t="n"/>
      <c r="DG300" s="50" t="n"/>
      <c r="DH300" s="50" t="n"/>
      <c r="DI300" s="50" t="n"/>
      <c r="DJ300" s="50" t="n"/>
      <c r="DK300" s="50" t="n"/>
      <c r="DL300" s="50" t="n"/>
      <c r="DM300" s="50" t="n"/>
      <c r="DN300" s="50" t="n"/>
      <c r="DO300" s="50" t="n"/>
      <c r="DP300" s="50" t="n"/>
      <c r="DQ300" s="50" t="n"/>
      <c r="DR300" s="50" t="n"/>
      <c r="DS300" s="50" t="n"/>
      <c r="DT300" s="50" t="n"/>
      <c r="DU300" s="50" t="n"/>
      <c r="DV300" s="50" t="n"/>
    </row>
    <row r="301">
      <c r="A301" s="47">
        <f>IF(Mitarbeiter!B301="","",Mitarbeiter!A301)</f>
        <v/>
      </c>
      <c r="B301" s="48">
        <f>IF(Mitarbeiter!B301="","",Mitarbeiter!B301)</f>
        <v/>
      </c>
      <c r="C301" s="49">
        <f>IF(Mitarbeiter!B301="","",Mitarbeiter!F301)</f>
        <v/>
      </c>
      <c r="D301" s="25">
        <f>IF(Mitarbeiter!B301="","",Berechnung!AD301)</f>
        <v/>
      </c>
      <c r="E301" s="25">
        <f>IF(Mitarbeiter!B301="","",SUM(G301:DV301))</f>
        <v/>
      </c>
      <c r="G301" s="50" t="n"/>
      <c r="H301" s="50" t="n"/>
      <c r="I301" s="50" t="n"/>
      <c r="J301" s="50" t="n"/>
      <c r="K301" s="50" t="n"/>
      <c r="L301" s="50" t="n"/>
      <c r="M301" s="50" t="n"/>
      <c r="N301" s="50" t="n"/>
      <c r="O301" s="50" t="n"/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  <c r="AB301" s="50" t="n"/>
      <c r="AC301" s="50" t="n"/>
      <c r="AD301" s="50" t="n"/>
      <c r="AE301" s="50" t="n"/>
      <c r="AF301" s="50" t="n"/>
      <c r="AG301" s="50" t="n"/>
      <c r="AH301" s="50" t="n"/>
      <c r="AI301" s="50" t="n"/>
      <c r="AJ301" s="50" t="n"/>
      <c r="AK301" s="50" t="n"/>
      <c r="AL301" s="50" t="n"/>
      <c r="AM301" s="50" t="n"/>
      <c r="AN301" s="50" t="n"/>
      <c r="AO301" s="50" t="n"/>
      <c r="AP301" s="50" t="n"/>
      <c r="AQ301" s="50" t="n"/>
      <c r="AR301" s="50" t="n"/>
      <c r="AS301" s="50" t="n"/>
      <c r="AT301" s="50" t="n"/>
      <c r="AU301" s="50" t="n"/>
      <c r="AV301" s="50" t="n"/>
      <c r="AW301" s="50" t="n"/>
      <c r="AX301" s="50" t="n"/>
      <c r="AY301" s="50" t="n"/>
      <c r="AZ301" s="50" t="n"/>
      <c r="BA301" s="50" t="n"/>
      <c r="BB301" s="50" t="n"/>
      <c r="BC301" s="50" t="n"/>
      <c r="BD301" s="50" t="n"/>
      <c r="BE301" s="50" t="n"/>
      <c r="BF301" s="50" t="n"/>
      <c r="BG301" s="50" t="n"/>
      <c r="BH301" s="50" t="n"/>
      <c r="BI301" s="50" t="n"/>
      <c r="BJ301" s="50" t="n"/>
      <c r="BK301" s="50" t="n"/>
      <c r="BL301" s="50" t="n"/>
      <c r="BM301" s="50" t="n"/>
      <c r="BN301" s="50" t="n"/>
      <c r="BO301" s="50" t="n"/>
      <c r="BP301" s="50" t="n"/>
      <c r="BQ301" s="50" t="n"/>
      <c r="BR301" s="50" t="n"/>
      <c r="BS301" s="50" t="n"/>
      <c r="BT301" s="50" t="n"/>
      <c r="BU301" s="50" t="n"/>
      <c r="BV301" s="50" t="n"/>
      <c r="BW301" s="50" t="n"/>
      <c r="BX301" s="50" t="n"/>
      <c r="BY301" s="50" t="n"/>
      <c r="BZ301" s="50" t="n"/>
      <c r="CA301" s="50" t="n"/>
      <c r="CB301" s="50" t="n"/>
      <c r="CC301" s="50" t="n"/>
      <c r="CD301" s="50" t="n"/>
      <c r="CE301" s="50" t="n"/>
      <c r="CF301" s="50" t="n"/>
      <c r="CG301" s="50" t="n"/>
      <c r="CH301" s="50" t="n"/>
      <c r="CI301" s="50" t="n"/>
      <c r="CJ301" s="50" t="n"/>
      <c r="CK301" s="50" t="n"/>
      <c r="CL301" s="50" t="n"/>
      <c r="CM301" s="50" t="n"/>
      <c r="CN301" s="50" t="n"/>
      <c r="CO301" s="50" t="n"/>
      <c r="CP301" s="50" t="n"/>
      <c r="CQ301" s="50" t="n"/>
      <c r="CR301" s="50" t="n"/>
      <c r="CS301" s="50" t="n"/>
      <c r="CT301" s="50" t="n"/>
      <c r="CU301" s="50" t="n"/>
      <c r="CV301" s="50" t="n"/>
      <c r="CW301" s="50" t="n"/>
      <c r="CX301" s="50" t="n"/>
      <c r="CY301" s="50" t="n"/>
      <c r="CZ301" s="50" t="n"/>
      <c r="DA301" s="50" t="n"/>
      <c r="DB301" s="50" t="n"/>
      <c r="DC301" s="50" t="n"/>
      <c r="DD301" s="50" t="n"/>
      <c r="DE301" s="50" t="n"/>
      <c r="DF301" s="50" t="n"/>
      <c r="DG301" s="50" t="n"/>
      <c r="DH301" s="50" t="n"/>
      <c r="DI301" s="50" t="n"/>
      <c r="DJ301" s="50" t="n"/>
      <c r="DK301" s="50" t="n"/>
      <c r="DL301" s="50" t="n"/>
      <c r="DM301" s="50" t="n"/>
      <c r="DN301" s="50" t="n"/>
      <c r="DO301" s="50" t="n"/>
      <c r="DP301" s="50" t="n"/>
      <c r="DQ301" s="50" t="n"/>
      <c r="DR301" s="50" t="n"/>
      <c r="DS301" s="50" t="n"/>
      <c r="DT301" s="50" t="n"/>
      <c r="DU301" s="50" t="n"/>
      <c r="DV301" s="50" t="n"/>
    </row>
    <row r="302">
      <c r="A302" s="47">
        <f>IF(Mitarbeiter!B302="","",Mitarbeiter!A302)</f>
        <v/>
      </c>
      <c r="B302" s="48">
        <f>IF(Mitarbeiter!B302="","",Mitarbeiter!B302)</f>
        <v/>
      </c>
      <c r="C302" s="49">
        <f>IF(Mitarbeiter!B302="","",Mitarbeiter!F302)</f>
        <v/>
      </c>
      <c r="D302" s="25">
        <f>IF(Mitarbeiter!B302="","",Berechnung!AD302)</f>
        <v/>
      </c>
      <c r="E302" s="25">
        <f>IF(Mitarbeiter!B302="","",SUM(G302:DV302))</f>
        <v/>
      </c>
      <c r="G302" s="50" t="n"/>
      <c r="H302" s="50" t="n"/>
      <c r="I302" s="50" t="n"/>
      <c r="J302" s="50" t="n"/>
      <c r="K302" s="50" t="n"/>
      <c r="L302" s="50" t="n"/>
      <c r="M302" s="50" t="n"/>
      <c r="N302" s="50" t="n"/>
      <c r="O302" s="50" t="n"/>
      <c r="P302" s="50" t="n"/>
      <c r="Q302" s="50" t="n"/>
      <c r="R302" s="50" t="n"/>
      <c r="S302" s="50" t="n"/>
      <c r="T302" s="50" t="n"/>
      <c r="U302" s="50" t="n"/>
      <c r="V302" s="50" t="n"/>
      <c r="W302" s="50" t="n"/>
      <c r="X302" s="50" t="n"/>
      <c r="Y302" s="50" t="n"/>
      <c r="Z302" s="50" t="n"/>
      <c r="AA302" s="50" t="n"/>
      <c r="AB302" s="50" t="n"/>
      <c r="AC302" s="50" t="n"/>
      <c r="AD302" s="50" t="n"/>
      <c r="AE302" s="50" t="n"/>
      <c r="AF302" s="50" t="n"/>
      <c r="AG302" s="50" t="n"/>
      <c r="AH302" s="50" t="n"/>
      <c r="AI302" s="50" t="n"/>
      <c r="AJ302" s="50" t="n"/>
      <c r="AK302" s="50" t="n"/>
      <c r="AL302" s="50" t="n"/>
      <c r="AM302" s="50" t="n"/>
      <c r="AN302" s="50" t="n"/>
      <c r="AO302" s="50" t="n"/>
      <c r="AP302" s="50" t="n"/>
      <c r="AQ302" s="50" t="n"/>
      <c r="AR302" s="50" t="n"/>
      <c r="AS302" s="50" t="n"/>
      <c r="AT302" s="50" t="n"/>
      <c r="AU302" s="50" t="n"/>
      <c r="AV302" s="50" t="n"/>
      <c r="AW302" s="50" t="n"/>
      <c r="AX302" s="50" t="n"/>
      <c r="AY302" s="50" t="n"/>
      <c r="AZ302" s="50" t="n"/>
      <c r="BA302" s="50" t="n"/>
      <c r="BB302" s="50" t="n"/>
      <c r="BC302" s="50" t="n"/>
      <c r="BD302" s="50" t="n"/>
      <c r="BE302" s="50" t="n"/>
      <c r="BF302" s="50" t="n"/>
      <c r="BG302" s="50" t="n"/>
      <c r="BH302" s="50" t="n"/>
      <c r="BI302" s="50" t="n"/>
      <c r="BJ302" s="50" t="n"/>
      <c r="BK302" s="50" t="n"/>
      <c r="BL302" s="50" t="n"/>
      <c r="BM302" s="50" t="n"/>
      <c r="BN302" s="50" t="n"/>
      <c r="BO302" s="50" t="n"/>
      <c r="BP302" s="50" t="n"/>
      <c r="BQ302" s="50" t="n"/>
      <c r="BR302" s="50" t="n"/>
      <c r="BS302" s="50" t="n"/>
      <c r="BT302" s="50" t="n"/>
      <c r="BU302" s="50" t="n"/>
      <c r="BV302" s="50" t="n"/>
      <c r="BW302" s="50" t="n"/>
      <c r="BX302" s="50" t="n"/>
      <c r="BY302" s="50" t="n"/>
      <c r="BZ302" s="50" t="n"/>
      <c r="CA302" s="50" t="n"/>
      <c r="CB302" s="50" t="n"/>
      <c r="CC302" s="50" t="n"/>
      <c r="CD302" s="50" t="n"/>
      <c r="CE302" s="50" t="n"/>
      <c r="CF302" s="50" t="n"/>
      <c r="CG302" s="50" t="n"/>
      <c r="CH302" s="50" t="n"/>
      <c r="CI302" s="50" t="n"/>
      <c r="CJ302" s="50" t="n"/>
      <c r="CK302" s="50" t="n"/>
      <c r="CL302" s="50" t="n"/>
      <c r="CM302" s="50" t="n"/>
      <c r="CN302" s="50" t="n"/>
      <c r="CO302" s="50" t="n"/>
      <c r="CP302" s="50" t="n"/>
      <c r="CQ302" s="50" t="n"/>
      <c r="CR302" s="50" t="n"/>
      <c r="CS302" s="50" t="n"/>
      <c r="CT302" s="50" t="n"/>
      <c r="CU302" s="50" t="n"/>
      <c r="CV302" s="50" t="n"/>
      <c r="CW302" s="50" t="n"/>
      <c r="CX302" s="50" t="n"/>
      <c r="CY302" s="50" t="n"/>
      <c r="CZ302" s="50" t="n"/>
      <c r="DA302" s="50" t="n"/>
      <c r="DB302" s="50" t="n"/>
      <c r="DC302" s="50" t="n"/>
      <c r="DD302" s="50" t="n"/>
      <c r="DE302" s="50" t="n"/>
      <c r="DF302" s="50" t="n"/>
      <c r="DG302" s="50" t="n"/>
      <c r="DH302" s="50" t="n"/>
      <c r="DI302" s="50" t="n"/>
      <c r="DJ302" s="50" t="n"/>
      <c r="DK302" s="50" t="n"/>
      <c r="DL302" s="50" t="n"/>
      <c r="DM302" s="50" t="n"/>
      <c r="DN302" s="50" t="n"/>
      <c r="DO302" s="50" t="n"/>
      <c r="DP302" s="50" t="n"/>
      <c r="DQ302" s="50" t="n"/>
      <c r="DR302" s="50" t="n"/>
      <c r="DS302" s="50" t="n"/>
      <c r="DT302" s="50" t="n"/>
      <c r="DU302" s="50" t="n"/>
      <c r="DV302" s="50" t="n"/>
    </row>
    <row r="303">
      <c r="A303" s="47">
        <f>IF(Mitarbeiter!B303="","",Mitarbeiter!A303)</f>
        <v/>
      </c>
      <c r="B303" s="48">
        <f>IF(Mitarbeiter!B303="","",Mitarbeiter!B303)</f>
        <v/>
      </c>
      <c r="C303" s="49">
        <f>IF(Mitarbeiter!B303="","",Mitarbeiter!F303)</f>
        <v/>
      </c>
      <c r="D303" s="25">
        <f>IF(Mitarbeiter!B303="","",Berechnung!AD303)</f>
        <v/>
      </c>
      <c r="E303" s="25">
        <f>IF(Mitarbeiter!B303="","",SUM(G303:DV303))</f>
        <v/>
      </c>
      <c r="G303" s="50" t="n"/>
      <c r="H303" s="50" t="n"/>
      <c r="I303" s="50" t="n"/>
      <c r="J303" s="50" t="n"/>
      <c r="K303" s="50" t="n"/>
      <c r="L303" s="50" t="n"/>
      <c r="M303" s="50" t="n"/>
      <c r="N303" s="50" t="n"/>
      <c r="O303" s="50" t="n"/>
      <c r="P303" s="50" t="n"/>
      <c r="Q303" s="50" t="n"/>
      <c r="R303" s="50" t="n"/>
      <c r="S303" s="50" t="n"/>
      <c r="T303" s="50" t="n"/>
      <c r="U303" s="50" t="n"/>
      <c r="V303" s="50" t="n"/>
      <c r="W303" s="50" t="n"/>
      <c r="X303" s="50" t="n"/>
      <c r="Y303" s="50" t="n"/>
      <c r="Z303" s="50" t="n"/>
      <c r="AA303" s="50" t="n"/>
      <c r="AB303" s="50" t="n"/>
      <c r="AC303" s="50" t="n"/>
      <c r="AD303" s="50" t="n"/>
      <c r="AE303" s="50" t="n"/>
      <c r="AF303" s="50" t="n"/>
      <c r="AG303" s="50" t="n"/>
      <c r="AH303" s="50" t="n"/>
      <c r="AI303" s="50" t="n"/>
      <c r="AJ303" s="50" t="n"/>
      <c r="AK303" s="50" t="n"/>
      <c r="AL303" s="50" t="n"/>
      <c r="AM303" s="50" t="n"/>
      <c r="AN303" s="50" t="n"/>
      <c r="AO303" s="50" t="n"/>
      <c r="AP303" s="50" t="n"/>
      <c r="AQ303" s="50" t="n"/>
      <c r="AR303" s="50" t="n"/>
      <c r="AS303" s="50" t="n"/>
      <c r="AT303" s="50" t="n"/>
      <c r="AU303" s="50" t="n"/>
      <c r="AV303" s="50" t="n"/>
      <c r="AW303" s="50" t="n"/>
      <c r="AX303" s="50" t="n"/>
      <c r="AY303" s="50" t="n"/>
      <c r="AZ303" s="50" t="n"/>
      <c r="BA303" s="50" t="n"/>
      <c r="BB303" s="50" t="n"/>
      <c r="BC303" s="50" t="n"/>
      <c r="BD303" s="50" t="n"/>
      <c r="BE303" s="50" t="n"/>
      <c r="BF303" s="50" t="n"/>
      <c r="BG303" s="50" t="n"/>
      <c r="BH303" s="50" t="n"/>
      <c r="BI303" s="50" t="n"/>
      <c r="BJ303" s="50" t="n"/>
      <c r="BK303" s="50" t="n"/>
      <c r="BL303" s="50" t="n"/>
      <c r="BM303" s="50" t="n"/>
      <c r="BN303" s="50" t="n"/>
      <c r="BO303" s="50" t="n"/>
      <c r="BP303" s="50" t="n"/>
      <c r="BQ303" s="50" t="n"/>
      <c r="BR303" s="50" t="n"/>
      <c r="BS303" s="50" t="n"/>
      <c r="BT303" s="50" t="n"/>
      <c r="BU303" s="50" t="n"/>
      <c r="BV303" s="50" t="n"/>
      <c r="BW303" s="50" t="n"/>
      <c r="BX303" s="50" t="n"/>
      <c r="BY303" s="50" t="n"/>
      <c r="BZ303" s="50" t="n"/>
      <c r="CA303" s="50" t="n"/>
      <c r="CB303" s="50" t="n"/>
      <c r="CC303" s="50" t="n"/>
      <c r="CD303" s="50" t="n"/>
      <c r="CE303" s="50" t="n"/>
      <c r="CF303" s="50" t="n"/>
      <c r="CG303" s="50" t="n"/>
      <c r="CH303" s="50" t="n"/>
      <c r="CI303" s="50" t="n"/>
      <c r="CJ303" s="50" t="n"/>
      <c r="CK303" s="50" t="n"/>
      <c r="CL303" s="50" t="n"/>
      <c r="CM303" s="50" t="n"/>
      <c r="CN303" s="50" t="n"/>
      <c r="CO303" s="50" t="n"/>
      <c r="CP303" s="50" t="n"/>
      <c r="CQ303" s="50" t="n"/>
      <c r="CR303" s="50" t="n"/>
      <c r="CS303" s="50" t="n"/>
      <c r="CT303" s="50" t="n"/>
      <c r="CU303" s="50" t="n"/>
      <c r="CV303" s="50" t="n"/>
      <c r="CW303" s="50" t="n"/>
      <c r="CX303" s="50" t="n"/>
      <c r="CY303" s="50" t="n"/>
      <c r="CZ303" s="50" t="n"/>
      <c r="DA303" s="50" t="n"/>
      <c r="DB303" s="50" t="n"/>
      <c r="DC303" s="50" t="n"/>
      <c r="DD303" s="50" t="n"/>
      <c r="DE303" s="50" t="n"/>
      <c r="DF303" s="50" t="n"/>
      <c r="DG303" s="50" t="n"/>
      <c r="DH303" s="50" t="n"/>
      <c r="DI303" s="50" t="n"/>
      <c r="DJ303" s="50" t="n"/>
      <c r="DK303" s="50" t="n"/>
      <c r="DL303" s="50" t="n"/>
      <c r="DM303" s="50" t="n"/>
      <c r="DN303" s="50" t="n"/>
      <c r="DO303" s="50" t="n"/>
      <c r="DP303" s="50" t="n"/>
      <c r="DQ303" s="50" t="n"/>
      <c r="DR303" s="50" t="n"/>
      <c r="DS303" s="50" t="n"/>
      <c r="DT303" s="50" t="n"/>
      <c r="DU303" s="50" t="n"/>
      <c r="DV303" s="50" t="n"/>
    </row>
    <row r="304">
      <c r="A304" s="47">
        <f>IF(Mitarbeiter!B304="","",Mitarbeiter!A304)</f>
        <v/>
      </c>
      <c r="B304" s="48">
        <f>IF(Mitarbeiter!B304="","",Mitarbeiter!B304)</f>
        <v/>
      </c>
      <c r="C304" s="49">
        <f>IF(Mitarbeiter!B304="","",Mitarbeiter!F304)</f>
        <v/>
      </c>
      <c r="D304" s="25">
        <f>IF(Mitarbeiter!B304="","",Berechnung!AD304)</f>
        <v/>
      </c>
      <c r="E304" s="25">
        <f>IF(Mitarbeiter!B304="","",SUM(G304:DV304))</f>
        <v/>
      </c>
      <c r="G304" s="50" t="n"/>
      <c r="H304" s="50" t="n"/>
      <c r="I304" s="50" t="n"/>
      <c r="J304" s="50" t="n"/>
      <c r="K304" s="50" t="n"/>
      <c r="L304" s="50" t="n"/>
      <c r="M304" s="50" t="n"/>
      <c r="N304" s="50" t="n"/>
      <c r="O304" s="50" t="n"/>
      <c r="P304" s="50" t="n"/>
      <c r="Q304" s="50" t="n"/>
      <c r="R304" s="50" t="n"/>
      <c r="S304" s="50" t="n"/>
      <c r="T304" s="50" t="n"/>
      <c r="U304" s="50" t="n"/>
      <c r="V304" s="50" t="n"/>
      <c r="W304" s="50" t="n"/>
      <c r="X304" s="50" t="n"/>
      <c r="Y304" s="50" t="n"/>
      <c r="Z304" s="50" t="n"/>
      <c r="AA304" s="50" t="n"/>
      <c r="AB304" s="50" t="n"/>
      <c r="AC304" s="50" t="n"/>
      <c r="AD304" s="50" t="n"/>
      <c r="AE304" s="50" t="n"/>
      <c r="AF304" s="50" t="n"/>
      <c r="AG304" s="50" t="n"/>
      <c r="AH304" s="50" t="n"/>
      <c r="AI304" s="50" t="n"/>
      <c r="AJ304" s="50" t="n"/>
      <c r="AK304" s="50" t="n"/>
      <c r="AL304" s="50" t="n"/>
      <c r="AM304" s="50" t="n"/>
      <c r="AN304" s="50" t="n"/>
      <c r="AO304" s="50" t="n"/>
      <c r="AP304" s="50" t="n"/>
      <c r="AQ304" s="50" t="n"/>
      <c r="AR304" s="50" t="n"/>
      <c r="AS304" s="50" t="n"/>
      <c r="AT304" s="50" t="n"/>
      <c r="AU304" s="50" t="n"/>
      <c r="AV304" s="50" t="n"/>
      <c r="AW304" s="50" t="n"/>
      <c r="AX304" s="50" t="n"/>
      <c r="AY304" s="50" t="n"/>
      <c r="AZ304" s="50" t="n"/>
      <c r="BA304" s="50" t="n"/>
      <c r="BB304" s="50" t="n"/>
      <c r="BC304" s="50" t="n"/>
      <c r="BD304" s="50" t="n"/>
      <c r="BE304" s="50" t="n"/>
      <c r="BF304" s="50" t="n"/>
      <c r="BG304" s="50" t="n"/>
      <c r="BH304" s="50" t="n"/>
      <c r="BI304" s="50" t="n"/>
      <c r="BJ304" s="50" t="n"/>
      <c r="BK304" s="50" t="n"/>
      <c r="BL304" s="50" t="n"/>
      <c r="BM304" s="50" t="n"/>
      <c r="BN304" s="50" t="n"/>
      <c r="BO304" s="50" t="n"/>
      <c r="BP304" s="50" t="n"/>
      <c r="BQ304" s="50" t="n"/>
      <c r="BR304" s="50" t="n"/>
      <c r="BS304" s="50" t="n"/>
      <c r="BT304" s="50" t="n"/>
      <c r="BU304" s="50" t="n"/>
      <c r="BV304" s="50" t="n"/>
      <c r="BW304" s="50" t="n"/>
      <c r="BX304" s="50" t="n"/>
      <c r="BY304" s="50" t="n"/>
      <c r="BZ304" s="50" t="n"/>
      <c r="CA304" s="50" t="n"/>
      <c r="CB304" s="50" t="n"/>
      <c r="CC304" s="50" t="n"/>
      <c r="CD304" s="50" t="n"/>
      <c r="CE304" s="50" t="n"/>
      <c r="CF304" s="50" t="n"/>
      <c r="CG304" s="50" t="n"/>
      <c r="CH304" s="50" t="n"/>
      <c r="CI304" s="50" t="n"/>
      <c r="CJ304" s="50" t="n"/>
      <c r="CK304" s="50" t="n"/>
      <c r="CL304" s="50" t="n"/>
      <c r="CM304" s="50" t="n"/>
      <c r="CN304" s="50" t="n"/>
      <c r="CO304" s="50" t="n"/>
      <c r="CP304" s="50" t="n"/>
      <c r="CQ304" s="50" t="n"/>
      <c r="CR304" s="50" t="n"/>
      <c r="CS304" s="50" t="n"/>
      <c r="CT304" s="50" t="n"/>
      <c r="CU304" s="50" t="n"/>
      <c r="CV304" s="50" t="n"/>
      <c r="CW304" s="50" t="n"/>
      <c r="CX304" s="50" t="n"/>
      <c r="CY304" s="50" t="n"/>
      <c r="CZ304" s="50" t="n"/>
      <c r="DA304" s="50" t="n"/>
      <c r="DB304" s="50" t="n"/>
      <c r="DC304" s="50" t="n"/>
      <c r="DD304" s="50" t="n"/>
      <c r="DE304" s="50" t="n"/>
      <c r="DF304" s="50" t="n"/>
      <c r="DG304" s="50" t="n"/>
      <c r="DH304" s="50" t="n"/>
      <c r="DI304" s="50" t="n"/>
      <c r="DJ304" s="50" t="n"/>
      <c r="DK304" s="50" t="n"/>
      <c r="DL304" s="50" t="n"/>
      <c r="DM304" s="50" t="n"/>
      <c r="DN304" s="50" t="n"/>
      <c r="DO304" s="50" t="n"/>
      <c r="DP304" s="50" t="n"/>
      <c r="DQ304" s="50" t="n"/>
      <c r="DR304" s="50" t="n"/>
      <c r="DS304" s="50" t="n"/>
      <c r="DT304" s="50" t="n"/>
      <c r="DU304" s="50" t="n"/>
      <c r="DV304" s="50" t="n"/>
    </row>
    <row r="305">
      <c r="A305" s="47">
        <f>IF(Mitarbeiter!B305="","",Mitarbeiter!A305)</f>
        <v/>
      </c>
      <c r="B305" s="48">
        <f>IF(Mitarbeiter!B305="","",Mitarbeiter!B305)</f>
        <v/>
      </c>
      <c r="C305" s="49">
        <f>IF(Mitarbeiter!B305="","",Mitarbeiter!F305)</f>
        <v/>
      </c>
      <c r="D305" s="25">
        <f>IF(Mitarbeiter!B305="","",Berechnung!AD305)</f>
        <v/>
      </c>
      <c r="E305" s="25">
        <f>IF(Mitarbeiter!B305="","",SUM(G305:DV305))</f>
        <v/>
      </c>
      <c r="G305" s="50" t="n"/>
      <c r="H305" s="50" t="n"/>
      <c r="I305" s="50" t="n"/>
      <c r="J305" s="50" t="n"/>
      <c r="K305" s="50" t="n"/>
      <c r="L305" s="50" t="n"/>
      <c r="M305" s="50" t="n"/>
      <c r="N305" s="50" t="n"/>
      <c r="O305" s="50" t="n"/>
      <c r="P305" s="50" t="n"/>
      <c r="Q305" s="50" t="n"/>
      <c r="R305" s="50" t="n"/>
      <c r="S305" s="50" t="n"/>
      <c r="T305" s="50" t="n"/>
      <c r="U305" s="50" t="n"/>
      <c r="V305" s="50" t="n"/>
      <c r="W305" s="50" t="n"/>
      <c r="X305" s="50" t="n"/>
      <c r="Y305" s="50" t="n"/>
      <c r="Z305" s="50" t="n"/>
      <c r="AA305" s="50" t="n"/>
      <c r="AB305" s="50" t="n"/>
      <c r="AC305" s="50" t="n"/>
      <c r="AD305" s="50" t="n"/>
      <c r="AE305" s="50" t="n"/>
      <c r="AF305" s="50" t="n"/>
      <c r="AG305" s="50" t="n"/>
      <c r="AH305" s="50" t="n"/>
      <c r="AI305" s="50" t="n"/>
      <c r="AJ305" s="50" t="n"/>
      <c r="AK305" s="50" t="n"/>
      <c r="AL305" s="50" t="n"/>
      <c r="AM305" s="50" t="n"/>
      <c r="AN305" s="50" t="n"/>
      <c r="AO305" s="50" t="n"/>
      <c r="AP305" s="50" t="n"/>
      <c r="AQ305" s="50" t="n"/>
      <c r="AR305" s="50" t="n"/>
      <c r="AS305" s="50" t="n"/>
      <c r="AT305" s="50" t="n"/>
      <c r="AU305" s="50" t="n"/>
      <c r="AV305" s="50" t="n"/>
      <c r="AW305" s="50" t="n"/>
      <c r="AX305" s="50" t="n"/>
      <c r="AY305" s="50" t="n"/>
      <c r="AZ305" s="50" t="n"/>
      <c r="BA305" s="50" t="n"/>
      <c r="BB305" s="50" t="n"/>
      <c r="BC305" s="50" t="n"/>
      <c r="BD305" s="50" t="n"/>
      <c r="BE305" s="50" t="n"/>
      <c r="BF305" s="50" t="n"/>
      <c r="BG305" s="50" t="n"/>
      <c r="BH305" s="50" t="n"/>
      <c r="BI305" s="50" t="n"/>
      <c r="BJ305" s="50" t="n"/>
      <c r="BK305" s="50" t="n"/>
      <c r="BL305" s="50" t="n"/>
      <c r="BM305" s="50" t="n"/>
      <c r="BN305" s="50" t="n"/>
      <c r="BO305" s="50" t="n"/>
      <c r="BP305" s="50" t="n"/>
      <c r="BQ305" s="50" t="n"/>
      <c r="BR305" s="50" t="n"/>
      <c r="BS305" s="50" t="n"/>
      <c r="BT305" s="50" t="n"/>
      <c r="BU305" s="50" t="n"/>
      <c r="BV305" s="50" t="n"/>
      <c r="BW305" s="50" t="n"/>
      <c r="BX305" s="50" t="n"/>
      <c r="BY305" s="50" t="n"/>
      <c r="BZ305" s="50" t="n"/>
      <c r="CA305" s="50" t="n"/>
      <c r="CB305" s="50" t="n"/>
      <c r="CC305" s="50" t="n"/>
      <c r="CD305" s="50" t="n"/>
      <c r="CE305" s="50" t="n"/>
      <c r="CF305" s="50" t="n"/>
      <c r="CG305" s="50" t="n"/>
      <c r="CH305" s="50" t="n"/>
      <c r="CI305" s="50" t="n"/>
      <c r="CJ305" s="50" t="n"/>
      <c r="CK305" s="50" t="n"/>
      <c r="CL305" s="50" t="n"/>
      <c r="CM305" s="50" t="n"/>
      <c r="CN305" s="50" t="n"/>
      <c r="CO305" s="50" t="n"/>
      <c r="CP305" s="50" t="n"/>
      <c r="CQ305" s="50" t="n"/>
      <c r="CR305" s="50" t="n"/>
      <c r="CS305" s="50" t="n"/>
      <c r="CT305" s="50" t="n"/>
      <c r="CU305" s="50" t="n"/>
      <c r="CV305" s="50" t="n"/>
      <c r="CW305" s="50" t="n"/>
      <c r="CX305" s="50" t="n"/>
      <c r="CY305" s="50" t="n"/>
      <c r="CZ305" s="50" t="n"/>
      <c r="DA305" s="50" t="n"/>
      <c r="DB305" s="50" t="n"/>
      <c r="DC305" s="50" t="n"/>
      <c r="DD305" s="50" t="n"/>
      <c r="DE305" s="50" t="n"/>
      <c r="DF305" s="50" t="n"/>
      <c r="DG305" s="50" t="n"/>
      <c r="DH305" s="50" t="n"/>
      <c r="DI305" s="50" t="n"/>
      <c r="DJ305" s="50" t="n"/>
      <c r="DK305" s="50" t="n"/>
      <c r="DL305" s="50" t="n"/>
      <c r="DM305" s="50" t="n"/>
      <c r="DN305" s="50" t="n"/>
      <c r="DO305" s="50" t="n"/>
      <c r="DP305" s="50" t="n"/>
      <c r="DQ305" s="50" t="n"/>
      <c r="DR305" s="50" t="n"/>
      <c r="DS305" s="50" t="n"/>
      <c r="DT305" s="50" t="n"/>
      <c r="DU305" s="50" t="n"/>
      <c r="DV305" s="50" t="n"/>
    </row>
  </sheetData>
  <mergeCells count="16">
    <mergeCell ref="A2:F2"/>
    <mergeCell ref="CA4:CL4"/>
    <mergeCell ref="G3:AD3"/>
    <mergeCell ref="BC4:BN4"/>
    <mergeCell ref="CY4:DJ4"/>
    <mergeCell ref="BC3:BZ3"/>
    <mergeCell ref="CY3:DV3"/>
    <mergeCell ref="CM4:CX4"/>
    <mergeCell ref="AE3:BB3"/>
    <mergeCell ref="CA3:CX3"/>
    <mergeCell ref="DK4:DV4"/>
    <mergeCell ref="S4:AD4"/>
    <mergeCell ref="G4:R4"/>
    <mergeCell ref="AQ4:BB4"/>
    <mergeCell ref="AE4:AP4"/>
    <mergeCell ref="BO4:BZ4"/>
  </mergeCells>
  <conditionalFormatting sqref="G6:G305">
    <cfRule type="expression" priority="1" dxfId="3">
      <formula>N(G6)+N(S6)&gt;31</formula>
    </cfRule>
    <cfRule type="expression" priority="2" dxfId="4">
      <formula>AND($B6&lt;&gt;"",OR(DATE(2026,2,0)&lt;Mitarbeiter!$C6,AND(Mitarbeiter!$D6&lt;&gt;"",DATE(2026,1,1)&gt;Mitarbeiter!$D6)))</formula>
    </cfRule>
  </conditionalFormatting>
  <conditionalFormatting sqref="S6:S305">
    <cfRule type="expression" priority="3" dxfId="3">
      <formula>N(S6)+N(G6)&gt;31</formula>
    </cfRule>
    <cfRule type="expression" priority="4" dxfId="4">
      <formula>AND($B6&lt;&gt;"",OR(DATE(2026,2,0)&lt;Mitarbeiter!$C6,AND(Mitarbeiter!$D6&lt;&gt;"",DATE(2026,1,1)&gt;Mitarbeiter!$D6)))</formula>
    </cfRule>
  </conditionalFormatting>
  <conditionalFormatting sqref="H6:H305">
    <cfRule type="expression" priority="5" dxfId="3">
      <formula>N(H6)+N(T6)&gt;28</formula>
    </cfRule>
    <cfRule type="expression" priority="6" dxfId="4">
      <formula>AND($B6&lt;&gt;"",OR(DATE(2026,3,0)&lt;Mitarbeiter!$C6,AND(Mitarbeiter!$D6&lt;&gt;"",DATE(2026,2,1)&gt;Mitarbeiter!$D6)))</formula>
    </cfRule>
  </conditionalFormatting>
  <conditionalFormatting sqref="T6:T305">
    <cfRule type="expression" priority="7" dxfId="3">
      <formula>N(T6)+N(H6)&gt;28</formula>
    </cfRule>
    <cfRule type="expression" priority="8" dxfId="4">
      <formula>AND($B6&lt;&gt;"",OR(DATE(2026,3,0)&lt;Mitarbeiter!$C6,AND(Mitarbeiter!$D6&lt;&gt;"",DATE(2026,2,1)&gt;Mitarbeiter!$D6)))</formula>
    </cfRule>
  </conditionalFormatting>
  <conditionalFormatting sqref="I6:I305">
    <cfRule type="expression" priority="9" dxfId="3">
      <formula>N(I6)+N(U6)&gt;31</formula>
    </cfRule>
    <cfRule type="expression" priority="10" dxfId="4">
      <formula>AND($B6&lt;&gt;"",OR(DATE(2026,4,0)&lt;Mitarbeiter!$C6,AND(Mitarbeiter!$D6&lt;&gt;"",DATE(2026,3,1)&gt;Mitarbeiter!$D6)))</formula>
    </cfRule>
  </conditionalFormatting>
  <conditionalFormatting sqref="U6:U305">
    <cfRule type="expression" priority="11" dxfId="3">
      <formula>N(U6)+N(I6)&gt;31</formula>
    </cfRule>
    <cfRule type="expression" priority="12" dxfId="4">
      <formula>AND($B6&lt;&gt;"",OR(DATE(2026,4,0)&lt;Mitarbeiter!$C6,AND(Mitarbeiter!$D6&lt;&gt;"",DATE(2026,3,1)&gt;Mitarbeiter!$D6)))</formula>
    </cfRule>
  </conditionalFormatting>
  <conditionalFormatting sqref="J6:J305">
    <cfRule type="expression" priority="13" dxfId="3">
      <formula>N(J6)+N(V6)&gt;30</formula>
    </cfRule>
    <cfRule type="expression" priority="14" dxfId="4">
      <formula>AND($B6&lt;&gt;"",OR(DATE(2026,5,0)&lt;Mitarbeiter!$C6,AND(Mitarbeiter!$D6&lt;&gt;"",DATE(2026,4,1)&gt;Mitarbeiter!$D6)))</formula>
    </cfRule>
  </conditionalFormatting>
  <conditionalFormatting sqref="V6:V305">
    <cfRule type="expression" priority="15" dxfId="3">
      <formula>N(V6)+N(J6)&gt;30</formula>
    </cfRule>
    <cfRule type="expression" priority="16" dxfId="4">
      <formula>AND($B6&lt;&gt;"",OR(DATE(2026,5,0)&lt;Mitarbeiter!$C6,AND(Mitarbeiter!$D6&lt;&gt;"",DATE(2026,4,1)&gt;Mitarbeiter!$D6)))</formula>
    </cfRule>
  </conditionalFormatting>
  <conditionalFormatting sqref="K6:K305">
    <cfRule type="expression" priority="17" dxfId="3">
      <formula>N(K6)+N(W6)&gt;31</formula>
    </cfRule>
    <cfRule type="expression" priority="18" dxfId="4">
      <formula>AND($B6&lt;&gt;"",OR(DATE(2026,6,0)&lt;Mitarbeiter!$C6,AND(Mitarbeiter!$D6&lt;&gt;"",DATE(2026,5,1)&gt;Mitarbeiter!$D6)))</formula>
    </cfRule>
  </conditionalFormatting>
  <conditionalFormatting sqref="W6:W305">
    <cfRule type="expression" priority="19" dxfId="3">
      <formula>N(W6)+N(K6)&gt;31</formula>
    </cfRule>
    <cfRule type="expression" priority="20" dxfId="4">
      <formula>AND($B6&lt;&gt;"",OR(DATE(2026,6,0)&lt;Mitarbeiter!$C6,AND(Mitarbeiter!$D6&lt;&gt;"",DATE(2026,5,1)&gt;Mitarbeiter!$D6)))</formula>
    </cfRule>
  </conditionalFormatting>
  <conditionalFormatting sqref="L6:L305">
    <cfRule type="expression" priority="21" dxfId="3">
      <formula>N(L6)+N(X6)&gt;30</formula>
    </cfRule>
    <cfRule type="expression" priority="22" dxfId="4">
      <formula>AND($B6&lt;&gt;"",OR(DATE(2026,7,0)&lt;Mitarbeiter!$C6,AND(Mitarbeiter!$D6&lt;&gt;"",DATE(2026,6,1)&gt;Mitarbeiter!$D6)))</formula>
    </cfRule>
  </conditionalFormatting>
  <conditionalFormatting sqref="X6:X305">
    <cfRule type="expression" priority="23" dxfId="3">
      <formula>N(X6)+N(L6)&gt;30</formula>
    </cfRule>
    <cfRule type="expression" priority="24" dxfId="4">
      <formula>AND($B6&lt;&gt;"",OR(DATE(2026,7,0)&lt;Mitarbeiter!$C6,AND(Mitarbeiter!$D6&lt;&gt;"",DATE(2026,6,1)&gt;Mitarbeiter!$D6)))</formula>
    </cfRule>
  </conditionalFormatting>
  <conditionalFormatting sqref="M6:M305">
    <cfRule type="expression" priority="25" dxfId="3">
      <formula>N(M6)+N(Y6)&gt;31</formula>
    </cfRule>
    <cfRule type="expression" priority="26" dxfId="4">
      <formula>AND($B6&lt;&gt;"",OR(DATE(2026,8,0)&lt;Mitarbeiter!$C6,AND(Mitarbeiter!$D6&lt;&gt;"",DATE(2026,7,1)&gt;Mitarbeiter!$D6)))</formula>
    </cfRule>
  </conditionalFormatting>
  <conditionalFormatting sqref="Y6:Y305">
    <cfRule type="expression" priority="27" dxfId="3">
      <formula>N(Y6)+N(M6)&gt;31</formula>
    </cfRule>
    <cfRule type="expression" priority="28" dxfId="4">
      <formula>AND($B6&lt;&gt;"",OR(DATE(2026,8,0)&lt;Mitarbeiter!$C6,AND(Mitarbeiter!$D6&lt;&gt;"",DATE(2026,7,1)&gt;Mitarbeiter!$D6)))</formula>
    </cfRule>
  </conditionalFormatting>
  <conditionalFormatting sqref="N6:N305">
    <cfRule type="expression" priority="29" dxfId="3">
      <formula>N(N6)+N(Z6)&gt;31</formula>
    </cfRule>
    <cfRule type="expression" priority="30" dxfId="4">
      <formula>AND($B6&lt;&gt;"",OR(DATE(2026,9,0)&lt;Mitarbeiter!$C6,AND(Mitarbeiter!$D6&lt;&gt;"",DATE(2026,8,1)&gt;Mitarbeiter!$D6)))</formula>
    </cfRule>
  </conditionalFormatting>
  <conditionalFormatting sqref="Z6:Z305">
    <cfRule type="expression" priority="31" dxfId="3">
      <formula>N(Z6)+N(N6)&gt;31</formula>
    </cfRule>
    <cfRule type="expression" priority="32" dxfId="4">
      <formula>AND($B6&lt;&gt;"",OR(DATE(2026,9,0)&lt;Mitarbeiter!$C6,AND(Mitarbeiter!$D6&lt;&gt;"",DATE(2026,8,1)&gt;Mitarbeiter!$D6)))</formula>
    </cfRule>
  </conditionalFormatting>
  <conditionalFormatting sqref="O6:O305">
    <cfRule type="expression" priority="33" dxfId="3">
      <formula>N(O6)+N(AA6)&gt;30</formula>
    </cfRule>
    <cfRule type="expression" priority="34" dxfId="4">
      <formula>AND($B6&lt;&gt;"",OR(DATE(2026,10,0)&lt;Mitarbeiter!$C6,AND(Mitarbeiter!$D6&lt;&gt;"",DATE(2026,9,1)&gt;Mitarbeiter!$D6)))</formula>
    </cfRule>
  </conditionalFormatting>
  <conditionalFormatting sqref="AA6:AA305">
    <cfRule type="expression" priority="35" dxfId="3">
      <formula>N(AA6)+N(O6)&gt;30</formula>
    </cfRule>
    <cfRule type="expression" priority="36" dxfId="4">
      <formula>AND($B6&lt;&gt;"",OR(DATE(2026,10,0)&lt;Mitarbeiter!$C6,AND(Mitarbeiter!$D6&lt;&gt;"",DATE(2026,9,1)&gt;Mitarbeiter!$D6)))</formula>
    </cfRule>
  </conditionalFormatting>
  <conditionalFormatting sqref="P6:P305">
    <cfRule type="expression" priority="37" dxfId="3">
      <formula>N(P6)+N(AB6)&gt;31</formula>
    </cfRule>
    <cfRule type="expression" priority="38" dxfId="4">
      <formula>AND($B6&lt;&gt;"",OR(DATE(2026,11,0)&lt;Mitarbeiter!$C6,AND(Mitarbeiter!$D6&lt;&gt;"",DATE(2026,10,1)&gt;Mitarbeiter!$D6)))</formula>
    </cfRule>
  </conditionalFormatting>
  <conditionalFormatting sqref="AB6:AB305">
    <cfRule type="expression" priority="39" dxfId="3">
      <formula>N(AB6)+N(P6)&gt;31</formula>
    </cfRule>
    <cfRule type="expression" priority="40" dxfId="4">
      <formula>AND($B6&lt;&gt;"",OR(DATE(2026,11,0)&lt;Mitarbeiter!$C6,AND(Mitarbeiter!$D6&lt;&gt;"",DATE(2026,10,1)&gt;Mitarbeiter!$D6)))</formula>
    </cfRule>
  </conditionalFormatting>
  <conditionalFormatting sqref="Q6:Q305">
    <cfRule type="expression" priority="41" dxfId="3">
      <formula>N(Q6)+N(AC6)&gt;30</formula>
    </cfRule>
    <cfRule type="expression" priority="42" dxfId="4">
      <formula>AND($B6&lt;&gt;"",OR(DATE(2026,12,0)&lt;Mitarbeiter!$C6,AND(Mitarbeiter!$D6&lt;&gt;"",DATE(2026,11,1)&gt;Mitarbeiter!$D6)))</formula>
    </cfRule>
  </conditionalFormatting>
  <conditionalFormatting sqref="AC6:AC305">
    <cfRule type="expression" priority="43" dxfId="3">
      <formula>N(AC6)+N(Q6)&gt;30</formula>
    </cfRule>
    <cfRule type="expression" priority="44" dxfId="4">
      <formula>AND($B6&lt;&gt;"",OR(DATE(2026,12,0)&lt;Mitarbeiter!$C6,AND(Mitarbeiter!$D6&lt;&gt;"",DATE(2026,11,1)&gt;Mitarbeiter!$D6)))</formula>
    </cfRule>
  </conditionalFormatting>
  <conditionalFormatting sqref="R6:R305">
    <cfRule type="expression" priority="45" dxfId="3">
      <formula>N(R6)+N(AD6)&gt;31</formula>
    </cfRule>
    <cfRule type="expression" priority="46" dxfId="4">
      <formula>AND($B6&lt;&gt;"",OR(DATE(2026,13,0)&lt;Mitarbeiter!$C6,AND(Mitarbeiter!$D6&lt;&gt;"",DATE(2026,12,1)&gt;Mitarbeiter!$D6)))</formula>
    </cfRule>
  </conditionalFormatting>
  <conditionalFormatting sqref="AD6:AD305">
    <cfRule type="expression" priority="47" dxfId="3">
      <formula>N(AD6)+N(R6)&gt;31</formula>
    </cfRule>
    <cfRule type="expression" priority="48" dxfId="4">
      <formula>AND($B6&lt;&gt;"",OR(DATE(2026,13,0)&lt;Mitarbeiter!$C6,AND(Mitarbeiter!$D6&lt;&gt;"",DATE(2026,12,1)&gt;Mitarbeiter!$D6)))</formula>
    </cfRule>
  </conditionalFormatting>
  <conditionalFormatting sqref="AE6:AE305">
    <cfRule type="expression" priority="49" dxfId="3">
      <formula>N(AE6)+N(AQ6)&gt;31</formula>
    </cfRule>
    <cfRule type="expression" priority="50" dxfId="4">
      <formula>AND($B6&lt;&gt;"",OR(DATE(2027,2,0)&lt;Mitarbeiter!$C6,AND(Mitarbeiter!$D6&lt;&gt;"",DATE(2027,1,1)&gt;Mitarbeiter!$D6)))</formula>
    </cfRule>
  </conditionalFormatting>
  <conditionalFormatting sqref="AQ6:AQ305">
    <cfRule type="expression" priority="51" dxfId="3">
      <formula>N(AQ6)+N(AE6)&gt;31</formula>
    </cfRule>
    <cfRule type="expression" priority="52" dxfId="4">
      <formula>AND($B6&lt;&gt;"",OR(DATE(2027,2,0)&lt;Mitarbeiter!$C6,AND(Mitarbeiter!$D6&lt;&gt;"",DATE(2027,1,1)&gt;Mitarbeiter!$D6)))</formula>
    </cfRule>
  </conditionalFormatting>
  <conditionalFormatting sqref="AF6:AF305">
    <cfRule type="expression" priority="53" dxfId="3">
      <formula>N(AF6)+N(AR6)&gt;28</formula>
    </cfRule>
    <cfRule type="expression" priority="54" dxfId="4">
      <formula>AND($B6&lt;&gt;"",OR(DATE(2027,3,0)&lt;Mitarbeiter!$C6,AND(Mitarbeiter!$D6&lt;&gt;"",DATE(2027,2,1)&gt;Mitarbeiter!$D6)))</formula>
    </cfRule>
  </conditionalFormatting>
  <conditionalFormatting sqref="AR6:AR305">
    <cfRule type="expression" priority="55" dxfId="3">
      <formula>N(AR6)+N(AF6)&gt;28</formula>
    </cfRule>
    <cfRule type="expression" priority="56" dxfId="4">
      <formula>AND($B6&lt;&gt;"",OR(DATE(2027,3,0)&lt;Mitarbeiter!$C6,AND(Mitarbeiter!$D6&lt;&gt;"",DATE(2027,2,1)&gt;Mitarbeiter!$D6)))</formula>
    </cfRule>
  </conditionalFormatting>
  <conditionalFormatting sqref="AG6:AG305">
    <cfRule type="expression" priority="57" dxfId="3">
      <formula>N(AG6)+N(AS6)&gt;31</formula>
    </cfRule>
    <cfRule type="expression" priority="58" dxfId="4">
      <formula>AND($B6&lt;&gt;"",OR(DATE(2027,4,0)&lt;Mitarbeiter!$C6,AND(Mitarbeiter!$D6&lt;&gt;"",DATE(2027,3,1)&gt;Mitarbeiter!$D6)))</formula>
    </cfRule>
  </conditionalFormatting>
  <conditionalFormatting sqref="AS6:AS305">
    <cfRule type="expression" priority="59" dxfId="3">
      <formula>N(AS6)+N(AG6)&gt;31</formula>
    </cfRule>
    <cfRule type="expression" priority="60" dxfId="4">
      <formula>AND($B6&lt;&gt;"",OR(DATE(2027,4,0)&lt;Mitarbeiter!$C6,AND(Mitarbeiter!$D6&lt;&gt;"",DATE(2027,3,1)&gt;Mitarbeiter!$D6)))</formula>
    </cfRule>
  </conditionalFormatting>
  <conditionalFormatting sqref="AH6:AH305">
    <cfRule type="expression" priority="61" dxfId="3">
      <formula>N(AH6)+N(AT6)&gt;30</formula>
    </cfRule>
    <cfRule type="expression" priority="62" dxfId="4">
      <formula>AND($B6&lt;&gt;"",OR(DATE(2027,5,0)&lt;Mitarbeiter!$C6,AND(Mitarbeiter!$D6&lt;&gt;"",DATE(2027,4,1)&gt;Mitarbeiter!$D6)))</formula>
    </cfRule>
  </conditionalFormatting>
  <conditionalFormatting sqref="AT6:AT305">
    <cfRule type="expression" priority="63" dxfId="3">
      <formula>N(AT6)+N(AH6)&gt;30</formula>
    </cfRule>
    <cfRule type="expression" priority="64" dxfId="4">
      <formula>AND($B6&lt;&gt;"",OR(DATE(2027,5,0)&lt;Mitarbeiter!$C6,AND(Mitarbeiter!$D6&lt;&gt;"",DATE(2027,4,1)&gt;Mitarbeiter!$D6)))</formula>
    </cfRule>
  </conditionalFormatting>
  <conditionalFormatting sqref="AI6:AI305">
    <cfRule type="expression" priority="65" dxfId="3">
      <formula>N(AI6)+N(AU6)&gt;31</formula>
    </cfRule>
    <cfRule type="expression" priority="66" dxfId="4">
      <formula>AND($B6&lt;&gt;"",OR(DATE(2027,6,0)&lt;Mitarbeiter!$C6,AND(Mitarbeiter!$D6&lt;&gt;"",DATE(2027,5,1)&gt;Mitarbeiter!$D6)))</formula>
    </cfRule>
  </conditionalFormatting>
  <conditionalFormatting sqref="AU6:AU305">
    <cfRule type="expression" priority="67" dxfId="3">
      <formula>N(AU6)+N(AI6)&gt;31</formula>
    </cfRule>
    <cfRule type="expression" priority="68" dxfId="4">
      <formula>AND($B6&lt;&gt;"",OR(DATE(2027,6,0)&lt;Mitarbeiter!$C6,AND(Mitarbeiter!$D6&lt;&gt;"",DATE(2027,5,1)&gt;Mitarbeiter!$D6)))</formula>
    </cfRule>
  </conditionalFormatting>
  <conditionalFormatting sqref="AJ6:AJ305">
    <cfRule type="expression" priority="69" dxfId="3">
      <formula>N(AJ6)+N(AV6)&gt;30</formula>
    </cfRule>
    <cfRule type="expression" priority="70" dxfId="4">
      <formula>AND($B6&lt;&gt;"",OR(DATE(2027,7,0)&lt;Mitarbeiter!$C6,AND(Mitarbeiter!$D6&lt;&gt;"",DATE(2027,6,1)&gt;Mitarbeiter!$D6)))</formula>
    </cfRule>
  </conditionalFormatting>
  <conditionalFormatting sqref="AV6:AV305">
    <cfRule type="expression" priority="71" dxfId="3">
      <formula>N(AV6)+N(AJ6)&gt;30</formula>
    </cfRule>
    <cfRule type="expression" priority="72" dxfId="4">
      <formula>AND($B6&lt;&gt;"",OR(DATE(2027,7,0)&lt;Mitarbeiter!$C6,AND(Mitarbeiter!$D6&lt;&gt;"",DATE(2027,6,1)&gt;Mitarbeiter!$D6)))</formula>
    </cfRule>
  </conditionalFormatting>
  <conditionalFormatting sqref="AK6:AK305">
    <cfRule type="expression" priority="73" dxfId="3">
      <formula>N(AK6)+N(AW6)&gt;31</formula>
    </cfRule>
    <cfRule type="expression" priority="74" dxfId="4">
      <formula>AND($B6&lt;&gt;"",OR(DATE(2027,8,0)&lt;Mitarbeiter!$C6,AND(Mitarbeiter!$D6&lt;&gt;"",DATE(2027,7,1)&gt;Mitarbeiter!$D6)))</formula>
    </cfRule>
  </conditionalFormatting>
  <conditionalFormatting sqref="AW6:AW305">
    <cfRule type="expression" priority="75" dxfId="3">
      <formula>N(AW6)+N(AK6)&gt;31</formula>
    </cfRule>
    <cfRule type="expression" priority="76" dxfId="4">
      <formula>AND($B6&lt;&gt;"",OR(DATE(2027,8,0)&lt;Mitarbeiter!$C6,AND(Mitarbeiter!$D6&lt;&gt;"",DATE(2027,7,1)&gt;Mitarbeiter!$D6)))</formula>
    </cfRule>
  </conditionalFormatting>
  <conditionalFormatting sqref="AL6:AL305">
    <cfRule type="expression" priority="77" dxfId="3">
      <formula>N(AL6)+N(AX6)&gt;31</formula>
    </cfRule>
    <cfRule type="expression" priority="78" dxfId="4">
      <formula>AND($B6&lt;&gt;"",OR(DATE(2027,9,0)&lt;Mitarbeiter!$C6,AND(Mitarbeiter!$D6&lt;&gt;"",DATE(2027,8,1)&gt;Mitarbeiter!$D6)))</formula>
    </cfRule>
  </conditionalFormatting>
  <conditionalFormatting sqref="AX6:AX305">
    <cfRule type="expression" priority="79" dxfId="3">
      <formula>N(AX6)+N(AL6)&gt;31</formula>
    </cfRule>
    <cfRule type="expression" priority="80" dxfId="4">
      <formula>AND($B6&lt;&gt;"",OR(DATE(2027,9,0)&lt;Mitarbeiter!$C6,AND(Mitarbeiter!$D6&lt;&gt;"",DATE(2027,8,1)&gt;Mitarbeiter!$D6)))</formula>
    </cfRule>
  </conditionalFormatting>
  <conditionalFormatting sqref="AM6:AM305">
    <cfRule type="expression" priority="81" dxfId="3">
      <formula>N(AM6)+N(AY6)&gt;30</formula>
    </cfRule>
    <cfRule type="expression" priority="82" dxfId="4">
      <formula>AND($B6&lt;&gt;"",OR(DATE(2027,10,0)&lt;Mitarbeiter!$C6,AND(Mitarbeiter!$D6&lt;&gt;"",DATE(2027,9,1)&gt;Mitarbeiter!$D6)))</formula>
    </cfRule>
  </conditionalFormatting>
  <conditionalFormatting sqref="AY6:AY305">
    <cfRule type="expression" priority="83" dxfId="3">
      <formula>N(AY6)+N(AM6)&gt;30</formula>
    </cfRule>
    <cfRule type="expression" priority="84" dxfId="4">
      <formula>AND($B6&lt;&gt;"",OR(DATE(2027,10,0)&lt;Mitarbeiter!$C6,AND(Mitarbeiter!$D6&lt;&gt;"",DATE(2027,9,1)&gt;Mitarbeiter!$D6)))</formula>
    </cfRule>
  </conditionalFormatting>
  <conditionalFormatting sqref="AN6:AN305">
    <cfRule type="expression" priority="85" dxfId="3">
      <formula>N(AN6)+N(AZ6)&gt;31</formula>
    </cfRule>
    <cfRule type="expression" priority="86" dxfId="4">
      <formula>AND($B6&lt;&gt;"",OR(DATE(2027,11,0)&lt;Mitarbeiter!$C6,AND(Mitarbeiter!$D6&lt;&gt;"",DATE(2027,10,1)&gt;Mitarbeiter!$D6)))</formula>
    </cfRule>
  </conditionalFormatting>
  <conditionalFormatting sqref="AZ6:AZ305">
    <cfRule type="expression" priority="87" dxfId="3">
      <formula>N(AZ6)+N(AN6)&gt;31</formula>
    </cfRule>
    <cfRule type="expression" priority="88" dxfId="4">
      <formula>AND($B6&lt;&gt;"",OR(DATE(2027,11,0)&lt;Mitarbeiter!$C6,AND(Mitarbeiter!$D6&lt;&gt;"",DATE(2027,10,1)&gt;Mitarbeiter!$D6)))</formula>
    </cfRule>
  </conditionalFormatting>
  <conditionalFormatting sqref="AO6:AO305">
    <cfRule type="expression" priority="89" dxfId="3">
      <formula>N(AO6)+N(BA6)&gt;30</formula>
    </cfRule>
    <cfRule type="expression" priority="90" dxfId="4">
      <formula>AND($B6&lt;&gt;"",OR(DATE(2027,12,0)&lt;Mitarbeiter!$C6,AND(Mitarbeiter!$D6&lt;&gt;"",DATE(2027,11,1)&gt;Mitarbeiter!$D6)))</formula>
    </cfRule>
  </conditionalFormatting>
  <conditionalFormatting sqref="BA6:BA305">
    <cfRule type="expression" priority="91" dxfId="3">
      <formula>N(BA6)+N(AO6)&gt;30</formula>
    </cfRule>
    <cfRule type="expression" priority="92" dxfId="4">
      <formula>AND($B6&lt;&gt;"",OR(DATE(2027,12,0)&lt;Mitarbeiter!$C6,AND(Mitarbeiter!$D6&lt;&gt;"",DATE(2027,11,1)&gt;Mitarbeiter!$D6)))</formula>
    </cfRule>
  </conditionalFormatting>
  <conditionalFormatting sqref="AP6:AP305">
    <cfRule type="expression" priority="93" dxfId="3">
      <formula>N(AP6)+N(BB6)&gt;31</formula>
    </cfRule>
    <cfRule type="expression" priority="94" dxfId="4">
      <formula>AND($B6&lt;&gt;"",OR(DATE(2027,13,0)&lt;Mitarbeiter!$C6,AND(Mitarbeiter!$D6&lt;&gt;"",DATE(2027,12,1)&gt;Mitarbeiter!$D6)))</formula>
    </cfRule>
  </conditionalFormatting>
  <conditionalFormatting sqref="BB6:BB305">
    <cfRule type="expression" priority="95" dxfId="3">
      <formula>N(BB6)+N(AP6)&gt;31</formula>
    </cfRule>
    <cfRule type="expression" priority="96" dxfId="4">
      <formula>AND($B6&lt;&gt;"",OR(DATE(2027,13,0)&lt;Mitarbeiter!$C6,AND(Mitarbeiter!$D6&lt;&gt;"",DATE(2027,12,1)&gt;Mitarbeiter!$D6)))</formula>
    </cfRule>
  </conditionalFormatting>
  <conditionalFormatting sqref="BC6:BC305">
    <cfRule type="expression" priority="97" dxfId="3">
      <formula>N(BC6)+N(BO6)&gt;31</formula>
    </cfRule>
    <cfRule type="expression" priority="98" dxfId="4">
      <formula>AND($B6&lt;&gt;"",OR(DATE(2028,2,0)&lt;Mitarbeiter!$C6,AND(Mitarbeiter!$D6&lt;&gt;"",DATE(2028,1,1)&gt;Mitarbeiter!$D6)))</formula>
    </cfRule>
  </conditionalFormatting>
  <conditionalFormatting sqref="BO6:BO305">
    <cfRule type="expression" priority="99" dxfId="3">
      <formula>N(BO6)+N(BC6)&gt;31</formula>
    </cfRule>
    <cfRule type="expression" priority="100" dxfId="4">
      <formula>AND($B6&lt;&gt;"",OR(DATE(2028,2,0)&lt;Mitarbeiter!$C6,AND(Mitarbeiter!$D6&lt;&gt;"",DATE(2028,1,1)&gt;Mitarbeiter!$D6)))</formula>
    </cfRule>
  </conditionalFormatting>
  <conditionalFormatting sqref="BD6:BD305">
    <cfRule type="expression" priority="101" dxfId="3">
      <formula>N(BD6)+N(BP6)&gt;29</formula>
    </cfRule>
    <cfRule type="expression" priority="102" dxfId="4">
      <formula>AND($B6&lt;&gt;"",OR(DATE(2028,3,0)&lt;Mitarbeiter!$C6,AND(Mitarbeiter!$D6&lt;&gt;"",DATE(2028,2,1)&gt;Mitarbeiter!$D6)))</formula>
    </cfRule>
  </conditionalFormatting>
  <conditionalFormatting sqref="BP6:BP305">
    <cfRule type="expression" priority="103" dxfId="3">
      <formula>N(BP6)+N(BD6)&gt;29</formula>
    </cfRule>
    <cfRule type="expression" priority="104" dxfId="4">
      <formula>AND($B6&lt;&gt;"",OR(DATE(2028,3,0)&lt;Mitarbeiter!$C6,AND(Mitarbeiter!$D6&lt;&gt;"",DATE(2028,2,1)&gt;Mitarbeiter!$D6)))</formula>
    </cfRule>
  </conditionalFormatting>
  <conditionalFormatting sqref="BE6:BE305">
    <cfRule type="expression" priority="105" dxfId="3">
      <formula>N(BE6)+N(BQ6)&gt;31</formula>
    </cfRule>
    <cfRule type="expression" priority="106" dxfId="4">
      <formula>AND($B6&lt;&gt;"",OR(DATE(2028,4,0)&lt;Mitarbeiter!$C6,AND(Mitarbeiter!$D6&lt;&gt;"",DATE(2028,3,1)&gt;Mitarbeiter!$D6)))</formula>
    </cfRule>
  </conditionalFormatting>
  <conditionalFormatting sqref="BQ6:BQ305">
    <cfRule type="expression" priority="107" dxfId="3">
      <formula>N(BQ6)+N(BE6)&gt;31</formula>
    </cfRule>
    <cfRule type="expression" priority="108" dxfId="4">
      <formula>AND($B6&lt;&gt;"",OR(DATE(2028,4,0)&lt;Mitarbeiter!$C6,AND(Mitarbeiter!$D6&lt;&gt;"",DATE(2028,3,1)&gt;Mitarbeiter!$D6)))</formula>
    </cfRule>
  </conditionalFormatting>
  <conditionalFormatting sqref="BF6:BF305">
    <cfRule type="expression" priority="109" dxfId="3">
      <formula>N(BF6)+N(BR6)&gt;30</formula>
    </cfRule>
    <cfRule type="expression" priority="110" dxfId="4">
      <formula>AND($B6&lt;&gt;"",OR(DATE(2028,5,0)&lt;Mitarbeiter!$C6,AND(Mitarbeiter!$D6&lt;&gt;"",DATE(2028,4,1)&gt;Mitarbeiter!$D6)))</formula>
    </cfRule>
  </conditionalFormatting>
  <conditionalFormatting sqref="BR6:BR305">
    <cfRule type="expression" priority="111" dxfId="3">
      <formula>N(BR6)+N(BF6)&gt;30</formula>
    </cfRule>
    <cfRule type="expression" priority="112" dxfId="4">
      <formula>AND($B6&lt;&gt;"",OR(DATE(2028,5,0)&lt;Mitarbeiter!$C6,AND(Mitarbeiter!$D6&lt;&gt;"",DATE(2028,4,1)&gt;Mitarbeiter!$D6)))</formula>
    </cfRule>
  </conditionalFormatting>
  <conditionalFormatting sqref="BG6:BG305">
    <cfRule type="expression" priority="113" dxfId="3">
      <formula>N(BG6)+N(BS6)&gt;31</formula>
    </cfRule>
    <cfRule type="expression" priority="114" dxfId="4">
      <formula>AND($B6&lt;&gt;"",OR(DATE(2028,6,0)&lt;Mitarbeiter!$C6,AND(Mitarbeiter!$D6&lt;&gt;"",DATE(2028,5,1)&gt;Mitarbeiter!$D6)))</formula>
    </cfRule>
  </conditionalFormatting>
  <conditionalFormatting sqref="BS6:BS305">
    <cfRule type="expression" priority="115" dxfId="3">
      <formula>N(BS6)+N(BG6)&gt;31</formula>
    </cfRule>
    <cfRule type="expression" priority="116" dxfId="4">
      <formula>AND($B6&lt;&gt;"",OR(DATE(2028,6,0)&lt;Mitarbeiter!$C6,AND(Mitarbeiter!$D6&lt;&gt;"",DATE(2028,5,1)&gt;Mitarbeiter!$D6)))</formula>
    </cfRule>
  </conditionalFormatting>
  <conditionalFormatting sqref="BH6:BH305">
    <cfRule type="expression" priority="117" dxfId="3">
      <formula>N(BH6)+N(BT6)&gt;30</formula>
    </cfRule>
    <cfRule type="expression" priority="118" dxfId="4">
      <formula>AND($B6&lt;&gt;"",OR(DATE(2028,7,0)&lt;Mitarbeiter!$C6,AND(Mitarbeiter!$D6&lt;&gt;"",DATE(2028,6,1)&gt;Mitarbeiter!$D6)))</formula>
    </cfRule>
  </conditionalFormatting>
  <conditionalFormatting sqref="BT6:BT305">
    <cfRule type="expression" priority="119" dxfId="3">
      <formula>N(BT6)+N(BH6)&gt;30</formula>
    </cfRule>
    <cfRule type="expression" priority="120" dxfId="4">
      <formula>AND($B6&lt;&gt;"",OR(DATE(2028,7,0)&lt;Mitarbeiter!$C6,AND(Mitarbeiter!$D6&lt;&gt;"",DATE(2028,6,1)&gt;Mitarbeiter!$D6)))</formula>
    </cfRule>
  </conditionalFormatting>
  <conditionalFormatting sqref="BI6:BI305">
    <cfRule type="expression" priority="121" dxfId="3">
      <formula>N(BI6)+N(BU6)&gt;31</formula>
    </cfRule>
    <cfRule type="expression" priority="122" dxfId="4">
      <formula>AND($B6&lt;&gt;"",OR(DATE(2028,8,0)&lt;Mitarbeiter!$C6,AND(Mitarbeiter!$D6&lt;&gt;"",DATE(2028,7,1)&gt;Mitarbeiter!$D6)))</formula>
    </cfRule>
  </conditionalFormatting>
  <conditionalFormatting sqref="BU6:BU305">
    <cfRule type="expression" priority="123" dxfId="3">
      <formula>N(BU6)+N(BI6)&gt;31</formula>
    </cfRule>
    <cfRule type="expression" priority="124" dxfId="4">
      <formula>AND($B6&lt;&gt;"",OR(DATE(2028,8,0)&lt;Mitarbeiter!$C6,AND(Mitarbeiter!$D6&lt;&gt;"",DATE(2028,7,1)&gt;Mitarbeiter!$D6)))</formula>
    </cfRule>
  </conditionalFormatting>
  <conditionalFormatting sqref="BJ6:BJ305">
    <cfRule type="expression" priority="125" dxfId="3">
      <formula>N(BJ6)+N(BV6)&gt;31</formula>
    </cfRule>
    <cfRule type="expression" priority="126" dxfId="4">
      <formula>AND($B6&lt;&gt;"",OR(DATE(2028,9,0)&lt;Mitarbeiter!$C6,AND(Mitarbeiter!$D6&lt;&gt;"",DATE(2028,8,1)&gt;Mitarbeiter!$D6)))</formula>
    </cfRule>
  </conditionalFormatting>
  <conditionalFormatting sqref="BV6:BV305">
    <cfRule type="expression" priority="127" dxfId="3">
      <formula>N(BV6)+N(BJ6)&gt;31</formula>
    </cfRule>
    <cfRule type="expression" priority="128" dxfId="4">
      <formula>AND($B6&lt;&gt;"",OR(DATE(2028,9,0)&lt;Mitarbeiter!$C6,AND(Mitarbeiter!$D6&lt;&gt;"",DATE(2028,8,1)&gt;Mitarbeiter!$D6)))</formula>
    </cfRule>
  </conditionalFormatting>
  <conditionalFormatting sqref="BK6:BK305">
    <cfRule type="expression" priority="129" dxfId="3">
      <formula>N(BK6)+N(BW6)&gt;30</formula>
    </cfRule>
    <cfRule type="expression" priority="130" dxfId="4">
      <formula>AND($B6&lt;&gt;"",OR(DATE(2028,10,0)&lt;Mitarbeiter!$C6,AND(Mitarbeiter!$D6&lt;&gt;"",DATE(2028,9,1)&gt;Mitarbeiter!$D6)))</formula>
    </cfRule>
  </conditionalFormatting>
  <conditionalFormatting sqref="BW6:BW305">
    <cfRule type="expression" priority="131" dxfId="3">
      <formula>N(BW6)+N(BK6)&gt;30</formula>
    </cfRule>
    <cfRule type="expression" priority="132" dxfId="4">
      <formula>AND($B6&lt;&gt;"",OR(DATE(2028,10,0)&lt;Mitarbeiter!$C6,AND(Mitarbeiter!$D6&lt;&gt;"",DATE(2028,9,1)&gt;Mitarbeiter!$D6)))</formula>
    </cfRule>
  </conditionalFormatting>
  <conditionalFormatting sqref="BL6:BL305">
    <cfRule type="expression" priority="133" dxfId="3">
      <formula>N(BL6)+N(BX6)&gt;31</formula>
    </cfRule>
    <cfRule type="expression" priority="134" dxfId="4">
      <formula>AND($B6&lt;&gt;"",OR(DATE(2028,11,0)&lt;Mitarbeiter!$C6,AND(Mitarbeiter!$D6&lt;&gt;"",DATE(2028,10,1)&gt;Mitarbeiter!$D6)))</formula>
    </cfRule>
  </conditionalFormatting>
  <conditionalFormatting sqref="BX6:BX305">
    <cfRule type="expression" priority="135" dxfId="3">
      <formula>N(BX6)+N(BL6)&gt;31</formula>
    </cfRule>
    <cfRule type="expression" priority="136" dxfId="4">
      <formula>AND($B6&lt;&gt;"",OR(DATE(2028,11,0)&lt;Mitarbeiter!$C6,AND(Mitarbeiter!$D6&lt;&gt;"",DATE(2028,10,1)&gt;Mitarbeiter!$D6)))</formula>
    </cfRule>
  </conditionalFormatting>
  <conditionalFormatting sqref="BM6:BM305">
    <cfRule type="expression" priority="137" dxfId="3">
      <formula>N(BM6)+N(BY6)&gt;30</formula>
    </cfRule>
    <cfRule type="expression" priority="138" dxfId="4">
      <formula>AND($B6&lt;&gt;"",OR(DATE(2028,12,0)&lt;Mitarbeiter!$C6,AND(Mitarbeiter!$D6&lt;&gt;"",DATE(2028,11,1)&gt;Mitarbeiter!$D6)))</formula>
    </cfRule>
  </conditionalFormatting>
  <conditionalFormatting sqref="BY6:BY305">
    <cfRule type="expression" priority="139" dxfId="3">
      <formula>N(BY6)+N(BM6)&gt;30</formula>
    </cfRule>
    <cfRule type="expression" priority="140" dxfId="4">
      <formula>AND($B6&lt;&gt;"",OR(DATE(2028,12,0)&lt;Mitarbeiter!$C6,AND(Mitarbeiter!$D6&lt;&gt;"",DATE(2028,11,1)&gt;Mitarbeiter!$D6)))</formula>
    </cfRule>
  </conditionalFormatting>
  <conditionalFormatting sqref="BN6:BN305">
    <cfRule type="expression" priority="141" dxfId="3">
      <formula>N(BN6)+N(BZ6)&gt;31</formula>
    </cfRule>
    <cfRule type="expression" priority="142" dxfId="4">
      <formula>AND($B6&lt;&gt;"",OR(DATE(2028,13,0)&lt;Mitarbeiter!$C6,AND(Mitarbeiter!$D6&lt;&gt;"",DATE(2028,12,1)&gt;Mitarbeiter!$D6)))</formula>
    </cfRule>
  </conditionalFormatting>
  <conditionalFormatting sqref="BZ6:BZ305">
    <cfRule type="expression" priority="143" dxfId="3">
      <formula>N(BZ6)+N(BN6)&gt;31</formula>
    </cfRule>
    <cfRule type="expression" priority="144" dxfId="4">
      <formula>AND($B6&lt;&gt;"",OR(DATE(2028,13,0)&lt;Mitarbeiter!$C6,AND(Mitarbeiter!$D6&lt;&gt;"",DATE(2028,12,1)&gt;Mitarbeiter!$D6)))</formula>
    </cfRule>
  </conditionalFormatting>
  <conditionalFormatting sqref="CA6:CA305">
    <cfRule type="expression" priority="145" dxfId="3">
      <formula>N(CA6)+N(CM6)&gt;31</formula>
    </cfRule>
    <cfRule type="expression" priority="146" dxfId="4">
      <formula>AND($B6&lt;&gt;"",OR(DATE(2029,2,0)&lt;Mitarbeiter!$C6,AND(Mitarbeiter!$D6&lt;&gt;"",DATE(2029,1,1)&gt;Mitarbeiter!$D6)))</formula>
    </cfRule>
  </conditionalFormatting>
  <conditionalFormatting sqref="CM6:CM305">
    <cfRule type="expression" priority="147" dxfId="3">
      <formula>N(CM6)+N(CA6)&gt;31</formula>
    </cfRule>
    <cfRule type="expression" priority="148" dxfId="4">
      <formula>AND($B6&lt;&gt;"",OR(DATE(2029,2,0)&lt;Mitarbeiter!$C6,AND(Mitarbeiter!$D6&lt;&gt;"",DATE(2029,1,1)&gt;Mitarbeiter!$D6)))</formula>
    </cfRule>
  </conditionalFormatting>
  <conditionalFormatting sqref="CB6:CB305">
    <cfRule type="expression" priority="149" dxfId="3">
      <formula>N(CB6)+N(CN6)&gt;28</formula>
    </cfRule>
    <cfRule type="expression" priority="150" dxfId="4">
      <formula>AND($B6&lt;&gt;"",OR(DATE(2029,3,0)&lt;Mitarbeiter!$C6,AND(Mitarbeiter!$D6&lt;&gt;"",DATE(2029,2,1)&gt;Mitarbeiter!$D6)))</formula>
    </cfRule>
  </conditionalFormatting>
  <conditionalFormatting sqref="CN6:CN305">
    <cfRule type="expression" priority="151" dxfId="3">
      <formula>N(CN6)+N(CB6)&gt;28</formula>
    </cfRule>
    <cfRule type="expression" priority="152" dxfId="4">
      <formula>AND($B6&lt;&gt;"",OR(DATE(2029,3,0)&lt;Mitarbeiter!$C6,AND(Mitarbeiter!$D6&lt;&gt;"",DATE(2029,2,1)&gt;Mitarbeiter!$D6)))</formula>
    </cfRule>
  </conditionalFormatting>
  <conditionalFormatting sqref="CC6:CC305">
    <cfRule type="expression" priority="153" dxfId="3">
      <formula>N(CC6)+N(CO6)&gt;31</formula>
    </cfRule>
    <cfRule type="expression" priority="154" dxfId="4">
      <formula>AND($B6&lt;&gt;"",OR(DATE(2029,4,0)&lt;Mitarbeiter!$C6,AND(Mitarbeiter!$D6&lt;&gt;"",DATE(2029,3,1)&gt;Mitarbeiter!$D6)))</formula>
    </cfRule>
  </conditionalFormatting>
  <conditionalFormatting sqref="CO6:CO305">
    <cfRule type="expression" priority="155" dxfId="3">
      <formula>N(CO6)+N(CC6)&gt;31</formula>
    </cfRule>
    <cfRule type="expression" priority="156" dxfId="4">
      <formula>AND($B6&lt;&gt;"",OR(DATE(2029,4,0)&lt;Mitarbeiter!$C6,AND(Mitarbeiter!$D6&lt;&gt;"",DATE(2029,3,1)&gt;Mitarbeiter!$D6)))</formula>
    </cfRule>
  </conditionalFormatting>
  <conditionalFormatting sqref="CD6:CD305">
    <cfRule type="expression" priority="157" dxfId="3">
      <formula>N(CD6)+N(CP6)&gt;30</formula>
    </cfRule>
    <cfRule type="expression" priority="158" dxfId="4">
      <formula>AND($B6&lt;&gt;"",OR(DATE(2029,5,0)&lt;Mitarbeiter!$C6,AND(Mitarbeiter!$D6&lt;&gt;"",DATE(2029,4,1)&gt;Mitarbeiter!$D6)))</formula>
    </cfRule>
  </conditionalFormatting>
  <conditionalFormatting sqref="CP6:CP305">
    <cfRule type="expression" priority="159" dxfId="3">
      <formula>N(CP6)+N(CD6)&gt;30</formula>
    </cfRule>
    <cfRule type="expression" priority="160" dxfId="4">
      <formula>AND($B6&lt;&gt;"",OR(DATE(2029,5,0)&lt;Mitarbeiter!$C6,AND(Mitarbeiter!$D6&lt;&gt;"",DATE(2029,4,1)&gt;Mitarbeiter!$D6)))</formula>
    </cfRule>
  </conditionalFormatting>
  <conditionalFormatting sqref="CE6:CE305">
    <cfRule type="expression" priority="161" dxfId="3">
      <formula>N(CE6)+N(CQ6)&gt;31</formula>
    </cfRule>
    <cfRule type="expression" priority="162" dxfId="4">
      <formula>AND($B6&lt;&gt;"",OR(DATE(2029,6,0)&lt;Mitarbeiter!$C6,AND(Mitarbeiter!$D6&lt;&gt;"",DATE(2029,5,1)&gt;Mitarbeiter!$D6)))</formula>
    </cfRule>
  </conditionalFormatting>
  <conditionalFormatting sqref="CQ6:CQ305">
    <cfRule type="expression" priority="163" dxfId="3">
      <formula>N(CQ6)+N(CE6)&gt;31</formula>
    </cfRule>
    <cfRule type="expression" priority="164" dxfId="4">
      <formula>AND($B6&lt;&gt;"",OR(DATE(2029,6,0)&lt;Mitarbeiter!$C6,AND(Mitarbeiter!$D6&lt;&gt;"",DATE(2029,5,1)&gt;Mitarbeiter!$D6)))</formula>
    </cfRule>
  </conditionalFormatting>
  <conditionalFormatting sqref="CF6:CF305">
    <cfRule type="expression" priority="165" dxfId="3">
      <formula>N(CF6)+N(CR6)&gt;30</formula>
    </cfRule>
    <cfRule type="expression" priority="166" dxfId="4">
      <formula>AND($B6&lt;&gt;"",OR(DATE(2029,7,0)&lt;Mitarbeiter!$C6,AND(Mitarbeiter!$D6&lt;&gt;"",DATE(2029,6,1)&gt;Mitarbeiter!$D6)))</formula>
    </cfRule>
  </conditionalFormatting>
  <conditionalFormatting sqref="CR6:CR305">
    <cfRule type="expression" priority="167" dxfId="3">
      <formula>N(CR6)+N(CF6)&gt;30</formula>
    </cfRule>
    <cfRule type="expression" priority="168" dxfId="4">
      <formula>AND($B6&lt;&gt;"",OR(DATE(2029,7,0)&lt;Mitarbeiter!$C6,AND(Mitarbeiter!$D6&lt;&gt;"",DATE(2029,6,1)&gt;Mitarbeiter!$D6)))</formula>
    </cfRule>
  </conditionalFormatting>
  <conditionalFormatting sqref="CG6:CG305">
    <cfRule type="expression" priority="169" dxfId="3">
      <formula>N(CG6)+N(CS6)&gt;31</formula>
    </cfRule>
    <cfRule type="expression" priority="170" dxfId="4">
      <formula>AND($B6&lt;&gt;"",OR(DATE(2029,8,0)&lt;Mitarbeiter!$C6,AND(Mitarbeiter!$D6&lt;&gt;"",DATE(2029,7,1)&gt;Mitarbeiter!$D6)))</formula>
    </cfRule>
  </conditionalFormatting>
  <conditionalFormatting sqref="CS6:CS305">
    <cfRule type="expression" priority="171" dxfId="3">
      <formula>N(CS6)+N(CG6)&gt;31</formula>
    </cfRule>
    <cfRule type="expression" priority="172" dxfId="4">
      <formula>AND($B6&lt;&gt;"",OR(DATE(2029,8,0)&lt;Mitarbeiter!$C6,AND(Mitarbeiter!$D6&lt;&gt;"",DATE(2029,7,1)&gt;Mitarbeiter!$D6)))</formula>
    </cfRule>
  </conditionalFormatting>
  <conditionalFormatting sqref="CH6:CH305">
    <cfRule type="expression" priority="173" dxfId="3">
      <formula>N(CH6)+N(CT6)&gt;31</formula>
    </cfRule>
    <cfRule type="expression" priority="174" dxfId="4">
      <formula>AND($B6&lt;&gt;"",OR(DATE(2029,9,0)&lt;Mitarbeiter!$C6,AND(Mitarbeiter!$D6&lt;&gt;"",DATE(2029,8,1)&gt;Mitarbeiter!$D6)))</formula>
    </cfRule>
  </conditionalFormatting>
  <conditionalFormatting sqref="CT6:CT305">
    <cfRule type="expression" priority="175" dxfId="3">
      <formula>N(CT6)+N(CH6)&gt;31</formula>
    </cfRule>
    <cfRule type="expression" priority="176" dxfId="4">
      <formula>AND($B6&lt;&gt;"",OR(DATE(2029,9,0)&lt;Mitarbeiter!$C6,AND(Mitarbeiter!$D6&lt;&gt;"",DATE(2029,8,1)&gt;Mitarbeiter!$D6)))</formula>
    </cfRule>
  </conditionalFormatting>
  <conditionalFormatting sqref="CI6:CI305">
    <cfRule type="expression" priority="177" dxfId="3">
      <formula>N(CI6)+N(CU6)&gt;30</formula>
    </cfRule>
    <cfRule type="expression" priority="178" dxfId="4">
      <formula>AND($B6&lt;&gt;"",OR(DATE(2029,10,0)&lt;Mitarbeiter!$C6,AND(Mitarbeiter!$D6&lt;&gt;"",DATE(2029,9,1)&gt;Mitarbeiter!$D6)))</formula>
    </cfRule>
  </conditionalFormatting>
  <conditionalFormatting sqref="CU6:CU305">
    <cfRule type="expression" priority="179" dxfId="3">
      <formula>N(CU6)+N(CI6)&gt;30</formula>
    </cfRule>
    <cfRule type="expression" priority="180" dxfId="4">
      <formula>AND($B6&lt;&gt;"",OR(DATE(2029,10,0)&lt;Mitarbeiter!$C6,AND(Mitarbeiter!$D6&lt;&gt;"",DATE(2029,9,1)&gt;Mitarbeiter!$D6)))</formula>
    </cfRule>
  </conditionalFormatting>
  <conditionalFormatting sqref="CJ6:CJ305">
    <cfRule type="expression" priority="181" dxfId="3">
      <formula>N(CJ6)+N(CV6)&gt;31</formula>
    </cfRule>
    <cfRule type="expression" priority="182" dxfId="4">
      <formula>AND($B6&lt;&gt;"",OR(DATE(2029,11,0)&lt;Mitarbeiter!$C6,AND(Mitarbeiter!$D6&lt;&gt;"",DATE(2029,10,1)&gt;Mitarbeiter!$D6)))</formula>
    </cfRule>
  </conditionalFormatting>
  <conditionalFormatting sqref="CV6:CV305">
    <cfRule type="expression" priority="183" dxfId="3">
      <formula>N(CV6)+N(CJ6)&gt;31</formula>
    </cfRule>
    <cfRule type="expression" priority="184" dxfId="4">
      <formula>AND($B6&lt;&gt;"",OR(DATE(2029,11,0)&lt;Mitarbeiter!$C6,AND(Mitarbeiter!$D6&lt;&gt;"",DATE(2029,10,1)&gt;Mitarbeiter!$D6)))</formula>
    </cfRule>
  </conditionalFormatting>
  <conditionalFormatting sqref="CK6:CK305">
    <cfRule type="expression" priority="185" dxfId="3">
      <formula>N(CK6)+N(CW6)&gt;30</formula>
    </cfRule>
    <cfRule type="expression" priority="186" dxfId="4">
      <formula>AND($B6&lt;&gt;"",OR(DATE(2029,12,0)&lt;Mitarbeiter!$C6,AND(Mitarbeiter!$D6&lt;&gt;"",DATE(2029,11,1)&gt;Mitarbeiter!$D6)))</formula>
    </cfRule>
  </conditionalFormatting>
  <conditionalFormatting sqref="CW6:CW305">
    <cfRule type="expression" priority="187" dxfId="3">
      <formula>N(CW6)+N(CK6)&gt;30</formula>
    </cfRule>
    <cfRule type="expression" priority="188" dxfId="4">
      <formula>AND($B6&lt;&gt;"",OR(DATE(2029,12,0)&lt;Mitarbeiter!$C6,AND(Mitarbeiter!$D6&lt;&gt;"",DATE(2029,11,1)&gt;Mitarbeiter!$D6)))</formula>
    </cfRule>
  </conditionalFormatting>
  <conditionalFormatting sqref="CL6:CL305">
    <cfRule type="expression" priority="189" dxfId="3">
      <formula>N(CL6)+N(CX6)&gt;31</formula>
    </cfRule>
    <cfRule type="expression" priority="190" dxfId="4">
      <formula>AND($B6&lt;&gt;"",OR(DATE(2029,13,0)&lt;Mitarbeiter!$C6,AND(Mitarbeiter!$D6&lt;&gt;"",DATE(2029,12,1)&gt;Mitarbeiter!$D6)))</formula>
    </cfRule>
  </conditionalFormatting>
  <conditionalFormatting sqref="CX6:CX305">
    <cfRule type="expression" priority="191" dxfId="3">
      <formula>N(CX6)+N(CL6)&gt;31</formula>
    </cfRule>
    <cfRule type="expression" priority="192" dxfId="4">
      <formula>AND($B6&lt;&gt;"",OR(DATE(2029,13,0)&lt;Mitarbeiter!$C6,AND(Mitarbeiter!$D6&lt;&gt;"",DATE(2029,12,1)&gt;Mitarbeiter!$D6)))</formula>
    </cfRule>
  </conditionalFormatting>
  <conditionalFormatting sqref="CY6:CY305">
    <cfRule type="expression" priority="193" dxfId="3">
      <formula>N(CY6)+N(DK6)&gt;31</formula>
    </cfRule>
    <cfRule type="expression" priority="194" dxfId="4">
      <formula>AND($B6&lt;&gt;"",OR(DATE(2030,2,0)&lt;Mitarbeiter!$C6,AND(Mitarbeiter!$D6&lt;&gt;"",DATE(2030,1,1)&gt;Mitarbeiter!$D6)))</formula>
    </cfRule>
  </conditionalFormatting>
  <conditionalFormatting sqref="DK6:DK305">
    <cfRule type="expression" priority="195" dxfId="3">
      <formula>N(DK6)+N(CY6)&gt;31</formula>
    </cfRule>
    <cfRule type="expression" priority="196" dxfId="4">
      <formula>AND($B6&lt;&gt;"",OR(DATE(2030,2,0)&lt;Mitarbeiter!$C6,AND(Mitarbeiter!$D6&lt;&gt;"",DATE(2030,1,1)&gt;Mitarbeiter!$D6)))</formula>
    </cfRule>
  </conditionalFormatting>
  <conditionalFormatting sqref="CZ6:CZ305">
    <cfRule type="expression" priority="197" dxfId="3">
      <formula>N(CZ6)+N(DL6)&gt;28</formula>
    </cfRule>
    <cfRule type="expression" priority="198" dxfId="4">
      <formula>AND($B6&lt;&gt;"",OR(DATE(2030,3,0)&lt;Mitarbeiter!$C6,AND(Mitarbeiter!$D6&lt;&gt;"",DATE(2030,2,1)&gt;Mitarbeiter!$D6)))</formula>
    </cfRule>
  </conditionalFormatting>
  <conditionalFormatting sqref="DL6:DL305">
    <cfRule type="expression" priority="199" dxfId="3">
      <formula>N(DL6)+N(CZ6)&gt;28</formula>
    </cfRule>
    <cfRule type="expression" priority="200" dxfId="4">
      <formula>AND($B6&lt;&gt;"",OR(DATE(2030,3,0)&lt;Mitarbeiter!$C6,AND(Mitarbeiter!$D6&lt;&gt;"",DATE(2030,2,1)&gt;Mitarbeiter!$D6)))</formula>
    </cfRule>
  </conditionalFormatting>
  <conditionalFormatting sqref="DA6:DA305">
    <cfRule type="expression" priority="201" dxfId="3">
      <formula>N(DA6)+N(DM6)&gt;31</formula>
    </cfRule>
    <cfRule type="expression" priority="202" dxfId="4">
      <formula>AND($B6&lt;&gt;"",OR(DATE(2030,4,0)&lt;Mitarbeiter!$C6,AND(Mitarbeiter!$D6&lt;&gt;"",DATE(2030,3,1)&gt;Mitarbeiter!$D6)))</formula>
    </cfRule>
  </conditionalFormatting>
  <conditionalFormatting sqref="DM6:DM305">
    <cfRule type="expression" priority="203" dxfId="3">
      <formula>N(DM6)+N(DA6)&gt;31</formula>
    </cfRule>
    <cfRule type="expression" priority="204" dxfId="4">
      <formula>AND($B6&lt;&gt;"",OR(DATE(2030,4,0)&lt;Mitarbeiter!$C6,AND(Mitarbeiter!$D6&lt;&gt;"",DATE(2030,3,1)&gt;Mitarbeiter!$D6)))</formula>
    </cfRule>
  </conditionalFormatting>
  <conditionalFormatting sqref="DB6:DB305">
    <cfRule type="expression" priority="205" dxfId="3">
      <formula>N(DB6)+N(DN6)&gt;30</formula>
    </cfRule>
    <cfRule type="expression" priority="206" dxfId="4">
      <formula>AND($B6&lt;&gt;"",OR(DATE(2030,5,0)&lt;Mitarbeiter!$C6,AND(Mitarbeiter!$D6&lt;&gt;"",DATE(2030,4,1)&gt;Mitarbeiter!$D6)))</formula>
    </cfRule>
  </conditionalFormatting>
  <conditionalFormatting sqref="DN6:DN305">
    <cfRule type="expression" priority="207" dxfId="3">
      <formula>N(DN6)+N(DB6)&gt;30</formula>
    </cfRule>
    <cfRule type="expression" priority="208" dxfId="4">
      <formula>AND($B6&lt;&gt;"",OR(DATE(2030,5,0)&lt;Mitarbeiter!$C6,AND(Mitarbeiter!$D6&lt;&gt;"",DATE(2030,4,1)&gt;Mitarbeiter!$D6)))</formula>
    </cfRule>
  </conditionalFormatting>
  <conditionalFormatting sqref="DC6:DC305">
    <cfRule type="expression" priority="209" dxfId="3">
      <formula>N(DC6)+N(DO6)&gt;31</formula>
    </cfRule>
    <cfRule type="expression" priority="210" dxfId="4">
      <formula>AND($B6&lt;&gt;"",OR(DATE(2030,6,0)&lt;Mitarbeiter!$C6,AND(Mitarbeiter!$D6&lt;&gt;"",DATE(2030,5,1)&gt;Mitarbeiter!$D6)))</formula>
    </cfRule>
  </conditionalFormatting>
  <conditionalFormatting sqref="DO6:DO305">
    <cfRule type="expression" priority="211" dxfId="3">
      <formula>N(DO6)+N(DC6)&gt;31</formula>
    </cfRule>
    <cfRule type="expression" priority="212" dxfId="4">
      <formula>AND($B6&lt;&gt;"",OR(DATE(2030,6,0)&lt;Mitarbeiter!$C6,AND(Mitarbeiter!$D6&lt;&gt;"",DATE(2030,5,1)&gt;Mitarbeiter!$D6)))</formula>
    </cfRule>
  </conditionalFormatting>
  <conditionalFormatting sqref="DD6:DD305">
    <cfRule type="expression" priority="213" dxfId="3">
      <formula>N(DD6)+N(DP6)&gt;30</formula>
    </cfRule>
    <cfRule type="expression" priority="214" dxfId="4">
      <formula>AND($B6&lt;&gt;"",OR(DATE(2030,7,0)&lt;Mitarbeiter!$C6,AND(Mitarbeiter!$D6&lt;&gt;"",DATE(2030,6,1)&gt;Mitarbeiter!$D6)))</formula>
    </cfRule>
  </conditionalFormatting>
  <conditionalFormatting sqref="DP6:DP305">
    <cfRule type="expression" priority="215" dxfId="3">
      <formula>N(DP6)+N(DD6)&gt;30</formula>
    </cfRule>
    <cfRule type="expression" priority="216" dxfId="4">
      <formula>AND($B6&lt;&gt;"",OR(DATE(2030,7,0)&lt;Mitarbeiter!$C6,AND(Mitarbeiter!$D6&lt;&gt;"",DATE(2030,6,1)&gt;Mitarbeiter!$D6)))</formula>
    </cfRule>
  </conditionalFormatting>
  <conditionalFormatting sqref="DE6:DE305">
    <cfRule type="expression" priority="217" dxfId="3">
      <formula>N(DE6)+N(DQ6)&gt;31</formula>
    </cfRule>
    <cfRule type="expression" priority="218" dxfId="4">
      <formula>AND($B6&lt;&gt;"",OR(DATE(2030,8,0)&lt;Mitarbeiter!$C6,AND(Mitarbeiter!$D6&lt;&gt;"",DATE(2030,7,1)&gt;Mitarbeiter!$D6)))</formula>
    </cfRule>
  </conditionalFormatting>
  <conditionalFormatting sqref="DQ6:DQ305">
    <cfRule type="expression" priority="219" dxfId="3">
      <formula>N(DQ6)+N(DE6)&gt;31</formula>
    </cfRule>
    <cfRule type="expression" priority="220" dxfId="4">
      <formula>AND($B6&lt;&gt;"",OR(DATE(2030,8,0)&lt;Mitarbeiter!$C6,AND(Mitarbeiter!$D6&lt;&gt;"",DATE(2030,7,1)&gt;Mitarbeiter!$D6)))</formula>
    </cfRule>
  </conditionalFormatting>
  <conditionalFormatting sqref="DF6:DF305">
    <cfRule type="expression" priority="221" dxfId="3">
      <formula>N(DF6)+N(DR6)&gt;31</formula>
    </cfRule>
    <cfRule type="expression" priority="222" dxfId="4">
      <formula>AND($B6&lt;&gt;"",OR(DATE(2030,9,0)&lt;Mitarbeiter!$C6,AND(Mitarbeiter!$D6&lt;&gt;"",DATE(2030,8,1)&gt;Mitarbeiter!$D6)))</formula>
    </cfRule>
  </conditionalFormatting>
  <conditionalFormatting sqref="DR6:DR305">
    <cfRule type="expression" priority="223" dxfId="3">
      <formula>N(DR6)+N(DF6)&gt;31</formula>
    </cfRule>
    <cfRule type="expression" priority="224" dxfId="4">
      <formula>AND($B6&lt;&gt;"",OR(DATE(2030,9,0)&lt;Mitarbeiter!$C6,AND(Mitarbeiter!$D6&lt;&gt;"",DATE(2030,8,1)&gt;Mitarbeiter!$D6)))</formula>
    </cfRule>
  </conditionalFormatting>
  <conditionalFormatting sqref="DG6:DG305">
    <cfRule type="expression" priority="225" dxfId="3">
      <formula>N(DG6)+N(DS6)&gt;30</formula>
    </cfRule>
    <cfRule type="expression" priority="226" dxfId="4">
      <formula>AND($B6&lt;&gt;"",OR(DATE(2030,10,0)&lt;Mitarbeiter!$C6,AND(Mitarbeiter!$D6&lt;&gt;"",DATE(2030,9,1)&gt;Mitarbeiter!$D6)))</formula>
    </cfRule>
  </conditionalFormatting>
  <conditionalFormatting sqref="DS6:DS305">
    <cfRule type="expression" priority="227" dxfId="3">
      <formula>N(DS6)+N(DG6)&gt;30</formula>
    </cfRule>
    <cfRule type="expression" priority="228" dxfId="4">
      <formula>AND($B6&lt;&gt;"",OR(DATE(2030,10,0)&lt;Mitarbeiter!$C6,AND(Mitarbeiter!$D6&lt;&gt;"",DATE(2030,9,1)&gt;Mitarbeiter!$D6)))</formula>
    </cfRule>
  </conditionalFormatting>
  <conditionalFormatting sqref="DH6:DH305">
    <cfRule type="expression" priority="229" dxfId="3">
      <formula>N(DH6)+N(DT6)&gt;31</formula>
    </cfRule>
    <cfRule type="expression" priority="230" dxfId="4">
      <formula>AND($B6&lt;&gt;"",OR(DATE(2030,11,0)&lt;Mitarbeiter!$C6,AND(Mitarbeiter!$D6&lt;&gt;"",DATE(2030,10,1)&gt;Mitarbeiter!$D6)))</formula>
    </cfRule>
  </conditionalFormatting>
  <conditionalFormatting sqref="DT6:DT305">
    <cfRule type="expression" priority="231" dxfId="3">
      <formula>N(DT6)+N(DH6)&gt;31</formula>
    </cfRule>
    <cfRule type="expression" priority="232" dxfId="4">
      <formula>AND($B6&lt;&gt;"",OR(DATE(2030,11,0)&lt;Mitarbeiter!$C6,AND(Mitarbeiter!$D6&lt;&gt;"",DATE(2030,10,1)&gt;Mitarbeiter!$D6)))</formula>
    </cfRule>
  </conditionalFormatting>
  <conditionalFormatting sqref="DI6:DI305">
    <cfRule type="expression" priority="233" dxfId="3">
      <formula>N(DI6)+N(DU6)&gt;30</formula>
    </cfRule>
    <cfRule type="expression" priority="234" dxfId="4">
      <formula>AND($B6&lt;&gt;"",OR(DATE(2030,12,0)&lt;Mitarbeiter!$C6,AND(Mitarbeiter!$D6&lt;&gt;"",DATE(2030,11,1)&gt;Mitarbeiter!$D6)))</formula>
    </cfRule>
  </conditionalFormatting>
  <conditionalFormatting sqref="DU6:DU305">
    <cfRule type="expression" priority="235" dxfId="3">
      <formula>N(DU6)+N(DI6)&gt;30</formula>
    </cfRule>
    <cfRule type="expression" priority="236" dxfId="4">
      <formula>AND($B6&lt;&gt;"",OR(DATE(2030,12,0)&lt;Mitarbeiter!$C6,AND(Mitarbeiter!$D6&lt;&gt;"",DATE(2030,11,1)&gt;Mitarbeiter!$D6)))</formula>
    </cfRule>
  </conditionalFormatting>
  <conditionalFormatting sqref="DJ6:DJ305">
    <cfRule type="expression" priority="237" dxfId="3">
      <formula>N(DJ6)+N(DV6)&gt;31</formula>
    </cfRule>
    <cfRule type="expression" priority="238" dxfId="4">
      <formula>AND($B6&lt;&gt;"",OR(DATE(2030,13,0)&lt;Mitarbeiter!$C6,AND(Mitarbeiter!$D6&lt;&gt;"",DATE(2030,12,1)&gt;Mitarbeiter!$D6)))</formula>
    </cfRule>
  </conditionalFormatting>
  <conditionalFormatting sqref="DV6:DV305">
    <cfRule type="expression" priority="239" dxfId="3">
      <formula>N(DV6)+N(DJ6)&gt;31</formula>
    </cfRule>
    <cfRule type="expression" priority="240" dxfId="4">
      <formula>AND($B6&lt;&gt;"",OR(DATE(2030,13,0)&lt;Mitarbeiter!$C6,AND(Mitarbeiter!$D6&lt;&gt;"",DATE(2030,12,1)&gt;Mitarbeiter!$D6)))</formula>
    </cfRule>
  </conditionalFormatting>
  <dataValidations count="1">
    <dataValidation sqref="G6:DV305" showDropDown="0" showInputMessage="0" showErrorMessage="1" allowBlank="0" error="Krankheitstage 0–31" type="whole" operator="between">
      <formula1>0</formula1>
      <formula2>31</formula2>
    </dataValidation>
  </dataValidation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BM30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1" customWidth="1" min="4" max="4"/>
    <col width="2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outlineLevel="1" width="7" customWidth="1" min="18" max="29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outlineLevel="1" width="7" customWidth="1" min="30" max="41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outlineLevel="1" width="7" customWidth="1" min="42" max="53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outlineLevel="1" width="7" customWidth="1" min="54" max="65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</cols>
  <sheetData>
    <row r="1">
      <c r="A1" s="1" t="inlineStr">
        <is>
          <t>Ist-Stunden je Mitarbeiter und Monat</t>
        </is>
      </c>
      <c r="N1" s="12" t="inlineStr">
        <is>
          <t>→ Erklärung</t>
        </is>
      </c>
    </row>
    <row r="2" ht="40" customHeight="1">
      <c r="A2" s="13" t="inlineStr">
        <is>
          <t>Tatsächlich geleistete Stunden je MA und Monat (beide Objekte zusammen). Je Jahr ein Block. Spalte C = Auswertungsjahr, D = alle Jahre seit Eintritt. Grau = nicht beschäftigt.</t>
        </is>
      </c>
    </row>
    <row r="4">
      <c r="A4" s="41" t="n"/>
      <c r="B4" s="41" t="n"/>
      <c r="C4" s="41" t="n"/>
      <c r="D4" s="41" t="n"/>
      <c r="E4" s="41" t="n"/>
      <c r="F4" s="46" t="inlineStr">
        <is>
          <t>2026</t>
        </is>
      </c>
      <c r="R4" s="46" t="inlineStr">
        <is>
          <t>2027</t>
        </is>
      </c>
      <c r="AD4" s="46" t="inlineStr">
        <is>
          <t>2028</t>
        </is>
      </c>
      <c r="AP4" s="46" t="inlineStr">
        <is>
          <t>2029</t>
        </is>
      </c>
      <c r="BB4" s="46" t="inlineStr">
        <is>
          <t>2030</t>
        </is>
      </c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Ist-Std.
Ausw.-Jahr</t>
        </is>
      </c>
      <c r="D5" s="21" t="inlineStr">
        <is>
          <t>Ist-Std. seit
Eintritt</t>
        </is>
      </c>
      <c r="E5" s="21" t="inlineStr"/>
      <c r="F5" s="42" t="inlineStr">
        <is>
          <t>Jan</t>
        </is>
      </c>
      <c r="G5" s="42" t="inlineStr">
        <is>
          <t>Feb</t>
        </is>
      </c>
      <c r="H5" s="42" t="inlineStr">
        <is>
          <t>Mär</t>
        </is>
      </c>
      <c r="I5" s="42" t="inlineStr">
        <is>
          <t>Apr</t>
        </is>
      </c>
      <c r="J5" s="42" t="inlineStr">
        <is>
          <t>Mai</t>
        </is>
      </c>
      <c r="K5" s="42" t="inlineStr">
        <is>
          <t>Jun</t>
        </is>
      </c>
      <c r="L5" s="42" t="inlineStr">
        <is>
          <t>Jul</t>
        </is>
      </c>
      <c r="M5" s="42" t="inlineStr">
        <is>
          <t>Aug</t>
        </is>
      </c>
      <c r="N5" s="42" t="inlineStr">
        <is>
          <t>Sep</t>
        </is>
      </c>
      <c r="O5" s="42" t="inlineStr">
        <is>
          <t>Okt</t>
        </is>
      </c>
      <c r="P5" s="42" t="inlineStr">
        <is>
          <t>Nov</t>
        </is>
      </c>
      <c r="Q5" s="42" t="inlineStr">
        <is>
          <t>Dez</t>
        </is>
      </c>
      <c r="R5" s="42" t="inlineStr">
        <is>
          <t>Jan</t>
        </is>
      </c>
      <c r="S5" s="42" t="inlineStr">
        <is>
          <t>Feb</t>
        </is>
      </c>
      <c r="T5" s="42" t="inlineStr">
        <is>
          <t>Mär</t>
        </is>
      </c>
      <c r="U5" s="42" t="inlineStr">
        <is>
          <t>Apr</t>
        </is>
      </c>
      <c r="V5" s="42" t="inlineStr">
        <is>
          <t>Mai</t>
        </is>
      </c>
      <c r="W5" s="42" t="inlineStr">
        <is>
          <t>Jun</t>
        </is>
      </c>
      <c r="X5" s="42" t="inlineStr">
        <is>
          <t>Jul</t>
        </is>
      </c>
      <c r="Y5" s="42" t="inlineStr">
        <is>
          <t>Aug</t>
        </is>
      </c>
      <c r="Z5" s="42" t="inlineStr">
        <is>
          <t>Sep</t>
        </is>
      </c>
      <c r="AA5" s="42" t="inlineStr">
        <is>
          <t>Okt</t>
        </is>
      </c>
      <c r="AB5" s="42" t="inlineStr">
        <is>
          <t>Nov</t>
        </is>
      </c>
      <c r="AC5" s="42" t="inlineStr">
        <is>
          <t>Dez</t>
        </is>
      </c>
      <c r="AD5" s="42" t="inlineStr">
        <is>
          <t>Jan</t>
        </is>
      </c>
      <c r="AE5" s="42" t="inlineStr">
        <is>
          <t>Feb</t>
        </is>
      </c>
      <c r="AF5" s="42" t="inlineStr">
        <is>
          <t>Mär</t>
        </is>
      </c>
      <c r="AG5" s="42" t="inlineStr">
        <is>
          <t>Apr</t>
        </is>
      </c>
      <c r="AH5" s="42" t="inlineStr">
        <is>
          <t>Mai</t>
        </is>
      </c>
      <c r="AI5" s="42" t="inlineStr">
        <is>
          <t>Jun</t>
        </is>
      </c>
      <c r="AJ5" s="42" t="inlineStr">
        <is>
          <t>Jul</t>
        </is>
      </c>
      <c r="AK5" s="42" t="inlineStr">
        <is>
          <t>Aug</t>
        </is>
      </c>
      <c r="AL5" s="42" t="inlineStr">
        <is>
          <t>Sep</t>
        </is>
      </c>
      <c r="AM5" s="42" t="inlineStr">
        <is>
          <t>Okt</t>
        </is>
      </c>
      <c r="AN5" s="42" t="inlineStr">
        <is>
          <t>Nov</t>
        </is>
      </c>
      <c r="AO5" s="42" t="inlineStr">
        <is>
          <t>Dez</t>
        </is>
      </c>
      <c r="AP5" s="42" t="inlineStr">
        <is>
          <t>Jan</t>
        </is>
      </c>
      <c r="AQ5" s="42" t="inlineStr">
        <is>
          <t>Feb</t>
        </is>
      </c>
      <c r="AR5" s="42" t="inlineStr">
        <is>
          <t>Mär</t>
        </is>
      </c>
      <c r="AS5" s="42" t="inlineStr">
        <is>
          <t>Apr</t>
        </is>
      </c>
      <c r="AT5" s="42" t="inlineStr">
        <is>
          <t>Mai</t>
        </is>
      </c>
      <c r="AU5" s="42" t="inlineStr">
        <is>
          <t>Jun</t>
        </is>
      </c>
      <c r="AV5" s="42" t="inlineStr">
        <is>
          <t>Jul</t>
        </is>
      </c>
      <c r="AW5" s="42" t="inlineStr">
        <is>
          <t>Aug</t>
        </is>
      </c>
      <c r="AX5" s="42" t="inlineStr">
        <is>
          <t>Sep</t>
        </is>
      </c>
      <c r="AY5" s="42" t="inlineStr">
        <is>
          <t>Okt</t>
        </is>
      </c>
      <c r="AZ5" s="42" t="inlineStr">
        <is>
          <t>Nov</t>
        </is>
      </c>
      <c r="BA5" s="42" t="inlineStr">
        <is>
          <t>Dez</t>
        </is>
      </c>
      <c r="BB5" s="42" t="inlineStr">
        <is>
          <t>Jan</t>
        </is>
      </c>
      <c r="BC5" s="42" t="inlineStr">
        <is>
          <t>Feb</t>
        </is>
      </c>
      <c r="BD5" s="42" t="inlineStr">
        <is>
          <t>Mär</t>
        </is>
      </c>
      <c r="BE5" s="42" t="inlineStr">
        <is>
          <t>Apr</t>
        </is>
      </c>
      <c r="BF5" s="42" t="inlineStr">
        <is>
          <t>Mai</t>
        </is>
      </c>
      <c r="BG5" s="42" t="inlineStr">
        <is>
          <t>Jun</t>
        </is>
      </c>
      <c r="BH5" s="42" t="inlineStr">
        <is>
          <t>Jul</t>
        </is>
      </c>
      <c r="BI5" s="42" t="inlineStr">
        <is>
          <t>Aug</t>
        </is>
      </c>
      <c r="BJ5" s="42" t="inlineStr">
        <is>
          <t>Sep</t>
        </is>
      </c>
      <c r="BK5" s="42" t="inlineStr">
        <is>
          <t>Okt</t>
        </is>
      </c>
      <c r="BL5" s="42" t="inlineStr">
        <is>
          <t>Nov</t>
        </is>
      </c>
      <c r="BM5" s="42" t="inlineStr">
        <is>
          <t>Dez</t>
        </is>
      </c>
    </row>
    <row r="6">
      <c r="A6" s="47">
        <f>IF(Mitarbeiter!B6="","",Mitarbeiter!A6)</f>
        <v/>
      </c>
      <c r="B6" s="48">
        <f>IF(Mitarbeiter!B6="","",Mitarbeiter!B6)</f>
        <v/>
      </c>
      <c r="C6" s="37">
        <f>IF(Mitarbeiter!B6="","",N(INDEX($F6:$BM6,1,(Einstellungen!$C$3-2026)*12+1))+N(INDEX($F6:$BM6,1,(Einstellungen!$C$3-2026)*12+2))+N(INDEX($F6:$BM6,1,(Einstellungen!$C$3-2026)*12+3))+N(INDEX($F6:$BM6,1,(Einstellungen!$C$3-2026)*12+4))+N(INDEX($F6:$BM6,1,(Einstellungen!$C$3-2026)*12+5))+N(INDEX($F6:$BM6,1,(Einstellungen!$C$3-2026)*12+6))+N(INDEX($F6:$BM6,1,(Einstellungen!$C$3-2026)*12+7))+N(INDEX($F6:$BM6,1,(Einstellungen!$C$3-2026)*12+8))+N(INDEX($F6:$BM6,1,(Einstellungen!$C$3-2026)*12+9))+N(INDEX($F6:$BM6,1,(Einstellungen!$C$3-2026)*12+10))+N(INDEX($F6:$BM6,1,(Einstellungen!$C$3-2026)*12+11))+N(INDEX($F6:$BM6,1,(Einstellungen!$C$3-2026)*12+12)))</f>
        <v/>
      </c>
      <c r="D6" s="37">
        <f>IF(Mitarbeiter!B6="","",SUM(F6:BM6))</f>
        <v/>
      </c>
      <c r="F6" s="51" t="n">
        <v>172</v>
      </c>
      <c r="G6" s="51" t="n">
        <v>172</v>
      </c>
      <c r="H6" s="51" t="n">
        <v>190</v>
      </c>
      <c r="I6" s="51" t="n">
        <v>166</v>
      </c>
      <c r="J6" s="51" t="n">
        <v>190</v>
      </c>
      <c r="K6" s="51" t="n">
        <v>126</v>
      </c>
      <c r="L6" s="51" t="n">
        <v>190</v>
      </c>
      <c r="M6" s="51" t="n">
        <v>190</v>
      </c>
      <c r="N6" s="51" t="n">
        <v>160</v>
      </c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  <c r="AA6" s="51" t="n"/>
      <c r="AB6" s="51" t="n"/>
      <c r="AC6" s="51" t="n"/>
      <c r="AD6" s="51" t="n"/>
      <c r="AE6" s="51" t="n"/>
      <c r="AF6" s="51" t="n"/>
      <c r="AG6" s="51" t="n"/>
      <c r="AH6" s="51" t="n"/>
      <c r="AI6" s="51" t="n"/>
      <c r="AJ6" s="51" t="n"/>
      <c r="AK6" s="51" t="n"/>
      <c r="AL6" s="51" t="n"/>
      <c r="AM6" s="51" t="n"/>
      <c r="AN6" s="51" t="n"/>
      <c r="AO6" s="51" t="n"/>
      <c r="AP6" s="51" t="n"/>
      <c r="AQ6" s="51" t="n"/>
      <c r="AR6" s="51" t="n"/>
      <c r="AS6" s="51" t="n"/>
      <c r="AT6" s="51" t="n"/>
      <c r="AU6" s="51" t="n"/>
      <c r="AV6" s="51" t="n"/>
      <c r="AW6" s="51" t="n"/>
      <c r="AX6" s="51" t="n"/>
      <c r="AY6" s="51" t="n"/>
      <c r="AZ6" s="51" t="n"/>
      <c r="BA6" s="51" t="n"/>
      <c r="BB6" s="51" t="n"/>
      <c r="BC6" s="51" t="n"/>
      <c r="BD6" s="51" t="n"/>
      <c r="BE6" s="51" t="n"/>
      <c r="BF6" s="51" t="n"/>
      <c r="BG6" s="51" t="n"/>
      <c r="BH6" s="51" t="n"/>
      <c r="BI6" s="51" t="n"/>
      <c r="BJ6" s="51" t="n"/>
      <c r="BK6" s="51" t="n"/>
      <c r="BL6" s="51" t="n"/>
      <c r="BM6" s="51" t="n"/>
    </row>
    <row r="7">
      <c r="A7" s="47">
        <f>IF(Mitarbeiter!B7="","",Mitarbeiter!A7)</f>
        <v/>
      </c>
      <c r="B7" s="48">
        <f>IF(Mitarbeiter!B7="","",Mitarbeiter!B7)</f>
        <v/>
      </c>
      <c r="C7" s="37">
        <f>IF(Mitarbeiter!B7="","",N(INDEX($F7:$BM7,1,(Einstellungen!$C$3-2026)*12+1))+N(INDEX($F7:$BM7,1,(Einstellungen!$C$3-2026)*12+2))+N(INDEX($F7:$BM7,1,(Einstellungen!$C$3-2026)*12+3))+N(INDEX($F7:$BM7,1,(Einstellungen!$C$3-2026)*12+4))+N(INDEX($F7:$BM7,1,(Einstellungen!$C$3-2026)*12+5))+N(INDEX($F7:$BM7,1,(Einstellungen!$C$3-2026)*12+6))+N(INDEX($F7:$BM7,1,(Einstellungen!$C$3-2026)*12+7))+N(INDEX($F7:$BM7,1,(Einstellungen!$C$3-2026)*12+8))+N(INDEX($F7:$BM7,1,(Einstellungen!$C$3-2026)*12+9))+N(INDEX($F7:$BM7,1,(Einstellungen!$C$3-2026)*12+10))+N(INDEX($F7:$BM7,1,(Einstellungen!$C$3-2026)*12+11))+N(INDEX($F7:$BM7,1,(Einstellungen!$C$3-2026)*12+12)))</f>
        <v/>
      </c>
      <c r="D7" s="37">
        <f>IF(Mitarbeiter!B7="","",SUM(F7:BM7))</f>
        <v/>
      </c>
      <c r="F7" s="51" t="n">
        <v>92</v>
      </c>
      <c r="G7" s="51" t="n">
        <v>66</v>
      </c>
      <c r="H7" s="51" t="n">
        <v>86</v>
      </c>
      <c r="I7" s="51" t="n">
        <v>86</v>
      </c>
      <c r="J7" s="51" t="n">
        <v>80</v>
      </c>
      <c r="K7" s="51" t="n">
        <v>68</v>
      </c>
      <c r="L7" s="51" t="n">
        <v>104</v>
      </c>
      <c r="M7" s="51" t="n">
        <v>80</v>
      </c>
      <c r="N7" s="51" t="n">
        <v>86</v>
      </c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  <c r="AA7" s="51" t="n"/>
      <c r="AB7" s="51" t="n"/>
      <c r="AC7" s="51" t="n"/>
      <c r="AD7" s="51" t="n"/>
      <c r="AE7" s="51" t="n"/>
      <c r="AF7" s="51" t="n"/>
      <c r="AG7" s="51" t="n"/>
      <c r="AH7" s="51" t="n"/>
      <c r="AI7" s="51" t="n"/>
      <c r="AJ7" s="51" t="n"/>
      <c r="AK7" s="51" t="n"/>
      <c r="AL7" s="51" t="n"/>
      <c r="AM7" s="51" t="n"/>
      <c r="AN7" s="51" t="n"/>
      <c r="AO7" s="51" t="n"/>
      <c r="AP7" s="51" t="n"/>
      <c r="AQ7" s="51" t="n"/>
      <c r="AR7" s="51" t="n"/>
      <c r="AS7" s="51" t="n"/>
      <c r="AT7" s="51" t="n"/>
      <c r="AU7" s="51" t="n"/>
      <c r="AV7" s="51" t="n"/>
      <c r="AW7" s="51" t="n"/>
      <c r="AX7" s="51" t="n"/>
      <c r="AY7" s="51" t="n"/>
      <c r="AZ7" s="51" t="n"/>
      <c r="BA7" s="51" t="n"/>
      <c r="BB7" s="51" t="n"/>
      <c r="BC7" s="51" t="n"/>
      <c r="BD7" s="51" t="n"/>
      <c r="BE7" s="51" t="n"/>
      <c r="BF7" s="51" t="n"/>
      <c r="BG7" s="51" t="n"/>
      <c r="BH7" s="51" t="n"/>
      <c r="BI7" s="51" t="n"/>
      <c r="BJ7" s="51" t="n"/>
      <c r="BK7" s="51" t="n"/>
      <c r="BL7" s="51" t="n"/>
      <c r="BM7" s="51" t="n"/>
    </row>
    <row r="8">
      <c r="A8" s="47">
        <f>IF(Mitarbeiter!B8="","",Mitarbeiter!A8)</f>
        <v/>
      </c>
      <c r="B8" s="48">
        <f>IF(Mitarbeiter!B8="","",Mitarbeiter!B8)</f>
        <v/>
      </c>
      <c r="C8" s="37">
        <f>IF(Mitarbeiter!B8="","",N(INDEX($F8:$BM8,1,(Einstellungen!$C$3-2026)*12+1))+N(INDEX($F8:$BM8,1,(Einstellungen!$C$3-2026)*12+2))+N(INDEX($F8:$BM8,1,(Einstellungen!$C$3-2026)*12+3))+N(INDEX($F8:$BM8,1,(Einstellungen!$C$3-2026)*12+4))+N(INDEX($F8:$BM8,1,(Einstellungen!$C$3-2026)*12+5))+N(INDEX($F8:$BM8,1,(Einstellungen!$C$3-2026)*12+6))+N(INDEX($F8:$BM8,1,(Einstellungen!$C$3-2026)*12+7))+N(INDEX($F8:$BM8,1,(Einstellungen!$C$3-2026)*12+8))+N(INDEX($F8:$BM8,1,(Einstellungen!$C$3-2026)*12+9))+N(INDEX($F8:$BM8,1,(Einstellungen!$C$3-2026)*12+10))+N(INDEX($F8:$BM8,1,(Einstellungen!$C$3-2026)*12+11))+N(INDEX($F8:$BM8,1,(Einstellungen!$C$3-2026)*12+12)))</f>
        <v/>
      </c>
      <c r="D8" s="37">
        <f>IF(Mitarbeiter!B8="","",SUM(F8:BM8))</f>
        <v/>
      </c>
      <c r="F8" s="51" t="n">
        <v>172</v>
      </c>
      <c r="G8" s="51" t="n">
        <v>152</v>
      </c>
      <c r="H8" s="51" t="n">
        <v>64</v>
      </c>
      <c r="I8" s="51" t="n">
        <v>102</v>
      </c>
      <c r="J8" s="51" t="n">
        <v>172</v>
      </c>
      <c r="K8" s="51" t="n">
        <v>160</v>
      </c>
      <c r="L8" s="51" t="n">
        <v>190</v>
      </c>
      <c r="M8" s="51" t="n">
        <v>142</v>
      </c>
      <c r="N8" s="51" t="n">
        <v>172</v>
      </c>
      <c r="O8" s="51" t="n"/>
      <c r="P8" s="51" t="n"/>
      <c r="Q8" s="51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  <c r="AU8" s="51" t="n"/>
      <c r="AV8" s="51" t="n"/>
      <c r="AW8" s="51" t="n"/>
      <c r="AX8" s="51" t="n"/>
      <c r="AY8" s="51" t="n"/>
      <c r="AZ8" s="51" t="n"/>
      <c r="BA8" s="51" t="n"/>
      <c r="BB8" s="51" t="n"/>
      <c r="BC8" s="51" t="n"/>
      <c r="BD8" s="51" t="n"/>
      <c r="BE8" s="51" t="n"/>
      <c r="BF8" s="51" t="n"/>
      <c r="BG8" s="51" t="n"/>
      <c r="BH8" s="51" t="n"/>
      <c r="BI8" s="51" t="n"/>
      <c r="BJ8" s="51" t="n"/>
      <c r="BK8" s="51" t="n"/>
      <c r="BL8" s="51" t="n"/>
      <c r="BM8" s="51" t="n"/>
    </row>
    <row r="9">
      <c r="A9" s="47">
        <f>IF(Mitarbeiter!B9="","",Mitarbeiter!A9)</f>
        <v/>
      </c>
      <c r="B9" s="48">
        <f>IF(Mitarbeiter!B9="","",Mitarbeiter!B9)</f>
        <v/>
      </c>
      <c r="C9" s="37">
        <f>IF(Mitarbeiter!B9="","",N(INDEX($F9:$BM9,1,(Einstellungen!$C$3-2026)*12+1))+N(INDEX($F9:$BM9,1,(Einstellungen!$C$3-2026)*12+2))+N(INDEX($F9:$BM9,1,(Einstellungen!$C$3-2026)*12+3))+N(INDEX($F9:$BM9,1,(Einstellungen!$C$3-2026)*12+4))+N(INDEX($F9:$BM9,1,(Einstellungen!$C$3-2026)*12+5))+N(INDEX($F9:$BM9,1,(Einstellungen!$C$3-2026)*12+6))+N(INDEX($F9:$BM9,1,(Einstellungen!$C$3-2026)*12+7))+N(INDEX($F9:$BM9,1,(Einstellungen!$C$3-2026)*12+8))+N(INDEX($F9:$BM9,1,(Einstellungen!$C$3-2026)*12+9))+N(INDEX($F9:$BM9,1,(Einstellungen!$C$3-2026)*12+10))+N(INDEX($F9:$BM9,1,(Einstellungen!$C$3-2026)*12+11))+N(INDEX($F9:$BM9,1,(Einstellungen!$C$3-2026)*12+12)))</f>
        <v/>
      </c>
      <c r="D9" s="37">
        <f>IF(Mitarbeiter!B9="","",SUM(F9:BM9))</f>
        <v/>
      </c>
      <c r="F9" s="51" t="n">
        <v>70</v>
      </c>
      <c r="G9" s="51" t="n">
        <v>190</v>
      </c>
      <c r="H9" s="51" t="n">
        <v>166</v>
      </c>
      <c r="I9" s="51" t="n">
        <v>190</v>
      </c>
      <c r="J9" s="51" t="n">
        <v>172</v>
      </c>
      <c r="K9" s="51" t="n">
        <v>172</v>
      </c>
      <c r="L9" s="51" t="n">
        <v>182</v>
      </c>
      <c r="M9" s="51" t="n">
        <v>148</v>
      </c>
      <c r="N9" s="51" t="n">
        <v>190</v>
      </c>
      <c r="O9" s="51" t="n"/>
      <c r="P9" s="51" t="n"/>
      <c r="Q9" s="51" t="n"/>
      <c r="R9" s="51" t="n"/>
      <c r="S9" s="51" t="n"/>
      <c r="T9" s="51" t="n"/>
      <c r="U9" s="51" t="n"/>
      <c r="V9" s="51" t="n"/>
      <c r="W9" s="51" t="n"/>
      <c r="X9" s="51" t="n"/>
      <c r="Y9" s="51" t="n"/>
      <c r="Z9" s="51" t="n"/>
      <c r="AA9" s="51" t="n"/>
      <c r="AB9" s="51" t="n"/>
      <c r="AC9" s="51" t="n"/>
      <c r="AD9" s="51" t="n"/>
      <c r="AE9" s="51" t="n"/>
      <c r="AF9" s="51" t="n"/>
      <c r="AG9" s="51" t="n"/>
      <c r="AH9" s="51" t="n"/>
      <c r="AI9" s="51" t="n"/>
      <c r="AJ9" s="51" t="n"/>
      <c r="AK9" s="51" t="n"/>
      <c r="AL9" s="51" t="n"/>
      <c r="AM9" s="51" t="n"/>
      <c r="AN9" s="51" t="n"/>
      <c r="AO9" s="51" t="n"/>
      <c r="AP9" s="51" t="n"/>
      <c r="AQ9" s="51" t="n"/>
      <c r="AR9" s="51" t="n"/>
      <c r="AS9" s="51" t="n"/>
      <c r="AT9" s="51" t="n"/>
      <c r="AU9" s="51" t="n"/>
      <c r="AV9" s="51" t="n"/>
      <c r="AW9" s="51" t="n"/>
      <c r="AX9" s="51" t="n"/>
      <c r="AY9" s="51" t="n"/>
      <c r="AZ9" s="51" t="n"/>
      <c r="BA9" s="51" t="n"/>
      <c r="BB9" s="51" t="n"/>
      <c r="BC9" s="51" t="n"/>
      <c r="BD9" s="51" t="n"/>
      <c r="BE9" s="51" t="n"/>
      <c r="BF9" s="51" t="n"/>
      <c r="BG9" s="51" t="n"/>
      <c r="BH9" s="51" t="n"/>
      <c r="BI9" s="51" t="n"/>
      <c r="BJ9" s="51" t="n"/>
      <c r="BK9" s="51" t="n"/>
      <c r="BL9" s="51" t="n"/>
      <c r="BM9" s="51" t="n"/>
    </row>
    <row r="10">
      <c r="A10" s="47">
        <f>IF(Mitarbeiter!B10="","",Mitarbeiter!A10)</f>
        <v/>
      </c>
      <c r="B10" s="48">
        <f>IF(Mitarbeiter!B10="","",Mitarbeiter!B10)</f>
        <v/>
      </c>
      <c r="C10" s="37">
        <f>IF(Mitarbeiter!B10="","",N(INDEX($F10:$BM10,1,(Einstellungen!$C$3-2026)*12+1))+N(INDEX($F10:$BM10,1,(Einstellungen!$C$3-2026)*12+2))+N(INDEX($F10:$BM10,1,(Einstellungen!$C$3-2026)*12+3))+N(INDEX($F10:$BM10,1,(Einstellungen!$C$3-2026)*12+4))+N(INDEX($F10:$BM10,1,(Einstellungen!$C$3-2026)*12+5))+N(INDEX($F10:$BM10,1,(Einstellungen!$C$3-2026)*12+6))+N(INDEX($F10:$BM10,1,(Einstellungen!$C$3-2026)*12+7))+N(INDEX($F10:$BM10,1,(Einstellungen!$C$3-2026)*12+8))+N(INDEX($F10:$BM10,1,(Einstellungen!$C$3-2026)*12+9))+N(INDEX($F10:$BM10,1,(Einstellungen!$C$3-2026)*12+10))+N(INDEX($F10:$BM10,1,(Einstellungen!$C$3-2026)*12+11))+N(INDEX($F10:$BM10,1,(Einstellungen!$C$3-2026)*12+12)))</f>
        <v/>
      </c>
      <c r="D10" s="37">
        <f>IF(Mitarbeiter!B10="","",SUM(F10:BM10))</f>
        <v/>
      </c>
      <c r="F10" s="51" t="n">
        <v>178</v>
      </c>
      <c r="G10" s="51" t="n">
        <v>178</v>
      </c>
      <c r="H10" s="51" t="n">
        <v>160</v>
      </c>
      <c r="I10" s="51" t="n">
        <v>182</v>
      </c>
      <c r="J10" s="51" t="n">
        <v>166</v>
      </c>
      <c r="K10" s="51" t="n">
        <v>164</v>
      </c>
      <c r="L10" s="51" t="n">
        <v>182</v>
      </c>
      <c r="M10" s="51" t="n">
        <v>160</v>
      </c>
      <c r="N10" s="51" t="n">
        <v>160</v>
      </c>
      <c r="O10" s="51" t="n"/>
      <c r="P10" s="51" t="n"/>
      <c r="Q10" s="51" t="n"/>
      <c r="R10" s="51" t="n"/>
      <c r="S10" s="51" t="n"/>
      <c r="T10" s="51" t="n"/>
      <c r="U10" s="51" t="n"/>
      <c r="V10" s="51" t="n"/>
      <c r="W10" s="51" t="n"/>
      <c r="X10" s="51" t="n"/>
      <c r="Y10" s="51" t="n"/>
      <c r="Z10" s="51" t="n"/>
      <c r="AA10" s="51" t="n"/>
      <c r="AB10" s="51" t="n"/>
      <c r="AC10" s="51" t="n"/>
      <c r="AD10" s="51" t="n"/>
      <c r="AE10" s="51" t="n"/>
      <c r="AF10" s="51" t="n"/>
      <c r="AG10" s="51" t="n"/>
      <c r="AH10" s="51" t="n"/>
      <c r="AI10" s="51" t="n"/>
      <c r="AJ10" s="51" t="n"/>
      <c r="AK10" s="51" t="n"/>
      <c r="AL10" s="51" t="n"/>
      <c r="AM10" s="51" t="n"/>
      <c r="AN10" s="51" t="n"/>
      <c r="AO10" s="51" t="n"/>
      <c r="AP10" s="51" t="n"/>
      <c r="AQ10" s="51" t="n"/>
      <c r="AR10" s="51" t="n"/>
      <c r="AS10" s="51" t="n"/>
      <c r="AT10" s="51" t="n"/>
      <c r="AU10" s="51" t="n"/>
      <c r="AV10" s="51" t="n"/>
      <c r="AW10" s="51" t="n"/>
      <c r="AX10" s="51" t="n"/>
      <c r="AY10" s="51" t="n"/>
      <c r="AZ10" s="51" t="n"/>
      <c r="BA10" s="51" t="n"/>
      <c r="BB10" s="51" t="n"/>
      <c r="BC10" s="51" t="n"/>
      <c r="BD10" s="51" t="n"/>
      <c r="BE10" s="51" t="n"/>
      <c r="BF10" s="51" t="n"/>
      <c r="BG10" s="51" t="n"/>
      <c r="BH10" s="51" t="n"/>
      <c r="BI10" s="51" t="n"/>
      <c r="BJ10" s="51" t="n"/>
      <c r="BK10" s="51" t="n"/>
      <c r="BL10" s="51" t="n"/>
      <c r="BM10" s="51" t="n"/>
    </row>
    <row r="11">
      <c r="A11" s="47">
        <f>IF(Mitarbeiter!B11="","",Mitarbeiter!A11)</f>
        <v/>
      </c>
      <c r="B11" s="48">
        <f>IF(Mitarbeiter!B11="","",Mitarbeiter!B11)</f>
        <v/>
      </c>
      <c r="C11" s="37">
        <f>IF(Mitarbeiter!B11="","",N(INDEX($F11:$BM11,1,(Einstellungen!$C$3-2026)*12+1))+N(INDEX($F11:$BM11,1,(Einstellungen!$C$3-2026)*12+2))+N(INDEX($F11:$BM11,1,(Einstellungen!$C$3-2026)*12+3))+N(INDEX($F11:$BM11,1,(Einstellungen!$C$3-2026)*12+4))+N(INDEX($F11:$BM11,1,(Einstellungen!$C$3-2026)*12+5))+N(INDEX($F11:$BM11,1,(Einstellungen!$C$3-2026)*12+6))+N(INDEX($F11:$BM11,1,(Einstellungen!$C$3-2026)*12+7))+N(INDEX($F11:$BM11,1,(Einstellungen!$C$3-2026)*12+8))+N(INDEX($F11:$BM11,1,(Einstellungen!$C$3-2026)*12+9))+N(INDEX($F11:$BM11,1,(Einstellungen!$C$3-2026)*12+10))+N(INDEX($F11:$BM11,1,(Einstellungen!$C$3-2026)*12+11))+N(INDEX($F11:$BM11,1,(Einstellungen!$C$3-2026)*12+12)))</f>
        <v/>
      </c>
      <c r="D11" s="37">
        <f>IF(Mitarbeiter!B11="","",SUM(F11:BM11))</f>
        <v/>
      </c>
      <c r="F11" s="51" t="n">
        <v>178</v>
      </c>
      <c r="G11" s="51" t="n">
        <v>154</v>
      </c>
      <c r="H11" s="51" t="n">
        <v>178</v>
      </c>
      <c r="I11" s="51" t="n">
        <v>178</v>
      </c>
      <c r="J11" s="51" t="n">
        <v>166</v>
      </c>
      <c r="K11" s="51" t="n">
        <v>190</v>
      </c>
      <c r="L11" s="51" t="n">
        <v>172</v>
      </c>
      <c r="M11" s="51" t="n">
        <v>112</v>
      </c>
      <c r="N11" s="51" t="n">
        <v>172</v>
      </c>
      <c r="O11" s="51" t="n"/>
      <c r="P11" s="51" t="n"/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  <c r="Z11" s="51" t="n"/>
      <c r="AA11" s="51" t="n"/>
      <c r="AB11" s="51" t="n"/>
      <c r="AC11" s="51" t="n"/>
      <c r="AD11" s="51" t="n"/>
      <c r="AE11" s="51" t="n"/>
      <c r="AF11" s="51" t="n"/>
      <c r="AG11" s="51" t="n"/>
      <c r="AH11" s="51" t="n"/>
      <c r="AI11" s="51" t="n"/>
      <c r="AJ11" s="51" t="n"/>
      <c r="AK11" s="51" t="n"/>
      <c r="AL11" s="51" t="n"/>
      <c r="AM11" s="51" t="n"/>
      <c r="AN11" s="51" t="n"/>
      <c r="AO11" s="51" t="n"/>
      <c r="AP11" s="51" t="n"/>
      <c r="AQ11" s="51" t="n"/>
      <c r="AR11" s="51" t="n"/>
      <c r="AS11" s="51" t="n"/>
      <c r="AT11" s="51" t="n"/>
      <c r="AU11" s="51" t="n"/>
      <c r="AV11" s="51" t="n"/>
      <c r="AW11" s="51" t="n"/>
      <c r="AX11" s="51" t="n"/>
      <c r="AY11" s="51" t="n"/>
      <c r="AZ11" s="51" t="n"/>
      <c r="BA11" s="51" t="n"/>
      <c r="BB11" s="51" t="n"/>
      <c r="BC11" s="51" t="n"/>
      <c r="BD11" s="51" t="n"/>
      <c r="BE11" s="51" t="n"/>
      <c r="BF11" s="51" t="n"/>
      <c r="BG11" s="51" t="n"/>
      <c r="BH11" s="51" t="n"/>
      <c r="BI11" s="51" t="n"/>
      <c r="BJ11" s="51" t="n"/>
      <c r="BK11" s="51" t="n"/>
      <c r="BL11" s="51" t="n"/>
      <c r="BM11" s="51" t="n"/>
    </row>
    <row r="12">
      <c r="A12" s="47">
        <f>IF(Mitarbeiter!B12="","",Mitarbeiter!A12)</f>
        <v/>
      </c>
      <c r="B12" s="48">
        <f>IF(Mitarbeiter!B12="","",Mitarbeiter!B12)</f>
        <v/>
      </c>
      <c r="C12" s="37">
        <f>IF(Mitarbeiter!B12="","",N(INDEX($F12:$BM12,1,(Einstellungen!$C$3-2026)*12+1))+N(INDEX($F12:$BM12,1,(Einstellungen!$C$3-2026)*12+2))+N(INDEX($F12:$BM12,1,(Einstellungen!$C$3-2026)*12+3))+N(INDEX($F12:$BM12,1,(Einstellungen!$C$3-2026)*12+4))+N(INDEX($F12:$BM12,1,(Einstellungen!$C$3-2026)*12+5))+N(INDEX($F12:$BM12,1,(Einstellungen!$C$3-2026)*12+6))+N(INDEX($F12:$BM12,1,(Einstellungen!$C$3-2026)*12+7))+N(INDEX($F12:$BM12,1,(Einstellungen!$C$3-2026)*12+8))+N(INDEX($F12:$BM12,1,(Einstellungen!$C$3-2026)*12+9))+N(INDEX($F12:$BM12,1,(Einstellungen!$C$3-2026)*12+10))+N(INDEX($F12:$BM12,1,(Einstellungen!$C$3-2026)*12+11))+N(INDEX($F12:$BM12,1,(Einstellungen!$C$3-2026)*12+12)))</f>
        <v/>
      </c>
      <c r="D12" s="37">
        <f>IF(Mitarbeiter!B12="","",SUM(F12:BM12))</f>
        <v/>
      </c>
      <c r="F12" s="51" t="n">
        <v>182</v>
      </c>
      <c r="G12" s="51" t="n">
        <v>8</v>
      </c>
      <c r="H12" s="51" t="n">
        <v>178</v>
      </c>
      <c r="I12" s="51" t="n">
        <v>172</v>
      </c>
      <c r="J12" s="51" t="n">
        <v>154</v>
      </c>
      <c r="K12" s="51" t="n">
        <v>172</v>
      </c>
      <c r="L12" s="51" t="n">
        <v>178</v>
      </c>
      <c r="M12" s="51" t="n">
        <v>172</v>
      </c>
      <c r="N12" s="51" t="n">
        <v>178</v>
      </c>
      <c r="O12" s="51" t="n"/>
      <c r="P12" s="51" t="n"/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  <c r="Z12" s="51" t="n"/>
      <c r="AA12" s="51" t="n"/>
      <c r="AB12" s="51" t="n"/>
      <c r="AC12" s="51" t="n"/>
      <c r="AD12" s="51" t="n"/>
      <c r="AE12" s="51" t="n"/>
      <c r="AF12" s="51" t="n"/>
      <c r="AG12" s="51" t="n"/>
      <c r="AH12" s="51" t="n"/>
      <c r="AI12" s="51" t="n"/>
      <c r="AJ12" s="51" t="n"/>
      <c r="AK12" s="51" t="n"/>
      <c r="AL12" s="51" t="n"/>
      <c r="AM12" s="51" t="n"/>
      <c r="AN12" s="51" t="n"/>
      <c r="AO12" s="51" t="n"/>
      <c r="AP12" s="51" t="n"/>
      <c r="AQ12" s="51" t="n"/>
      <c r="AR12" s="51" t="n"/>
      <c r="AS12" s="51" t="n"/>
      <c r="AT12" s="51" t="n"/>
      <c r="AU12" s="51" t="n"/>
      <c r="AV12" s="51" t="n"/>
      <c r="AW12" s="51" t="n"/>
      <c r="AX12" s="51" t="n"/>
      <c r="AY12" s="51" t="n"/>
      <c r="AZ12" s="51" t="n"/>
      <c r="BA12" s="51" t="n"/>
      <c r="BB12" s="51" t="n"/>
      <c r="BC12" s="51" t="n"/>
      <c r="BD12" s="51" t="n"/>
      <c r="BE12" s="51" t="n"/>
      <c r="BF12" s="51" t="n"/>
      <c r="BG12" s="51" t="n"/>
      <c r="BH12" s="51" t="n"/>
      <c r="BI12" s="51" t="n"/>
      <c r="BJ12" s="51" t="n"/>
      <c r="BK12" s="51" t="n"/>
      <c r="BL12" s="51" t="n"/>
      <c r="BM12" s="51" t="n"/>
    </row>
    <row r="13">
      <c r="A13" s="47">
        <f>IF(Mitarbeiter!B13="","",Mitarbeiter!A13)</f>
        <v/>
      </c>
      <c r="B13" s="48">
        <f>IF(Mitarbeiter!B13="","",Mitarbeiter!B13)</f>
        <v/>
      </c>
      <c r="C13" s="37">
        <f>IF(Mitarbeiter!B13="","",N(INDEX($F13:$BM13,1,(Einstellungen!$C$3-2026)*12+1))+N(INDEX($F13:$BM13,1,(Einstellungen!$C$3-2026)*12+2))+N(INDEX($F13:$BM13,1,(Einstellungen!$C$3-2026)*12+3))+N(INDEX($F13:$BM13,1,(Einstellungen!$C$3-2026)*12+4))+N(INDEX($F13:$BM13,1,(Einstellungen!$C$3-2026)*12+5))+N(INDEX($F13:$BM13,1,(Einstellungen!$C$3-2026)*12+6))+N(INDEX($F13:$BM13,1,(Einstellungen!$C$3-2026)*12+7))+N(INDEX($F13:$BM13,1,(Einstellungen!$C$3-2026)*12+8))+N(INDEX($F13:$BM13,1,(Einstellungen!$C$3-2026)*12+9))+N(INDEX($F13:$BM13,1,(Einstellungen!$C$3-2026)*12+10))+N(INDEX($F13:$BM13,1,(Einstellungen!$C$3-2026)*12+11))+N(INDEX($F13:$BM13,1,(Einstellungen!$C$3-2026)*12+12)))</f>
        <v/>
      </c>
      <c r="D13" s="37">
        <f>IF(Mitarbeiter!B13="","",SUM(F13:BM13))</f>
        <v/>
      </c>
      <c r="F13" s="51" t="n">
        <v>139</v>
      </c>
      <c r="G13" s="51" t="n">
        <v>139</v>
      </c>
      <c r="H13" s="51" t="n">
        <v>129</v>
      </c>
      <c r="I13" s="51" t="n">
        <v>129</v>
      </c>
      <c r="J13" s="51" t="n">
        <v>147</v>
      </c>
      <c r="K13" s="51" t="n">
        <v>147</v>
      </c>
      <c r="L13" s="51" t="n">
        <v>135</v>
      </c>
      <c r="M13" s="51" t="n">
        <v>127</v>
      </c>
      <c r="N13" s="51" t="n">
        <v>117</v>
      </c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  <c r="AA13" s="51" t="n"/>
      <c r="AB13" s="51" t="n"/>
      <c r="AC13" s="51" t="n"/>
      <c r="AD13" s="51" t="n"/>
      <c r="AE13" s="51" t="n"/>
      <c r="AF13" s="51" t="n"/>
      <c r="AG13" s="51" t="n"/>
      <c r="AH13" s="51" t="n"/>
      <c r="AI13" s="51" t="n"/>
      <c r="AJ13" s="51" t="n"/>
      <c r="AK13" s="51" t="n"/>
      <c r="AL13" s="51" t="n"/>
      <c r="AM13" s="51" t="n"/>
      <c r="AN13" s="51" t="n"/>
      <c r="AO13" s="51" t="n"/>
      <c r="AP13" s="51" t="n"/>
      <c r="AQ13" s="51" t="n"/>
      <c r="AR13" s="51" t="n"/>
      <c r="AS13" s="51" t="n"/>
      <c r="AT13" s="51" t="n"/>
      <c r="AU13" s="51" t="n"/>
      <c r="AV13" s="51" t="n"/>
      <c r="AW13" s="51" t="n"/>
      <c r="AX13" s="51" t="n"/>
      <c r="AY13" s="51" t="n"/>
      <c r="AZ13" s="51" t="n"/>
      <c r="BA13" s="51" t="n"/>
      <c r="BB13" s="51" t="n"/>
      <c r="BC13" s="51" t="n"/>
      <c r="BD13" s="51" t="n"/>
      <c r="BE13" s="51" t="n"/>
      <c r="BF13" s="51" t="n"/>
      <c r="BG13" s="51" t="n"/>
      <c r="BH13" s="51" t="n"/>
      <c r="BI13" s="51" t="n"/>
      <c r="BJ13" s="51" t="n"/>
      <c r="BK13" s="51" t="n"/>
      <c r="BL13" s="51" t="n"/>
      <c r="BM13" s="51" t="n"/>
    </row>
    <row r="14">
      <c r="A14" s="47">
        <f>IF(Mitarbeiter!B14="","",Mitarbeiter!A14)</f>
        <v/>
      </c>
      <c r="B14" s="48">
        <f>IF(Mitarbeiter!B14="","",Mitarbeiter!B14)</f>
        <v/>
      </c>
      <c r="C14" s="37">
        <f>IF(Mitarbeiter!B14="","",N(INDEX($F14:$BM14,1,(Einstellungen!$C$3-2026)*12+1))+N(INDEX($F14:$BM14,1,(Einstellungen!$C$3-2026)*12+2))+N(INDEX($F14:$BM14,1,(Einstellungen!$C$3-2026)*12+3))+N(INDEX($F14:$BM14,1,(Einstellungen!$C$3-2026)*12+4))+N(INDEX($F14:$BM14,1,(Einstellungen!$C$3-2026)*12+5))+N(INDEX($F14:$BM14,1,(Einstellungen!$C$3-2026)*12+6))+N(INDEX($F14:$BM14,1,(Einstellungen!$C$3-2026)*12+7))+N(INDEX($F14:$BM14,1,(Einstellungen!$C$3-2026)*12+8))+N(INDEX($F14:$BM14,1,(Einstellungen!$C$3-2026)*12+9))+N(INDEX($F14:$BM14,1,(Einstellungen!$C$3-2026)*12+10))+N(INDEX($F14:$BM14,1,(Einstellungen!$C$3-2026)*12+11))+N(INDEX($F14:$BM14,1,(Einstellungen!$C$3-2026)*12+12)))</f>
        <v/>
      </c>
      <c r="D14" s="37">
        <f>IF(Mitarbeiter!B14="","",SUM(F14:BM14))</f>
        <v/>
      </c>
      <c r="F14" s="51" t="n">
        <v>139</v>
      </c>
      <c r="G14" s="51" t="n">
        <v>117</v>
      </c>
      <c r="H14" s="51" t="n">
        <v>135</v>
      </c>
      <c r="I14" s="51" t="n">
        <v>123</v>
      </c>
      <c r="J14" s="51" t="n">
        <v>129</v>
      </c>
      <c r="K14" s="51" t="n">
        <v>81</v>
      </c>
      <c r="L14" s="51" t="n">
        <v>123</v>
      </c>
      <c r="M14" s="51" t="n">
        <v>135</v>
      </c>
      <c r="N14" s="51" t="n">
        <v>111</v>
      </c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  <c r="AA14" s="51" t="n"/>
      <c r="AB14" s="51" t="n"/>
      <c r="AC14" s="51" t="n"/>
      <c r="AD14" s="51" t="n"/>
      <c r="AE14" s="51" t="n"/>
      <c r="AF14" s="51" t="n"/>
      <c r="AG14" s="51" t="n"/>
      <c r="AH14" s="51" t="n"/>
      <c r="AI14" s="51" t="n"/>
      <c r="AJ14" s="51" t="n"/>
      <c r="AK14" s="51" t="n"/>
      <c r="AL14" s="51" t="n"/>
      <c r="AM14" s="51" t="n"/>
      <c r="AN14" s="51" t="n"/>
      <c r="AO14" s="51" t="n"/>
      <c r="AP14" s="51" t="n"/>
      <c r="AQ14" s="51" t="n"/>
      <c r="AR14" s="51" t="n"/>
      <c r="AS14" s="51" t="n"/>
      <c r="AT14" s="51" t="n"/>
      <c r="AU14" s="51" t="n"/>
      <c r="AV14" s="51" t="n"/>
      <c r="AW14" s="51" t="n"/>
      <c r="AX14" s="51" t="n"/>
      <c r="AY14" s="51" t="n"/>
      <c r="AZ14" s="51" t="n"/>
      <c r="BA14" s="51" t="n"/>
      <c r="BB14" s="51" t="n"/>
      <c r="BC14" s="51" t="n"/>
      <c r="BD14" s="51" t="n"/>
      <c r="BE14" s="51" t="n"/>
      <c r="BF14" s="51" t="n"/>
      <c r="BG14" s="51" t="n"/>
      <c r="BH14" s="51" t="n"/>
      <c r="BI14" s="51" t="n"/>
      <c r="BJ14" s="51" t="n"/>
      <c r="BK14" s="51" t="n"/>
      <c r="BL14" s="51" t="n"/>
      <c r="BM14" s="51" t="n"/>
    </row>
    <row r="15">
      <c r="A15" s="47">
        <f>IF(Mitarbeiter!B15="","",Mitarbeiter!A15)</f>
        <v/>
      </c>
      <c r="B15" s="48">
        <f>IF(Mitarbeiter!B15="","",Mitarbeiter!B15)</f>
        <v/>
      </c>
      <c r="C15" s="37">
        <f>IF(Mitarbeiter!B15="","",N(INDEX($F15:$BM15,1,(Einstellungen!$C$3-2026)*12+1))+N(INDEX($F15:$BM15,1,(Einstellungen!$C$3-2026)*12+2))+N(INDEX($F15:$BM15,1,(Einstellungen!$C$3-2026)*12+3))+N(INDEX($F15:$BM15,1,(Einstellungen!$C$3-2026)*12+4))+N(INDEX($F15:$BM15,1,(Einstellungen!$C$3-2026)*12+5))+N(INDEX($F15:$BM15,1,(Einstellungen!$C$3-2026)*12+6))+N(INDEX($F15:$BM15,1,(Einstellungen!$C$3-2026)*12+7))+N(INDEX($F15:$BM15,1,(Einstellungen!$C$3-2026)*12+8))+N(INDEX($F15:$BM15,1,(Einstellungen!$C$3-2026)*12+9))+N(INDEX($F15:$BM15,1,(Einstellungen!$C$3-2026)*12+10))+N(INDEX($F15:$BM15,1,(Einstellungen!$C$3-2026)*12+11))+N(INDEX($F15:$BM15,1,(Einstellungen!$C$3-2026)*12+12)))</f>
        <v/>
      </c>
      <c r="D15" s="37">
        <f>IF(Mitarbeiter!B15="","",SUM(F15:BM15))</f>
        <v/>
      </c>
      <c r="F15" s="51" t="n">
        <v>182</v>
      </c>
      <c r="G15" s="51" t="n">
        <v>190</v>
      </c>
      <c r="H15" s="51" t="n">
        <v>178</v>
      </c>
      <c r="I15" s="51" t="n"/>
      <c r="J15" s="51" t="n"/>
      <c r="K15" s="51" t="n"/>
      <c r="L15" s="51" t="n"/>
      <c r="M15" s="51" t="n"/>
      <c r="N15" s="51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  <c r="Y15" s="51" t="n"/>
      <c r="Z15" s="51" t="n"/>
      <c r="AA15" s="51" t="n"/>
      <c r="AB15" s="51" t="n"/>
      <c r="AC15" s="51" t="n"/>
      <c r="AD15" s="51" t="n"/>
      <c r="AE15" s="51" t="n"/>
      <c r="AF15" s="51" t="n"/>
      <c r="AG15" s="51" t="n"/>
      <c r="AH15" s="51" t="n"/>
      <c r="AI15" s="51" t="n"/>
      <c r="AJ15" s="51" t="n"/>
      <c r="AK15" s="51" t="n"/>
      <c r="AL15" s="51" t="n"/>
      <c r="AM15" s="51" t="n"/>
      <c r="AN15" s="51" t="n"/>
      <c r="AO15" s="51" t="n"/>
      <c r="AP15" s="51" t="n"/>
      <c r="AQ15" s="51" t="n"/>
      <c r="AR15" s="51" t="n"/>
      <c r="AS15" s="51" t="n"/>
      <c r="AT15" s="51" t="n"/>
      <c r="AU15" s="51" t="n"/>
      <c r="AV15" s="51" t="n"/>
      <c r="AW15" s="51" t="n"/>
      <c r="AX15" s="51" t="n"/>
      <c r="AY15" s="51" t="n"/>
      <c r="AZ15" s="51" t="n"/>
      <c r="BA15" s="51" t="n"/>
      <c r="BB15" s="51" t="n"/>
      <c r="BC15" s="51" t="n"/>
      <c r="BD15" s="51" t="n"/>
      <c r="BE15" s="51" t="n"/>
      <c r="BF15" s="51" t="n"/>
      <c r="BG15" s="51" t="n"/>
      <c r="BH15" s="51" t="n"/>
      <c r="BI15" s="51" t="n"/>
      <c r="BJ15" s="51" t="n"/>
      <c r="BK15" s="51" t="n"/>
      <c r="BL15" s="51" t="n"/>
      <c r="BM15" s="51" t="n"/>
    </row>
    <row r="16">
      <c r="A16" s="47">
        <f>IF(Mitarbeiter!B16="","",Mitarbeiter!A16)</f>
        <v/>
      </c>
      <c r="B16" s="48">
        <f>IF(Mitarbeiter!B16="","",Mitarbeiter!B16)</f>
        <v/>
      </c>
      <c r="C16" s="37">
        <f>IF(Mitarbeiter!B16="","",N(INDEX($F16:$BM16,1,(Einstellungen!$C$3-2026)*12+1))+N(INDEX($F16:$BM16,1,(Einstellungen!$C$3-2026)*12+2))+N(INDEX($F16:$BM16,1,(Einstellungen!$C$3-2026)*12+3))+N(INDEX($F16:$BM16,1,(Einstellungen!$C$3-2026)*12+4))+N(INDEX($F16:$BM16,1,(Einstellungen!$C$3-2026)*12+5))+N(INDEX($F16:$BM16,1,(Einstellungen!$C$3-2026)*12+6))+N(INDEX($F16:$BM16,1,(Einstellungen!$C$3-2026)*12+7))+N(INDEX($F16:$BM16,1,(Einstellungen!$C$3-2026)*12+8))+N(INDEX($F16:$BM16,1,(Einstellungen!$C$3-2026)*12+9))+N(INDEX($F16:$BM16,1,(Einstellungen!$C$3-2026)*12+10))+N(INDEX($F16:$BM16,1,(Einstellungen!$C$3-2026)*12+11))+N(INDEX($F16:$BM16,1,(Einstellungen!$C$3-2026)*12+12)))</f>
        <v/>
      </c>
      <c r="D16" s="37">
        <f>IF(Mitarbeiter!B16="","",SUM(F16:BM16))</f>
        <v/>
      </c>
      <c r="F16" s="51" t="n">
        <v>93</v>
      </c>
      <c r="G16" s="51" t="n">
        <v>129</v>
      </c>
      <c r="H16" s="51" t="n">
        <v>111</v>
      </c>
      <c r="I16" s="51" t="n">
        <v>111</v>
      </c>
      <c r="J16" s="51" t="n">
        <v>117</v>
      </c>
      <c r="K16" s="51" t="n">
        <v>117</v>
      </c>
      <c r="L16" s="51" t="n">
        <v>147</v>
      </c>
      <c r="M16" s="51" t="n">
        <v>99</v>
      </c>
      <c r="N16" s="51" t="n">
        <v>117</v>
      </c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  <c r="Z16" s="51" t="n"/>
      <c r="AA16" s="51" t="n"/>
      <c r="AB16" s="51" t="n"/>
      <c r="AC16" s="51" t="n"/>
      <c r="AD16" s="51" t="n"/>
      <c r="AE16" s="51" t="n"/>
      <c r="AF16" s="51" t="n"/>
      <c r="AG16" s="51" t="n"/>
      <c r="AH16" s="51" t="n"/>
      <c r="AI16" s="51" t="n"/>
      <c r="AJ16" s="51" t="n"/>
      <c r="AK16" s="51" t="n"/>
      <c r="AL16" s="51" t="n"/>
      <c r="AM16" s="51" t="n"/>
      <c r="AN16" s="51" t="n"/>
      <c r="AO16" s="51" t="n"/>
      <c r="AP16" s="51" t="n"/>
      <c r="AQ16" s="51" t="n"/>
      <c r="AR16" s="51" t="n"/>
      <c r="AS16" s="51" t="n"/>
      <c r="AT16" s="51" t="n"/>
      <c r="AU16" s="51" t="n"/>
      <c r="AV16" s="51" t="n"/>
      <c r="AW16" s="51" t="n"/>
      <c r="AX16" s="51" t="n"/>
      <c r="AY16" s="51" t="n"/>
      <c r="AZ16" s="51" t="n"/>
      <c r="BA16" s="51" t="n"/>
      <c r="BB16" s="51" t="n"/>
      <c r="BC16" s="51" t="n"/>
      <c r="BD16" s="51" t="n"/>
      <c r="BE16" s="51" t="n"/>
      <c r="BF16" s="51" t="n"/>
      <c r="BG16" s="51" t="n"/>
      <c r="BH16" s="51" t="n"/>
      <c r="BI16" s="51" t="n"/>
      <c r="BJ16" s="51" t="n"/>
      <c r="BK16" s="51" t="n"/>
      <c r="BL16" s="51" t="n"/>
      <c r="BM16" s="51" t="n"/>
    </row>
    <row r="17">
      <c r="A17" s="47">
        <f>IF(Mitarbeiter!B17="","",Mitarbeiter!A17)</f>
        <v/>
      </c>
      <c r="B17" s="48">
        <f>IF(Mitarbeiter!B17="","",Mitarbeiter!B17)</f>
        <v/>
      </c>
      <c r="C17" s="37">
        <f>IF(Mitarbeiter!B17="","",N(INDEX($F17:$BM17,1,(Einstellungen!$C$3-2026)*12+1))+N(INDEX($F17:$BM17,1,(Einstellungen!$C$3-2026)*12+2))+N(INDEX($F17:$BM17,1,(Einstellungen!$C$3-2026)*12+3))+N(INDEX($F17:$BM17,1,(Einstellungen!$C$3-2026)*12+4))+N(INDEX($F17:$BM17,1,(Einstellungen!$C$3-2026)*12+5))+N(INDEX($F17:$BM17,1,(Einstellungen!$C$3-2026)*12+6))+N(INDEX($F17:$BM17,1,(Einstellungen!$C$3-2026)*12+7))+N(INDEX($F17:$BM17,1,(Einstellungen!$C$3-2026)*12+8))+N(INDEX($F17:$BM17,1,(Einstellungen!$C$3-2026)*12+9))+N(INDEX($F17:$BM17,1,(Einstellungen!$C$3-2026)*12+10))+N(INDEX($F17:$BM17,1,(Einstellungen!$C$3-2026)*12+11))+N(INDEX($F17:$BM17,1,(Einstellungen!$C$3-2026)*12+12)))</f>
        <v/>
      </c>
      <c r="D17" s="37">
        <f>IF(Mitarbeiter!B17="","",SUM(F17:BM17))</f>
        <v/>
      </c>
      <c r="F17" s="51" t="n">
        <v>178</v>
      </c>
      <c r="G17" s="51" t="n">
        <v>190</v>
      </c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  <c r="AA17" s="51" t="n"/>
      <c r="AB17" s="51" t="n"/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  <c r="AN17" s="51" t="n"/>
      <c r="AO17" s="51" t="n"/>
      <c r="AP17" s="51" t="n"/>
      <c r="AQ17" s="51" t="n"/>
      <c r="AR17" s="51" t="n"/>
      <c r="AS17" s="51" t="n"/>
      <c r="AT17" s="51" t="n"/>
      <c r="AU17" s="51" t="n"/>
      <c r="AV17" s="51" t="n"/>
      <c r="AW17" s="51" t="n"/>
      <c r="AX17" s="51" t="n"/>
      <c r="AY17" s="51" t="n"/>
      <c r="AZ17" s="51" t="n"/>
      <c r="BA17" s="51" t="n"/>
      <c r="BB17" s="51" t="n"/>
      <c r="BC17" s="51" t="n"/>
      <c r="BD17" s="51" t="n"/>
      <c r="BE17" s="51" t="n"/>
      <c r="BF17" s="51" t="n"/>
      <c r="BG17" s="51" t="n"/>
      <c r="BH17" s="51" t="n"/>
      <c r="BI17" s="51" t="n"/>
      <c r="BJ17" s="51" t="n"/>
      <c r="BK17" s="51" t="n"/>
      <c r="BL17" s="51" t="n"/>
      <c r="BM17" s="51" t="n"/>
    </row>
    <row r="18">
      <c r="A18" s="47">
        <f>IF(Mitarbeiter!B18="","",Mitarbeiter!A18)</f>
        <v/>
      </c>
      <c r="B18" s="48">
        <f>IF(Mitarbeiter!B18="","",Mitarbeiter!B18)</f>
        <v/>
      </c>
      <c r="C18" s="37">
        <f>IF(Mitarbeiter!B18="","",N(INDEX($F18:$BM18,1,(Einstellungen!$C$3-2026)*12+1))+N(INDEX($F18:$BM18,1,(Einstellungen!$C$3-2026)*12+2))+N(INDEX($F18:$BM18,1,(Einstellungen!$C$3-2026)*12+3))+N(INDEX($F18:$BM18,1,(Einstellungen!$C$3-2026)*12+4))+N(INDEX($F18:$BM18,1,(Einstellungen!$C$3-2026)*12+5))+N(INDEX($F18:$BM18,1,(Einstellungen!$C$3-2026)*12+6))+N(INDEX($F18:$BM18,1,(Einstellungen!$C$3-2026)*12+7))+N(INDEX($F18:$BM18,1,(Einstellungen!$C$3-2026)*12+8))+N(INDEX($F18:$BM18,1,(Einstellungen!$C$3-2026)*12+9))+N(INDEX($F18:$BM18,1,(Einstellungen!$C$3-2026)*12+10))+N(INDEX($F18:$BM18,1,(Einstellungen!$C$3-2026)*12+11))+N(INDEX($F18:$BM18,1,(Einstellungen!$C$3-2026)*12+12)))</f>
        <v/>
      </c>
      <c r="D18" s="37">
        <f>IF(Mitarbeiter!B18="","",SUM(F18:BM18))</f>
        <v/>
      </c>
      <c r="F18" s="51" t="n">
        <v>190</v>
      </c>
      <c r="G18" s="51" t="n">
        <v>182</v>
      </c>
      <c r="H18" s="51" t="n">
        <v>124</v>
      </c>
      <c r="I18" s="51" t="n">
        <v>172</v>
      </c>
      <c r="J18" s="51" t="n">
        <v>160</v>
      </c>
      <c r="K18" s="51" t="n"/>
      <c r="L18" s="51" t="n"/>
      <c r="M18" s="51" t="n"/>
      <c r="N18" s="51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  <c r="Y18" s="51" t="n"/>
      <c r="Z18" s="51" t="n"/>
      <c r="AA18" s="51" t="n"/>
      <c r="AB18" s="51" t="n"/>
      <c r="AC18" s="51" t="n"/>
      <c r="AD18" s="51" t="n"/>
      <c r="AE18" s="51" t="n"/>
      <c r="AF18" s="51" t="n"/>
      <c r="AG18" s="51" t="n"/>
      <c r="AH18" s="51" t="n"/>
      <c r="AI18" s="51" t="n"/>
      <c r="AJ18" s="51" t="n"/>
      <c r="AK18" s="51" t="n"/>
      <c r="AL18" s="51" t="n"/>
      <c r="AM18" s="51" t="n"/>
      <c r="AN18" s="51" t="n"/>
      <c r="AO18" s="51" t="n"/>
      <c r="AP18" s="51" t="n"/>
      <c r="AQ18" s="51" t="n"/>
      <c r="AR18" s="51" t="n"/>
      <c r="AS18" s="51" t="n"/>
      <c r="AT18" s="51" t="n"/>
      <c r="AU18" s="51" t="n"/>
      <c r="AV18" s="51" t="n"/>
      <c r="AW18" s="51" t="n"/>
      <c r="AX18" s="51" t="n"/>
      <c r="AY18" s="51" t="n"/>
      <c r="AZ18" s="51" t="n"/>
      <c r="BA18" s="51" t="n"/>
      <c r="BB18" s="51" t="n"/>
      <c r="BC18" s="51" t="n"/>
      <c r="BD18" s="51" t="n"/>
      <c r="BE18" s="51" t="n"/>
      <c r="BF18" s="51" t="n"/>
      <c r="BG18" s="51" t="n"/>
      <c r="BH18" s="51" t="n"/>
      <c r="BI18" s="51" t="n"/>
      <c r="BJ18" s="51" t="n"/>
      <c r="BK18" s="51" t="n"/>
      <c r="BL18" s="51" t="n"/>
      <c r="BM18" s="51" t="n"/>
    </row>
    <row r="19">
      <c r="A19" s="47">
        <f>IF(Mitarbeiter!B19="","",Mitarbeiter!A19)</f>
        <v/>
      </c>
      <c r="B19" s="48">
        <f>IF(Mitarbeiter!B19="","",Mitarbeiter!B19)</f>
        <v/>
      </c>
      <c r="C19" s="37">
        <f>IF(Mitarbeiter!B19="","",N(INDEX($F19:$BM19,1,(Einstellungen!$C$3-2026)*12+1))+N(INDEX($F19:$BM19,1,(Einstellungen!$C$3-2026)*12+2))+N(INDEX($F19:$BM19,1,(Einstellungen!$C$3-2026)*12+3))+N(INDEX($F19:$BM19,1,(Einstellungen!$C$3-2026)*12+4))+N(INDEX($F19:$BM19,1,(Einstellungen!$C$3-2026)*12+5))+N(INDEX($F19:$BM19,1,(Einstellungen!$C$3-2026)*12+6))+N(INDEX($F19:$BM19,1,(Einstellungen!$C$3-2026)*12+7))+N(INDEX($F19:$BM19,1,(Einstellungen!$C$3-2026)*12+8))+N(INDEX($F19:$BM19,1,(Einstellungen!$C$3-2026)*12+9))+N(INDEX($F19:$BM19,1,(Einstellungen!$C$3-2026)*12+10))+N(INDEX($F19:$BM19,1,(Einstellungen!$C$3-2026)*12+11))+N(INDEX($F19:$BM19,1,(Einstellungen!$C$3-2026)*12+12)))</f>
        <v/>
      </c>
      <c r="D19" s="37">
        <f>IF(Mitarbeiter!B19="","",SUM(F19:BM19))</f>
        <v/>
      </c>
      <c r="F19" s="51" t="n">
        <v>172</v>
      </c>
      <c r="G19" s="51" t="n">
        <v>182</v>
      </c>
      <c r="H19" s="51" t="n">
        <v>166</v>
      </c>
      <c r="I19" s="51" t="n">
        <v>160</v>
      </c>
      <c r="J19" s="51" t="n">
        <v>160</v>
      </c>
      <c r="K19" s="51" t="n">
        <v>190</v>
      </c>
      <c r="L19" s="51" t="n">
        <v>160</v>
      </c>
      <c r="M19" s="51" t="n">
        <v>182</v>
      </c>
      <c r="N19" s="51" t="n">
        <v>172</v>
      </c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  <c r="Y19" s="51" t="n"/>
      <c r="Z19" s="51" t="n"/>
      <c r="AA19" s="51" t="n"/>
      <c r="AB19" s="51" t="n"/>
      <c r="AC19" s="51" t="n"/>
      <c r="AD19" s="51" t="n"/>
      <c r="AE19" s="51" t="n"/>
      <c r="AF19" s="51" t="n"/>
      <c r="AG19" s="51" t="n"/>
      <c r="AH19" s="51" t="n"/>
      <c r="AI19" s="51" t="n"/>
      <c r="AJ19" s="51" t="n"/>
      <c r="AK19" s="51" t="n"/>
      <c r="AL19" s="51" t="n"/>
      <c r="AM19" s="51" t="n"/>
      <c r="AN19" s="51" t="n"/>
      <c r="AO19" s="51" t="n"/>
      <c r="AP19" s="51" t="n"/>
      <c r="AQ19" s="51" t="n"/>
      <c r="AR19" s="51" t="n"/>
      <c r="AS19" s="51" t="n"/>
      <c r="AT19" s="51" t="n"/>
      <c r="AU19" s="51" t="n"/>
      <c r="AV19" s="51" t="n"/>
      <c r="AW19" s="51" t="n"/>
      <c r="AX19" s="51" t="n"/>
      <c r="AY19" s="51" t="n"/>
      <c r="AZ19" s="51" t="n"/>
      <c r="BA19" s="51" t="n"/>
      <c r="BB19" s="51" t="n"/>
      <c r="BC19" s="51" t="n"/>
      <c r="BD19" s="51" t="n"/>
      <c r="BE19" s="51" t="n"/>
      <c r="BF19" s="51" t="n"/>
      <c r="BG19" s="51" t="n"/>
      <c r="BH19" s="51" t="n"/>
      <c r="BI19" s="51" t="n"/>
      <c r="BJ19" s="51" t="n"/>
      <c r="BK19" s="51" t="n"/>
      <c r="BL19" s="51" t="n"/>
      <c r="BM19" s="51" t="n"/>
    </row>
    <row r="20">
      <c r="A20" s="47">
        <f>IF(Mitarbeiter!B20="","",Mitarbeiter!A20)</f>
        <v/>
      </c>
      <c r="B20" s="48">
        <f>IF(Mitarbeiter!B20="","",Mitarbeiter!B20)</f>
        <v/>
      </c>
      <c r="C20" s="37">
        <f>IF(Mitarbeiter!B20="","",N(INDEX($F20:$BM20,1,(Einstellungen!$C$3-2026)*12+1))+N(INDEX($F20:$BM20,1,(Einstellungen!$C$3-2026)*12+2))+N(INDEX($F20:$BM20,1,(Einstellungen!$C$3-2026)*12+3))+N(INDEX($F20:$BM20,1,(Einstellungen!$C$3-2026)*12+4))+N(INDEX($F20:$BM20,1,(Einstellungen!$C$3-2026)*12+5))+N(INDEX($F20:$BM20,1,(Einstellungen!$C$3-2026)*12+6))+N(INDEX($F20:$BM20,1,(Einstellungen!$C$3-2026)*12+7))+N(INDEX($F20:$BM20,1,(Einstellungen!$C$3-2026)*12+8))+N(INDEX($F20:$BM20,1,(Einstellungen!$C$3-2026)*12+9))+N(INDEX($F20:$BM20,1,(Einstellungen!$C$3-2026)*12+10))+N(INDEX($F20:$BM20,1,(Einstellungen!$C$3-2026)*12+11))+N(INDEX($F20:$BM20,1,(Einstellungen!$C$3-2026)*12+12)))</f>
        <v/>
      </c>
      <c r="D20" s="37">
        <f>IF(Mitarbeiter!B20="","",SUM(F20:BM20))</f>
        <v/>
      </c>
      <c r="F20" s="51" t="n">
        <v>172</v>
      </c>
      <c r="G20" s="51" t="n">
        <v>158</v>
      </c>
      <c r="H20" s="51" t="n">
        <v>182</v>
      </c>
      <c r="I20" s="51" t="n">
        <v>190</v>
      </c>
      <c r="J20" s="51" t="n">
        <v>182</v>
      </c>
      <c r="K20" s="51" t="n">
        <v>178</v>
      </c>
      <c r="L20" s="51" t="n">
        <v>178</v>
      </c>
      <c r="M20" s="51" t="n">
        <v>178</v>
      </c>
      <c r="N20" s="51" t="n">
        <v>166</v>
      </c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n"/>
      <c r="Y20" s="51" t="n"/>
      <c r="Z20" s="51" t="n"/>
      <c r="AA20" s="51" t="n"/>
      <c r="AB20" s="51" t="n"/>
      <c r="AC20" s="51" t="n"/>
      <c r="AD20" s="51" t="n"/>
      <c r="AE20" s="51" t="n"/>
      <c r="AF20" s="51" t="n"/>
      <c r="AG20" s="51" t="n"/>
      <c r="AH20" s="51" t="n"/>
      <c r="AI20" s="51" t="n"/>
      <c r="AJ20" s="51" t="n"/>
      <c r="AK20" s="51" t="n"/>
      <c r="AL20" s="51" t="n"/>
      <c r="AM20" s="51" t="n"/>
      <c r="AN20" s="51" t="n"/>
      <c r="AO20" s="51" t="n"/>
      <c r="AP20" s="51" t="n"/>
      <c r="AQ20" s="51" t="n"/>
      <c r="AR20" s="51" t="n"/>
      <c r="AS20" s="51" t="n"/>
      <c r="AT20" s="51" t="n"/>
      <c r="AU20" s="51" t="n"/>
      <c r="AV20" s="51" t="n"/>
      <c r="AW20" s="51" t="n"/>
      <c r="AX20" s="51" t="n"/>
      <c r="AY20" s="51" t="n"/>
      <c r="AZ20" s="51" t="n"/>
      <c r="BA20" s="51" t="n"/>
      <c r="BB20" s="51" t="n"/>
      <c r="BC20" s="51" t="n"/>
      <c r="BD20" s="51" t="n"/>
      <c r="BE20" s="51" t="n"/>
      <c r="BF20" s="51" t="n"/>
      <c r="BG20" s="51" t="n"/>
      <c r="BH20" s="51" t="n"/>
      <c r="BI20" s="51" t="n"/>
      <c r="BJ20" s="51" t="n"/>
      <c r="BK20" s="51" t="n"/>
      <c r="BL20" s="51" t="n"/>
      <c r="BM20" s="51" t="n"/>
    </row>
    <row r="21">
      <c r="A21" s="47">
        <f>IF(Mitarbeiter!B21="","",Mitarbeiter!A21)</f>
        <v/>
      </c>
      <c r="B21" s="48">
        <f>IF(Mitarbeiter!B21="","",Mitarbeiter!B21)</f>
        <v/>
      </c>
      <c r="C21" s="37">
        <f>IF(Mitarbeiter!B21="","",N(INDEX($F21:$BM21,1,(Einstellungen!$C$3-2026)*12+1))+N(INDEX($F21:$BM21,1,(Einstellungen!$C$3-2026)*12+2))+N(INDEX($F21:$BM21,1,(Einstellungen!$C$3-2026)*12+3))+N(INDEX($F21:$BM21,1,(Einstellungen!$C$3-2026)*12+4))+N(INDEX($F21:$BM21,1,(Einstellungen!$C$3-2026)*12+5))+N(INDEX($F21:$BM21,1,(Einstellungen!$C$3-2026)*12+6))+N(INDEX($F21:$BM21,1,(Einstellungen!$C$3-2026)*12+7))+N(INDEX($F21:$BM21,1,(Einstellungen!$C$3-2026)*12+8))+N(INDEX($F21:$BM21,1,(Einstellungen!$C$3-2026)*12+9))+N(INDEX($F21:$BM21,1,(Einstellungen!$C$3-2026)*12+10))+N(INDEX($F21:$BM21,1,(Einstellungen!$C$3-2026)*12+11))+N(INDEX($F21:$BM21,1,(Einstellungen!$C$3-2026)*12+12)))</f>
        <v/>
      </c>
      <c r="D21" s="37">
        <f>IF(Mitarbeiter!B21="","",SUM(F21:BM21))</f>
        <v/>
      </c>
      <c r="F21" s="51" t="n">
        <v>172</v>
      </c>
      <c r="G21" s="51" t="n">
        <v>178</v>
      </c>
      <c r="H21" s="51" t="n">
        <v>160</v>
      </c>
      <c r="I21" s="51" t="n">
        <v>160</v>
      </c>
      <c r="J21" s="51" t="n">
        <v>166</v>
      </c>
      <c r="K21" s="51" t="n">
        <v>172</v>
      </c>
      <c r="L21" s="51" t="n">
        <v>190</v>
      </c>
      <c r="M21" s="51" t="n">
        <v>82</v>
      </c>
      <c r="N21" s="51" t="n">
        <v>172</v>
      </c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  <c r="AA21" s="51" t="n"/>
      <c r="AB21" s="51" t="n"/>
      <c r="AC21" s="51" t="n"/>
      <c r="AD21" s="51" t="n"/>
      <c r="AE21" s="51" t="n"/>
      <c r="AF21" s="51" t="n"/>
      <c r="AG21" s="51" t="n"/>
      <c r="AH21" s="51" t="n"/>
      <c r="AI21" s="51" t="n"/>
      <c r="AJ21" s="51" t="n"/>
      <c r="AK21" s="51" t="n"/>
      <c r="AL21" s="51" t="n"/>
      <c r="AM21" s="51" t="n"/>
      <c r="AN21" s="51" t="n"/>
      <c r="AO21" s="51" t="n"/>
      <c r="AP21" s="51" t="n"/>
      <c r="AQ21" s="51" t="n"/>
      <c r="AR21" s="51" t="n"/>
      <c r="AS21" s="51" t="n"/>
      <c r="AT21" s="51" t="n"/>
      <c r="AU21" s="51" t="n"/>
      <c r="AV21" s="51" t="n"/>
      <c r="AW21" s="51" t="n"/>
      <c r="AX21" s="51" t="n"/>
      <c r="AY21" s="51" t="n"/>
      <c r="AZ21" s="51" t="n"/>
      <c r="BA21" s="51" t="n"/>
      <c r="BB21" s="51" t="n"/>
      <c r="BC21" s="51" t="n"/>
      <c r="BD21" s="51" t="n"/>
      <c r="BE21" s="51" t="n"/>
      <c r="BF21" s="51" t="n"/>
      <c r="BG21" s="51" t="n"/>
      <c r="BH21" s="51" t="n"/>
      <c r="BI21" s="51" t="n"/>
      <c r="BJ21" s="51" t="n"/>
      <c r="BK21" s="51" t="n"/>
      <c r="BL21" s="51" t="n"/>
      <c r="BM21" s="51" t="n"/>
    </row>
    <row r="22">
      <c r="A22" s="47">
        <f>IF(Mitarbeiter!B22="","",Mitarbeiter!A22)</f>
        <v/>
      </c>
      <c r="B22" s="48">
        <f>IF(Mitarbeiter!B22="","",Mitarbeiter!B22)</f>
        <v/>
      </c>
      <c r="C22" s="37">
        <f>IF(Mitarbeiter!B22="","",N(INDEX($F22:$BM22,1,(Einstellungen!$C$3-2026)*12+1))+N(INDEX($F22:$BM22,1,(Einstellungen!$C$3-2026)*12+2))+N(INDEX($F22:$BM22,1,(Einstellungen!$C$3-2026)*12+3))+N(INDEX($F22:$BM22,1,(Einstellungen!$C$3-2026)*12+4))+N(INDEX($F22:$BM22,1,(Einstellungen!$C$3-2026)*12+5))+N(INDEX($F22:$BM22,1,(Einstellungen!$C$3-2026)*12+6))+N(INDEX($F22:$BM22,1,(Einstellungen!$C$3-2026)*12+7))+N(INDEX($F22:$BM22,1,(Einstellungen!$C$3-2026)*12+8))+N(INDEX($F22:$BM22,1,(Einstellungen!$C$3-2026)*12+9))+N(INDEX($F22:$BM22,1,(Einstellungen!$C$3-2026)*12+10))+N(INDEX($F22:$BM22,1,(Einstellungen!$C$3-2026)*12+11))+N(INDEX($F22:$BM22,1,(Einstellungen!$C$3-2026)*12+12)))</f>
        <v/>
      </c>
      <c r="D22" s="37">
        <f>IF(Mitarbeiter!B22="","",SUM(F22:BM22))</f>
        <v/>
      </c>
      <c r="F22" s="51" t="n">
        <v>129</v>
      </c>
      <c r="G22" s="51" t="n">
        <v>117</v>
      </c>
      <c r="H22" s="51" t="n">
        <v>139</v>
      </c>
      <c r="I22" s="51" t="n">
        <v>129</v>
      </c>
      <c r="J22" s="51" t="n">
        <v>129</v>
      </c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  <c r="AA22" s="51" t="n"/>
      <c r="AB22" s="51" t="n"/>
      <c r="AC22" s="51" t="n"/>
      <c r="AD22" s="51" t="n"/>
      <c r="AE22" s="51" t="n"/>
      <c r="AF22" s="51" t="n"/>
      <c r="AG22" s="51" t="n"/>
      <c r="AH22" s="51" t="n"/>
      <c r="AI22" s="51" t="n"/>
      <c r="AJ22" s="51" t="n"/>
      <c r="AK22" s="51" t="n"/>
      <c r="AL22" s="51" t="n"/>
      <c r="AM22" s="51" t="n"/>
      <c r="AN22" s="51" t="n"/>
      <c r="AO22" s="51" t="n"/>
      <c r="AP22" s="51" t="n"/>
      <c r="AQ22" s="51" t="n"/>
      <c r="AR22" s="51" t="n"/>
      <c r="AS22" s="51" t="n"/>
      <c r="AT22" s="51" t="n"/>
      <c r="AU22" s="51" t="n"/>
      <c r="AV22" s="51" t="n"/>
      <c r="AW22" s="51" t="n"/>
      <c r="AX22" s="51" t="n"/>
      <c r="AY22" s="51" t="n"/>
      <c r="AZ22" s="51" t="n"/>
      <c r="BA22" s="51" t="n"/>
      <c r="BB22" s="51" t="n"/>
      <c r="BC22" s="51" t="n"/>
      <c r="BD22" s="51" t="n"/>
      <c r="BE22" s="51" t="n"/>
      <c r="BF22" s="51" t="n"/>
      <c r="BG22" s="51" t="n"/>
      <c r="BH22" s="51" t="n"/>
      <c r="BI22" s="51" t="n"/>
      <c r="BJ22" s="51" t="n"/>
      <c r="BK22" s="51" t="n"/>
      <c r="BL22" s="51" t="n"/>
      <c r="BM22" s="51" t="n"/>
    </row>
    <row r="23">
      <c r="A23" s="47">
        <f>IF(Mitarbeiter!B23="","",Mitarbeiter!A23)</f>
        <v/>
      </c>
      <c r="B23" s="48">
        <f>IF(Mitarbeiter!B23="","",Mitarbeiter!B23)</f>
        <v/>
      </c>
      <c r="C23" s="37">
        <f>IF(Mitarbeiter!B23="","",N(INDEX($F23:$BM23,1,(Einstellungen!$C$3-2026)*12+1))+N(INDEX($F23:$BM23,1,(Einstellungen!$C$3-2026)*12+2))+N(INDEX($F23:$BM23,1,(Einstellungen!$C$3-2026)*12+3))+N(INDEX($F23:$BM23,1,(Einstellungen!$C$3-2026)*12+4))+N(INDEX($F23:$BM23,1,(Einstellungen!$C$3-2026)*12+5))+N(INDEX($F23:$BM23,1,(Einstellungen!$C$3-2026)*12+6))+N(INDEX($F23:$BM23,1,(Einstellungen!$C$3-2026)*12+7))+N(INDEX($F23:$BM23,1,(Einstellungen!$C$3-2026)*12+8))+N(INDEX($F23:$BM23,1,(Einstellungen!$C$3-2026)*12+9))+N(INDEX($F23:$BM23,1,(Einstellungen!$C$3-2026)*12+10))+N(INDEX($F23:$BM23,1,(Einstellungen!$C$3-2026)*12+11))+N(INDEX($F23:$BM23,1,(Einstellungen!$C$3-2026)*12+12)))</f>
        <v/>
      </c>
      <c r="D23" s="37">
        <f>IF(Mitarbeiter!B23="","",SUM(F23:BM23))</f>
        <v/>
      </c>
      <c r="F23" s="51" t="n">
        <v>110</v>
      </c>
      <c r="G23" s="51" t="n">
        <v>190</v>
      </c>
      <c r="H23" s="51" t="n">
        <v>134</v>
      </c>
      <c r="I23" s="51" t="n">
        <v>178</v>
      </c>
      <c r="J23" s="51" t="n">
        <v>166</v>
      </c>
      <c r="K23" s="51" t="n">
        <v>182</v>
      </c>
      <c r="L23" s="51" t="n">
        <v>178</v>
      </c>
      <c r="M23" s="51" t="n">
        <v>172</v>
      </c>
      <c r="N23" s="51" t="n">
        <v>172</v>
      </c>
      <c r="O23" s="51" t="n"/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n"/>
      <c r="Y23" s="51" t="n"/>
      <c r="Z23" s="51" t="n"/>
      <c r="AA23" s="51" t="n"/>
      <c r="AB23" s="51" t="n"/>
      <c r="AC23" s="51" t="n"/>
      <c r="AD23" s="51" t="n"/>
      <c r="AE23" s="51" t="n"/>
      <c r="AF23" s="51" t="n"/>
      <c r="AG23" s="51" t="n"/>
      <c r="AH23" s="51" t="n"/>
      <c r="AI23" s="51" t="n"/>
      <c r="AJ23" s="51" t="n"/>
      <c r="AK23" s="51" t="n"/>
      <c r="AL23" s="51" t="n"/>
      <c r="AM23" s="51" t="n"/>
      <c r="AN23" s="51" t="n"/>
      <c r="AO23" s="51" t="n"/>
      <c r="AP23" s="51" t="n"/>
      <c r="AQ23" s="51" t="n"/>
      <c r="AR23" s="51" t="n"/>
      <c r="AS23" s="51" t="n"/>
      <c r="AT23" s="51" t="n"/>
      <c r="AU23" s="51" t="n"/>
      <c r="AV23" s="51" t="n"/>
      <c r="AW23" s="51" t="n"/>
      <c r="AX23" s="51" t="n"/>
      <c r="AY23" s="51" t="n"/>
      <c r="AZ23" s="51" t="n"/>
      <c r="BA23" s="51" t="n"/>
      <c r="BB23" s="51" t="n"/>
      <c r="BC23" s="51" t="n"/>
      <c r="BD23" s="51" t="n"/>
      <c r="BE23" s="51" t="n"/>
      <c r="BF23" s="51" t="n"/>
      <c r="BG23" s="51" t="n"/>
      <c r="BH23" s="51" t="n"/>
      <c r="BI23" s="51" t="n"/>
      <c r="BJ23" s="51" t="n"/>
      <c r="BK23" s="51" t="n"/>
      <c r="BL23" s="51" t="n"/>
      <c r="BM23" s="51" t="n"/>
    </row>
    <row r="24">
      <c r="A24" s="47">
        <f>IF(Mitarbeiter!B24="","",Mitarbeiter!A24)</f>
        <v/>
      </c>
      <c r="B24" s="48">
        <f>IF(Mitarbeiter!B24="","",Mitarbeiter!B24)</f>
        <v/>
      </c>
      <c r="C24" s="37">
        <f>IF(Mitarbeiter!B24="","",N(INDEX($F24:$BM24,1,(Einstellungen!$C$3-2026)*12+1))+N(INDEX($F24:$BM24,1,(Einstellungen!$C$3-2026)*12+2))+N(INDEX($F24:$BM24,1,(Einstellungen!$C$3-2026)*12+3))+N(INDEX($F24:$BM24,1,(Einstellungen!$C$3-2026)*12+4))+N(INDEX($F24:$BM24,1,(Einstellungen!$C$3-2026)*12+5))+N(INDEX($F24:$BM24,1,(Einstellungen!$C$3-2026)*12+6))+N(INDEX($F24:$BM24,1,(Einstellungen!$C$3-2026)*12+7))+N(INDEX($F24:$BM24,1,(Einstellungen!$C$3-2026)*12+8))+N(INDEX($F24:$BM24,1,(Einstellungen!$C$3-2026)*12+9))+N(INDEX($F24:$BM24,1,(Einstellungen!$C$3-2026)*12+10))+N(INDEX($F24:$BM24,1,(Einstellungen!$C$3-2026)*12+11))+N(INDEX($F24:$BM24,1,(Einstellungen!$C$3-2026)*12+12)))</f>
        <v/>
      </c>
      <c r="D24" s="37">
        <f>IF(Mitarbeiter!B24="","",SUM(F24:BM24))</f>
        <v/>
      </c>
      <c r="F24" s="51" t="n">
        <v>172</v>
      </c>
      <c r="G24" s="51" t="n">
        <v>160</v>
      </c>
      <c r="H24" s="51" t="n">
        <v>190</v>
      </c>
      <c r="I24" s="51" t="n">
        <v>182</v>
      </c>
      <c r="J24" s="51" t="n">
        <v>178</v>
      </c>
      <c r="K24" s="51" t="n">
        <v>182</v>
      </c>
      <c r="L24" s="51" t="n">
        <v>182</v>
      </c>
      <c r="M24" s="51" t="n">
        <v>132</v>
      </c>
      <c r="N24" s="51" t="n">
        <v>142</v>
      </c>
      <c r="O24" s="51" t="n"/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n"/>
      <c r="Y24" s="51" t="n"/>
      <c r="Z24" s="51" t="n"/>
      <c r="AA24" s="51" t="n"/>
      <c r="AB24" s="51" t="n"/>
      <c r="AC24" s="51" t="n"/>
      <c r="AD24" s="51" t="n"/>
      <c r="AE24" s="51" t="n"/>
      <c r="AF24" s="51" t="n"/>
      <c r="AG24" s="51" t="n"/>
      <c r="AH24" s="51" t="n"/>
      <c r="AI24" s="51" t="n"/>
      <c r="AJ24" s="51" t="n"/>
      <c r="AK24" s="51" t="n"/>
      <c r="AL24" s="51" t="n"/>
      <c r="AM24" s="51" t="n"/>
      <c r="AN24" s="51" t="n"/>
      <c r="AO24" s="51" t="n"/>
      <c r="AP24" s="51" t="n"/>
      <c r="AQ24" s="51" t="n"/>
      <c r="AR24" s="51" t="n"/>
      <c r="AS24" s="51" t="n"/>
      <c r="AT24" s="51" t="n"/>
      <c r="AU24" s="51" t="n"/>
      <c r="AV24" s="51" t="n"/>
      <c r="AW24" s="51" t="n"/>
      <c r="AX24" s="51" t="n"/>
      <c r="AY24" s="51" t="n"/>
      <c r="AZ24" s="51" t="n"/>
      <c r="BA24" s="51" t="n"/>
      <c r="BB24" s="51" t="n"/>
      <c r="BC24" s="51" t="n"/>
      <c r="BD24" s="51" t="n"/>
      <c r="BE24" s="51" t="n"/>
      <c r="BF24" s="51" t="n"/>
      <c r="BG24" s="51" t="n"/>
      <c r="BH24" s="51" t="n"/>
      <c r="BI24" s="51" t="n"/>
      <c r="BJ24" s="51" t="n"/>
      <c r="BK24" s="51" t="n"/>
      <c r="BL24" s="51" t="n"/>
      <c r="BM24" s="51" t="n"/>
    </row>
    <row r="25">
      <c r="A25" s="47">
        <f>IF(Mitarbeiter!B25="","",Mitarbeiter!A25)</f>
        <v/>
      </c>
      <c r="B25" s="48">
        <f>IF(Mitarbeiter!B25="","",Mitarbeiter!B25)</f>
        <v/>
      </c>
      <c r="C25" s="37">
        <f>IF(Mitarbeiter!B25="","",N(INDEX($F25:$BM25,1,(Einstellungen!$C$3-2026)*12+1))+N(INDEX($F25:$BM25,1,(Einstellungen!$C$3-2026)*12+2))+N(INDEX($F25:$BM25,1,(Einstellungen!$C$3-2026)*12+3))+N(INDEX($F25:$BM25,1,(Einstellungen!$C$3-2026)*12+4))+N(INDEX($F25:$BM25,1,(Einstellungen!$C$3-2026)*12+5))+N(INDEX($F25:$BM25,1,(Einstellungen!$C$3-2026)*12+6))+N(INDEX($F25:$BM25,1,(Einstellungen!$C$3-2026)*12+7))+N(INDEX($F25:$BM25,1,(Einstellungen!$C$3-2026)*12+8))+N(INDEX($F25:$BM25,1,(Einstellungen!$C$3-2026)*12+9))+N(INDEX($F25:$BM25,1,(Einstellungen!$C$3-2026)*12+10))+N(INDEX($F25:$BM25,1,(Einstellungen!$C$3-2026)*12+11))+N(INDEX($F25:$BM25,1,(Einstellungen!$C$3-2026)*12+12)))</f>
        <v/>
      </c>
      <c r="D25" s="37">
        <f>IF(Mitarbeiter!B25="","",SUM(F25:BM25))</f>
        <v/>
      </c>
      <c r="F25" s="51" t="n">
        <v>136</v>
      </c>
      <c r="G25" s="51" t="n">
        <v>166</v>
      </c>
      <c r="H25" s="51" t="n">
        <v>76</v>
      </c>
      <c r="I25" s="51" t="n">
        <v>172</v>
      </c>
      <c r="J25" s="51" t="n">
        <v>190</v>
      </c>
      <c r="K25" s="51" t="n">
        <v>172</v>
      </c>
      <c r="L25" s="51" t="n">
        <v>190</v>
      </c>
      <c r="M25" s="51" t="n">
        <v>178</v>
      </c>
      <c r="N25" s="51" t="n">
        <v>136</v>
      </c>
      <c r="O25" s="51" t="n"/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n"/>
      <c r="Y25" s="51" t="n"/>
      <c r="Z25" s="51" t="n"/>
      <c r="AA25" s="51" t="n"/>
      <c r="AB25" s="51" t="n"/>
      <c r="AC25" s="51" t="n"/>
      <c r="AD25" s="51" t="n"/>
      <c r="AE25" s="51" t="n"/>
      <c r="AF25" s="51" t="n"/>
      <c r="AG25" s="51" t="n"/>
      <c r="AH25" s="51" t="n"/>
      <c r="AI25" s="51" t="n"/>
      <c r="AJ25" s="51" t="n"/>
      <c r="AK25" s="51" t="n"/>
      <c r="AL25" s="51" t="n"/>
      <c r="AM25" s="51" t="n"/>
      <c r="AN25" s="51" t="n"/>
      <c r="AO25" s="51" t="n"/>
      <c r="AP25" s="51" t="n"/>
      <c r="AQ25" s="51" t="n"/>
      <c r="AR25" s="51" t="n"/>
      <c r="AS25" s="51" t="n"/>
      <c r="AT25" s="51" t="n"/>
      <c r="AU25" s="51" t="n"/>
      <c r="AV25" s="51" t="n"/>
      <c r="AW25" s="51" t="n"/>
      <c r="AX25" s="51" t="n"/>
      <c r="AY25" s="51" t="n"/>
      <c r="AZ25" s="51" t="n"/>
      <c r="BA25" s="51" t="n"/>
      <c r="BB25" s="51" t="n"/>
      <c r="BC25" s="51" t="n"/>
      <c r="BD25" s="51" t="n"/>
      <c r="BE25" s="51" t="n"/>
      <c r="BF25" s="51" t="n"/>
      <c r="BG25" s="51" t="n"/>
      <c r="BH25" s="51" t="n"/>
      <c r="BI25" s="51" t="n"/>
      <c r="BJ25" s="51" t="n"/>
      <c r="BK25" s="51" t="n"/>
      <c r="BL25" s="51" t="n"/>
      <c r="BM25" s="51" t="n"/>
    </row>
    <row r="26">
      <c r="A26" s="47">
        <f>IF(Mitarbeiter!B26="","",Mitarbeiter!A26)</f>
        <v/>
      </c>
      <c r="B26" s="48">
        <f>IF(Mitarbeiter!B26="","",Mitarbeiter!B26)</f>
        <v/>
      </c>
      <c r="C26" s="37">
        <f>IF(Mitarbeiter!B26="","",N(INDEX($F26:$BM26,1,(Einstellungen!$C$3-2026)*12+1))+N(INDEX($F26:$BM26,1,(Einstellungen!$C$3-2026)*12+2))+N(INDEX($F26:$BM26,1,(Einstellungen!$C$3-2026)*12+3))+N(INDEX($F26:$BM26,1,(Einstellungen!$C$3-2026)*12+4))+N(INDEX($F26:$BM26,1,(Einstellungen!$C$3-2026)*12+5))+N(INDEX($F26:$BM26,1,(Einstellungen!$C$3-2026)*12+6))+N(INDEX($F26:$BM26,1,(Einstellungen!$C$3-2026)*12+7))+N(INDEX($F26:$BM26,1,(Einstellungen!$C$3-2026)*12+8))+N(INDEX($F26:$BM26,1,(Einstellungen!$C$3-2026)*12+9))+N(INDEX($F26:$BM26,1,(Einstellungen!$C$3-2026)*12+10))+N(INDEX($F26:$BM26,1,(Einstellungen!$C$3-2026)*12+11))+N(INDEX($F26:$BM26,1,(Einstellungen!$C$3-2026)*12+12)))</f>
        <v/>
      </c>
      <c r="D26" s="37">
        <f>IF(Mitarbeiter!B26="","",SUM(F26:BM26))</f>
        <v/>
      </c>
      <c r="F26" s="51" t="n">
        <v>32</v>
      </c>
      <c r="G26" s="51" t="n">
        <v>74</v>
      </c>
      <c r="H26" s="51" t="n">
        <v>92</v>
      </c>
      <c r="I26" s="51" t="n">
        <v>86</v>
      </c>
      <c r="J26" s="51" t="n">
        <v>104</v>
      </c>
      <c r="K26" s="51" t="n">
        <v>80</v>
      </c>
      <c r="L26" s="51" t="n">
        <v>68</v>
      </c>
      <c r="M26" s="51" t="n">
        <v>68</v>
      </c>
      <c r="N26" s="51" t="n">
        <v>74</v>
      </c>
      <c r="O26" s="51" t="n"/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n"/>
      <c r="Y26" s="51" t="n"/>
      <c r="Z26" s="51" t="n"/>
      <c r="AA26" s="51" t="n"/>
      <c r="AB26" s="51" t="n"/>
      <c r="AC26" s="51" t="n"/>
      <c r="AD26" s="51" t="n"/>
      <c r="AE26" s="51" t="n"/>
      <c r="AF26" s="51" t="n"/>
      <c r="AG26" s="51" t="n"/>
      <c r="AH26" s="51" t="n"/>
      <c r="AI26" s="51" t="n"/>
      <c r="AJ26" s="51" t="n"/>
      <c r="AK26" s="51" t="n"/>
      <c r="AL26" s="51" t="n"/>
      <c r="AM26" s="51" t="n"/>
      <c r="AN26" s="51" t="n"/>
      <c r="AO26" s="51" t="n"/>
      <c r="AP26" s="51" t="n"/>
      <c r="AQ26" s="51" t="n"/>
      <c r="AR26" s="51" t="n"/>
      <c r="AS26" s="51" t="n"/>
      <c r="AT26" s="51" t="n"/>
      <c r="AU26" s="51" t="n"/>
      <c r="AV26" s="51" t="n"/>
      <c r="AW26" s="51" t="n"/>
      <c r="AX26" s="51" t="n"/>
      <c r="AY26" s="51" t="n"/>
      <c r="AZ26" s="51" t="n"/>
      <c r="BA26" s="51" t="n"/>
      <c r="BB26" s="51" t="n"/>
      <c r="BC26" s="51" t="n"/>
      <c r="BD26" s="51" t="n"/>
      <c r="BE26" s="51" t="n"/>
      <c r="BF26" s="51" t="n"/>
      <c r="BG26" s="51" t="n"/>
      <c r="BH26" s="51" t="n"/>
      <c r="BI26" s="51" t="n"/>
      <c r="BJ26" s="51" t="n"/>
      <c r="BK26" s="51" t="n"/>
      <c r="BL26" s="51" t="n"/>
      <c r="BM26" s="51" t="n"/>
    </row>
    <row r="27">
      <c r="A27" s="47">
        <f>IF(Mitarbeiter!B27="","",Mitarbeiter!A27)</f>
        <v/>
      </c>
      <c r="B27" s="48">
        <f>IF(Mitarbeiter!B27="","",Mitarbeiter!B27)</f>
        <v/>
      </c>
      <c r="C27" s="37">
        <f>IF(Mitarbeiter!B27="","",N(INDEX($F27:$BM27,1,(Einstellungen!$C$3-2026)*12+1))+N(INDEX($F27:$BM27,1,(Einstellungen!$C$3-2026)*12+2))+N(INDEX($F27:$BM27,1,(Einstellungen!$C$3-2026)*12+3))+N(INDEX($F27:$BM27,1,(Einstellungen!$C$3-2026)*12+4))+N(INDEX($F27:$BM27,1,(Einstellungen!$C$3-2026)*12+5))+N(INDEX($F27:$BM27,1,(Einstellungen!$C$3-2026)*12+6))+N(INDEX($F27:$BM27,1,(Einstellungen!$C$3-2026)*12+7))+N(INDEX($F27:$BM27,1,(Einstellungen!$C$3-2026)*12+8))+N(INDEX($F27:$BM27,1,(Einstellungen!$C$3-2026)*12+9))+N(INDEX($F27:$BM27,1,(Einstellungen!$C$3-2026)*12+10))+N(INDEX($F27:$BM27,1,(Einstellungen!$C$3-2026)*12+11))+N(INDEX($F27:$BM27,1,(Einstellungen!$C$3-2026)*12+12)))</f>
        <v/>
      </c>
      <c r="D27" s="37">
        <f>IF(Mitarbeiter!B27="","",SUM(F27:BM27))</f>
        <v/>
      </c>
      <c r="F27" s="51" t="n">
        <v>92</v>
      </c>
      <c r="G27" s="51" t="n">
        <v>92</v>
      </c>
      <c r="H27" s="51" t="n">
        <v>96</v>
      </c>
      <c r="I27" s="51" t="n">
        <v>104</v>
      </c>
      <c r="J27" s="51" t="n">
        <v>96</v>
      </c>
      <c r="K27" s="51" t="n">
        <v>92</v>
      </c>
      <c r="L27" s="51" t="n">
        <v>96</v>
      </c>
      <c r="M27" s="51" t="n">
        <v>86</v>
      </c>
      <c r="N27" s="51" t="n">
        <v>82</v>
      </c>
      <c r="O27" s="51" t="n"/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n"/>
      <c r="Y27" s="51" t="n"/>
      <c r="Z27" s="51" t="n"/>
      <c r="AA27" s="51" t="n"/>
      <c r="AB27" s="51" t="n"/>
      <c r="AC27" s="51" t="n"/>
      <c r="AD27" s="51" t="n"/>
      <c r="AE27" s="51" t="n"/>
      <c r="AF27" s="51" t="n"/>
      <c r="AG27" s="51" t="n"/>
      <c r="AH27" s="51" t="n"/>
      <c r="AI27" s="51" t="n"/>
      <c r="AJ27" s="51" t="n"/>
      <c r="AK27" s="51" t="n"/>
      <c r="AL27" s="51" t="n"/>
      <c r="AM27" s="51" t="n"/>
      <c r="AN27" s="51" t="n"/>
      <c r="AO27" s="51" t="n"/>
      <c r="AP27" s="51" t="n"/>
      <c r="AQ27" s="51" t="n"/>
      <c r="AR27" s="51" t="n"/>
      <c r="AS27" s="51" t="n"/>
      <c r="AT27" s="51" t="n"/>
      <c r="AU27" s="51" t="n"/>
      <c r="AV27" s="51" t="n"/>
      <c r="AW27" s="51" t="n"/>
      <c r="AX27" s="51" t="n"/>
      <c r="AY27" s="51" t="n"/>
      <c r="AZ27" s="51" t="n"/>
      <c r="BA27" s="51" t="n"/>
      <c r="BB27" s="51" t="n"/>
      <c r="BC27" s="51" t="n"/>
      <c r="BD27" s="51" t="n"/>
      <c r="BE27" s="51" t="n"/>
      <c r="BF27" s="51" t="n"/>
      <c r="BG27" s="51" t="n"/>
      <c r="BH27" s="51" t="n"/>
      <c r="BI27" s="51" t="n"/>
      <c r="BJ27" s="51" t="n"/>
      <c r="BK27" s="51" t="n"/>
      <c r="BL27" s="51" t="n"/>
      <c r="BM27" s="51" t="n"/>
    </row>
    <row r="28">
      <c r="A28" s="47">
        <f>IF(Mitarbeiter!B28="","",Mitarbeiter!A28)</f>
        <v/>
      </c>
      <c r="B28" s="48">
        <f>IF(Mitarbeiter!B28="","",Mitarbeiter!B28)</f>
        <v/>
      </c>
      <c r="C28" s="37">
        <f>IF(Mitarbeiter!B28="","",N(INDEX($F28:$BM28,1,(Einstellungen!$C$3-2026)*12+1))+N(INDEX($F28:$BM28,1,(Einstellungen!$C$3-2026)*12+2))+N(INDEX($F28:$BM28,1,(Einstellungen!$C$3-2026)*12+3))+N(INDEX($F28:$BM28,1,(Einstellungen!$C$3-2026)*12+4))+N(INDEX($F28:$BM28,1,(Einstellungen!$C$3-2026)*12+5))+N(INDEX($F28:$BM28,1,(Einstellungen!$C$3-2026)*12+6))+N(INDEX($F28:$BM28,1,(Einstellungen!$C$3-2026)*12+7))+N(INDEX($F28:$BM28,1,(Einstellungen!$C$3-2026)*12+8))+N(INDEX($F28:$BM28,1,(Einstellungen!$C$3-2026)*12+9))+N(INDEX($F28:$BM28,1,(Einstellungen!$C$3-2026)*12+10))+N(INDEX($F28:$BM28,1,(Einstellungen!$C$3-2026)*12+11))+N(INDEX($F28:$BM28,1,(Einstellungen!$C$3-2026)*12+12)))</f>
        <v/>
      </c>
      <c r="D28" s="37">
        <f>IF(Mitarbeiter!B28="","",SUM(F28:BM28))</f>
        <v/>
      </c>
      <c r="F28" s="51" t="n">
        <v>166</v>
      </c>
      <c r="G28" s="51" t="n">
        <v>172</v>
      </c>
      <c r="H28" s="51" t="n">
        <v>36</v>
      </c>
      <c r="I28" s="51" t="n">
        <v>138</v>
      </c>
      <c r="J28" s="51" t="n">
        <v>122</v>
      </c>
      <c r="K28" s="51" t="n">
        <v>142</v>
      </c>
      <c r="L28" s="51" t="n">
        <v>172</v>
      </c>
      <c r="M28" s="51" t="n">
        <v>172</v>
      </c>
      <c r="N28" s="51" t="n">
        <v>172</v>
      </c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  <c r="AA28" s="51" t="n"/>
      <c r="AB28" s="51" t="n"/>
      <c r="AC28" s="51" t="n"/>
      <c r="AD28" s="51" t="n"/>
      <c r="AE28" s="51" t="n"/>
      <c r="AF28" s="51" t="n"/>
      <c r="AG28" s="51" t="n"/>
      <c r="AH28" s="51" t="n"/>
      <c r="AI28" s="51" t="n"/>
      <c r="AJ28" s="51" t="n"/>
      <c r="AK28" s="51" t="n"/>
      <c r="AL28" s="51" t="n"/>
      <c r="AM28" s="51" t="n"/>
      <c r="AN28" s="51" t="n"/>
      <c r="AO28" s="51" t="n"/>
      <c r="AP28" s="51" t="n"/>
      <c r="AQ28" s="51" t="n"/>
      <c r="AR28" s="51" t="n"/>
      <c r="AS28" s="51" t="n"/>
      <c r="AT28" s="51" t="n"/>
      <c r="AU28" s="51" t="n"/>
      <c r="AV28" s="51" t="n"/>
      <c r="AW28" s="51" t="n"/>
      <c r="AX28" s="51" t="n"/>
      <c r="AY28" s="51" t="n"/>
      <c r="AZ28" s="51" t="n"/>
      <c r="BA28" s="51" t="n"/>
      <c r="BB28" s="51" t="n"/>
      <c r="BC28" s="51" t="n"/>
      <c r="BD28" s="51" t="n"/>
      <c r="BE28" s="51" t="n"/>
      <c r="BF28" s="51" t="n"/>
      <c r="BG28" s="51" t="n"/>
      <c r="BH28" s="51" t="n"/>
      <c r="BI28" s="51" t="n"/>
      <c r="BJ28" s="51" t="n"/>
      <c r="BK28" s="51" t="n"/>
      <c r="BL28" s="51" t="n"/>
      <c r="BM28" s="51" t="n"/>
    </row>
    <row r="29">
      <c r="A29" s="47">
        <f>IF(Mitarbeiter!B29="","",Mitarbeiter!A29)</f>
        <v/>
      </c>
      <c r="B29" s="48">
        <f>IF(Mitarbeiter!B29="","",Mitarbeiter!B29)</f>
        <v/>
      </c>
      <c r="C29" s="37">
        <f>IF(Mitarbeiter!B29="","",N(INDEX($F29:$BM29,1,(Einstellungen!$C$3-2026)*12+1))+N(INDEX($F29:$BM29,1,(Einstellungen!$C$3-2026)*12+2))+N(INDEX($F29:$BM29,1,(Einstellungen!$C$3-2026)*12+3))+N(INDEX($F29:$BM29,1,(Einstellungen!$C$3-2026)*12+4))+N(INDEX($F29:$BM29,1,(Einstellungen!$C$3-2026)*12+5))+N(INDEX($F29:$BM29,1,(Einstellungen!$C$3-2026)*12+6))+N(INDEX($F29:$BM29,1,(Einstellungen!$C$3-2026)*12+7))+N(INDEX($F29:$BM29,1,(Einstellungen!$C$3-2026)*12+8))+N(INDEX($F29:$BM29,1,(Einstellungen!$C$3-2026)*12+9))+N(INDEX($F29:$BM29,1,(Einstellungen!$C$3-2026)*12+10))+N(INDEX($F29:$BM29,1,(Einstellungen!$C$3-2026)*12+11))+N(INDEX($F29:$BM29,1,(Einstellungen!$C$3-2026)*12+12)))</f>
        <v/>
      </c>
      <c r="D29" s="37">
        <f>IF(Mitarbeiter!B29="","",SUM(F29:BM29))</f>
        <v/>
      </c>
      <c r="F29" s="51" t="n">
        <v>160</v>
      </c>
      <c r="G29" s="51" t="n">
        <v>178</v>
      </c>
      <c r="H29" s="51" t="n">
        <v>172</v>
      </c>
      <c r="I29" s="51" t="n">
        <v>166</v>
      </c>
      <c r="J29" s="51" t="n">
        <v>172</v>
      </c>
      <c r="K29" s="51" t="n">
        <v>144</v>
      </c>
      <c r="L29" s="51" t="n">
        <v>166</v>
      </c>
      <c r="M29" s="51" t="n"/>
      <c r="N29" s="51" t="n"/>
      <c r="O29" s="51" t="n"/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n"/>
      <c r="Y29" s="51" t="n"/>
      <c r="Z29" s="51" t="n"/>
      <c r="AA29" s="51" t="n"/>
      <c r="AB29" s="51" t="n"/>
      <c r="AC29" s="51" t="n"/>
      <c r="AD29" s="51" t="n"/>
      <c r="AE29" s="51" t="n"/>
      <c r="AF29" s="51" t="n"/>
      <c r="AG29" s="51" t="n"/>
      <c r="AH29" s="51" t="n"/>
      <c r="AI29" s="51" t="n"/>
      <c r="AJ29" s="51" t="n"/>
      <c r="AK29" s="51" t="n"/>
      <c r="AL29" s="51" t="n"/>
      <c r="AM29" s="51" t="n"/>
      <c r="AN29" s="51" t="n"/>
      <c r="AO29" s="51" t="n"/>
      <c r="AP29" s="51" t="n"/>
      <c r="AQ29" s="51" t="n"/>
      <c r="AR29" s="51" t="n"/>
      <c r="AS29" s="51" t="n"/>
      <c r="AT29" s="51" t="n"/>
      <c r="AU29" s="51" t="n"/>
      <c r="AV29" s="51" t="n"/>
      <c r="AW29" s="51" t="n"/>
      <c r="AX29" s="51" t="n"/>
      <c r="AY29" s="51" t="n"/>
      <c r="AZ29" s="51" t="n"/>
      <c r="BA29" s="51" t="n"/>
      <c r="BB29" s="51" t="n"/>
      <c r="BC29" s="51" t="n"/>
      <c r="BD29" s="51" t="n"/>
      <c r="BE29" s="51" t="n"/>
      <c r="BF29" s="51" t="n"/>
      <c r="BG29" s="51" t="n"/>
      <c r="BH29" s="51" t="n"/>
      <c r="BI29" s="51" t="n"/>
      <c r="BJ29" s="51" t="n"/>
      <c r="BK29" s="51" t="n"/>
      <c r="BL29" s="51" t="n"/>
      <c r="BM29" s="51" t="n"/>
    </row>
    <row r="30">
      <c r="A30" s="47">
        <f>IF(Mitarbeiter!B30="","",Mitarbeiter!A30)</f>
        <v/>
      </c>
      <c r="B30" s="48">
        <f>IF(Mitarbeiter!B30="","",Mitarbeiter!B30)</f>
        <v/>
      </c>
      <c r="C30" s="37">
        <f>IF(Mitarbeiter!B30="","",N(INDEX($F30:$BM30,1,(Einstellungen!$C$3-2026)*12+1))+N(INDEX($F30:$BM30,1,(Einstellungen!$C$3-2026)*12+2))+N(INDEX($F30:$BM30,1,(Einstellungen!$C$3-2026)*12+3))+N(INDEX($F30:$BM30,1,(Einstellungen!$C$3-2026)*12+4))+N(INDEX($F30:$BM30,1,(Einstellungen!$C$3-2026)*12+5))+N(INDEX($F30:$BM30,1,(Einstellungen!$C$3-2026)*12+6))+N(INDEX($F30:$BM30,1,(Einstellungen!$C$3-2026)*12+7))+N(INDEX($F30:$BM30,1,(Einstellungen!$C$3-2026)*12+8))+N(INDEX($F30:$BM30,1,(Einstellungen!$C$3-2026)*12+9))+N(INDEX($F30:$BM30,1,(Einstellungen!$C$3-2026)*12+10))+N(INDEX($F30:$BM30,1,(Einstellungen!$C$3-2026)*12+11))+N(INDEX($F30:$BM30,1,(Einstellungen!$C$3-2026)*12+12)))</f>
        <v/>
      </c>
      <c r="D30" s="37">
        <f>IF(Mitarbeiter!B30="","",SUM(F30:BM30))</f>
        <v/>
      </c>
      <c r="F30" s="51" t="n">
        <v>160</v>
      </c>
      <c r="G30" s="51" t="n">
        <v>116</v>
      </c>
      <c r="H30" s="51" t="n">
        <v>178</v>
      </c>
      <c r="I30" s="51" t="n">
        <v>178</v>
      </c>
      <c r="J30" s="51" t="n">
        <v>178</v>
      </c>
      <c r="K30" s="51" t="n">
        <v>178</v>
      </c>
      <c r="L30" s="51" t="n">
        <v>166</v>
      </c>
      <c r="M30" s="51" t="n">
        <v>156</v>
      </c>
      <c r="N30" s="51" t="n">
        <v>166</v>
      </c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  <c r="AA30" s="51" t="n"/>
      <c r="AB30" s="51" t="n"/>
      <c r="AC30" s="51" t="n"/>
      <c r="AD30" s="51" t="n"/>
      <c r="AE30" s="51" t="n"/>
      <c r="AF30" s="51" t="n"/>
      <c r="AG30" s="51" t="n"/>
      <c r="AH30" s="51" t="n"/>
      <c r="AI30" s="51" t="n"/>
      <c r="AJ30" s="51" t="n"/>
      <c r="AK30" s="51" t="n"/>
      <c r="AL30" s="51" t="n"/>
      <c r="AM30" s="51" t="n"/>
      <c r="AN30" s="51" t="n"/>
      <c r="AO30" s="51" t="n"/>
      <c r="AP30" s="51" t="n"/>
      <c r="AQ30" s="51" t="n"/>
      <c r="AR30" s="51" t="n"/>
      <c r="AS30" s="51" t="n"/>
      <c r="AT30" s="51" t="n"/>
      <c r="AU30" s="51" t="n"/>
      <c r="AV30" s="51" t="n"/>
      <c r="AW30" s="51" t="n"/>
      <c r="AX30" s="51" t="n"/>
      <c r="AY30" s="51" t="n"/>
      <c r="AZ30" s="51" t="n"/>
      <c r="BA30" s="51" t="n"/>
      <c r="BB30" s="51" t="n"/>
      <c r="BC30" s="51" t="n"/>
      <c r="BD30" s="51" t="n"/>
      <c r="BE30" s="51" t="n"/>
      <c r="BF30" s="51" t="n"/>
      <c r="BG30" s="51" t="n"/>
      <c r="BH30" s="51" t="n"/>
      <c r="BI30" s="51" t="n"/>
      <c r="BJ30" s="51" t="n"/>
      <c r="BK30" s="51" t="n"/>
      <c r="BL30" s="51" t="n"/>
      <c r="BM30" s="51" t="n"/>
    </row>
    <row r="31">
      <c r="A31" s="47">
        <f>IF(Mitarbeiter!B31="","",Mitarbeiter!A31)</f>
        <v/>
      </c>
      <c r="B31" s="48">
        <f>IF(Mitarbeiter!B31="","",Mitarbeiter!B31)</f>
        <v/>
      </c>
      <c r="C31" s="37">
        <f>IF(Mitarbeiter!B31="","",N(INDEX($F31:$BM31,1,(Einstellungen!$C$3-2026)*12+1))+N(INDEX($F31:$BM31,1,(Einstellungen!$C$3-2026)*12+2))+N(INDEX($F31:$BM31,1,(Einstellungen!$C$3-2026)*12+3))+N(INDEX($F31:$BM31,1,(Einstellungen!$C$3-2026)*12+4))+N(INDEX($F31:$BM31,1,(Einstellungen!$C$3-2026)*12+5))+N(INDEX($F31:$BM31,1,(Einstellungen!$C$3-2026)*12+6))+N(INDEX($F31:$BM31,1,(Einstellungen!$C$3-2026)*12+7))+N(INDEX($F31:$BM31,1,(Einstellungen!$C$3-2026)*12+8))+N(INDEX($F31:$BM31,1,(Einstellungen!$C$3-2026)*12+9))+N(INDEX($F31:$BM31,1,(Einstellungen!$C$3-2026)*12+10))+N(INDEX($F31:$BM31,1,(Einstellungen!$C$3-2026)*12+11))+N(INDEX($F31:$BM31,1,(Einstellungen!$C$3-2026)*12+12)))</f>
        <v/>
      </c>
      <c r="D31" s="37">
        <f>IF(Mitarbeiter!B31="","",SUM(F31:BM31))</f>
        <v/>
      </c>
      <c r="F31" s="51" t="n">
        <v>172</v>
      </c>
      <c r="G31" s="51" t="n">
        <v>178</v>
      </c>
      <c r="H31" s="51" t="n">
        <v>160</v>
      </c>
      <c r="I31" s="51" t="n">
        <v>142</v>
      </c>
      <c r="J31" s="51" t="n">
        <v>190</v>
      </c>
      <c r="K31" s="51" t="n">
        <v>182</v>
      </c>
      <c r="L31" s="51" t="n">
        <v>172</v>
      </c>
      <c r="M31" s="51" t="n">
        <v>150</v>
      </c>
      <c r="N31" s="51" t="n">
        <v>160</v>
      </c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n"/>
      <c r="Y31" s="51" t="n"/>
      <c r="Z31" s="51" t="n"/>
      <c r="AA31" s="51" t="n"/>
      <c r="AB31" s="51" t="n"/>
      <c r="AC31" s="51" t="n"/>
      <c r="AD31" s="51" t="n"/>
      <c r="AE31" s="51" t="n"/>
      <c r="AF31" s="51" t="n"/>
      <c r="AG31" s="51" t="n"/>
      <c r="AH31" s="51" t="n"/>
      <c r="AI31" s="51" t="n"/>
      <c r="AJ31" s="51" t="n"/>
      <c r="AK31" s="51" t="n"/>
      <c r="AL31" s="51" t="n"/>
      <c r="AM31" s="51" t="n"/>
      <c r="AN31" s="51" t="n"/>
      <c r="AO31" s="51" t="n"/>
      <c r="AP31" s="51" t="n"/>
      <c r="AQ31" s="51" t="n"/>
      <c r="AR31" s="51" t="n"/>
      <c r="AS31" s="51" t="n"/>
      <c r="AT31" s="51" t="n"/>
      <c r="AU31" s="51" t="n"/>
      <c r="AV31" s="51" t="n"/>
      <c r="AW31" s="51" t="n"/>
      <c r="AX31" s="51" t="n"/>
      <c r="AY31" s="51" t="n"/>
      <c r="AZ31" s="51" t="n"/>
      <c r="BA31" s="51" t="n"/>
      <c r="BB31" s="51" t="n"/>
      <c r="BC31" s="51" t="n"/>
      <c r="BD31" s="51" t="n"/>
      <c r="BE31" s="51" t="n"/>
      <c r="BF31" s="51" t="n"/>
      <c r="BG31" s="51" t="n"/>
      <c r="BH31" s="51" t="n"/>
      <c r="BI31" s="51" t="n"/>
      <c r="BJ31" s="51" t="n"/>
      <c r="BK31" s="51" t="n"/>
      <c r="BL31" s="51" t="n"/>
      <c r="BM31" s="51" t="n"/>
    </row>
    <row r="32">
      <c r="A32" s="47">
        <f>IF(Mitarbeiter!B32="","",Mitarbeiter!A32)</f>
        <v/>
      </c>
      <c r="B32" s="48">
        <f>IF(Mitarbeiter!B32="","",Mitarbeiter!B32)</f>
        <v/>
      </c>
      <c r="C32" s="37">
        <f>IF(Mitarbeiter!B32="","",N(INDEX($F32:$BM32,1,(Einstellungen!$C$3-2026)*12+1))+N(INDEX($F32:$BM32,1,(Einstellungen!$C$3-2026)*12+2))+N(INDEX($F32:$BM32,1,(Einstellungen!$C$3-2026)*12+3))+N(INDEX($F32:$BM32,1,(Einstellungen!$C$3-2026)*12+4))+N(INDEX($F32:$BM32,1,(Einstellungen!$C$3-2026)*12+5))+N(INDEX($F32:$BM32,1,(Einstellungen!$C$3-2026)*12+6))+N(INDEX($F32:$BM32,1,(Einstellungen!$C$3-2026)*12+7))+N(INDEX($F32:$BM32,1,(Einstellungen!$C$3-2026)*12+8))+N(INDEX($F32:$BM32,1,(Einstellungen!$C$3-2026)*12+9))+N(INDEX($F32:$BM32,1,(Einstellungen!$C$3-2026)*12+10))+N(INDEX($F32:$BM32,1,(Einstellungen!$C$3-2026)*12+11))+N(INDEX($F32:$BM32,1,(Einstellungen!$C$3-2026)*12+12)))</f>
        <v/>
      </c>
      <c r="D32" s="37">
        <f>IF(Mitarbeiter!B32="","",SUM(F32:BM32))</f>
        <v/>
      </c>
      <c r="F32" s="51" t="n">
        <v>160</v>
      </c>
      <c r="G32" s="51" t="n">
        <v>172</v>
      </c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  <c r="AA32" s="51" t="n"/>
      <c r="AB32" s="51" t="n"/>
      <c r="AC32" s="51" t="n"/>
      <c r="AD32" s="51" t="n"/>
      <c r="AE32" s="51" t="n"/>
      <c r="AF32" s="51" t="n"/>
      <c r="AG32" s="51" t="n"/>
      <c r="AH32" s="51" t="n"/>
      <c r="AI32" s="51" t="n"/>
      <c r="AJ32" s="51" t="n"/>
      <c r="AK32" s="51" t="n"/>
      <c r="AL32" s="51" t="n"/>
      <c r="AM32" s="51" t="n"/>
      <c r="AN32" s="51" t="n"/>
      <c r="AO32" s="51" t="n"/>
      <c r="AP32" s="51" t="n"/>
      <c r="AQ32" s="51" t="n"/>
      <c r="AR32" s="51" t="n"/>
      <c r="AS32" s="51" t="n"/>
      <c r="AT32" s="51" t="n"/>
      <c r="AU32" s="51" t="n"/>
      <c r="AV32" s="51" t="n"/>
      <c r="AW32" s="51" t="n"/>
      <c r="AX32" s="51" t="n"/>
      <c r="AY32" s="51" t="n"/>
      <c r="AZ32" s="51" t="n"/>
      <c r="BA32" s="51" t="n"/>
      <c r="BB32" s="51" t="n"/>
      <c r="BC32" s="51" t="n"/>
      <c r="BD32" s="51" t="n"/>
      <c r="BE32" s="51" t="n"/>
      <c r="BF32" s="51" t="n"/>
      <c r="BG32" s="51" t="n"/>
      <c r="BH32" s="51" t="n"/>
      <c r="BI32" s="51" t="n"/>
      <c r="BJ32" s="51" t="n"/>
      <c r="BK32" s="51" t="n"/>
      <c r="BL32" s="51" t="n"/>
      <c r="BM32" s="51" t="n"/>
    </row>
    <row r="33">
      <c r="A33" s="47">
        <f>IF(Mitarbeiter!B33="","",Mitarbeiter!A33)</f>
        <v/>
      </c>
      <c r="B33" s="48">
        <f>IF(Mitarbeiter!B33="","",Mitarbeiter!B33)</f>
        <v/>
      </c>
      <c r="C33" s="37">
        <f>IF(Mitarbeiter!B33="","",N(INDEX($F33:$BM33,1,(Einstellungen!$C$3-2026)*12+1))+N(INDEX($F33:$BM33,1,(Einstellungen!$C$3-2026)*12+2))+N(INDEX($F33:$BM33,1,(Einstellungen!$C$3-2026)*12+3))+N(INDEX($F33:$BM33,1,(Einstellungen!$C$3-2026)*12+4))+N(INDEX($F33:$BM33,1,(Einstellungen!$C$3-2026)*12+5))+N(INDEX($F33:$BM33,1,(Einstellungen!$C$3-2026)*12+6))+N(INDEX($F33:$BM33,1,(Einstellungen!$C$3-2026)*12+7))+N(INDEX($F33:$BM33,1,(Einstellungen!$C$3-2026)*12+8))+N(INDEX($F33:$BM33,1,(Einstellungen!$C$3-2026)*12+9))+N(INDEX($F33:$BM33,1,(Einstellungen!$C$3-2026)*12+10))+N(INDEX($F33:$BM33,1,(Einstellungen!$C$3-2026)*12+11))+N(INDEX($F33:$BM33,1,(Einstellungen!$C$3-2026)*12+12)))</f>
        <v/>
      </c>
      <c r="D33" s="37">
        <f>IF(Mitarbeiter!B33="","",SUM(F33:BM33))</f>
        <v/>
      </c>
      <c r="F33" s="51" t="n">
        <v>166</v>
      </c>
      <c r="G33" s="51" t="n">
        <v>190</v>
      </c>
      <c r="H33" s="51" t="n">
        <v>178</v>
      </c>
      <c r="I33" s="51" t="n">
        <v>160</v>
      </c>
      <c r="J33" s="51" t="n">
        <v>60</v>
      </c>
      <c r="K33" s="51" t="n">
        <v>166</v>
      </c>
      <c r="L33" s="51" t="n">
        <v>86</v>
      </c>
      <c r="M33" s="51" t="n">
        <v>172</v>
      </c>
      <c r="N33" s="51" t="n">
        <v>182</v>
      </c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  <c r="Z33" s="51" t="n"/>
      <c r="AA33" s="51" t="n"/>
      <c r="AB33" s="51" t="n"/>
      <c r="AC33" s="51" t="n"/>
      <c r="AD33" s="51" t="n"/>
      <c r="AE33" s="51" t="n"/>
      <c r="AF33" s="51" t="n"/>
      <c r="AG33" s="51" t="n"/>
      <c r="AH33" s="51" t="n"/>
      <c r="AI33" s="51" t="n"/>
      <c r="AJ33" s="51" t="n"/>
      <c r="AK33" s="51" t="n"/>
      <c r="AL33" s="51" t="n"/>
      <c r="AM33" s="51" t="n"/>
      <c r="AN33" s="51" t="n"/>
      <c r="AO33" s="51" t="n"/>
      <c r="AP33" s="51" t="n"/>
      <c r="AQ33" s="51" t="n"/>
      <c r="AR33" s="51" t="n"/>
      <c r="AS33" s="51" t="n"/>
      <c r="AT33" s="51" t="n"/>
      <c r="AU33" s="51" t="n"/>
      <c r="AV33" s="51" t="n"/>
      <c r="AW33" s="51" t="n"/>
      <c r="AX33" s="51" t="n"/>
      <c r="AY33" s="51" t="n"/>
      <c r="AZ33" s="51" t="n"/>
      <c r="BA33" s="51" t="n"/>
      <c r="BB33" s="51" t="n"/>
      <c r="BC33" s="51" t="n"/>
      <c r="BD33" s="51" t="n"/>
      <c r="BE33" s="51" t="n"/>
      <c r="BF33" s="51" t="n"/>
      <c r="BG33" s="51" t="n"/>
      <c r="BH33" s="51" t="n"/>
      <c r="BI33" s="51" t="n"/>
      <c r="BJ33" s="51" t="n"/>
      <c r="BK33" s="51" t="n"/>
      <c r="BL33" s="51" t="n"/>
      <c r="BM33" s="51" t="n"/>
    </row>
    <row r="34">
      <c r="A34" s="47">
        <f>IF(Mitarbeiter!B34="","",Mitarbeiter!A34)</f>
        <v/>
      </c>
      <c r="B34" s="48">
        <f>IF(Mitarbeiter!B34="","",Mitarbeiter!B34)</f>
        <v/>
      </c>
      <c r="C34" s="37">
        <f>IF(Mitarbeiter!B34="","",N(INDEX($F34:$BM34,1,(Einstellungen!$C$3-2026)*12+1))+N(INDEX($F34:$BM34,1,(Einstellungen!$C$3-2026)*12+2))+N(INDEX($F34:$BM34,1,(Einstellungen!$C$3-2026)*12+3))+N(INDEX($F34:$BM34,1,(Einstellungen!$C$3-2026)*12+4))+N(INDEX($F34:$BM34,1,(Einstellungen!$C$3-2026)*12+5))+N(INDEX($F34:$BM34,1,(Einstellungen!$C$3-2026)*12+6))+N(INDEX($F34:$BM34,1,(Einstellungen!$C$3-2026)*12+7))+N(INDEX($F34:$BM34,1,(Einstellungen!$C$3-2026)*12+8))+N(INDEX($F34:$BM34,1,(Einstellungen!$C$3-2026)*12+9))+N(INDEX($F34:$BM34,1,(Einstellungen!$C$3-2026)*12+10))+N(INDEX($F34:$BM34,1,(Einstellungen!$C$3-2026)*12+11))+N(INDEX($F34:$BM34,1,(Einstellungen!$C$3-2026)*12+12)))</f>
        <v/>
      </c>
      <c r="D34" s="37">
        <f>IF(Mitarbeiter!B34="","",SUM(F34:BM34))</f>
        <v/>
      </c>
      <c r="F34" s="51" t="n">
        <v>129</v>
      </c>
      <c r="G34" s="51" t="n">
        <v>123</v>
      </c>
      <c r="H34" s="51" t="n">
        <v>139</v>
      </c>
      <c r="I34" s="51" t="n">
        <v>135</v>
      </c>
      <c r="J34" s="51" t="n">
        <v>147</v>
      </c>
      <c r="K34" s="51" t="n">
        <v>147</v>
      </c>
      <c r="L34" s="51" t="n">
        <v>129</v>
      </c>
      <c r="M34" s="51" t="n">
        <v>147</v>
      </c>
      <c r="N34" s="51" t="n">
        <v>117</v>
      </c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  <c r="AA34" s="51" t="n"/>
      <c r="AB34" s="51" t="n"/>
      <c r="AC34" s="51" t="n"/>
      <c r="AD34" s="51" t="n"/>
      <c r="AE34" s="51" t="n"/>
      <c r="AF34" s="51" t="n"/>
      <c r="AG34" s="51" t="n"/>
      <c r="AH34" s="51" t="n"/>
      <c r="AI34" s="51" t="n"/>
      <c r="AJ34" s="51" t="n"/>
      <c r="AK34" s="51" t="n"/>
      <c r="AL34" s="51" t="n"/>
      <c r="AM34" s="51" t="n"/>
      <c r="AN34" s="51" t="n"/>
      <c r="AO34" s="51" t="n"/>
      <c r="AP34" s="51" t="n"/>
      <c r="AQ34" s="51" t="n"/>
      <c r="AR34" s="51" t="n"/>
      <c r="AS34" s="51" t="n"/>
      <c r="AT34" s="51" t="n"/>
      <c r="AU34" s="51" t="n"/>
      <c r="AV34" s="51" t="n"/>
      <c r="AW34" s="51" t="n"/>
      <c r="AX34" s="51" t="n"/>
      <c r="AY34" s="51" t="n"/>
      <c r="AZ34" s="51" t="n"/>
      <c r="BA34" s="51" t="n"/>
      <c r="BB34" s="51" t="n"/>
      <c r="BC34" s="51" t="n"/>
      <c r="BD34" s="51" t="n"/>
      <c r="BE34" s="51" t="n"/>
      <c r="BF34" s="51" t="n"/>
      <c r="BG34" s="51" t="n"/>
      <c r="BH34" s="51" t="n"/>
      <c r="BI34" s="51" t="n"/>
      <c r="BJ34" s="51" t="n"/>
      <c r="BK34" s="51" t="n"/>
      <c r="BL34" s="51" t="n"/>
      <c r="BM34" s="51" t="n"/>
    </row>
    <row r="35">
      <c r="A35" s="47">
        <f>IF(Mitarbeiter!B35="","",Mitarbeiter!A35)</f>
        <v/>
      </c>
      <c r="B35" s="48">
        <f>IF(Mitarbeiter!B35="","",Mitarbeiter!B35)</f>
        <v/>
      </c>
      <c r="C35" s="37">
        <f>IF(Mitarbeiter!B35="","",N(INDEX($F35:$BM35,1,(Einstellungen!$C$3-2026)*12+1))+N(INDEX($F35:$BM35,1,(Einstellungen!$C$3-2026)*12+2))+N(INDEX($F35:$BM35,1,(Einstellungen!$C$3-2026)*12+3))+N(INDEX($F35:$BM35,1,(Einstellungen!$C$3-2026)*12+4))+N(INDEX($F35:$BM35,1,(Einstellungen!$C$3-2026)*12+5))+N(INDEX($F35:$BM35,1,(Einstellungen!$C$3-2026)*12+6))+N(INDEX($F35:$BM35,1,(Einstellungen!$C$3-2026)*12+7))+N(INDEX($F35:$BM35,1,(Einstellungen!$C$3-2026)*12+8))+N(INDEX($F35:$BM35,1,(Einstellungen!$C$3-2026)*12+9))+N(INDEX($F35:$BM35,1,(Einstellungen!$C$3-2026)*12+10))+N(INDEX($F35:$BM35,1,(Einstellungen!$C$3-2026)*12+11))+N(INDEX($F35:$BM35,1,(Einstellungen!$C$3-2026)*12+12)))</f>
        <v/>
      </c>
      <c r="D35" s="37">
        <f>IF(Mitarbeiter!B35="","",SUM(F35:BM35))</f>
        <v/>
      </c>
      <c r="F35" s="51" t="n">
        <v>46</v>
      </c>
      <c r="G35" s="51" t="n">
        <v>80</v>
      </c>
      <c r="H35" s="51" t="n">
        <v>48</v>
      </c>
      <c r="I35" s="51" t="n">
        <v>80</v>
      </c>
      <c r="J35" s="51" t="n">
        <v>54</v>
      </c>
      <c r="K35" s="51" t="n">
        <v>26</v>
      </c>
      <c r="L35" s="51" t="n">
        <v>82</v>
      </c>
      <c r="M35" s="51" t="n">
        <v>80</v>
      </c>
      <c r="N35" s="51" t="n">
        <v>86</v>
      </c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  <c r="AA35" s="51" t="n"/>
      <c r="AB35" s="51" t="n"/>
      <c r="AC35" s="51" t="n"/>
      <c r="AD35" s="51" t="n"/>
      <c r="AE35" s="51" t="n"/>
      <c r="AF35" s="51" t="n"/>
      <c r="AG35" s="51" t="n"/>
      <c r="AH35" s="51" t="n"/>
      <c r="AI35" s="51" t="n"/>
      <c r="AJ35" s="51" t="n"/>
      <c r="AK35" s="51" t="n"/>
      <c r="AL35" s="51" t="n"/>
      <c r="AM35" s="51" t="n"/>
      <c r="AN35" s="51" t="n"/>
      <c r="AO35" s="51" t="n"/>
      <c r="AP35" s="51" t="n"/>
      <c r="AQ35" s="51" t="n"/>
      <c r="AR35" s="51" t="n"/>
      <c r="AS35" s="51" t="n"/>
      <c r="AT35" s="51" t="n"/>
      <c r="AU35" s="51" t="n"/>
      <c r="AV35" s="51" t="n"/>
      <c r="AW35" s="51" t="n"/>
      <c r="AX35" s="51" t="n"/>
      <c r="AY35" s="51" t="n"/>
      <c r="AZ35" s="51" t="n"/>
      <c r="BA35" s="51" t="n"/>
      <c r="BB35" s="51" t="n"/>
      <c r="BC35" s="51" t="n"/>
      <c r="BD35" s="51" t="n"/>
      <c r="BE35" s="51" t="n"/>
      <c r="BF35" s="51" t="n"/>
      <c r="BG35" s="51" t="n"/>
      <c r="BH35" s="51" t="n"/>
      <c r="BI35" s="51" t="n"/>
      <c r="BJ35" s="51" t="n"/>
      <c r="BK35" s="51" t="n"/>
      <c r="BL35" s="51" t="n"/>
      <c r="BM35" s="51" t="n"/>
    </row>
    <row r="36">
      <c r="A36" s="47">
        <f>IF(Mitarbeiter!B36="","",Mitarbeiter!A36)</f>
        <v/>
      </c>
      <c r="B36" s="48">
        <f>IF(Mitarbeiter!B36="","",Mitarbeiter!B36)</f>
        <v/>
      </c>
      <c r="C36" s="37">
        <f>IF(Mitarbeiter!B36="","",N(INDEX($F36:$BM36,1,(Einstellungen!$C$3-2026)*12+1))+N(INDEX($F36:$BM36,1,(Einstellungen!$C$3-2026)*12+2))+N(INDEX($F36:$BM36,1,(Einstellungen!$C$3-2026)*12+3))+N(INDEX($F36:$BM36,1,(Einstellungen!$C$3-2026)*12+4))+N(INDEX($F36:$BM36,1,(Einstellungen!$C$3-2026)*12+5))+N(INDEX($F36:$BM36,1,(Einstellungen!$C$3-2026)*12+6))+N(INDEX($F36:$BM36,1,(Einstellungen!$C$3-2026)*12+7))+N(INDEX($F36:$BM36,1,(Einstellungen!$C$3-2026)*12+8))+N(INDEX($F36:$BM36,1,(Einstellungen!$C$3-2026)*12+9))+N(INDEX($F36:$BM36,1,(Einstellungen!$C$3-2026)*12+10))+N(INDEX($F36:$BM36,1,(Einstellungen!$C$3-2026)*12+11))+N(INDEX($F36:$BM36,1,(Einstellungen!$C$3-2026)*12+12)))</f>
        <v/>
      </c>
      <c r="D36" s="37">
        <f>IF(Mitarbeiter!B36="","",SUM(F36:BM36))</f>
        <v/>
      </c>
      <c r="F36" s="51" t="n">
        <v>135</v>
      </c>
      <c r="G36" s="51" t="n">
        <v>147</v>
      </c>
      <c r="H36" s="51" t="n">
        <v>87</v>
      </c>
      <c r="I36" s="51" t="n">
        <v>135</v>
      </c>
      <c r="J36" s="51" t="n">
        <v>105</v>
      </c>
      <c r="K36" s="51" t="n">
        <v>111</v>
      </c>
      <c r="L36" s="51" t="n">
        <v>139</v>
      </c>
      <c r="M36" s="51" t="n">
        <v>129</v>
      </c>
      <c r="N36" s="51" t="n">
        <v>129</v>
      </c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  <c r="AA36" s="51" t="n"/>
      <c r="AB36" s="51" t="n"/>
      <c r="AC36" s="51" t="n"/>
      <c r="AD36" s="51" t="n"/>
      <c r="AE36" s="51" t="n"/>
      <c r="AF36" s="51" t="n"/>
      <c r="AG36" s="51" t="n"/>
      <c r="AH36" s="51" t="n"/>
      <c r="AI36" s="51" t="n"/>
      <c r="AJ36" s="51" t="n"/>
      <c r="AK36" s="51" t="n"/>
      <c r="AL36" s="51" t="n"/>
      <c r="AM36" s="51" t="n"/>
      <c r="AN36" s="51" t="n"/>
      <c r="AO36" s="51" t="n"/>
      <c r="AP36" s="51" t="n"/>
      <c r="AQ36" s="51" t="n"/>
      <c r="AR36" s="51" t="n"/>
      <c r="AS36" s="51" t="n"/>
      <c r="AT36" s="51" t="n"/>
      <c r="AU36" s="51" t="n"/>
      <c r="AV36" s="51" t="n"/>
      <c r="AW36" s="51" t="n"/>
      <c r="AX36" s="51" t="n"/>
      <c r="AY36" s="51" t="n"/>
      <c r="AZ36" s="51" t="n"/>
      <c r="BA36" s="51" t="n"/>
      <c r="BB36" s="51" t="n"/>
      <c r="BC36" s="51" t="n"/>
      <c r="BD36" s="51" t="n"/>
      <c r="BE36" s="51" t="n"/>
      <c r="BF36" s="51" t="n"/>
      <c r="BG36" s="51" t="n"/>
      <c r="BH36" s="51" t="n"/>
      <c r="BI36" s="51" t="n"/>
      <c r="BJ36" s="51" t="n"/>
      <c r="BK36" s="51" t="n"/>
      <c r="BL36" s="51" t="n"/>
      <c r="BM36" s="51" t="n"/>
    </row>
    <row r="37">
      <c r="A37" s="47">
        <f>IF(Mitarbeiter!B37="","",Mitarbeiter!A37)</f>
        <v/>
      </c>
      <c r="B37" s="48">
        <f>IF(Mitarbeiter!B37="","",Mitarbeiter!B37)</f>
        <v/>
      </c>
      <c r="C37" s="37">
        <f>IF(Mitarbeiter!B37="","",N(INDEX($F37:$BM37,1,(Einstellungen!$C$3-2026)*12+1))+N(INDEX($F37:$BM37,1,(Einstellungen!$C$3-2026)*12+2))+N(INDEX($F37:$BM37,1,(Einstellungen!$C$3-2026)*12+3))+N(INDEX($F37:$BM37,1,(Einstellungen!$C$3-2026)*12+4))+N(INDEX($F37:$BM37,1,(Einstellungen!$C$3-2026)*12+5))+N(INDEX($F37:$BM37,1,(Einstellungen!$C$3-2026)*12+6))+N(INDEX($F37:$BM37,1,(Einstellungen!$C$3-2026)*12+7))+N(INDEX($F37:$BM37,1,(Einstellungen!$C$3-2026)*12+8))+N(INDEX($F37:$BM37,1,(Einstellungen!$C$3-2026)*12+9))+N(INDEX($F37:$BM37,1,(Einstellungen!$C$3-2026)*12+10))+N(INDEX($F37:$BM37,1,(Einstellungen!$C$3-2026)*12+11))+N(INDEX($F37:$BM37,1,(Einstellungen!$C$3-2026)*12+12)))</f>
        <v/>
      </c>
      <c r="D37" s="37">
        <f>IF(Mitarbeiter!B37="","",SUM(F37:BM37))</f>
        <v/>
      </c>
      <c r="F37" s="51" t="n">
        <v>104</v>
      </c>
      <c r="G37" s="51" t="n">
        <v>104</v>
      </c>
      <c r="H37" s="51" t="n">
        <v>80</v>
      </c>
      <c r="I37" s="51" t="n">
        <v>96</v>
      </c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  <c r="AJ37" s="51" t="n"/>
      <c r="AK37" s="51" t="n"/>
      <c r="AL37" s="51" t="n"/>
      <c r="AM37" s="51" t="n"/>
      <c r="AN37" s="51" t="n"/>
      <c r="AO37" s="51" t="n"/>
      <c r="AP37" s="51" t="n"/>
      <c r="AQ37" s="51" t="n"/>
      <c r="AR37" s="51" t="n"/>
      <c r="AS37" s="51" t="n"/>
      <c r="AT37" s="51" t="n"/>
      <c r="AU37" s="51" t="n"/>
      <c r="AV37" s="51" t="n"/>
      <c r="AW37" s="51" t="n"/>
      <c r="AX37" s="51" t="n"/>
      <c r="AY37" s="51" t="n"/>
      <c r="AZ37" s="51" t="n"/>
      <c r="BA37" s="51" t="n"/>
      <c r="BB37" s="51" t="n"/>
      <c r="BC37" s="51" t="n"/>
      <c r="BD37" s="51" t="n"/>
      <c r="BE37" s="51" t="n"/>
      <c r="BF37" s="51" t="n"/>
      <c r="BG37" s="51" t="n"/>
      <c r="BH37" s="51" t="n"/>
      <c r="BI37" s="51" t="n"/>
      <c r="BJ37" s="51" t="n"/>
      <c r="BK37" s="51" t="n"/>
      <c r="BL37" s="51" t="n"/>
      <c r="BM37" s="51" t="n"/>
    </row>
    <row r="38">
      <c r="A38" s="47">
        <f>IF(Mitarbeiter!B38="","",Mitarbeiter!A38)</f>
        <v/>
      </c>
      <c r="B38" s="48">
        <f>IF(Mitarbeiter!B38="","",Mitarbeiter!B38)</f>
        <v/>
      </c>
      <c r="C38" s="37">
        <f>IF(Mitarbeiter!B38="","",N(INDEX($F38:$BM38,1,(Einstellungen!$C$3-2026)*12+1))+N(INDEX($F38:$BM38,1,(Einstellungen!$C$3-2026)*12+2))+N(INDEX($F38:$BM38,1,(Einstellungen!$C$3-2026)*12+3))+N(INDEX($F38:$BM38,1,(Einstellungen!$C$3-2026)*12+4))+N(INDEX($F38:$BM38,1,(Einstellungen!$C$3-2026)*12+5))+N(INDEX($F38:$BM38,1,(Einstellungen!$C$3-2026)*12+6))+N(INDEX($F38:$BM38,1,(Einstellungen!$C$3-2026)*12+7))+N(INDEX($F38:$BM38,1,(Einstellungen!$C$3-2026)*12+8))+N(INDEX($F38:$BM38,1,(Einstellungen!$C$3-2026)*12+9))+N(INDEX($F38:$BM38,1,(Einstellungen!$C$3-2026)*12+10))+N(INDEX($F38:$BM38,1,(Einstellungen!$C$3-2026)*12+11))+N(INDEX($F38:$BM38,1,(Einstellungen!$C$3-2026)*12+12)))</f>
        <v/>
      </c>
      <c r="D38" s="37">
        <f>IF(Mitarbeiter!B38="","",SUM(F38:BM38))</f>
        <v/>
      </c>
      <c r="F38" s="51" t="n">
        <v>178</v>
      </c>
      <c r="G38" s="51" t="n">
        <v>178</v>
      </c>
      <c r="H38" s="51" t="n">
        <v>182</v>
      </c>
      <c r="I38" s="51" t="n">
        <v>190</v>
      </c>
      <c r="J38" s="51" t="n">
        <v>190</v>
      </c>
      <c r="K38" s="51" t="n">
        <v>160</v>
      </c>
      <c r="L38" s="51" t="n">
        <v>172</v>
      </c>
      <c r="M38" s="51" t="n">
        <v>160</v>
      </c>
      <c r="N38" s="51" t="n">
        <v>190</v>
      </c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  <c r="AG38" s="51" t="n"/>
      <c r="AH38" s="51" t="n"/>
      <c r="AI38" s="51" t="n"/>
      <c r="AJ38" s="51" t="n"/>
      <c r="AK38" s="51" t="n"/>
      <c r="AL38" s="51" t="n"/>
      <c r="AM38" s="51" t="n"/>
      <c r="AN38" s="51" t="n"/>
      <c r="AO38" s="51" t="n"/>
      <c r="AP38" s="51" t="n"/>
      <c r="AQ38" s="51" t="n"/>
      <c r="AR38" s="51" t="n"/>
      <c r="AS38" s="51" t="n"/>
      <c r="AT38" s="51" t="n"/>
      <c r="AU38" s="51" t="n"/>
      <c r="AV38" s="51" t="n"/>
      <c r="AW38" s="51" t="n"/>
      <c r="AX38" s="51" t="n"/>
      <c r="AY38" s="51" t="n"/>
      <c r="AZ38" s="51" t="n"/>
      <c r="BA38" s="51" t="n"/>
      <c r="BB38" s="51" t="n"/>
      <c r="BC38" s="51" t="n"/>
      <c r="BD38" s="51" t="n"/>
      <c r="BE38" s="51" t="n"/>
      <c r="BF38" s="51" t="n"/>
      <c r="BG38" s="51" t="n"/>
      <c r="BH38" s="51" t="n"/>
      <c r="BI38" s="51" t="n"/>
      <c r="BJ38" s="51" t="n"/>
      <c r="BK38" s="51" t="n"/>
      <c r="BL38" s="51" t="n"/>
      <c r="BM38" s="51" t="n"/>
    </row>
    <row r="39">
      <c r="A39" s="47">
        <f>IF(Mitarbeiter!B39="","",Mitarbeiter!A39)</f>
        <v/>
      </c>
      <c r="B39" s="48">
        <f>IF(Mitarbeiter!B39="","",Mitarbeiter!B39)</f>
        <v/>
      </c>
      <c r="C39" s="37">
        <f>IF(Mitarbeiter!B39="","",N(INDEX($F39:$BM39,1,(Einstellungen!$C$3-2026)*12+1))+N(INDEX($F39:$BM39,1,(Einstellungen!$C$3-2026)*12+2))+N(INDEX($F39:$BM39,1,(Einstellungen!$C$3-2026)*12+3))+N(INDEX($F39:$BM39,1,(Einstellungen!$C$3-2026)*12+4))+N(INDEX($F39:$BM39,1,(Einstellungen!$C$3-2026)*12+5))+N(INDEX($F39:$BM39,1,(Einstellungen!$C$3-2026)*12+6))+N(INDEX($F39:$BM39,1,(Einstellungen!$C$3-2026)*12+7))+N(INDEX($F39:$BM39,1,(Einstellungen!$C$3-2026)*12+8))+N(INDEX($F39:$BM39,1,(Einstellungen!$C$3-2026)*12+9))+N(INDEX($F39:$BM39,1,(Einstellungen!$C$3-2026)*12+10))+N(INDEX($F39:$BM39,1,(Einstellungen!$C$3-2026)*12+11))+N(INDEX($F39:$BM39,1,(Einstellungen!$C$3-2026)*12+12)))</f>
        <v/>
      </c>
      <c r="D39" s="37">
        <f>IF(Mitarbeiter!B39="","",SUM(F39:BM39))</f>
        <v/>
      </c>
      <c r="F39" s="51" t="n">
        <v>117</v>
      </c>
      <c r="G39" s="51" t="n">
        <v>123</v>
      </c>
      <c r="H39" s="51" t="n">
        <v>21</v>
      </c>
      <c r="I39" s="51" t="n">
        <v>129</v>
      </c>
      <c r="J39" s="51" t="n">
        <v>129</v>
      </c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  <c r="AA39" s="51" t="n"/>
      <c r="AB39" s="51" t="n"/>
      <c r="AC39" s="51" t="n"/>
      <c r="AD39" s="51" t="n"/>
      <c r="AE39" s="51" t="n"/>
      <c r="AF39" s="51" t="n"/>
      <c r="AG39" s="51" t="n"/>
      <c r="AH39" s="51" t="n"/>
      <c r="AI39" s="51" t="n"/>
      <c r="AJ39" s="51" t="n"/>
      <c r="AK39" s="51" t="n"/>
      <c r="AL39" s="51" t="n"/>
      <c r="AM39" s="51" t="n"/>
      <c r="AN39" s="51" t="n"/>
      <c r="AO39" s="51" t="n"/>
      <c r="AP39" s="51" t="n"/>
      <c r="AQ39" s="51" t="n"/>
      <c r="AR39" s="51" t="n"/>
      <c r="AS39" s="51" t="n"/>
      <c r="AT39" s="51" t="n"/>
      <c r="AU39" s="51" t="n"/>
      <c r="AV39" s="51" t="n"/>
      <c r="AW39" s="51" t="n"/>
      <c r="AX39" s="51" t="n"/>
      <c r="AY39" s="51" t="n"/>
      <c r="AZ39" s="51" t="n"/>
      <c r="BA39" s="51" t="n"/>
      <c r="BB39" s="51" t="n"/>
      <c r="BC39" s="51" t="n"/>
      <c r="BD39" s="51" t="n"/>
      <c r="BE39" s="51" t="n"/>
      <c r="BF39" s="51" t="n"/>
      <c r="BG39" s="51" t="n"/>
      <c r="BH39" s="51" t="n"/>
      <c r="BI39" s="51" t="n"/>
      <c r="BJ39" s="51" t="n"/>
      <c r="BK39" s="51" t="n"/>
      <c r="BL39" s="51" t="n"/>
      <c r="BM39" s="51" t="n"/>
    </row>
    <row r="40">
      <c r="A40" s="47">
        <f>IF(Mitarbeiter!B40="","",Mitarbeiter!A40)</f>
        <v/>
      </c>
      <c r="B40" s="48">
        <f>IF(Mitarbeiter!B40="","",Mitarbeiter!B40)</f>
        <v/>
      </c>
      <c r="C40" s="37">
        <f>IF(Mitarbeiter!B40="","",N(INDEX($F40:$BM40,1,(Einstellungen!$C$3-2026)*12+1))+N(INDEX($F40:$BM40,1,(Einstellungen!$C$3-2026)*12+2))+N(INDEX($F40:$BM40,1,(Einstellungen!$C$3-2026)*12+3))+N(INDEX($F40:$BM40,1,(Einstellungen!$C$3-2026)*12+4))+N(INDEX($F40:$BM40,1,(Einstellungen!$C$3-2026)*12+5))+N(INDEX($F40:$BM40,1,(Einstellungen!$C$3-2026)*12+6))+N(INDEX($F40:$BM40,1,(Einstellungen!$C$3-2026)*12+7))+N(INDEX($F40:$BM40,1,(Einstellungen!$C$3-2026)*12+8))+N(INDEX($F40:$BM40,1,(Einstellungen!$C$3-2026)*12+9))+N(INDEX($F40:$BM40,1,(Einstellungen!$C$3-2026)*12+10))+N(INDEX($F40:$BM40,1,(Einstellungen!$C$3-2026)*12+11))+N(INDEX($F40:$BM40,1,(Einstellungen!$C$3-2026)*12+12)))</f>
        <v/>
      </c>
      <c r="D40" s="37">
        <f>IF(Mitarbeiter!B40="","",SUM(F40:BM40))</f>
        <v/>
      </c>
      <c r="F40" s="51" t="n">
        <v>166</v>
      </c>
      <c r="G40" s="51" t="n">
        <v>172</v>
      </c>
      <c r="H40" s="51" t="n">
        <v>158</v>
      </c>
      <c r="I40" s="51" t="n">
        <v>182</v>
      </c>
      <c r="J40" s="51" t="n">
        <v>190</v>
      </c>
      <c r="K40" s="51" t="n">
        <v>160</v>
      </c>
      <c r="L40" s="51" t="n">
        <v>166</v>
      </c>
      <c r="M40" s="51" t="n">
        <v>164</v>
      </c>
      <c r="N40" s="51" t="n">
        <v>178</v>
      </c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  <c r="AG40" s="51" t="n"/>
      <c r="AH40" s="51" t="n"/>
      <c r="AI40" s="51" t="n"/>
      <c r="AJ40" s="51" t="n"/>
      <c r="AK40" s="51" t="n"/>
      <c r="AL40" s="51" t="n"/>
      <c r="AM40" s="51" t="n"/>
      <c r="AN40" s="51" t="n"/>
      <c r="AO40" s="51" t="n"/>
      <c r="AP40" s="51" t="n"/>
      <c r="AQ40" s="51" t="n"/>
      <c r="AR40" s="51" t="n"/>
      <c r="AS40" s="51" t="n"/>
      <c r="AT40" s="51" t="n"/>
      <c r="AU40" s="51" t="n"/>
      <c r="AV40" s="51" t="n"/>
      <c r="AW40" s="51" t="n"/>
      <c r="AX40" s="51" t="n"/>
      <c r="AY40" s="51" t="n"/>
      <c r="AZ40" s="51" t="n"/>
      <c r="BA40" s="51" t="n"/>
      <c r="BB40" s="51" t="n"/>
      <c r="BC40" s="51" t="n"/>
      <c r="BD40" s="51" t="n"/>
      <c r="BE40" s="51" t="n"/>
      <c r="BF40" s="51" t="n"/>
      <c r="BG40" s="51" t="n"/>
      <c r="BH40" s="51" t="n"/>
      <c r="BI40" s="51" t="n"/>
      <c r="BJ40" s="51" t="n"/>
      <c r="BK40" s="51" t="n"/>
      <c r="BL40" s="51" t="n"/>
      <c r="BM40" s="51" t="n"/>
    </row>
    <row r="41">
      <c r="A41" s="47">
        <f>IF(Mitarbeiter!B41="","",Mitarbeiter!A41)</f>
        <v/>
      </c>
      <c r="B41" s="48">
        <f>IF(Mitarbeiter!B41="","",Mitarbeiter!B41)</f>
        <v/>
      </c>
      <c r="C41" s="37">
        <f>IF(Mitarbeiter!B41="","",N(INDEX($F41:$BM41,1,(Einstellungen!$C$3-2026)*12+1))+N(INDEX($F41:$BM41,1,(Einstellungen!$C$3-2026)*12+2))+N(INDEX($F41:$BM41,1,(Einstellungen!$C$3-2026)*12+3))+N(INDEX($F41:$BM41,1,(Einstellungen!$C$3-2026)*12+4))+N(INDEX($F41:$BM41,1,(Einstellungen!$C$3-2026)*12+5))+N(INDEX($F41:$BM41,1,(Einstellungen!$C$3-2026)*12+6))+N(INDEX($F41:$BM41,1,(Einstellungen!$C$3-2026)*12+7))+N(INDEX($F41:$BM41,1,(Einstellungen!$C$3-2026)*12+8))+N(INDEX($F41:$BM41,1,(Einstellungen!$C$3-2026)*12+9))+N(INDEX($F41:$BM41,1,(Einstellungen!$C$3-2026)*12+10))+N(INDEX($F41:$BM41,1,(Einstellungen!$C$3-2026)*12+11))+N(INDEX($F41:$BM41,1,(Einstellungen!$C$3-2026)*12+12)))</f>
        <v/>
      </c>
      <c r="D41" s="37">
        <f>IF(Mitarbeiter!B41="","",SUM(F41:BM41))</f>
        <v/>
      </c>
      <c r="F41" s="51" t="n">
        <v>172</v>
      </c>
      <c r="G41" s="51" t="n">
        <v>156</v>
      </c>
      <c r="H41" s="51" t="n">
        <v>144</v>
      </c>
      <c r="I41" s="51" t="n">
        <v>136</v>
      </c>
      <c r="J41" s="51" t="n">
        <v>178</v>
      </c>
      <c r="K41" s="51" t="n">
        <v>172</v>
      </c>
      <c r="L41" s="51" t="n">
        <v>166</v>
      </c>
      <c r="M41" s="51" t="n">
        <v>182</v>
      </c>
      <c r="N41" s="51" t="n">
        <v>152</v>
      </c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  <c r="AA41" s="51" t="n"/>
      <c r="AB41" s="51" t="n"/>
      <c r="AC41" s="51" t="n"/>
      <c r="AD41" s="51" t="n"/>
      <c r="AE41" s="51" t="n"/>
      <c r="AF41" s="51" t="n"/>
      <c r="AG41" s="51" t="n"/>
      <c r="AH41" s="51" t="n"/>
      <c r="AI41" s="51" t="n"/>
      <c r="AJ41" s="51" t="n"/>
      <c r="AK41" s="51" t="n"/>
      <c r="AL41" s="51" t="n"/>
      <c r="AM41" s="51" t="n"/>
      <c r="AN41" s="51" t="n"/>
      <c r="AO41" s="51" t="n"/>
      <c r="AP41" s="51" t="n"/>
      <c r="AQ41" s="51" t="n"/>
      <c r="AR41" s="51" t="n"/>
      <c r="AS41" s="51" t="n"/>
      <c r="AT41" s="51" t="n"/>
      <c r="AU41" s="51" t="n"/>
      <c r="AV41" s="51" t="n"/>
      <c r="AW41" s="51" t="n"/>
      <c r="AX41" s="51" t="n"/>
      <c r="AY41" s="51" t="n"/>
      <c r="AZ41" s="51" t="n"/>
      <c r="BA41" s="51" t="n"/>
      <c r="BB41" s="51" t="n"/>
      <c r="BC41" s="51" t="n"/>
      <c r="BD41" s="51" t="n"/>
      <c r="BE41" s="51" t="n"/>
      <c r="BF41" s="51" t="n"/>
      <c r="BG41" s="51" t="n"/>
      <c r="BH41" s="51" t="n"/>
      <c r="BI41" s="51" t="n"/>
      <c r="BJ41" s="51" t="n"/>
      <c r="BK41" s="51" t="n"/>
      <c r="BL41" s="51" t="n"/>
      <c r="BM41" s="51" t="n"/>
    </row>
    <row r="42">
      <c r="A42" s="47">
        <f>IF(Mitarbeiter!B42="","",Mitarbeiter!A42)</f>
        <v/>
      </c>
      <c r="B42" s="48">
        <f>IF(Mitarbeiter!B42="","",Mitarbeiter!B42)</f>
        <v/>
      </c>
      <c r="C42" s="37">
        <f>IF(Mitarbeiter!B42="","",N(INDEX($F42:$BM42,1,(Einstellungen!$C$3-2026)*12+1))+N(INDEX($F42:$BM42,1,(Einstellungen!$C$3-2026)*12+2))+N(INDEX($F42:$BM42,1,(Einstellungen!$C$3-2026)*12+3))+N(INDEX($F42:$BM42,1,(Einstellungen!$C$3-2026)*12+4))+N(INDEX($F42:$BM42,1,(Einstellungen!$C$3-2026)*12+5))+N(INDEX($F42:$BM42,1,(Einstellungen!$C$3-2026)*12+6))+N(INDEX($F42:$BM42,1,(Einstellungen!$C$3-2026)*12+7))+N(INDEX($F42:$BM42,1,(Einstellungen!$C$3-2026)*12+8))+N(INDEX($F42:$BM42,1,(Einstellungen!$C$3-2026)*12+9))+N(INDEX($F42:$BM42,1,(Einstellungen!$C$3-2026)*12+10))+N(INDEX($F42:$BM42,1,(Einstellungen!$C$3-2026)*12+11))+N(INDEX($F42:$BM42,1,(Einstellungen!$C$3-2026)*12+12)))</f>
        <v/>
      </c>
      <c r="D42" s="37">
        <f>IF(Mitarbeiter!B42="","",SUM(F42:BM42))</f>
        <v/>
      </c>
      <c r="F42" s="51" t="n">
        <v>164</v>
      </c>
      <c r="G42" s="51" t="n">
        <v>172</v>
      </c>
      <c r="H42" s="51" t="n">
        <v>172</v>
      </c>
      <c r="I42" s="51" t="n">
        <v>182</v>
      </c>
      <c r="J42" s="51" t="n">
        <v>160</v>
      </c>
      <c r="K42" s="51" t="n">
        <v>172</v>
      </c>
      <c r="L42" s="51" t="n">
        <v>190</v>
      </c>
      <c r="M42" s="51" t="n">
        <v>182</v>
      </c>
      <c r="N42" s="51" t="n">
        <v>182</v>
      </c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  <c r="AE42" s="51" t="n"/>
      <c r="AF42" s="51" t="n"/>
      <c r="AG42" s="51" t="n"/>
      <c r="AH42" s="51" t="n"/>
      <c r="AI42" s="51" t="n"/>
      <c r="AJ42" s="51" t="n"/>
      <c r="AK42" s="51" t="n"/>
      <c r="AL42" s="51" t="n"/>
      <c r="AM42" s="51" t="n"/>
      <c r="AN42" s="51" t="n"/>
      <c r="AO42" s="51" t="n"/>
      <c r="AP42" s="51" t="n"/>
      <c r="AQ42" s="51" t="n"/>
      <c r="AR42" s="51" t="n"/>
      <c r="AS42" s="51" t="n"/>
      <c r="AT42" s="51" t="n"/>
      <c r="AU42" s="51" t="n"/>
      <c r="AV42" s="51" t="n"/>
      <c r="AW42" s="51" t="n"/>
      <c r="AX42" s="51" t="n"/>
      <c r="AY42" s="51" t="n"/>
      <c r="AZ42" s="51" t="n"/>
      <c r="BA42" s="51" t="n"/>
      <c r="BB42" s="51" t="n"/>
      <c r="BC42" s="51" t="n"/>
      <c r="BD42" s="51" t="n"/>
      <c r="BE42" s="51" t="n"/>
      <c r="BF42" s="51" t="n"/>
      <c r="BG42" s="51" t="n"/>
      <c r="BH42" s="51" t="n"/>
      <c r="BI42" s="51" t="n"/>
      <c r="BJ42" s="51" t="n"/>
      <c r="BK42" s="51" t="n"/>
      <c r="BL42" s="51" t="n"/>
      <c r="BM42" s="51" t="n"/>
    </row>
    <row r="43">
      <c r="A43" s="47">
        <f>IF(Mitarbeiter!B43="","",Mitarbeiter!A43)</f>
        <v/>
      </c>
      <c r="B43" s="48">
        <f>IF(Mitarbeiter!B43="","",Mitarbeiter!B43)</f>
        <v/>
      </c>
      <c r="C43" s="37">
        <f>IF(Mitarbeiter!B43="","",N(INDEX($F43:$BM43,1,(Einstellungen!$C$3-2026)*12+1))+N(INDEX($F43:$BM43,1,(Einstellungen!$C$3-2026)*12+2))+N(INDEX($F43:$BM43,1,(Einstellungen!$C$3-2026)*12+3))+N(INDEX($F43:$BM43,1,(Einstellungen!$C$3-2026)*12+4))+N(INDEX($F43:$BM43,1,(Einstellungen!$C$3-2026)*12+5))+N(INDEX($F43:$BM43,1,(Einstellungen!$C$3-2026)*12+6))+N(INDEX($F43:$BM43,1,(Einstellungen!$C$3-2026)*12+7))+N(INDEX($F43:$BM43,1,(Einstellungen!$C$3-2026)*12+8))+N(INDEX($F43:$BM43,1,(Einstellungen!$C$3-2026)*12+9))+N(INDEX($F43:$BM43,1,(Einstellungen!$C$3-2026)*12+10))+N(INDEX($F43:$BM43,1,(Einstellungen!$C$3-2026)*12+11))+N(INDEX($F43:$BM43,1,(Einstellungen!$C$3-2026)*12+12)))</f>
        <v/>
      </c>
      <c r="D43" s="37">
        <f>IF(Mitarbeiter!B43="","",SUM(F43:BM43))</f>
        <v/>
      </c>
      <c r="F43" s="51" t="n">
        <v>172</v>
      </c>
      <c r="G43" s="51" t="n">
        <v>160</v>
      </c>
      <c r="H43" s="51" t="n">
        <v>160</v>
      </c>
      <c r="I43" s="51" t="n">
        <v>190</v>
      </c>
      <c r="J43" s="51" t="n">
        <v>172</v>
      </c>
      <c r="K43" s="51" t="n">
        <v>172</v>
      </c>
      <c r="L43" s="51" t="n">
        <v>190</v>
      </c>
      <c r="M43" s="51" t="n">
        <v>182</v>
      </c>
      <c r="N43" s="51" t="n">
        <v>166</v>
      </c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  <c r="AA43" s="51" t="n"/>
      <c r="AB43" s="51" t="n"/>
      <c r="AC43" s="51" t="n"/>
      <c r="AD43" s="51" t="n"/>
      <c r="AE43" s="51" t="n"/>
      <c r="AF43" s="51" t="n"/>
      <c r="AG43" s="51" t="n"/>
      <c r="AH43" s="51" t="n"/>
      <c r="AI43" s="51" t="n"/>
      <c r="AJ43" s="51" t="n"/>
      <c r="AK43" s="51" t="n"/>
      <c r="AL43" s="51" t="n"/>
      <c r="AM43" s="51" t="n"/>
      <c r="AN43" s="51" t="n"/>
      <c r="AO43" s="51" t="n"/>
      <c r="AP43" s="51" t="n"/>
      <c r="AQ43" s="51" t="n"/>
      <c r="AR43" s="51" t="n"/>
      <c r="AS43" s="51" t="n"/>
      <c r="AT43" s="51" t="n"/>
      <c r="AU43" s="51" t="n"/>
      <c r="AV43" s="51" t="n"/>
      <c r="AW43" s="51" t="n"/>
      <c r="AX43" s="51" t="n"/>
      <c r="AY43" s="51" t="n"/>
      <c r="AZ43" s="51" t="n"/>
      <c r="BA43" s="51" t="n"/>
      <c r="BB43" s="51" t="n"/>
      <c r="BC43" s="51" t="n"/>
      <c r="BD43" s="51" t="n"/>
      <c r="BE43" s="51" t="n"/>
      <c r="BF43" s="51" t="n"/>
      <c r="BG43" s="51" t="n"/>
      <c r="BH43" s="51" t="n"/>
      <c r="BI43" s="51" t="n"/>
      <c r="BJ43" s="51" t="n"/>
      <c r="BK43" s="51" t="n"/>
      <c r="BL43" s="51" t="n"/>
      <c r="BM43" s="51" t="n"/>
    </row>
    <row r="44">
      <c r="A44" s="47">
        <f>IF(Mitarbeiter!B44="","",Mitarbeiter!A44)</f>
        <v/>
      </c>
      <c r="B44" s="48">
        <f>IF(Mitarbeiter!B44="","",Mitarbeiter!B44)</f>
        <v/>
      </c>
      <c r="C44" s="37">
        <f>IF(Mitarbeiter!B44="","",N(INDEX($F44:$BM44,1,(Einstellungen!$C$3-2026)*12+1))+N(INDEX($F44:$BM44,1,(Einstellungen!$C$3-2026)*12+2))+N(INDEX($F44:$BM44,1,(Einstellungen!$C$3-2026)*12+3))+N(INDEX($F44:$BM44,1,(Einstellungen!$C$3-2026)*12+4))+N(INDEX($F44:$BM44,1,(Einstellungen!$C$3-2026)*12+5))+N(INDEX($F44:$BM44,1,(Einstellungen!$C$3-2026)*12+6))+N(INDEX($F44:$BM44,1,(Einstellungen!$C$3-2026)*12+7))+N(INDEX($F44:$BM44,1,(Einstellungen!$C$3-2026)*12+8))+N(INDEX($F44:$BM44,1,(Einstellungen!$C$3-2026)*12+9))+N(INDEX($F44:$BM44,1,(Einstellungen!$C$3-2026)*12+10))+N(INDEX($F44:$BM44,1,(Einstellungen!$C$3-2026)*12+11))+N(INDEX($F44:$BM44,1,(Einstellungen!$C$3-2026)*12+12)))</f>
        <v/>
      </c>
      <c r="D44" s="37">
        <f>IF(Mitarbeiter!B44="","",SUM(F44:BM44))</f>
        <v/>
      </c>
      <c r="F44" s="51" t="n">
        <v>172</v>
      </c>
      <c r="G44" s="51" t="n">
        <v>172</v>
      </c>
      <c r="H44" s="51" t="n">
        <v>166</v>
      </c>
      <c r="I44" s="51" t="n">
        <v>172</v>
      </c>
      <c r="J44" s="51" t="n">
        <v>172</v>
      </c>
      <c r="K44" s="51" t="n">
        <v>182</v>
      </c>
      <c r="L44" s="51" t="n">
        <v>182</v>
      </c>
      <c r="M44" s="51" t="n">
        <v>190</v>
      </c>
      <c r="N44" s="51" t="n">
        <v>190</v>
      </c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  <c r="AA44" s="51" t="n"/>
      <c r="AB44" s="51" t="n"/>
      <c r="AC44" s="51" t="n"/>
      <c r="AD44" s="51" t="n"/>
      <c r="AE44" s="51" t="n"/>
      <c r="AF44" s="51" t="n"/>
      <c r="AG44" s="51" t="n"/>
      <c r="AH44" s="51" t="n"/>
      <c r="AI44" s="51" t="n"/>
      <c r="AJ44" s="51" t="n"/>
      <c r="AK44" s="51" t="n"/>
      <c r="AL44" s="51" t="n"/>
      <c r="AM44" s="51" t="n"/>
      <c r="AN44" s="51" t="n"/>
      <c r="AO44" s="51" t="n"/>
      <c r="AP44" s="51" t="n"/>
      <c r="AQ44" s="51" t="n"/>
      <c r="AR44" s="51" t="n"/>
      <c r="AS44" s="51" t="n"/>
      <c r="AT44" s="51" t="n"/>
      <c r="AU44" s="51" t="n"/>
      <c r="AV44" s="51" t="n"/>
      <c r="AW44" s="51" t="n"/>
      <c r="AX44" s="51" t="n"/>
      <c r="AY44" s="51" t="n"/>
      <c r="AZ44" s="51" t="n"/>
      <c r="BA44" s="51" t="n"/>
      <c r="BB44" s="51" t="n"/>
      <c r="BC44" s="51" t="n"/>
      <c r="BD44" s="51" t="n"/>
      <c r="BE44" s="51" t="n"/>
      <c r="BF44" s="51" t="n"/>
      <c r="BG44" s="51" t="n"/>
      <c r="BH44" s="51" t="n"/>
      <c r="BI44" s="51" t="n"/>
      <c r="BJ44" s="51" t="n"/>
      <c r="BK44" s="51" t="n"/>
      <c r="BL44" s="51" t="n"/>
      <c r="BM44" s="51" t="n"/>
    </row>
    <row r="45">
      <c r="A45" s="47">
        <f>IF(Mitarbeiter!B45="","",Mitarbeiter!A45)</f>
        <v/>
      </c>
      <c r="B45" s="48">
        <f>IF(Mitarbeiter!B45="","",Mitarbeiter!B45)</f>
        <v/>
      </c>
      <c r="C45" s="37">
        <f>IF(Mitarbeiter!B45="","",N(INDEX($F45:$BM45,1,(Einstellungen!$C$3-2026)*12+1))+N(INDEX($F45:$BM45,1,(Einstellungen!$C$3-2026)*12+2))+N(INDEX($F45:$BM45,1,(Einstellungen!$C$3-2026)*12+3))+N(INDEX($F45:$BM45,1,(Einstellungen!$C$3-2026)*12+4))+N(INDEX($F45:$BM45,1,(Einstellungen!$C$3-2026)*12+5))+N(INDEX($F45:$BM45,1,(Einstellungen!$C$3-2026)*12+6))+N(INDEX($F45:$BM45,1,(Einstellungen!$C$3-2026)*12+7))+N(INDEX($F45:$BM45,1,(Einstellungen!$C$3-2026)*12+8))+N(INDEX($F45:$BM45,1,(Einstellungen!$C$3-2026)*12+9))+N(INDEX($F45:$BM45,1,(Einstellungen!$C$3-2026)*12+10))+N(INDEX($F45:$BM45,1,(Einstellungen!$C$3-2026)*12+11))+N(INDEX($F45:$BM45,1,(Einstellungen!$C$3-2026)*12+12)))</f>
        <v/>
      </c>
      <c r="D45" s="37">
        <f>IF(Mitarbeiter!B45="","",SUM(F45:BM45))</f>
        <v/>
      </c>
      <c r="F45" s="51" t="n">
        <v>64</v>
      </c>
      <c r="G45" s="51" t="n">
        <v>178</v>
      </c>
      <c r="H45" s="51" t="n">
        <v>120</v>
      </c>
      <c r="I45" s="51" t="n">
        <v>172</v>
      </c>
      <c r="J45" s="51" t="n">
        <v>172</v>
      </c>
      <c r="K45" s="51" t="n">
        <v>172</v>
      </c>
      <c r="L45" s="51" t="n">
        <v>182</v>
      </c>
      <c r="M45" s="51" t="n">
        <v>160</v>
      </c>
      <c r="N45" s="51" t="n">
        <v>154</v>
      </c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  <c r="AA45" s="51" t="n"/>
      <c r="AB45" s="51" t="n"/>
      <c r="AC45" s="51" t="n"/>
      <c r="AD45" s="51" t="n"/>
      <c r="AE45" s="51" t="n"/>
      <c r="AF45" s="51" t="n"/>
      <c r="AG45" s="51" t="n"/>
      <c r="AH45" s="51" t="n"/>
      <c r="AI45" s="51" t="n"/>
      <c r="AJ45" s="51" t="n"/>
      <c r="AK45" s="51" t="n"/>
      <c r="AL45" s="51" t="n"/>
      <c r="AM45" s="51" t="n"/>
      <c r="AN45" s="51" t="n"/>
      <c r="AO45" s="51" t="n"/>
      <c r="AP45" s="51" t="n"/>
      <c r="AQ45" s="51" t="n"/>
      <c r="AR45" s="51" t="n"/>
      <c r="AS45" s="51" t="n"/>
      <c r="AT45" s="51" t="n"/>
      <c r="AU45" s="51" t="n"/>
      <c r="AV45" s="51" t="n"/>
      <c r="AW45" s="51" t="n"/>
      <c r="AX45" s="51" t="n"/>
      <c r="AY45" s="51" t="n"/>
      <c r="AZ45" s="51" t="n"/>
      <c r="BA45" s="51" t="n"/>
      <c r="BB45" s="51" t="n"/>
      <c r="BC45" s="51" t="n"/>
      <c r="BD45" s="51" t="n"/>
      <c r="BE45" s="51" t="n"/>
      <c r="BF45" s="51" t="n"/>
      <c r="BG45" s="51" t="n"/>
      <c r="BH45" s="51" t="n"/>
      <c r="BI45" s="51" t="n"/>
      <c r="BJ45" s="51" t="n"/>
      <c r="BK45" s="51" t="n"/>
      <c r="BL45" s="51" t="n"/>
      <c r="BM45" s="51" t="n"/>
    </row>
    <row r="46">
      <c r="A46" s="47">
        <f>IF(Mitarbeiter!B46="","",Mitarbeiter!A46)</f>
        <v/>
      </c>
      <c r="B46" s="48">
        <f>IF(Mitarbeiter!B46="","",Mitarbeiter!B46)</f>
        <v/>
      </c>
      <c r="C46" s="37">
        <f>IF(Mitarbeiter!B46="","",N(INDEX($F46:$BM46,1,(Einstellungen!$C$3-2026)*12+1))+N(INDEX($F46:$BM46,1,(Einstellungen!$C$3-2026)*12+2))+N(INDEX($F46:$BM46,1,(Einstellungen!$C$3-2026)*12+3))+N(INDEX($F46:$BM46,1,(Einstellungen!$C$3-2026)*12+4))+N(INDEX($F46:$BM46,1,(Einstellungen!$C$3-2026)*12+5))+N(INDEX($F46:$BM46,1,(Einstellungen!$C$3-2026)*12+6))+N(INDEX($F46:$BM46,1,(Einstellungen!$C$3-2026)*12+7))+N(INDEX($F46:$BM46,1,(Einstellungen!$C$3-2026)*12+8))+N(INDEX($F46:$BM46,1,(Einstellungen!$C$3-2026)*12+9))+N(INDEX($F46:$BM46,1,(Einstellungen!$C$3-2026)*12+10))+N(INDEX($F46:$BM46,1,(Einstellungen!$C$3-2026)*12+11))+N(INDEX($F46:$BM46,1,(Einstellungen!$C$3-2026)*12+12)))</f>
        <v/>
      </c>
      <c r="D46" s="37">
        <f>IF(Mitarbeiter!B46="","",SUM(F46:BM46))</f>
        <v/>
      </c>
      <c r="F46" s="51" t="n">
        <v>172</v>
      </c>
      <c r="G46" s="51" t="n">
        <v>160</v>
      </c>
      <c r="H46" s="51" t="n">
        <v>166</v>
      </c>
      <c r="I46" s="51" t="n">
        <v>172</v>
      </c>
      <c r="J46" s="51" t="n">
        <v>166</v>
      </c>
      <c r="K46" s="51" t="n">
        <v>172</v>
      </c>
      <c r="L46" s="51" t="n">
        <v>182</v>
      </c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  <c r="Z46" s="51" t="n"/>
      <c r="AA46" s="51" t="n"/>
      <c r="AB46" s="51" t="n"/>
      <c r="AC46" s="51" t="n"/>
      <c r="AD46" s="51" t="n"/>
      <c r="AE46" s="51" t="n"/>
      <c r="AF46" s="51" t="n"/>
      <c r="AG46" s="51" t="n"/>
      <c r="AH46" s="51" t="n"/>
      <c r="AI46" s="51" t="n"/>
      <c r="AJ46" s="51" t="n"/>
      <c r="AK46" s="51" t="n"/>
      <c r="AL46" s="51" t="n"/>
      <c r="AM46" s="51" t="n"/>
      <c r="AN46" s="51" t="n"/>
      <c r="AO46" s="51" t="n"/>
      <c r="AP46" s="51" t="n"/>
      <c r="AQ46" s="51" t="n"/>
      <c r="AR46" s="51" t="n"/>
      <c r="AS46" s="51" t="n"/>
      <c r="AT46" s="51" t="n"/>
      <c r="AU46" s="51" t="n"/>
      <c r="AV46" s="51" t="n"/>
      <c r="AW46" s="51" t="n"/>
      <c r="AX46" s="51" t="n"/>
      <c r="AY46" s="51" t="n"/>
      <c r="AZ46" s="51" t="n"/>
      <c r="BA46" s="51" t="n"/>
      <c r="BB46" s="51" t="n"/>
      <c r="BC46" s="51" t="n"/>
      <c r="BD46" s="51" t="n"/>
      <c r="BE46" s="51" t="n"/>
      <c r="BF46" s="51" t="n"/>
      <c r="BG46" s="51" t="n"/>
      <c r="BH46" s="51" t="n"/>
      <c r="BI46" s="51" t="n"/>
      <c r="BJ46" s="51" t="n"/>
      <c r="BK46" s="51" t="n"/>
      <c r="BL46" s="51" t="n"/>
      <c r="BM46" s="51" t="n"/>
    </row>
    <row r="47">
      <c r="A47" s="47">
        <f>IF(Mitarbeiter!B47="","",Mitarbeiter!A47)</f>
        <v/>
      </c>
      <c r="B47" s="48">
        <f>IF(Mitarbeiter!B47="","",Mitarbeiter!B47)</f>
        <v/>
      </c>
      <c r="C47" s="37">
        <f>IF(Mitarbeiter!B47="","",N(INDEX($F47:$BM47,1,(Einstellungen!$C$3-2026)*12+1))+N(INDEX($F47:$BM47,1,(Einstellungen!$C$3-2026)*12+2))+N(INDEX($F47:$BM47,1,(Einstellungen!$C$3-2026)*12+3))+N(INDEX($F47:$BM47,1,(Einstellungen!$C$3-2026)*12+4))+N(INDEX($F47:$BM47,1,(Einstellungen!$C$3-2026)*12+5))+N(INDEX($F47:$BM47,1,(Einstellungen!$C$3-2026)*12+6))+N(INDEX($F47:$BM47,1,(Einstellungen!$C$3-2026)*12+7))+N(INDEX($F47:$BM47,1,(Einstellungen!$C$3-2026)*12+8))+N(INDEX($F47:$BM47,1,(Einstellungen!$C$3-2026)*12+9))+N(INDEX($F47:$BM47,1,(Einstellungen!$C$3-2026)*12+10))+N(INDEX($F47:$BM47,1,(Einstellungen!$C$3-2026)*12+11))+N(INDEX($F47:$BM47,1,(Einstellungen!$C$3-2026)*12+12)))</f>
        <v/>
      </c>
      <c r="D47" s="37">
        <f>IF(Mitarbeiter!B47="","",SUM(F47:BM47))</f>
        <v/>
      </c>
      <c r="F47" s="51" t="n">
        <v>96</v>
      </c>
      <c r="G47" s="51" t="n">
        <v>62</v>
      </c>
      <c r="H47" s="51" t="n">
        <v>80</v>
      </c>
      <c r="I47" s="51" t="n">
        <v>86</v>
      </c>
      <c r="J47" s="51" t="n">
        <v>74</v>
      </c>
      <c r="K47" s="51" t="n">
        <v>88</v>
      </c>
      <c r="L47" s="51" t="n">
        <v>82</v>
      </c>
      <c r="M47" s="51" t="n">
        <v>86</v>
      </c>
      <c r="N47" s="51" t="n">
        <v>80</v>
      </c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  <c r="Z47" s="51" t="n"/>
      <c r="AA47" s="51" t="n"/>
      <c r="AB47" s="51" t="n"/>
      <c r="AC47" s="51" t="n"/>
      <c r="AD47" s="51" t="n"/>
      <c r="AE47" s="51" t="n"/>
      <c r="AF47" s="51" t="n"/>
      <c r="AG47" s="51" t="n"/>
      <c r="AH47" s="51" t="n"/>
      <c r="AI47" s="51" t="n"/>
      <c r="AJ47" s="51" t="n"/>
      <c r="AK47" s="51" t="n"/>
      <c r="AL47" s="51" t="n"/>
      <c r="AM47" s="51" t="n"/>
      <c r="AN47" s="51" t="n"/>
      <c r="AO47" s="51" t="n"/>
      <c r="AP47" s="51" t="n"/>
      <c r="AQ47" s="51" t="n"/>
      <c r="AR47" s="51" t="n"/>
      <c r="AS47" s="51" t="n"/>
      <c r="AT47" s="51" t="n"/>
      <c r="AU47" s="51" t="n"/>
      <c r="AV47" s="51" t="n"/>
      <c r="AW47" s="51" t="n"/>
      <c r="AX47" s="51" t="n"/>
      <c r="AY47" s="51" t="n"/>
      <c r="AZ47" s="51" t="n"/>
      <c r="BA47" s="51" t="n"/>
      <c r="BB47" s="51" t="n"/>
      <c r="BC47" s="51" t="n"/>
      <c r="BD47" s="51" t="n"/>
      <c r="BE47" s="51" t="n"/>
      <c r="BF47" s="51" t="n"/>
      <c r="BG47" s="51" t="n"/>
      <c r="BH47" s="51" t="n"/>
      <c r="BI47" s="51" t="n"/>
      <c r="BJ47" s="51" t="n"/>
      <c r="BK47" s="51" t="n"/>
      <c r="BL47" s="51" t="n"/>
      <c r="BM47" s="51" t="n"/>
    </row>
    <row r="48">
      <c r="A48" s="47">
        <f>IF(Mitarbeiter!B48="","",Mitarbeiter!A48)</f>
        <v/>
      </c>
      <c r="B48" s="48">
        <f>IF(Mitarbeiter!B48="","",Mitarbeiter!B48)</f>
        <v/>
      </c>
      <c r="C48" s="37">
        <f>IF(Mitarbeiter!B48="","",N(INDEX($F48:$BM48,1,(Einstellungen!$C$3-2026)*12+1))+N(INDEX($F48:$BM48,1,(Einstellungen!$C$3-2026)*12+2))+N(INDEX($F48:$BM48,1,(Einstellungen!$C$3-2026)*12+3))+N(INDEX($F48:$BM48,1,(Einstellungen!$C$3-2026)*12+4))+N(INDEX($F48:$BM48,1,(Einstellungen!$C$3-2026)*12+5))+N(INDEX($F48:$BM48,1,(Einstellungen!$C$3-2026)*12+6))+N(INDEX($F48:$BM48,1,(Einstellungen!$C$3-2026)*12+7))+N(INDEX($F48:$BM48,1,(Einstellungen!$C$3-2026)*12+8))+N(INDEX($F48:$BM48,1,(Einstellungen!$C$3-2026)*12+9))+N(INDEX($F48:$BM48,1,(Einstellungen!$C$3-2026)*12+10))+N(INDEX($F48:$BM48,1,(Einstellungen!$C$3-2026)*12+11))+N(INDEX($F48:$BM48,1,(Einstellungen!$C$3-2026)*12+12)))</f>
        <v/>
      </c>
      <c r="D48" s="37">
        <f>IF(Mitarbeiter!B48="","",SUM(F48:BM48))</f>
        <v/>
      </c>
      <c r="F48" s="51" t="n">
        <v>170</v>
      </c>
      <c r="G48" s="51" t="n">
        <v>150</v>
      </c>
      <c r="H48" s="51" t="n">
        <v>172</v>
      </c>
      <c r="I48" s="51" t="n">
        <v>190</v>
      </c>
      <c r="J48" s="51" t="n">
        <v>166</v>
      </c>
      <c r="K48" s="51" t="n">
        <v>160</v>
      </c>
      <c r="L48" s="51" t="n">
        <v>172</v>
      </c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  <c r="AA48" s="51" t="n"/>
      <c r="AB48" s="51" t="n"/>
      <c r="AC48" s="51" t="n"/>
      <c r="AD48" s="51" t="n"/>
      <c r="AE48" s="51" t="n"/>
      <c r="AF48" s="51" t="n"/>
      <c r="AG48" s="51" t="n"/>
      <c r="AH48" s="51" t="n"/>
      <c r="AI48" s="51" t="n"/>
      <c r="AJ48" s="51" t="n"/>
      <c r="AK48" s="51" t="n"/>
      <c r="AL48" s="51" t="n"/>
      <c r="AM48" s="51" t="n"/>
      <c r="AN48" s="51" t="n"/>
      <c r="AO48" s="51" t="n"/>
      <c r="AP48" s="51" t="n"/>
      <c r="AQ48" s="51" t="n"/>
      <c r="AR48" s="51" t="n"/>
      <c r="AS48" s="51" t="n"/>
      <c r="AT48" s="51" t="n"/>
      <c r="AU48" s="51" t="n"/>
      <c r="AV48" s="51" t="n"/>
      <c r="AW48" s="51" t="n"/>
      <c r="AX48" s="51" t="n"/>
      <c r="AY48" s="51" t="n"/>
      <c r="AZ48" s="51" t="n"/>
      <c r="BA48" s="51" t="n"/>
      <c r="BB48" s="51" t="n"/>
      <c r="BC48" s="51" t="n"/>
      <c r="BD48" s="51" t="n"/>
      <c r="BE48" s="51" t="n"/>
      <c r="BF48" s="51" t="n"/>
      <c r="BG48" s="51" t="n"/>
      <c r="BH48" s="51" t="n"/>
      <c r="BI48" s="51" t="n"/>
      <c r="BJ48" s="51" t="n"/>
      <c r="BK48" s="51" t="n"/>
      <c r="BL48" s="51" t="n"/>
      <c r="BM48" s="51" t="n"/>
    </row>
    <row r="49">
      <c r="A49" s="47">
        <f>IF(Mitarbeiter!B49="","",Mitarbeiter!A49)</f>
        <v/>
      </c>
      <c r="B49" s="48">
        <f>IF(Mitarbeiter!B49="","",Mitarbeiter!B49)</f>
        <v/>
      </c>
      <c r="C49" s="37">
        <f>IF(Mitarbeiter!B49="","",N(INDEX($F49:$BM49,1,(Einstellungen!$C$3-2026)*12+1))+N(INDEX($F49:$BM49,1,(Einstellungen!$C$3-2026)*12+2))+N(INDEX($F49:$BM49,1,(Einstellungen!$C$3-2026)*12+3))+N(INDEX($F49:$BM49,1,(Einstellungen!$C$3-2026)*12+4))+N(INDEX($F49:$BM49,1,(Einstellungen!$C$3-2026)*12+5))+N(INDEX($F49:$BM49,1,(Einstellungen!$C$3-2026)*12+6))+N(INDEX($F49:$BM49,1,(Einstellungen!$C$3-2026)*12+7))+N(INDEX($F49:$BM49,1,(Einstellungen!$C$3-2026)*12+8))+N(INDEX($F49:$BM49,1,(Einstellungen!$C$3-2026)*12+9))+N(INDEX($F49:$BM49,1,(Einstellungen!$C$3-2026)*12+10))+N(INDEX($F49:$BM49,1,(Einstellungen!$C$3-2026)*12+11))+N(INDEX($F49:$BM49,1,(Einstellungen!$C$3-2026)*12+12)))</f>
        <v/>
      </c>
      <c r="D49" s="37">
        <f>IF(Mitarbeiter!B49="","",SUM(F49:BM49))</f>
        <v/>
      </c>
      <c r="F49" s="51" t="n">
        <v>172</v>
      </c>
      <c r="G49" s="51" t="n">
        <v>158</v>
      </c>
      <c r="H49" s="51" t="n">
        <v>94</v>
      </c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  <c r="AA49" s="51" t="n"/>
      <c r="AB49" s="51" t="n"/>
      <c r="AC49" s="51" t="n"/>
      <c r="AD49" s="51" t="n"/>
      <c r="AE49" s="51" t="n"/>
      <c r="AF49" s="51" t="n"/>
      <c r="AG49" s="51" t="n"/>
      <c r="AH49" s="51" t="n"/>
      <c r="AI49" s="51" t="n"/>
      <c r="AJ49" s="51" t="n"/>
      <c r="AK49" s="51" t="n"/>
      <c r="AL49" s="51" t="n"/>
      <c r="AM49" s="51" t="n"/>
      <c r="AN49" s="51" t="n"/>
      <c r="AO49" s="51" t="n"/>
      <c r="AP49" s="51" t="n"/>
      <c r="AQ49" s="51" t="n"/>
      <c r="AR49" s="51" t="n"/>
      <c r="AS49" s="51" t="n"/>
      <c r="AT49" s="51" t="n"/>
      <c r="AU49" s="51" t="n"/>
      <c r="AV49" s="51" t="n"/>
      <c r="AW49" s="51" t="n"/>
      <c r="AX49" s="51" t="n"/>
      <c r="AY49" s="51" t="n"/>
      <c r="AZ49" s="51" t="n"/>
      <c r="BA49" s="51" t="n"/>
      <c r="BB49" s="51" t="n"/>
      <c r="BC49" s="51" t="n"/>
      <c r="BD49" s="51" t="n"/>
      <c r="BE49" s="51" t="n"/>
      <c r="BF49" s="51" t="n"/>
      <c r="BG49" s="51" t="n"/>
      <c r="BH49" s="51" t="n"/>
      <c r="BI49" s="51" t="n"/>
      <c r="BJ49" s="51" t="n"/>
      <c r="BK49" s="51" t="n"/>
      <c r="BL49" s="51" t="n"/>
      <c r="BM49" s="51" t="n"/>
    </row>
    <row r="50">
      <c r="A50" s="47">
        <f>IF(Mitarbeiter!B50="","",Mitarbeiter!A50)</f>
        <v/>
      </c>
      <c r="B50" s="48">
        <f>IF(Mitarbeiter!B50="","",Mitarbeiter!B50)</f>
        <v/>
      </c>
      <c r="C50" s="37">
        <f>IF(Mitarbeiter!B50="","",N(INDEX($F50:$BM50,1,(Einstellungen!$C$3-2026)*12+1))+N(INDEX($F50:$BM50,1,(Einstellungen!$C$3-2026)*12+2))+N(INDEX($F50:$BM50,1,(Einstellungen!$C$3-2026)*12+3))+N(INDEX($F50:$BM50,1,(Einstellungen!$C$3-2026)*12+4))+N(INDEX($F50:$BM50,1,(Einstellungen!$C$3-2026)*12+5))+N(INDEX($F50:$BM50,1,(Einstellungen!$C$3-2026)*12+6))+N(INDEX($F50:$BM50,1,(Einstellungen!$C$3-2026)*12+7))+N(INDEX($F50:$BM50,1,(Einstellungen!$C$3-2026)*12+8))+N(INDEX($F50:$BM50,1,(Einstellungen!$C$3-2026)*12+9))+N(INDEX($F50:$BM50,1,(Einstellungen!$C$3-2026)*12+10))+N(INDEX($F50:$BM50,1,(Einstellungen!$C$3-2026)*12+11))+N(INDEX($F50:$BM50,1,(Einstellungen!$C$3-2026)*12+12)))</f>
        <v/>
      </c>
      <c r="D50" s="37">
        <f>IF(Mitarbeiter!B50="","",SUM(F50:BM50))</f>
        <v/>
      </c>
      <c r="F50" s="51" t="n">
        <v>160</v>
      </c>
      <c r="G50" s="51" t="n">
        <v>160</v>
      </c>
      <c r="H50" s="51" t="n">
        <v>190</v>
      </c>
      <c r="I50" s="51" t="n">
        <v>190</v>
      </c>
      <c r="J50" s="51" t="n">
        <v>166</v>
      </c>
      <c r="K50" s="51" t="n">
        <v>172</v>
      </c>
      <c r="L50" s="51" t="n">
        <v>190</v>
      </c>
      <c r="M50" s="51" t="n">
        <v>160</v>
      </c>
      <c r="N50" s="51" t="n">
        <v>160</v>
      </c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  <c r="AA50" s="51" t="n"/>
      <c r="AB50" s="51" t="n"/>
      <c r="AC50" s="51" t="n"/>
      <c r="AD50" s="51" t="n"/>
      <c r="AE50" s="51" t="n"/>
      <c r="AF50" s="51" t="n"/>
      <c r="AG50" s="51" t="n"/>
      <c r="AH50" s="51" t="n"/>
      <c r="AI50" s="51" t="n"/>
      <c r="AJ50" s="51" t="n"/>
      <c r="AK50" s="51" t="n"/>
      <c r="AL50" s="51" t="n"/>
      <c r="AM50" s="51" t="n"/>
      <c r="AN50" s="51" t="n"/>
      <c r="AO50" s="51" t="n"/>
      <c r="AP50" s="51" t="n"/>
      <c r="AQ50" s="51" t="n"/>
      <c r="AR50" s="51" t="n"/>
      <c r="AS50" s="51" t="n"/>
      <c r="AT50" s="51" t="n"/>
      <c r="AU50" s="51" t="n"/>
      <c r="AV50" s="51" t="n"/>
      <c r="AW50" s="51" t="n"/>
      <c r="AX50" s="51" t="n"/>
      <c r="AY50" s="51" t="n"/>
      <c r="AZ50" s="51" t="n"/>
      <c r="BA50" s="51" t="n"/>
      <c r="BB50" s="51" t="n"/>
      <c r="BC50" s="51" t="n"/>
      <c r="BD50" s="51" t="n"/>
      <c r="BE50" s="51" t="n"/>
      <c r="BF50" s="51" t="n"/>
      <c r="BG50" s="51" t="n"/>
      <c r="BH50" s="51" t="n"/>
      <c r="BI50" s="51" t="n"/>
      <c r="BJ50" s="51" t="n"/>
      <c r="BK50" s="51" t="n"/>
      <c r="BL50" s="51" t="n"/>
      <c r="BM50" s="51" t="n"/>
    </row>
    <row r="51">
      <c r="A51" s="47">
        <f>IF(Mitarbeiter!B51="","",Mitarbeiter!A51)</f>
        <v/>
      </c>
      <c r="B51" s="48">
        <f>IF(Mitarbeiter!B51="","",Mitarbeiter!B51)</f>
        <v/>
      </c>
      <c r="C51" s="37">
        <f>IF(Mitarbeiter!B51="","",N(INDEX($F51:$BM51,1,(Einstellungen!$C$3-2026)*12+1))+N(INDEX($F51:$BM51,1,(Einstellungen!$C$3-2026)*12+2))+N(INDEX($F51:$BM51,1,(Einstellungen!$C$3-2026)*12+3))+N(INDEX($F51:$BM51,1,(Einstellungen!$C$3-2026)*12+4))+N(INDEX($F51:$BM51,1,(Einstellungen!$C$3-2026)*12+5))+N(INDEX($F51:$BM51,1,(Einstellungen!$C$3-2026)*12+6))+N(INDEX($F51:$BM51,1,(Einstellungen!$C$3-2026)*12+7))+N(INDEX($F51:$BM51,1,(Einstellungen!$C$3-2026)*12+8))+N(INDEX($F51:$BM51,1,(Einstellungen!$C$3-2026)*12+9))+N(INDEX($F51:$BM51,1,(Einstellungen!$C$3-2026)*12+10))+N(INDEX($F51:$BM51,1,(Einstellungen!$C$3-2026)*12+11))+N(INDEX($F51:$BM51,1,(Einstellungen!$C$3-2026)*12+12)))</f>
        <v/>
      </c>
      <c r="D51" s="37">
        <f>IF(Mitarbeiter!B51="","",SUM(F51:BM51))</f>
        <v/>
      </c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  <c r="AA51" s="51" t="n"/>
      <c r="AB51" s="51" t="n"/>
      <c r="AC51" s="51" t="n"/>
      <c r="AD51" s="51" t="n"/>
      <c r="AE51" s="51" t="n"/>
      <c r="AF51" s="51" t="n"/>
      <c r="AG51" s="51" t="n"/>
      <c r="AH51" s="51" t="n"/>
      <c r="AI51" s="51" t="n"/>
      <c r="AJ51" s="51" t="n"/>
      <c r="AK51" s="51" t="n"/>
      <c r="AL51" s="51" t="n"/>
      <c r="AM51" s="51" t="n"/>
      <c r="AN51" s="51" t="n"/>
      <c r="AO51" s="51" t="n"/>
      <c r="AP51" s="51" t="n"/>
      <c r="AQ51" s="51" t="n"/>
      <c r="AR51" s="51" t="n"/>
      <c r="AS51" s="51" t="n"/>
      <c r="AT51" s="51" t="n"/>
      <c r="AU51" s="51" t="n"/>
      <c r="AV51" s="51" t="n"/>
      <c r="AW51" s="51" t="n"/>
      <c r="AX51" s="51" t="n"/>
      <c r="AY51" s="51" t="n"/>
      <c r="AZ51" s="51" t="n"/>
      <c r="BA51" s="51" t="n"/>
      <c r="BB51" s="51" t="n"/>
      <c r="BC51" s="51" t="n"/>
      <c r="BD51" s="51" t="n"/>
      <c r="BE51" s="51" t="n"/>
      <c r="BF51" s="51" t="n"/>
      <c r="BG51" s="51" t="n"/>
      <c r="BH51" s="51" t="n"/>
      <c r="BI51" s="51" t="n"/>
      <c r="BJ51" s="51" t="n"/>
      <c r="BK51" s="51" t="n"/>
      <c r="BL51" s="51" t="n"/>
      <c r="BM51" s="51" t="n"/>
    </row>
    <row r="52">
      <c r="A52" s="47">
        <f>IF(Mitarbeiter!B52="","",Mitarbeiter!A52)</f>
        <v/>
      </c>
      <c r="B52" s="48">
        <f>IF(Mitarbeiter!B52="","",Mitarbeiter!B52)</f>
        <v/>
      </c>
      <c r="C52" s="37">
        <f>IF(Mitarbeiter!B52="","",N(INDEX($F52:$BM52,1,(Einstellungen!$C$3-2026)*12+1))+N(INDEX($F52:$BM52,1,(Einstellungen!$C$3-2026)*12+2))+N(INDEX($F52:$BM52,1,(Einstellungen!$C$3-2026)*12+3))+N(INDEX($F52:$BM52,1,(Einstellungen!$C$3-2026)*12+4))+N(INDEX($F52:$BM52,1,(Einstellungen!$C$3-2026)*12+5))+N(INDEX($F52:$BM52,1,(Einstellungen!$C$3-2026)*12+6))+N(INDEX($F52:$BM52,1,(Einstellungen!$C$3-2026)*12+7))+N(INDEX($F52:$BM52,1,(Einstellungen!$C$3-2026)*12+8))+N(INDEX($F52:$BM52,1,(Einstellungen!$C$3-2026)*12+9))+N(INDEX($F52:$BM52,1,(Einstellungen!$C$3-2026)*12+10))+N(INDEX($F52:$BM52,1,(Einstellungen!$C$3-2026)*12+11))+N(INDEX($F52:$BM52,1,(Einstellungen!$C$3-2026)*12+12)))</f>
        <v/>
      </c>
      <c r="D52" s="37">
        <f>IF(Mitarbeiter!B52="","",SUM(F52:BM52))</f>
        <v/>
      </c>
      <c r="F52" s="51" t="n"/>
      <c r="G52" s="51" t="n"/>
      <c r="H52" s="51" t="n"/>
      <c r="I52" s="51" t="n"/>
      <c r="J52" s="51" t="n"/>
      <c r="K52" s="51" t="n">
        <v>129</v>
      </c>
      <c r="L52" s="51" t="n">
        <v>135</v>
      </c>
      <c r="M52" s="51" t="n">
        <v>129</v>
      </c>
      <c r="N52" s="51" t="n">
        <v>99</v>
      </c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  <c r="AA52" s="51" t="n"/>
      <c r="AB52" s="51" t="n"/>
      <c r="AC52" s="51" t="n"/>
      <c r="AD52" s="51" t="n"/>
      <c r="AE52" s="51" t="n"/>
      <c r="AF52" s="51" t="n"/>
      <c r="AG52" s="51" t="n"/>
      <c r="AH52" s="51" t="n"/>
      <c r="AI52" s="51" t="n"/>
      <c r="AJ52" s="51" t="n"/>
      <c r="AK52" s="51" t="n"/>
      <c r="AL52" s="51" t="n"/>
      <c r="AM52" s="51" t="n"/>
      <c r="AN52" s="51" t="n"/>
      <c r="AO52" s="51" t="n"/>
      <c r="AP52" s="51" t="n"/>
      <c r="AQ52" s="51" t="n"/>
      <c r="AR52" s="51" t="n"/>
      <c r="AS52" s="51" t="n"/>
      <c r="AT52" s="51" t="n"/>
      <c r="AU52" s="51" t="n"/>
      <c r="AV52" s="51" t="n"/>
      <c r="AW52" s="51" t="n"/>
      <c r="AX52" s="51" t="n"/>
      <c r="AY52" s="51" t="n"/>
      <c r="AZ52" s="51" t="n"/>
      <c r="BA52" s="51" t="n"/>
      <c r="BB52" s="51" t="n"/>
      <c r="BC52" s="51" t="n"/>
      <c r="BD52" s="51" t="n"/>
      <c r="BE52" s="51" t="n"/>
      <c r="BF52" s="51" t="n"/>
      <c r="BG52" s="51" t="n"/>
      <c r="BH52" s="51" t="n"/>
      <c r="BI52" s="51" t="n"/>
      <c r="BJ52" s="51" t="n"/>
      <c r="BK52" s="51" t="n"/>
      <c r="BL52" s="51" t="n"/>
      <c r="BM52" s="51" t="n"/>
    </row>
    <row r="53">
      <c r="A53" s="47">
        <f>IF(Mitarbeiter!B53="","",Mitarbeiter!A53)</f>
        <v/>
      </c>
      <c r="B53" s="48">
        <f>IF(Mitarbeiter!B53="","",Mitarbeiter!B53)</f>
        <v/>
      </c>
      <c r="C53" s="37">
        <f>IF(Mitarbeiter!B53="","",N(INDEX($F53:$BM53,1,(Einstellungen!$C$3-2026)*12+1))+N(INDEX($F53:$BM53,1,(Einstellungen!$C$3-2026)*12+2))+N(INDEX($F53:$BM53,1,(Einstellungen!$C$3-2026)*12+3))+N(INDEX($F53:$BM53,1,(Einstellungen!$C$3-2026)*12+4))+N(INDEX($F53:$BM53,1,(Einstellungen!$C$3-2026)*12+5))+N(INDEX($F53:$BM53,1,(Einstellungen!$C$3-2026)*12+6))+N(INDEX($F53:$BM53,1,(Einstellungen!$C$3-2026)*12+7))+N(INDEX($F53:$BM53,1,(Einstellungen!$C$3-2026)*12+8))+N(INDEX($F53:$BM53,1,(Einstellungen!$C$3-2026)*12+9))+N(INDEX($F53:$BM53,1,(Einstellungen!$C$3-2026)*12+10))+N(INDEX($F53:$BM53,1,(Einstellungen!$C$3-2026)*12+11))+N(INDEX($F53:$BM53,1,(Einstellungen!$C$3-2026)*12+12)))</f>
        <v/>
      </c>
      <c r="D53" s="37">
        <f>IF(Mitarbeiter!B53="","",SUM(F53:BM53))</f>
        <v/>
      </c>
      <c r="F53" s="51" t="n"/>
      <c r="G53" s="51" t="n">
        <v>94</v>
      </c>
      <c r="H53" s="51" t="n">
        <v>170</v>
      </c>
      <c r="I53" s="51" t="n">
        <v>160</v>
      </c>
      <c r="J53" s="51" t="n">
        <v>160</v>
      </c>
      <c r="K53" s="51" t="n">
        <v>166</v>
      </c>
      <c r="L53" s="51" t="n">
        <v>166</v>
      </c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  <c r="AA53" s="51" t="n"/>
      <c r="AB53" s="51" t="n"/>
      <c r="AC53" s="51" t="n"/>
      <c r="AD53" s="51" t="n"/>
      <c r="AE53" s="51" t="n"/>
      <c r="AF53" s="51" t="n"/>
      <c r="AG53" s="51" t="n"/>
      <c r="AH53" s="51" t="n"/>
      <c r="AI53" s="51" t="n"/>
      <c r="AJ53" s="51" t="n"/>
      <c r="AK53" s="51" t="n"/>
      <c r="AL53" s="51" t="n"/>
      <c r="AM53" s="51" t="n"/>
      <c r="AN53" s="51" t="n"/>
      <c r="AO53" s="51" t="n"/>
      <c r="AP53" s="51" t="n"/>
      <c r="AQ53" s="51" t="n"/>
      <c r="AR53" s="51" t="n"/>
      <c r="AS53" s="51" t="n"/>
      <c r="AT53" s="51" t="n"/>
      <c r="AU53" s="51" t="n"/>
      <c r="AV53" s="51" t="n"/>
      <c r="AW53" s="51" t="n"/>
      <c r="AX53" s="51" t="n"/>
      <c r="AY53" s="51" t="n"/>
      <c r="AZ53" s="51" t="n"/>
      <c r="BA53" s="51" t="n"/>
      <c r="BB53" s="51" t="n"/>
      <c r="BC53" s="51" t="n"/>
      <c r="BD53" s="51" t="n"/>
      <c r="BE53" s="51" t="n"/>
      <c r="BF53" s="51" t="n"/>
      <c r="BG53" s="51" t="n"/>
      <c r="BH53" s="51" t="n"/>
      <c r="BI53" s="51" t="n"/>
      <c r="BJ53" s="51" t="n"/>
      <c r="BK53" s="51" t="n"/>
      <c r="BL53" s="51" t="n"/>
      <c r="BM53" s="51" t="n"/>
    </row>
    <row r="54">
      <c r="A54" s="47">
        <f>IF(Mitarbeiter!B54="","",Mitarbeiter!A54)</f>
        <v/>
      </c>
      <c r="B54" s="48">
        <f>IF(Mitarbeiter!B54="","",Mitarbeiter!B54)</f>
        <v/>
      </c>
      <c r="C54" s="37">
        <f>IF(Mitarbeiter!B54="","",N(INDEX($F54:$BM54,1,(Einstellungen!$C$3-2026)*12+1))+N(INDEX($F54:$BM54,1,(Einstellungen!$C$3-2026)*12+2))+N(INDEX($F54:$BM54,1,(Einstellungen!$C$3-2026)*12+3))+N(INDEX($F54:$BM54,1,(Einstellungen!$C$3-2026)*12+4))+N(INDEX($F54:$BM54,1,(Einstellungen!$C$3-2026)*12+5))+N(INDEX($F54:$BM54,1,(Einstellungen!$C$3-2026)*12+6))+N(INDEX($F54:$BM54,1,(Einstellungen!$C$3-2026)*12+7))+N(INDEX($F54:$BM54,1,(Einstellungen!$C$3-2026)*12+8))+N(INDEX($F54:$BM54,1,(Einstellungen!$C$3-2026)*12+9))+N(INDEX($F54:$BM54,1,(Einstellungen!$C$3-2026)*12+10))+N(INDEX($F54:$BM54,1,(Einstellungen!$C$3-2026)*12+11))+N(INDEX($F54:$BM54,1,(Einstellungen!$C$3-2026)*12+12)))</f>
        <v/>
      </c>
      <c r="D54" s="37">
        <f>IF(Mitarbeiter!B54="","",SUM(F54:BM54))</f>
        <v/>
      </c>
      <c r="F54" s="51" t="n"/>
      <c r="G54" s="51" t="n"/>
      <c r="H54" s="51" t="n"/>
      <c r="I54" s="51" t="n"/>
      <c r="J54" s="51" t="n">
        <v>142</v>
      </c>
      <c r="K54" s="51" t="n">
        <v>172</v>
      </c>
      <c r="L54" s="51" t="n">
        <v>120</v>
      </c>
      <c r="M54" s="51" t="n">
        <v>172</v>
      </c>
      <c r="N54" s="51" t="n">
        <v>162</v>
      </c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  <c r="AA54" s="51" t="n"/>
      <c r="AB54" s="51" t="n"/>
      <c r="AC54" s="51" t="n"/>
      <c r="AD54" s="51" t="n"/>
      <c r="AE54" s="51" t="n"/>
      <c r="AF54" s="51" t="n"/>
      <c r="AG54" s="51" t="n"/>
      <c r="AH54" s="51" t="n"/>
      <c r="AI54" s="51" t="n"/>
      <c r="AJ54" s="51" t="n"/>
      <c r="AK54" s="51" t="n"/>
      <c r="AL54" s="51" t="n"/>
      <c r="AM54" s="51" t="n"/>
      <c r="AN54" s="51" t="n"/>
      <c r="AO54" s="51" t="n"/>
      <c r="AP54" s="51" t="n"/>
      <c r="AQ54" s="51" t="n"/>
      <c r="AR54" s="51" t="n"/>
      <c r="AS54" s="51" t="n"/>
      <c r="AT54" s="51" t="n"/>
      <c r="AU54" s="51" t="n"/>
      <c r="AV54" s="51" t="n"/>
      <c r="AW54" s="51" t="n"/>
      <c r="AX54" s="51" t="n"/>
      <c r="AY54" s="51" t="n"/>
      <c r="AZ54" s="51" t="n"/>
      <c r="BA54" s="51" t="n"/>
      <c r="BB54" s="51" t="n"/>
      <c r="BC54" s="51" t="n"/>
      <c r="BD54" s="51" t="n"/>
      <c r="BE54" s="51" t="n"/>
      <c r="BF54" s="51" t="n"/>
      <c r="BG54" s="51" t="n"/>
      <c r="BH54" s="51" t="n"/>
      <c r="BI54" s="51" t="n"/>
      <c r="BJ54" s="51" t="n"/>
      <c r="BK54" s="51" t="n"/>
      <c r="BL54" s="51" t="n"/>
      <c r="BM54" s="51" t="n"/>
    </row>
    <row r="55">
      <c r="A55" s="47">
        <f>IF(Mitarbeiter!B55="","",Mitarbeiter!A55)</f>
        <v/>
      </c>
      <c r="B55" s="48">
        <f>IF(Mitarbeiter!B55="","",Mitarbeiter!B55)</f>
        <v/>
      </c>
      <c r="C55" s="37">
        <f>IF(Mitarbeiter!B55="","",N(INDEX($F55:$BM55,1,(Einstellungen!$C$3-2026)*12+1))+N(INDEX($F55:$BM55,1,(Einstellungen!$C$3-2026)*12+2))+N(INDEX($F55:$BM55,1,(Einstellungen!$C$3-2026)*12+3))+N(INDEX($F55:$BM55,1,(Einstellungen!$C$3-2026)*12+4))+N(INDEX($F55:$BM55,1,(Einstellungen!$C$3-2026)*12+5))+N(INDEX($F55:$BM55,1,(Einstellungen!$C$3-2026)*12+6))+N(INDEX($F55:$BM55,1,(Einstellungen!$C$3-2026)*12+7))+N(INDEX($F55:$BM55,1,(Einstellungen!$C$3-2026)*12+8))+N(INDEX($F55:$BM55,1,(Einstellungen!$C$3-2026)*12+9))+N(INDEX($F55:$BM55,1,(Einstellungen!$C$3-2026)*12+10))+N(INDEX($F55:$BM55,1,(Einstellungen!$C$3-2026)*12+11))+N(INDEX($F55:$BM55,1,(Einstellungen!$C$3-2026)*12+12)))</f>
        <v/>
      </c>
      <c r="D55" s="37">
        <f>IF(Mitarbeiter!B55="","",SUM(F55:BM55))</f>
        <v/>
      </c>
      <c r="F55" s="51" t="n"/>
      <c r="G55" s="51" t="n">
        <v>160</v>
      </c>
      <c r="H55" s="51" t="n">
        <v>172</v>
      </c>
      <c r="I55" s="51" t="n">
        <v>178</v>
      </c>
      <c r="J55" s="51" t="n">
        <v>166</v>
      </c>
      <c r="K55" s="51" t="n">
        <v>182</v>
      </c>
      <c r="L55" s="51" t="n">
        <v>76</v>
      </c>
      <c r="M55" s="51" t="n">
        <v>178</v>
      </c>
      <c r="N55" s="51" t="n">
        <v>160</v>
      </c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  <c r="AA55" s="51" t="n"/>
      <c r="AB55" s="51" t="n"/>
      <c r="AC55" s="51" t="n"/>
      <c r="AD55" s="51" t="n"/>
      <c r="AE55" s="51" t="n"/>
      <c r="AF55" s="51" t="n"/>
      <c r="AG55" s="51" t="n"/>
      <c r="AH55" s="51" t="n"/>
      <c r="AI55" s="51" t="n"/>
      <c r="AJ55" s="51" t="n"/>
      <c r="AK55" s="51" t="n"/>
      <c r="AL55" s="51" t="n"/>
      <c r="AM55" s="51" t="n"/>
      <c r="AN55" s="51" t="n"/>
      <c r="AO55" s="51" t="n"/>
      <c r="AP55" s="51" t="n"/>
      <c r="AQ55" s="51" t="n"/>
      <c r="AR55" s="51" t="n"/>
      <c r="AS55" s="51" t="n"/>
      <c r="AT55" s="51" t="n"/>
      <c r="AU55" s="51" t="n"/>
      <c r="AV55" s="51" t="n"/>
      <c r="AW55" s="51" t="n"/>
      <c r="AX55" s="51" t="n"/>
      <c r="AY55" s="51" t="n"/>
      <c r="AZ55" s="51" t="n"/>
      <c r="BA55" s="51" t="n"/>
      <c r="BB55" s="51" t="n"/>
      <c r="BC55" s="51" t="n"/>
      <c r="BD55" s="51" t="n"/>
      <c r="BE55" s="51" t="n"/>
      <c r="BF55" s="51" t="n"/>
      <c r="BG55" s="51" t="n"/>
      <c r="BH55" s="51" t="n"/>
      <c r="BI55" s="51" t="n"/>
      <c r="BJ55" s="51" t="n"/>
      <c r="BK55" s="51" t="n"/>
      <c r="BL55" s="51" t="n"/>
      <c r="BM55" s="51" t="n"/>
    </row>
    <row r="56">
      <c r="A56" s="47">
        <f>IF(Mitarbeiter!B56="","",Mitarbeiter!A56)</f>
        <v/>
      </c>
      <c r="B56" s="48">
        <f>IF(Mitarbeiter!B56="","",Mitarbeiter!B56)</f>
        <v/>
      </c>
      <c r="C56" s="37">
        <f>IF(Mitarbeiter!B56="","",N(INDEX($F56:$BM56,1,(Einstellungen!$C$3-2026)*12+1))+N(INDEX($F56:$BM56,1,(Einstellungen!$C$3-2026)*12+2))+N(INDEX($F56:$BM56,1,(Einstellungen!$C$3-2026)*12+3))+N(INDEX($F56:$BM56,1,(Einstellungen!$C$3-2026)*12+4))+N(INDEX($F56:$BM56,1,(Einstellungen!$C$3-2026)*12+5))+N(INDEX($F56:$BM56,1,(Einstellungen!$C$3-2026)*12+6))+N(INDEX($F56:$BM56,1,(Einstellungen!$C$3-2026)*12+7))+N(INDEX($F56:$BM56,1,(Einstellungen!$C$3-2026)*12+8))+N(INDEX($F56:$BM56,1,(Einstellungen!$C$3-2026)*12+9))+N(INDEX($F56:$BM56,1,(Einstellungen!$C$3-2026)*12+10))+N(INDEX($F56:$BM56,1,(Einstellungen!$C$3-2026)*12+11))+N(INDEX($F56:$BM56,1,(Einstellungen!$C$3-2026)*12+12)))</f>
        <v/>
      </c>
      <c r="D56" s="37">
        <f>IF(Mitarbeiter!B56="","",SUM(F56:BM56))</f>
        <v/>
      </c>
      <c r="F56" s="51" t="n"/>
      <c r="G56" s="51" t="n"/>
      <c r="H56" s="51" t="n"/>
      <c r="I56" s="51" t="n"/>
      <c r="J56" s="51" t="n"/>
      <c r="K56" s="51" t="n"/>
      <c r="L56" s="51" t="n"/>
      <c r="M56" s="51" t="n">
        <v>160</v>
      </c>
      <c r="N56" s="51" t="n">
        <v>110</v>
      </c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  <c r="AA56" s="51" t="n"/>
      <c r="AB56" s="51" t="n"/>
      <c r="AC56" s="51" t="n"/>
      <c r="AD56" s="51" t="n"/>
      <c r="AE56" s="51" t="n"/>
      <c r="AF56" s="51" t="n"/>
      <c r="AG56" s="51" t="n"/>
      <c r="AH56" s="51" t="n"/>
      <c r="AI56" s="51" t="n"/>
      <c r="AJ56" s="51" t="n"/>
      <c r="AK56" s="51" t="n"/>
      <c r="AL56" s="51" t="n"/>
      <c r="AM56" s="51" t="n"/>
      <c r="AN56" s="51" t="n"/>
      <c r="AO56" s="51" t="n"/>
      <c r="AP56" s="51" t="n"/>
      <c r="AQ56" s="51" t="n"/>
      <c r="AR56" s="51" t="n"/>
      <c r="AS56" s="51" t="n"/>
      <c r="AT56" s="51" t="n"/>
      <c r="AU56" s="51" t="n"/>
      <c r="AV56" s="51" t="n"/>
      <c r="AW56" s="51" t="n"/>
      <c r="AX56" s="51" t="n"/>
      <c r="AY56" s="51" t="n"/>
      <c r="AZ56" s="51" t="n"/>
      <c r="BA56" s="51" t="n"/>
      <c r="BB56" s="51" t="n"/>
      <c r="BC56" s="51" t="n"/>
      <c r="BD56" s="51" t="n"/>
      <c r="BE56" s="51" t="n"/>
      <c r="BF56" s="51" t="n"/>
      <c r="BG56" s="51" t="n"/>
      <c r="BH56" s="51" t="n"/>
      <c r="BI56" s="51" t="n"/>
      <c r="BJ56" s="51" t="n"/>
      <c r="BK56" s="51" t="n"/>
      <c r="BL56" s="51" t="n"/>
      <c r="BM56" s="51" t="n"/>
    </row>
    <row r="57">
      <c r="A57" s="47">
        <f>IF(Mitarbeiter!B57="","",Mitarbeiter!A57)</f>
        <v/>
      </c>
      <c r="B57" s="48">
        <f>IF(Mitarbeiter!B57="","",Mitarbeiter!B57)</f>
        <v/>
      </c>
      <c r="C57" s="37">
        <f>IF(Mitarbeiter!B57="","",N(INDEX($F57:$BM57,1,(Einstellungen!$C$3-2026)*12+1))+N(INDEX($F57:$BM57,1,(Einstellungen!$C$3-2026)*12+2))+N(INDEX($F57:$BM57,1,(Einstellungen!$C$3-2026)*12+3))+N(INDEX($F57:$BM57,1,(Einstellungen!$C$3-2026)*12+4))+N(INDEX($F57:$BM57,1,(Einstellungen!$C$3-2026)*12+5))+N(INDEX($F57:$BM57,1,(Einstellungen!$C$3-2026)*12+6))+N(INDEX($F57:$BM57,1,(Einstellungen!$C$3-2026)*12+7))+N(INDEX($F57:$BM57,1,(Einstellungen!$C$3-2026)*12+8))+N(INDEX($F57:$BM57,1,(Einstellungen!$C$3-2026)*12+9))+N(INDEX($F57:$BM57,1,(Einstellungen!$C$3-2026)*12+10))+N(INDEX($F57:$BM57,1,(Einstellungen!$C$3-2026)*12+11))+N(INDEX($F57:$BM57,1,(Einstellungen!$C$3-2026)*12+12)))</f>
        <v/>
      </c>
      <c r="D57" s="37">
        <f>IF(Mitarbeiter!B57="","",SUM(F57:BM57))</f>
        <v/>
      </c>
      <c r="F57" s="51" t="n"/>
      <c r="G57" s="51" t="n"/>
      <c r="H57" s="51" t="n">
        <v>82</v>
      </c>
      <c r="I57" s="51" t="n">
        <v>104</v>
      </c>
      <c r="J57" s="51" t="n">
        <v>104</v>
      </c>
      <c r="K57" s="51" t="n">
        <v>92</v>
      </c>
      <c r="L57" s="51" t="n">
        <v>74</v>
      </c>
      <c r="M57" s="51" t="n">
        <v>104</v>
      </c>
      <c r="N57" s="51" t="n">
        <v>92</v>
      </c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  <c r="AA57" s="51" t="n"/>
      <c r="AB57" s="51" t="n"/>
      <c r="AC57" s="51" t="n"/>
      <c r="AD57" s="51" t="n"/>
      <c r="AE57" s="51" t="n"/>
      <c r="AF57" s="51" t="n"/>
      <c r="AG57" s="51" t="n"/>
      <c r="AH57" s="51" t="n"/>
      <c r="AI57" s="51" t="n"/>
      <c r="AJ57" s="51" t="n"/>
      <c r="AK57" s="51" t="n"/>
      <c r="AL57" s="51" t="n"/>
      <c r="AM57" s="51" t="n"/>
      <c r="AN57" s="51" t="n"/>
      <c r="AO57" s="51" t="n"/>
      <c r="AP57" s="51" t="n"/>
      <c r="AQ57" s="51" t="n"/>
      <c r="AR57" s="51" t="n"/>
      <c r="AS57" s="51" t="n"/>
      <c r="AT57" s="51" t="n"/>
      <c r="AU57" s="51" t="n"/>
      <c r="AV57" s="51" t="n"/>
      <c r="AW57" s="51" t="n"/>
      <c r="AX57" s="51" t="n"/>
      <c r="AY57" s="51" t="n"/>
      <c r="AZ57" s="51" t="n"/>
      <c r="BA57" s="51" t="n"/>
      <c r="BB57" s="51" t="n"/>
      <c r="BC57" s="51" t="n"/>
      <c r="BD57" s="51" t="n"/>
      <c r="BE57" s="51" t="n"/>
      <c r="BF57" s="51" t="n"/>
      <c r="BG57" s="51" t="n"/>
      <c r="BH57" s="51" t="n"/>
      <c r="BI57" s="51" t="n"/>
      <c r="BJ57" s="51" t="n"/>
      <c r="BK57" s="51" t="n"/>
      <c r="BL57" s="51" t="n"/>
      <c r="BM57" s="51" t="n"/>
    </row>
    <row r="58">
      <c r="A58" s="47">
        <f>IF(Mitarbeiter!B58="","",Mitarbeiter!A58)</f>
        <v/>
      </c>
      <c r="B58" s="48">
        <f>IF(Mitarbeiter!B58="","",Mitarbeiter!B58)</f>
        <v/>
      </c>
      <c r="C58" s="37">
        <f>IF(Mitarbeiter!B58="","",N(INDEX($F58:$BM58,1,(Einstellungen!$C$3-2026)*12+1))+N(INDEX($F58:$BM58,1,(Einstellungen!$C$3-2026)*12+2))+N(INDEX($F58:$BM58,1,(Einstellungen!$C$3-2026)*12+3))+N(INDEX($F58:$BM58,1,(Einstellungen!$C$3-2026)*12+4))+N(INDEX($F58:$BM58,1,(Einstellungen!$C$3-2026)*12+5))+N(INDEX($F58:$BM58,1,(Einstellungen!$C$3-2026)*12+6))+N(INDEX($F58:$BM58,1,(Einstellungen!$C$3-2026)*12+7))+N(INDEX($F58:$BM58,1,(Einstellungen!$C$3-2026)*12+8))+N(INDEX($F58:$BM58,1,(Einstellungen!$C$3-2026)*12+9))+N(INDEX($F58:$BM58,1,(Einstellungen!$C$3-2026)*12+10))+N(INDEX($F58:$BM58,1,(Einstellungen!$C$3-2026)*12+11))+N(INDEX($F58:$BM58,1,(Einstellungen!$C$3-2026)*12+12)))</f>
        <v/>
      </c>
      <c r="D58" s="37">
        <f>IF(Mitarbeiter!B58="","",SUM(F58:BM58))</f>
        <v/>
      </c>
      <c r="F58" s="51" t="n"/>
      <c r="G58" s="51" t="n"/>
      <c r="H58" s="51" t="n">
        <v>139</v>
      </c>
      <c r="I58" s="51" t="n">
        <v>97</v>
      </c>
      <c r="J58" s="51" t="n">
        <v>135</v>
      </c>
      <c r="K58" s="51" t="n">
        <v>139</v>
      </c>
      <c r="L58" s="51" t="n">
        <v>117</v>
      </c>
      <c r="M58" s="51" t="n">
        <v>117</v>
      </c>
      <c r="N58" s="51" t="n">
        <v>123</v>
      </c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  <c r="AA58" s="51" t="n"/>
      <c r="AB58" s="51" t="n"/>
      <c r="AC58" s="51" t="n"/>
      <c r="AD58" s="51" t="n"/>
      <c r="AE58" s="51" t="n"/>
      <c r="AF58" s="51" t="n"/>
      <c r="AG58" s="51" t="n"/>
      <c r="AH58" s="51" t="n"/>
      <c r="AI58" s="51" t="n"/>
      <c r="AJ58" s="51" t="n"/>
      <c r="AK58" s="51" t="n"/>
      <c r="AL58" s="51" t="n"/>
      <c r="AM58" s="51" t="n"/>
      <c r="AN58" s="51" t="n"/>
      <c r="AO58" s="51" t="n"/>
      <c r="AP58" s="51" t="n"/>
      <c r="AQ58" s="51" t="n"/>
      <c r="AR58" s="51" t="n"/>
      <c r="AS58" s="51" t="n"/>
      <c r="AT58" s="51" t="n"/>
      <c r="AU58" s="51" t="n"/>
      <c r="AV58" s="51" t="n"/>
      <c r="AW58" s="51" t="n"/>
      <c r="AX58" s="51" t="n"/>
      <c r="AY58" s="51" t="n"/>
      <c r="AZ58" s="51" t="n"/>
      <c r="BA58" s="51" t="n"/>
      <c r="BB58" s="51" t="n"/>
      <c r="BC58" s="51" t="n"/>
      <c r="BD58" s="51" t="n"/>
      <c r="BE58" s="51" t="n"/>
      <c r="BF58" s="51" t="n"/>
      <c r="BG58" s="51" t="n"/>
      <c r="BH58" s="51" t="n"/>
      <c r="BI58" s="51" t="n"/>
      <c r="BJ58" s="51" t="n"/>
      <c r="BK58" s="51" t="n"/>
      <c r="BL58" s="51" t="n"/>
      <c r="BM58" s="51" t="n"/>
    </row>
    <row r="59">
      <c r="A59" s="47">
        <f>IF(Mitarbeiter!B59="","",Mitarbeiter!A59)</f>
        <v/>
      </c>
      <c r="B59" s="48">
        <f>IF(Mitarbeiter!B59="","",Mitarbeiter!B59)</f>
        <v/>
      </c>
      <c r="C59" s="37">
        <f>IF(Mitarbeiter!B59="","",N(INDEX($F59:$BM59,1,(Einstellungen!$C$3-2026)*12+1))+N(INDEX($F59:$BM59,1,(Einstellungen!$C$3-2026)*12+2))+N(INDEX($F59:$BM59,1,(Einstellungen!$C$3-2026)*12+3))+N(INDEX($F59:$BM59,1,(Einstellungen!$C$3-2026)*12+4))+N(INDEX($F59:$BM59,1,(Einstellungen!$C$3-2026)*12+5))+N(INDEX($F59:$BM59,1,(Einstellungen!$C$3-2026)*12+6))+N(INDEX($F59:$BM59,1,(Einstellungen!$C$3-2026)*12+7))+N(INDEX($F59:$BM59,1,(Einstellungen!$C$3-2026)*12+8))+N(INDEX($F59:$BM59,1,(Einstellungen!$C$3-2026)*12+9))+N(INDEX($F59:$BM59,1,(Einstellungen!$C$3-2026)*12+10))+N(INDEX($F59:$BM59,1,(Einstellungen!$C$3-2026)*12+11))+N(INDEX($F59:$BM59,1,(Einstellungen!$C$3-2026)*12+12)))</f>
        <v/>
      </c>
      <c r="D59" s="37">
        <f>IF(Mitarbeiter!B59="","",SUM(F59:BM59))</f>
        <v/>
      </c>
      <c r="F59" s="51" t="n"/>
      <c r="G59" s="51" t="n">
        <v>160</v>
      </c>
      <c r="H59" s="51" t="n">
        <v>172</v>
      </c>
      <c r="I59" s="51" t="n">
        <v>190</v>
      </c>
      <c r="J59" s="51" t="n">
        <v>182</v>
      </c>
      <c r="K59" s="51" t="n">
        <v>172</v>
      </c>
      <c r="L59" s="51" t="n">
        <v>190</v>
      </c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  <c r="AA59" s="51" t="n"/>
      <c r="AB59" s="51" t="n"/>
      <c r="AC59" s="51" t="n"/>
      <c r="AD59" s="51" t="n"/>
      <c r="AE59" s="51" t="n"/>
      <c r="AF59" s="51" t="n"/>
      <c r="AG59" s="51" t="n"/>
      <c r="AH59" s="51" t="n"/>
      <c r="AI59" s="51" t="n"/>
      <c r="AJ59" s="51" t="n"/>
      <c r="AK59" s="51" t="n"/>
      <c r="AL59" s="51" t="n"/>
      <c r="AM59" s="51" t="n"/>
      <c r="AN59" s="51" t="n"/>
      <c r="AO59" s="51" t="n"/>
      <c r="AP59" s="51" t="n"/>
      <c r="AQ59" s="51" t="n"/>
      <c r="AR59" s="51" t="n"/>
      <c r="AS59" s="51" t="n"/>
      <c r="AT59" s="51" t="n"/>
      <c r="AU59" s="51" t="n"/>
      <c r="AV59" s="51" t="n"/>
      <c r="AW59" s="51" t="n"/>
      <c r="AX59" s="51" t="n"/>
      <c r="AY59" s="51" t="n"/>
      <c r="AZ59" s="51" t="n"/>
      <c r="BA59" s="51" t="n"/>
      <c r="BB59" s="51" t="n"/>
      <c r="BC59" s="51" t="n"/>
      <c r="BD59" s="51" t="n"/>
      <c r="BE59" s="51" t="n"/>
      <c r="BF59" s="51" t="n"/>
      <c r="BG59" s="51" t="n"/>
      <c r="BH59" s="51" t="n"/>
      <c r="BI59" s="51" t="n"/>
      <c r="BJ59" s="51" t="n"/>
      <c r="BK59" s="51" t="n"/>
      <c r="BL59" s="51" t="n"/>
      <c r="BM59" s="51" t="n"/>
    </row>
    <row r="60">
      <c r="A60" s="47">
        <f>IF(Mitarbeiter!B60="","",Mitarbeiter!A60)</f>
        <v/>
      </c>
      <c r="B60" s="48">
        <f>IF(Mitarbeiter!B60="","",Mitarbeiter!B60)</f>
        <v/>
      </c>
      <c r="C60" s="37">
        <f>IF(Mitarbeiter!B60="","",N(INDEX($F60:$BM60,1,(Einstellungen!$C$3-2026)*12+1))+N(INDEX($F60:$BM60,1,(Einstellungen!$C$3-2026)*12+2))+N(INDEX($F60:$BM60,1,(Einstellungen!$C$3-2026)*12+3))+N(INDEX($F60:$BM60,1,(Einstellungen!$C$3-2026)*12+4))+N(INDEX($F60:$BM60,1,(Einstellungen!$C$3-2026)*12+5))+N(INDEX($F60:$BM60,1,(Einstellungen!$C$3-2026)*12+6))+N(INDEX($F60:$BM60,1,(Einstellungen!$C$3-2026)*12+7))+N(INDEX($F60:$BM60,1,(Einstellungen!$C$3-2026)*12+8))+N(INDEX($F60:$BM60,1,(Einstellungen!$C$3-2026)*12+9))+N(INDEX($F60:$BM60,1,(Einstellungen!$C$3-2026)*12+10))+N(INDEX($F60:$BM60,1,(Einstellungen!$C$3-2026)*12+11))+N(INDEX($F60:$BM60,1,(Einstellungen!$C$3-2026)*12+12)))</f>
        <v/>
      </c>
      <c r="D60" s="37">
        <f>IF(Mitarbeiter!B60="","",SUM(F60:BM60))</f>
        <v/>
      </c>
      <c r="F60" s="51" t="n"/>
      <c r="G60" s="51" t="n">
        <v>190</v>
      </c>
      <c r="H60" s="51" t="n">
        <v>166</v>
      </c>
      <c r="I60" s="51" t="n">
        <v>190</v>
      </c>
      <c r="J60" s="51" t="n">
        <v>172</v>
      </c>
      <c r="K60" s="51" t="n">
        <v>148</v>
      </c>
      <c r="L60" s="51" t="n">
        <v>136</v>
      </c>
      <c r="M60" s="51" t="n">
        <v>190</v>
      </c>
      <c r="N60" s="51" t="n">
        <v>190</v>
      </c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  <c r="AA60" s="51" t="n"/>
      <c r="AB60" s="51" t="n"/>
      <c r="AC60" s="51" t="n"/>
      <c r="AD60" s="51" t="n"/>
      <c r="AE60" s="51" t="n"/>
      <c r="AF60" s="51" t="n"/>
      <c r="AG60" s="51" t="n"/>
      <c r="AH60" s="51" t="n"/>
      <c r="AI60" s="51" t="n"/>
      <c r="AJ60" s="51" t="n"/>
      <c r="AK60" s="51" t="n"/>
      <c r="AL60" s="51" t="n"/>
      <c r="AM60" s="51" t="n"/>
      <c r="AN60" s="51" t="n"/>
      <c r="AO60" s="51" t="n"/>
      <c r="AP60" s="51" t="n"/>
      <c r="AQ60" s="51" t="n"/>
      <c r="AR60" s="51" t="n"/>
      <c r="AS60" s="51" t="n"/>
      <c r="AT60" s="51" t="n"/>
      <c r="AU60" s="51" t="n"/>
      <c r="AV60" s="51" t="n"/>
      <c r="AW60" s="51" t="n"/>
      <c r="AX60" s="51" t="n"/>
      <c r="AY60" s="51" t="n"/>
      <c r="AZ60" s="51" t="n"/>
      <c r="BA60" s="51" t="n"/>
      <c r="BB60" s="51" t="n"/>
      <c r="BC60" s="51" t="n"/>
      <c r="BD60" s="51" t="n"/>
      <c r="BE60" s="51" t="n"/>
      <c r="BF60" s="51" t="n"/>
      <c r="BG60" s="51" t="n"/>
      <c r="BH60" s="51" t="n"/>
      <c r="BI60" s="51" t="n"/>
      <c r="BJ60" s="51" t="n"/>
      <c r="BK60" s="51" t="n"/>
      <c r="BL60" s="51" t="n"/>
      <c r="BM60" s="51" t="n"/>
    </row>
    <row r="61">
      <c r="A61" s="47">
        <f>IF(Mitarbeiter!B61="","",Mitarbeiter!A61)</f>
        <v/>
      </c>
      <c r="B61" s="48">
        <f>IF(Mitarbeiter!B61="","",Mitarbeiter!B61)</f>
        <v/>
      </c>
      <c r="C61" s="37">
        <f>IF(Mitarbeiter!B61="","",N(INDEX($F61:$BM61,1,(Einstellungen!$C$3-2026)*12+1))+N(INDEX($F61:$BM61,1,(Einstellungen!$C$3-2026)*12+2))+N(INDEX($F61:$BM61,1,(Einstellungen!$C$3-2026)*12+3))+N(INDEX($F61:$BM61,1,(Einstellungen!$C$3-2026)*12+4))+N(INDEX($F61:$BM61,1,(Einstellungen!$C$3-2026)*12+5))+N(INDEX($F61:$BM61,1,(Einstellungen!$C$3-2026)*12+6))+N(INDEX($F61:$BM61,1,(Einstellungen!$C$3-2026)*12+7))+N(INDEX($F61:$BM61,1,(Einstellungen!$C$3-2026)*12+8))+N(INDEX($F61:$BM61,1,(Einstellungen!$C$3-2026)*12+9))+N(INDEX($F61:$BM61,1,(Einstellungen!$C$3-2026)*12+10))+N(INDEX($F61:$BM61,1,(Einstellungen!$C$3-2026)*12+11))+N(INDEX($F61:$BM61,1,(Einstellungen!$C$3-2026)*12+12)))</f>
        <v/>
      </c>
      <c r="D61" s="37">
        <f>IF(Mitarbeiter!B61="","",SUM(F61:BM61))</f>
        <v/>
      </c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  <c r="AA61" s="51" t="n"/>
      <c r="AB61" s="51" t="n"/>
      <c r="AC61" s="51" t="n"/>
      <c r="AD61" s="51" t="n"/>
      <c r="AE61" s="51" t="n"/>
      <c r="AF61" s="51" t="n"/>
      <c r="AG61" s="51" t="n"/>
      <c r="AH61" s="51" t="n"/>
      <c r="AI61" s="51" t="n"/>
      <c r="AJ61" s="51" t="n"/>
      <c r="AK61" s="51" t="n"/>
      <c r="AL61" s="51" t="n"/>
      <c r="AM61" s="51" t="n"/>
      <c r="AN61" s="51" t="n"/>
      <c r="AO61" s="51" t="n"/>
      <c r="AP61" s="51" t="n"/>
      <c r="AQ61" s="51" t="n"/>
      <c r="AR61" s="51" t="n"/>
      <c r="AS61" s="51" t="n"/>
      <c r="AT61" s="51" t="n"/>
      <c r="AU61" s="51" t="n"/>
      <c r="AV61" s="51" t="n"/>
      <c r="AW61" s="51" t="n"/>
      <c r="AX61" s="51" t="n"/>
      <c r="AY61" s="51" t="n"/>
      <c r="AZ61" s="51" t="n"/>
      <c r="BA61" s="51" t="n"/>
      <c r="BB61" s="51" t="n"/>
      <c r="BC61" s="51" t="n"/>
      <c r="BD61" s="51" t="n"/>
      <c r="BE61" s="51" t="n"/>
      <c r="BF61" s="51" t="n"/>
      <c r="BG61" s="51" t="n"/>
      <c r="BH61" s="51" t="n"/>
      <c r="BI61" s="51" t="n"/>
      <c r="BJ61" s="51" t="n"/>
      <c r="BK61" s="51" t="n"/>
      <c r="BL61" s="51" t="n"/>
      <c r="BM61" s="51" t="n"/>
    </row>
    <row r="62">
      <c r="A62" s="47">
        <f>IF(Mitarbeiter!B62="","",Mitarbeiter!A62)</f>
        <v/>
      </c>
      <c r="B62" s="48">
        <f>IF(Mitarbeiter!B62="","",Mitarbeiter!B62)</f>
        <v/>
      </c>
      <c r="C62" s="37">
        <f>IF(Mitarbeiter!B62="","",N(INDEX($F62:$BM62,1,(Einstellungen!$C$3-2026)*12+1))+N(INDEX($F62:$BM62,1,(Einstellungen!$C$3-2026)*12+2))+N(INDEX($F62:$BM62,1,(Einstellungen!$C$3-2026)*12+3))+N(INDEX($F62:$BM62,1,(Einstellungen!$C$3-2026)*12+4))+N(INDEX($F62:$BM62,1,(Einstellungen!$C$3-2026)*12+5))+N(INDEX($F62:$BM62,1,(Einstellungen!$C$3-2026)*12+6))+N(INDEX($F62:$BM62,1,(Einstellungen!$C$3-2026)*12+7))+N(INDEX($F62:$BM62,1,(Einstellungen!$C$3-2026)*12+8))+N(INDEX($F62:$BM62,1,(Einstellungen!$C$3-2026)*12+9))+N(INDEX($F62:$BM62,1,(Einstellungen!$C$3-2026)*12+10))+N(INDEX($F62:$BM62,1,(Einstellungen!$C$3-2026)*12+11))+N(INDEX($F62:$BM62,1,(Einstellungen!$C$3-2026)*12+12)))</f>
        <v/>
      </c>
      <c r="D62" s="37">
        <f>IF(Mitarbeiter!B62="","",SUM(F62:BM62))</f>
        <v/>
      </c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  <c r="Y62" s="51" t="n"/>
      <c r="Z62" s="51" t="n"/>
      <c r="AA62" s="51" t="n"/>
      <c r="AB62" s="51" t="n"/>
      <c r="AC62" s="51" t="n"/>
      <c r="AD62" s="51" t="n"/>
      <c r="AE62" s="51" t="n"/>
      <c r="AF62" s="51" t="n"/>
      <c r="AG62" s="51" t="n"/>
      <c r="AH62" s="51" t="n"/>
      <c r="AI62" s="51" t="n"/>
      <c r="AJ62" s="51" t="n"/>
      <c r="AK62" s="51" t="n"/>
      <c r="AL62" s="51" t="n"/>
      <c r="AM62" s="51" t="n"/>
      <c r="AN62" s="51" t="n"/>
      <c r="AO62" s="51" t="n"/>
      <c r="AP62" s="51" t="n"/>
      <c r="AQ62" s="51" t="n"/>
      <c r="AR62" s="51" t="n"/>
      <c r="AS62" s="51" t="n"/>
      <c r="AT62" s="51" t="n"/>
      <c r="AU62" s="51" t="n"/>
      <c r="AV62" s="51" t="n"/>
      <c r="AW62" s="51" t="n"/>
      <c r="AX62" s="51" t="n"/>
      <c r="AY62" s="51" t="n"/>
      <c r="AZ62" s="51" t="n"/>
      <c r="BA62" s="51" t="n"/>
      <c r="BB62" s="51" t="n"/>
      <c r="BC62" s="51" t="n"/>
      <c r="BD62" s="51" t="n"/>
      <c r="BE62" s="51" t="n"/>
      <c r="BF62" s="51" t="n"/>
      <c r="BG62" s="51" t="n"/>
      <c r="BH62" s="51" t="n"/>
      <c r="BI62" s="51" t="n"/>
      <c r="BJ62" s="51" t="n"/>
      <c r="BK62" s="51" t="n"/>
      <c r="BL62" s="51" t="n"/>
      <c r="BM62" s="51" t="n"/>
    </row>
    <row r="63">
      <c r="A63" s="47">
        <f>IF(Mitarbeiter!B63="","",Mitarbeiter!A63)</f>
        <v/>
      </c>
      <c r="B63" s="48">
        <f>IF(Mitarbeiter!B63="","",Mitarbeiter!B63)</f>
        <v/>
      </c>
      <c r="C63" s="37">
        <f>IF(Mitarbeiter!B63="","",N(INDEX($F63:$BM63,1,(Einstellungen!$C$3-2026)*12+1))+N(INDEX($F63:$BM63,1,(Einstellungen!$C$3-2026)*12+2))+N(INDEX($F63:$BM63,1,(Einstellungen!$C$3-2026)*12+3))+N(INDEX($F63:$BM63,1,(Einstellungen!$C$3-2026)*12+4))+N(INDEX($F63:$BM63,1,(Einstellungen!$C$3-2026)*12+5))+N(INDEX($F63:$BM63,1,(Einstellungen!$C$3-2026)*12+6))+N(INDEX($F63:$BM63,1,(Einstellungen!$C$3-2026)*12+7))+N(INDEX($F63:$BM63,1,(Einstellungen!$C$3-2026)*12+8))+N(INDEX($F63:$BM63,1,(Einstellungen!$C$3-2026)*12+9))+N(INDEX($F63:$BM63,1,(Einstellungen!$C$3-2026)*12+10))+N(INDEX($F63:$BM63,1,(Einstellungen!$C$3-2026)*12+11))+N(INDEX($F63:$BM63,1,(Einstellungen!$C$3-2026)*12+12)))</f>
        <v/>
      </c>
      <c r="D63" s="37">
        <f>IF(Mitarbeiter!B63="","",SUM(F63:BM63))</f>
        <v/>
      </c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  <c r="AA63" s="51" t="n"/>
      <c r="AB63" s="51" t="n"/>
      <c r="AC63" s="51" t="n"/>
      <c r="AD63" s="51" t="n"/>
      <c r="AE63" s="51" t="n"/>
      <c r="AF63" s="51" t="n"/>
      <c r="AG63" s="51" t="n"/>
      <c r="AH63" s="51" t="n"/>
      <c r="AI63" s="51" t="n"/>
      <c r="AJ63" s="51" t="n"/>
      <c r="AK63" s="51" t="n"/>
      <c r="AL63" s="51" t="n"/>
      <c r="AM63" s="51" t="n"/>
      <c r="AN63" s="51" t="n"/>
      <c r="AO63" s="51" t="n"/>
      <c r="AP63" s="51" t="n"/>
      <c r="AQ63" s="51" t="n"/>
      <c r="AR63" s="51" t="n"/>
      <c r="AS63" s="51" t="n"/>
      <c r="AT63" s="51" t="n"/>
      <c r="AU63" s="51" t="n"/>
      <c r="AV63" s="51" t="n"/>
      <c r="AW63" s="51" t="n"/>
      <c r="AX63" s="51" t="n"/>
      <c r="AY63" s="51" t="n"/>
      <c r="AZ63" s="51" t="n"/>
      <c r="BA63" s="51" t="n"/>
      <c r="BB63" s="51" t="n"/>
      <c r="BC63" s="51" t="n"/>
      <c r="BD63" s="51" t="n"/>
      <c r="BE63" s="51" t="n"/>
      <c r="BF63" s="51" t="n"/>
      <c r="BG63" s="51" t="n"/>
      <c r="BH63" s="51" t="n"/>
      <c r="BI63" s="51" t="n"/>
      <c r="BJ63" s="51" t="n"/>
      <c r="BK63" s="51" t="n"/>
      <c r="BL63" s="51" t="n"/>
      <c r="BM63" s="51" t="n"/>
    </row>
    <row r="64">
      <c r="A64" s="47">
        <f>IF(Mitarbeiter!B64="","",Mitarbeiter!A64)</f>
        <v/>
      </c>
      <c r="B64" s="48">
        <f>IF(Mitarbeiter!B64="","",Mitarbeiter!B64)</f>
        <v/>
      </c>
      <c r="C64" s="37">
        <f>IF(Mitarbeiter!B64="","",N(INDEX($F64:$BM64,1,(Einstellungen!$C$3-2026)*12+1))+N(INDEX($F64:$BM64,1,(Einstellungen!$C$3-2026)*12+2))+N(INDEX($F64:$BM64,1,(Einstellungen!$C$3-2026)*12+3))+N(INDEX($F64:$BM64,1,(Einstellungen!$C$3-2026)*12+4))+N(INDEX($F64:$BM64,1,(Einstellungen!$C$3-2026)*12+5))+N(INDEX($F64:$BM64,1,(Einstellungen!$C$3-2026)*12+6))+N(INDEX($F64:$BM64,1,(Einstellungen!$C$3-2026)*12+7))+N(INDEX($F64:$BM64,1,(Einstellungen!$C$3-2026)*12+8))+N(INDEX($F64:$BM64,1,(Einstellungen!$C$3-2026)*12+9))+N(INDEX($F64:$BM64,1,(Einstellungen!$C$3-2026)*12+10))+N(INDEX($F64:$BM64,1,(Einstellungen!$C$3-2026)*12+11))+N(INDEX($F64:$BM64,1,(Einstellungen!$C$3-2026)*12+12)))</f>
        <v/>
      </c>
      <c r="D64" s="37">
        <f>IF(Mitarbeiter!B64="","",SUM(F64:BM64))</f>
        <v/>
      </c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  <c r="Y64" s="51" t="n"/>
      <c r="Z64" s="51" t="n"/>
      <c r="AA64" s="51" t="n"/>
      <c r="AB64" s="51" t="n"/>
      <c r="AC64" s="51" t="n"/>
      <c r="AD64" s="51" t="n"/>
      <c r="AE64" s="51" t="n"/>
      <c r="AF64" s="51" t="n"/>
      <c r="AG64" s="51" t="n"/>
      <c r="AH64" s="51" t="n"/>
      <c r="AI64" s="51" t="n"/>
      <c r="AJ64" s="51" t="n"/>
      <c r="AK64" s="51" t="n"/>
      <c r="AL64" s="51" t="n"/>
      <c r="AM64" s="51" t="n"/>
      <c r="AN64" s="51" t="n"/>
      <c r="AO64" s="51" t="n"/>
      <c r="AP64" s="51" t="n"/>
      <c r="AQ64" s="51" t="n"/>
      <c r="AR64" s="51" t="n"/>
      <c r="AS64" s="51" t="n"/>
      <c r="AT64" s="51" t="n"/>
      <c r="AU64" s="51" t="n"/>
      <c r="AV64" s="51" t="n"/>
      <c r="AW64" s="51" t="n"/>
      <c r="AX64" s="51" t="n"/>
      <c r="AY64" s="51" t="n"/>
      <c r="AZ64" s="51" t="n"/>
      <c r="BA64" s="51" t="n"/>
      <c r="BB64" s="51" t="n"/>
      <c r="BC64" s="51" t="n"/>
      <c r="BD64" s="51" t="n"/>
      <c r="BE64" s="51" t="n"/>
      <c r="BF64" s="51" t="n"/>
      <c r="BG64" s="51" t="n"/>
      <c r="BH64" s="51" t="n"/>
      <c r="BI64" s="51" t="n"/>
      <c r="BJ64" s="51" t="n"/>
      <c r="BK64" s="51" t="n"/>
      <c r="BL64" s="51" t="n"/>
      <c r="BM64" s="51" t="n"/>
    </row>
    <row r="65">
      <c r="A65" s="47">
        <f>IF(Mitarbeiter!B65="","",Mitarbeiter!A65)</f>
        <v/>
      </c>
      <c r="B65" s="48">
        <f>IF(Mitarbeiter!B65="","",Mitarbeiter!B65)</f>
        <v/>
      </c>
      <c r="C65" s="37">
        <f>IF(Mitarbeiter!B65="","",N(INDEX($F65:$BM65,1,(Einstellungen!$C$3-2026)*12+1))+N(INDEX($F65:$BM65,1,(Einstellungen!$C$3-2026)*12+2))+N(INDEX($F65:$BM65,1,(Einstellungen!$C$3-2026)*12+3))+N(INDEX($F65:$BM65,1,(Einstellungen!$C$3-2026)*12+4))+N(INDEX($F65:$BM65,1,(Einstellungen!$C$3-2026)*12+5))+N(INDEX($F65:$BM65,1,(Einstellungen!$C$3-2026)*12+6))+N(INDEX($F65:$BM65,1,(Einstellungen!$C$3-2026)*12+7))+N(INDEX($F65:$BM65,1,(Einstellungen!$C$3-2026)*12+8))+N(INDEX($F65:$BM65,1,(Einstellungen!$C$3-2026)*12+9))+N(INDEX($F65:$BM65,1,(Einstellungen!$C$3-2026)*12+10))+N(INDEX($F65:$BM65,1,(Einstellungen!$C$3-2026)*12+11))+N(INDEX($F65:$BM65,1,(Einstellungen!$C$3-2026)*12+12)))</f>
        <v/>
      </c>
      <c r="D65" s="37">
        <f>IF(Mitarbeiter!B65="","",SUM(F65:BM65))</f>
        <v/>
      </c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  <c r="Y65" s="51" t="n"/>
      <c r="Z65" s="51" t="n"/>
      <c r="AA65" s="51" t="n"/>
      <c r="AB65" s="51" t="n"/>
      <c r="AC65" s="51" t="n"/>
      <c r="AD65" s="51" t="n"/>
      <c r="AE65" s="51" t="n"/>
      <c r="AF65" s="51" t="n"/>
      <c r="AG65" s="51" t="n"/>
      <c r="AH65" s="51" t="n"/>
      <c r="AI65" s="51" t="n"/>
      <c r="AJ65" s="51" t="n"/>
      <c r="AK65" s="51" t="n"/>
      <c r="AL65" s="51" t="n"/>
      <c r="AM65" s="51" t="n"/>
      <c r="AN65" s="51" t="n"/>
      <c r="AO65" s="51" t="n"/>
      <c r="AP65" s="51" t="n"/>
      <c r="AQ65" s="51" t="n"/>
      <c r="AR65" s="51" t="n"/>
      <c r="AS65" s="51" t="n"/>
      <c r="AT65" s="51" t="n"/>
      <c r="AU65" s="51" t="n"/>
      <c r="AV65" s="51" t="n"/>
      <c r="AW65" s="51" t="n"/>
      <c r="AX65" s="51" t="n"/>
      <c r="AY65" s="51" t="n"/>
      <c r="AZ65" s="51" t="n"/>
      <c r="BA65" s="51" t="n"/>
      <c r="BB65" s="51" t="n"/>
      <c r="BC65" s="51" t="n"/>
      <c r="BD65" s="51" t="n"/>
      <c r="BE65" s="51" t="n"/>
      <c r="BF65" s="51" t="n"/>
      <c r="BG65" s="51" t="n"/>
      <c r="BH65" s="51" t="n"/>
      <c r="BI65" s="51" t="n"/>
      <c r="BJ65" s="51" t="n"/>
      <c r="BK65" s="51" t="n"/>
      <c r="BL65" s="51" t="n"/>
      <c r="BM65" s="51" t="n"/>
    </row>
    <row r="66">
      <c r="A66" s="47">
        <f>IF(Mitarbeiter!B66="","",Mitarbeiter!A66)</f>
        <v/>
      </c>
      <c r="B66" s="48">
        <f>IF(Mitarbeiter!B66="","",Mitarbeiter!B66)</f>
        <v/>
      </c>
      <c r="C66" s="37">
        <f>IF(Mitarbeiter!B66="","",N(INDEX($F66:$BM66,1,(Einstellungen!$C$3-2026)*12+1))+N(INDEX($F66:$BM66,1,(Einstellungen!$C$3-2026)*12+2))+N(INDEX($F66:$BM66,1,(Einstellungen!$C$3-2026)*12+3))+N(INDEX($F66:$BM66,1,(Einstellungen!$C$3-2026)*12+4))+N(INDEX($F66:$BM66,1,(Einstellungen!$C$3-2026)*12+5))+N(INDEX($F66:$BM66,1,(Einstellungen!$C$3-2026)*12+6))+N(INDEX($F66:$BM66,1,(Einstellungen!$C$3-2026)*12+7))+N(INDEX($F66:$BM66,1,(Einstellungen!$C$3-2026)*12+8))+N(INDEX($F66:$BM66,1,(Einstellungen!$C$3-2026)*12+9))+N(INDEX($F66:$BM66,1,(Einstellungen!$C$3-2026)*12+10))+N(INDEX($F66:$BM66,1,(Einstellungen!$C$3-2026)*12+11))+N(INDEX($F66:$BM66,1,(Einstellungen!$C$3-2026)*12+12)))</f>
        <v/>
      </c>
      <c r="D66" s="37">
        <f>IF(Mitarbeiter!B66="","",SUM(F66:BM66))</f>
        <v/>
      </c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  <c r="AB66" s="51" t="n"/>
      <c r="AC66" s="51" t="n"/>
      <c r="AD66" s="51" t="n"/>
      <c r="AE66" s="51" t="n"/>
      <c r="AF66" s="51" t="n"/>
      <c r="AG66" s="51" t="n"/>
      <c r="AH66" s="51" t="n"/>
      <c r="AI66" s="51" t="n"/>
      <c r="AJ66" s="51" t="n"/>
      <c r="AK66" s="51" t="n"/>
      <c r="AL66" s="51" t="n"/>
      <c r="AM66" s="51" t="n"/>
      <c r="AN66" s="51" t="n"/>
      <c r="AO66" s="51" t="n"/>
      <c r="AP66" s="51" t="n"/>
      <c r="AQ66" s="51" t="n"/>
      <c r="AR66" s="51" t="n"/>
      <c r="AS66" s="51" t="n"/>
      <c r="AT66" s="51" t="n"/>
      <c r="AU66" s="51" t="n"/>
      <c r="AV66" s="51" t="n"/>
      <c r="AW66" s="51" t="n"/>
      <c r="AX66" s="51" t="n"/>
      <c r="AY66" s="51" t="n"/>
      <c r="AZ66" s="51" t="n"/>
      <c r="BA66" s="51" t="n"/>
      <c r="BB66" s="51" t="n"/>
      <c r="BC66" s="51" t="n"/>
      <c r="BD66" s="51" t="n"/>
      <c r="BE66" s="51" t="n"/>
      <c r="BF66" s="51" t="n"/>
      <c r="BG66" s="51" t="n"/>
      <c r="BH66" s="51" t="n"/>
      <c r="BI66" s="51" t="n"/>
      <c r="BJ66" s="51" t="n"/>
      <c r="BK66" s="51" t="n"/>
      <c r="BL66" s="51" t="n"/>
      <c r="BM66" s="51" t="n"/>
    </row>
    <row r="67">
      <c r="A67" s="47">
        <f>IF(Mitarbeiter!B67="","",Mitarbeiter!A67)</f>
        <v/>
      </c>
      <c r="B67" s="48">
        <f>IF(Mitarbeiter!B67="","",Mitarbeiter!B67)</f>
        <v/>
      </c>
      <c r="C67" s="37">
        <f>IF(Mitarbeiter!B67="","",N(INDEX($F67:$BM67,1,(Einstellungen!$C$3-2026)*12+1))+N(INDEX($F67:$BM67,1,(Einstellungen!$C$3-2026)*12+2))+N(INDEX($F67:$BM67,1,(Einstellungen!$C$3-2026)*12+3))+N(INDEX($F67:$BM67,1,(Einstellungen!$C$3-2026)*12+4))+N(INDEX($F67:$BM67,1,(Einstellungen!$C$3-2026)*12+5))+N(INDEX($F67:$BM67,1,(Einstellungen!$C$3-2026)*12+6))+N(INDEX($F67:$BM67,1,(Einstellungen!$C$3-2026)*12+7))+N(INDEX($F67:$BM67,1,(Einstellungen!$C$3-2026)*12+8))+N(INDEX($F67:$BM67,1,(Einstellungen!$C$3-2026)*12+9))+N(INDEX($F67:$BM67,1,(Einstellungen!$C$3-2026)*12+10))+N(INDEX($F67:$BM67,1,(Einstellungen!$C$3-2026)*12+11))+N(INDEX($F67:$BM67,1,(Einstellungen!$C$3-2026)*12+12)))</f>
        <v/>
      </c>
      <c r="D67" s="37">
        <f>IF(Mitarbeiter!B67="","",SUM(F67:BM67))</f>
        <v/>
      </c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  <c r="Y67" s="51" t="n"/>
      <c r="Z67" s="51" t="n"/>
      <c r="AA67" s="51" t="n"/>
      <c r="AB67" s="51" t="n"/>
      <c r="AC67" s="51" t="n"/>
      <c r="AD67" s="51" t="n"/>
      <c r="AE67" s="51" t="n"/>
      <c r="AF67" s="51" t="n"/>
      <c r="AG67" s="51" t="n"/>
      <c r="AH67" s="51" t="n"/>
      <c r="AI67" s="51" t="n"/>
      <c r="AJ67" s="51" t="n"/>
      <c r="AK67" s="51" t="n"/>
      <c r="AL67" s="51" t="n"/>
      <c r="AM67" s="51" t="n"/>
      <c r="AN67" s="51" t="n"/>
      <c r="AO67" s="51" t="n"/>
      <c r="AP67" s="51" t="n"/>
      <c r="AQ67" s="51" t="n"/>
      <c r="AR67" s="51" t="n"/>
      <c r="AS67" s="51" t="n"/>
      <c r="AT67" s="51" t="n"/>
      <c r="AU67" s="51" t="n"/>
      <c r="AV67" s="51" t="n"/>
      <c r="AW67" s="51" t="n"/>
      <c r="AX67" s="51" t="n"/>
      <c r="AY67" s="51" t="n"/>
      <c r="AZ67" s="51" t="n"/>
      <c r="BA67" s="51" t="n"/>
      <c r="BB67" s="51" t="n"/>
      <c r="BC67" s="51" t="n"/>
      <c r="BD67" s="51" t="n"/>
      <c r="BE67" s="51" t="n"/>
      <c r="BF67" s="51" t="n"/>
      <c r="BG67" s="51" t="n"/>
      <c r="BH67" s="51" t="n"/>
      <c r="BI67" s="51" t="n"/>
      <c r="BJ67" s="51" t="n"/>
      <c r="BK67" s="51" t="n"/>
      <c r="BL67" s="51" t="n"/>
      <c r="BM67" s="51" t="n"/>
    </row>
    <row r="68">
      <c r="A68" s="47">
        <f>IF(Mitarbeiter!B68="","",Mitarbeiter!A68)</f>
        <v/>
      </c>
      <c r="B68" s="48">
        <f>IF(Mitarbeiter!B68="","",Mitarbeiter!B68)</f>
        <v/>
      </c>
      <c r="C68" s="37">
        <f>IF(Mitarbeiter!B68="","",N(INDEX($F68:$BM68,1,(Einstellungen!$C$3-2026)*12+1))+N(INDEX($F68:$BM68,1,(Einstellungen!$C$3-2026)*12+2))+N(INDEX($F68:$BM68,1,(Einstellungen!$C$3-2026)*12+3))+N(INDEX($F68:$BM68,1,(Einstellungen!$C$3-2026)*12+4))+N(INDEX($F68:$BM68,1,(Einstellungen!$C$3-2026)*12+5))+N(INDEX($F68:$BM68,1,(Einstellungen!$C$3-2026)*12+6))+N(INDEX($F68:$BM68,1,(Einstellungen!$C$3-2026)*12+7))+N(INDEX($F68:$BM68,1,(Einstellungen!$C$3-2026)*12+8))+N(INDEX($F68:$BM68,1,(Einstellungen!$C$3-2026)*12+9))+N(INDEX($F68:$BM68,1,(Einstellungen!$C$3-2026)*12+10))+N(INDEX($F68:$BM68,1,(Einstellungen!$C$3-2026)*12+11))+N(INDEX($F68:$BM68,1,(Einstellungen!$C$3-2026)*12+12)))</f>
        <v/>
      </c>
      <c r="D68" s="37">
        <f>IF(Mitarbeiter!B68="","",SUM(F68:BM68))</f>
        <v/>
      </c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  <c r="Y68" s="51" t="n"/>
      <c r="Z68" s="51" t="n"/>
      <c r="AA68" s="51" t="n"/>
      <c r="AB68" s="51" t="n"/>
      <c r="AC68" s="51" t="n"/>
      <c r="AD68" s="51" t="n"/>
      <c r="AE68" s="51" t="n"/>
      <c r="AF68" s="51" t="n"/>
      <c r="AG68" s="51" t="n"/>
      <c r="AH68" s="51" t="n"/>
      <c r="AI68" s="51" t="n"/>
      <c r="AJ68" s="51" t="n"/>
      <c r="AK68" s="51" t="n"/>
      <c r="AL68" s="51" t="n"/>
      <c r="AM68" s="51" t="n"/>
      <c r="AN68" s="51" t="n"/>
      <c r="AO68" s="51" t="n"/>
      <c r="AP68" s="51" t="n"/>
      <c r="AQ68" s="51" t="n"/>
      <c r="AR68" s="51" t="n"/>
      <c r="AS68" s="51" t="n"/>
      <c r="AT68" s="51" t="n"/>
      <c r="AU68" s="51" t="n"/>
      <c r="AV68" s="51" t="n"/>
      <c r="AW68" s="51" t="n"/>
      <c r="AX68" s="51" t="n"/>
      <c r="AY68" s="51" t="n"/>
      <c r="AZ68" s="51" t="n"/>
      <c r="BA68" s="51" t="n"/>
      <c r="BB68" s="51" t="n"/>
      <c r="BC68" s="51" t="n"/>
      <c r="BD68" s="51" t="n"/>
      <c r="BE68" s="51" t="n"/>
      <c r="BF68" s="51" t="n"/>
      <c r="BG68" s="51" t="n"/>
      <c r="BH68" s="51" t="n"/>
      <c r="BI68" s="51" t="n"/>
      <c r="BJ68" s="51" t="n"/>
      <c r="BK68" s="51" t="n"/>
      <c r="BL68" s="51" t="n"/>
      <c r="BM68" s="51" t="n"/>
    </row>
    <row r="69">
      <c r="A69" s="47">
        <f>IF(Mitarbeiter!B69="","",Mitarbeiter!A69)</f>
        <v/>
      </c>
      <c r="B69" s="48">
        <f>IF(Mitarbeiter!B69="","",Mitarbeiter!B69)</f>
        <v/>
      </c>
      <c r="C69" s="37">
        <f>IF(Mitarbeiter!B69="","",N(INDEX($F69:$BM69,1,(Einstellungen!$C$3-2026)*12+1))+N(INDEX($F69:$BM69,1,(Einstellungen!$C$3-2026)*12+2))+N(INDEX($F69:$BM69,1,(Einstellungen!$C$3-2026)*12+3))+N(INDEX($F69:$BM69,1,(Einstellungen!$C$3-2026)*12+4))+N(INDEX($F69:$BM69,1,(Einstellungen!$C$3-2026)*12+5))+N(INDEX($F69:$BM69,1,(Einstellungen!$C$3-2026)*12+6))+N(INDEX($F69:$BM69,1,(Einstellungen!$C$3-2026)*12+7))+N(INDEX($F69:$BM69,1,(Einstellungen!$C$3-2026)*12+8))+N(INDEX($F69:$BM69,1,(Einstellungen!$C$3-2026)*12+9))+N(INDEX($F69:$BM69,1,(Einstellungen!$C$3-2026)*12+10))+N(INDEX($F69:$BM69,1,(Einstellungen!$C$3-2026)*12+11))+N(INDEX($F69:$BM69,1,(Einstellungen!$C$3-2026)*12+12)))</f>
        <v/>
      </c>
      <c r="D69" s="37">
        <f>IF(Mitarbeiter!B69="","",SUM(F69:BM69))</f>
        <v/>
      </c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  <c r="Z69" s="51" t="n"/>
      <c r="AA69" s="51" t="n"/>
      <c r="AB69" s="51" t="n"/>
      <c r="AC69" s="51" t="n"/>
      <c r="AD69" s="51" t="n"/>
      <c r="AE69" s="51" t="n"/>
      <c r="AF69" s="51" t="n"/>
      <c r="AG69" s="51" t="n"/>
      <c r="AH69" s="51" t="n"/>
      <c r="AI69" s="51" t="n"/>
      <c r="AJ69" s="51" t="n"/>
      <c r="AK69" s="51" t="n"/>
      <c r="AL69" s="51" t="n"/>
      <c r="AM69" s="51" t="n"/>
      <c r="AN69" s="51" t="n"/>
      <c r="AO69" s="51" t="n"/>
      <c r="AP69" s="51" t="n"/>
      <c r="AQ69" s="51" t="n"/>
      <c r="AR69" s="51" t="n"/>
      <c r="AS69" s="51" t="n"/>
      <c r="AT69" s="51" t="n"/>
      <c r="AU69" s="51" t="n"/>
      <c r="AV69" s="51" t="n"/>
      <c r="AW69" s="51" t="n"/>
      <c r="AX69" s="51" t="n"/>
      <c r="AY69" s="51" t="n"/>
      <c r="AZ69" s="51" t="n"/>
      <c r="BA69" s="51" t="n"/>
      <c r="BB69" s="51" t="n"/>
      <c r="BC69" s="51" t="n"/>
      <c r="BD69" s="51" t="n"/>
      <c r="BE69" s="51" t="n"/>
      <c r="BF69" s="51" t="n"/>
      <c r="BG69" s="51" t="n"/>
      <c r="BH69" s="51" t="n"/>
      <c r="BI69" s="51" t="n"/>
      <c r="BJ69" s="51" t="n"/>
      <c r="BK69" s="51" t="n"/>
      <c r="BL69" s="51" t="n"/>
      <c r="BM69" s="51" t="n"/>
    </row>
    <row r="70">
      <c r="A70" s="47">
        <f>IF(Mitarbeiter!B70="","",Mitarbeiter!A70)</f>
        <v/>
      </c>
      <c r="B70" s="48">
        <f>IF(Mitarbeiter!B70="","",Mitarbeiter!B70)</f>
        <v/>
      </c>
      <c r="C70" s="37">
        <f>IF(Mitarbeiter!B70="","",N(INDEX($F70:$BM70,1,(Einstellungen!$C$3-2026)*12+1))+N(INDEX($F70:$BM70,1,(Einstellungen!$C$3-2026)*12+2))+N(INDEX($F70:$BM70,1,(Einstellungen!$C$3-2026)*12+3))+N(INDEX($F70:$BM70,1,(Einstellungen!$C$3-2026)*12+4))+N(INDEX($F70:$BM70,1,(Einstellungen!$C$3-2026)*12+5))+N(INDEX($F70:$BM70,1,(Einstellungen!$C$3-2026)*12+6))+N(INDEX($F70:$BM70,1,(Einstellungen!$C$3-2026)*12+7))+N(INDEX($F70:$BM70,1,(Einstellungen!$C$3-2026)*12+8))+N(INDEX($F70:$BM70,1,(Einstellungen!$C$3-2026)*12+9))+N(INDEX($F70:$BM70,1,(Einstellungen!$C$3-2026)*12+10))+N(INDEX($F70:$BM70,1,(Einstellungen!$C$3-2026)*12+11))+N(INDEX($F70:$BM70,1,(Einstellungen!$C$3-2026)*12+12)))</f>
        <v/>
      </c>
      <c r="D70" s="37">
        <f>IF(Mitarbeiter!B70="","",SUM(F70:BM70))</f>
        <v/>
      </c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  <c r="Y70" s="51" t="n"/>
      <c r="Z70" s="51" t="n"/>
      <c r="AA70" s="51" t="n"/>
      <c r="AB70" s="51" t="n"/>
      <c r="AC70" s="51" t="n"/>
      <c r="AD70" s="51" t="n"/>
      <c r="AE70" s="51" t="n"/>
      <c r="AF70" s="51" t="n"/>
      <c r="AG70" s="51" t="n"/>
      <c r="AH70" s="51" t="n"/>
      <c r="AI70" s="51" t="n"/>
      <c r="AJ70" s="51" t="n"/>
      <c r="AK70" s="51" t="n"/>
      <c r="AL70" s="51" t="n"/>
      <c r="AM70" s="51" t="n"/>
      <c r="AN70" s="51" t="n"/>
      <c r="AO70" s="51" t="n"/>
      <c r="AP70" s="51" t="n"/>
      <c r="AQ70" s="51" t="n"/>
      <c r="AR70" s="51" t="n"/>
      <c r="AS70" s="51" t="n"/>
      <c r="AT70" s="51" t="n"/>
      <c r="AU70" s="51" t="n"/>
      <c r="AV70" s="51" t="n"/>
      <c r="AW70" s="51" t="n"/>
      <c r="AX70" s="51" t="n"/>
      <c r="AY70" s="51" t="n"/>
      <c r="AZ70" s="51" t="n"/>
      <c r="BA70" s="51" t="n"/>
      <c r="BB70" s="51" t="n"/>
      <c r="BC70" s="51" t="n"/>
      <c r="BD70" s="51" t="n"/>
      <c r="BE70" s="51" t="n"/>
      <c r="BF70" s="51" t="n"/>
      <c r="BG70" s="51" t="n"/>
      <c r="BH70" s="51" t="n"/>
      <c r="BI70" s="51" t="n"/>
      <c r="BJ70" s="51" t="n"/>
      <c r="BK70" s="51" t="n"/>
      <c r="BL70" s="51" t="n"/>
      <c r="BM70" s="51" t="n"/>
    </row>
    <row r="71">
      <c r="A71" s="47">
        <f>IF(Mitarbeiter!B71="","",Mitarbeiter!A71)</f>
        <v/>
      </c>
      <c r="B71" s="48">
        <f>IF(Mitarbeiter!B71="","",Mitarbeiter!B71)</f>
        <v/>
      </c>
      <c r="C71" s="37">
        <f>IF(Mitarbeiter!B71="","",N(INDEX($F71:$BM71,1,(Einstellungen!$C$3-2026)*12+1))+N(INDEX($F71:$BM71,1,(Einstellungen!$C$3-2026)*12+2))+N(INDEX($F71:$BM71,1,(Einstellungen!$C$3-2026)*12+3))+N(INDEX($F71:$BM71,1,(Einstellungen!$C$3-2026)*12+4))+N(INDEX($F71:$BM71,1,(Einstellungen!$C$3-2026)*12+5))+N(INDEX($F71:$BM71,1,(Einstellungen!$C$3-2026)*12+6))+N(INDEX($F71:$BM71,1,(Einstellungen!$C$3-2026)*12+7))+N(INDEX($F71:$BM71,1,(Einstellungen!$C$3-2026)*12+8))+N(INDEX($F71:$BM71,1,(Einstellungen!$C$3-2026)*12+9))+N(INDEX($F71:$BM71,1,(Einstellungen!$C$3-2026)*12+10))+N(INDEX($F71:$BM71,1,(Einstellungen!$C$3-2026)*12+11))+N(INDEX($F71:$BM71,1,(Einstellungen!$C$3-2026)*12+12)))</f>
        <v/>
      </c>
      <c r="D71" s="37">
        <f>IF(Mitarbeiter!B71="","",SUM(F71:BM71))</f>
        <v/>
      </c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51" t="n"/>
      <c r="AF71" s="51" t="n"/>
      <c r="AG71" s="51" t="n"/>
      <c r="AH71" s="51" t="n"/>
      <c r="AI71" s="51" t="n"/>
      <c r="AJ71" s="51" t="n"/>
      <c r="AK71" s="51" t="n"/>
      <c r="AL71" s="51" t="n"/>
      <c r="AM71" s="51" t="n"/>
      <c r="AN71" s="51" t="n"/>
      <c r="AO71" s="51" t="n"/>
      <c r="AP71" s="51" t="n"/>
      <c r="AQ71" s="51" t="n"/>
      <c r="AR71" s="51" t="n"/>
      <c r="AS71" s="51" t="n"/>
      <c r="AT71" s="51" t="n"/>
      <c r="AU71" s="51" t="n"/>
      <c r="AV71" s="51" t="n"/>
      <c r="AW71" s="51" t="n"/>
      <c r="AX71" s="51" t="n"/>
      <c r="AY71" s="51" t="n"/>
      <c r="AZ71" s="51" t="n"/>
      <c r="BA71" s="51" t="n"/>
      <c r="BB71" s="51" t="n"/>
      <c r="BC71" s="51" t="n"/>
      <c r="BD71" s="51" t="n"/>
      <c r="BE71" s="51" t="n"/>
      <c r="BF71" s="51" t="n"/>
      <c r="BG71" s="51" t="n"/>
      <c r="BH71" s="51" t="n"/>
      <c r="BI71" s="51" t="n"/>
      <c r="BJ71" s="51" t="n"/>
      <c r="BK71" s="51" t="n"/>
      <c r="BL71" s="51" t="n"/>
      <c r="BM71" s="51" t="n"/>
    </row>
    <row r="72">
      <c r="A72" s="47">
        <f>IF(Mitarbeiter!B72="","",Mitarbeiter!A72)</f>
        <v/>
      </c>
      <c r="B72" s="48">
        <f>IF(Mitarbeiter!B72="","",Mitarbeiter!B72)</f>
        <v/>
      </c>
      <c r="C72" s="37">
        <f>IF(Mitarbeiter!B72="","",N(INDEX($F72:$BM72,1,(Einstellungen!$C$3-2026)*12+1))+N(INDEX($F72:$BM72,1,(Einstellungen!$C$3-2026)*12+2))+N(INDEX($F72:$BM72,1,(Einstellungen!$C$3-2026)*12+3))+N(INDEX($F72:$BM72,1,(Einstellungen!$C$3-2026)*12+4))+N(INDEX($F72:$BM72,1,(Einstellungen!$C$3-2026)*12+5))+N(INDEX($F72:$BM72,1,(Einstellungen!$C$3-2026)*12+6))+N(INDEX($F72:$BM72,1,(Einstellungen!$C$3-2026)*12+7))+N(INDEX($F72:$BM72,1,(Einstellungen!$C$3-2026)*12+8))+N(INDEX($F72:$BM72,1,(Einstellungen!$C$3-2026)*12+9))+N(INDEX($F72:$BM72,1,(Einstellungen!$C$3-2026)*12+10))+N(INDEX($F72:$BM72,1,(Einstellungen!$C$3-2026)*12+11))+N(INDEX($F72:$BM72,1,(Einstellungen!$C$3-2026)*12+12)))</f>
        <v/>
      </c>
      <c r="D72" s="37">
        <f>IF(Mitarbeiter!B72="","",SUM(F72:BM72))</f>
        <v/>
      </c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  <c r="Y72" s="51" t="n"/>
      <c r="Z72" s="51" t="n"/>
      <c r="AA72" s="51" t="n"/>
      <c r="AB72" s="51" t="n"/>
      <c r="AC72" s="51" t="n"/>
      <c r="AD72" s="51" t="n"/>
      <c r="AE72" s="51" t="n"/>
      <c r="AF72" s="51" t="n"/>
      <c r="AG72" s="51" t="n"/>
      <c r="AH72" s="51" t="n"/>
      <c r="AI72" s="51" t="n"/>
      <c r="AJ72" s="51" t="n"/>
      <c r="AK72" s="51" t="n"/>
      <c r="AL72" s="51" t="n"/>
      <c r="AM72" s="51" t="n"/>
      <c r="AN72" s="51" t="n"/>
      <c r="AO72" s="51" t="n"/>
      <c r="AP72" s="51" t="n"/>
      <c r="AQ72" s="51" t="n"/>
      <c r="AR72" s="51" t="n"/>
      <c r="AS72" s="51" t="n"/>
      <c r="AT72" s="51" t="n"/>
      <c r="AU72" s="51" t="n"/>
      <c r="AV72" s="51" t="n"/>
      <c r="AW72" s="51" t="n"/>
      <c r="AX72" s="51" t="n"/>
      <c r="AY72" s="51" t="n"/>
      <c r="AZ72" s="51" t="n"/>
      <c r="BA72" s="51" t="n"/>
      <c r="BB72" s="51" t="n"/>
      <c r="BC72" s="51" t="n"/>
      <c r="BD72" s="51" t="n"/>
      <c r="BE72" s="51" t="n"/>
      <c r="BF72" s="51" t="n"/>
      <c r="BG72" s="51" t="n"/>
      <c r="BH72" s="51" t="n"/>
      <c r="BI72" s="51" t="n"/>
      <c r="BJ72" s="51" t="n"/>
      <c r="BK72" s="51" t="n"/>
      <c r="BL72" s="51" t="n"/>
      <c r="BM72" s="51" t="n"/>
    </row>
    <row r="73">
      <c r="A73" s="47">
        <f>IF(Mitarbeiter!B73="","",Mitarbeiter!A73)</f>
        <v/>
      </c>
      <c r="B73" s="48">
        <f>IF(Mitarbeiter!B73="","",Mitarbeiter!B73)</f>
        <v/>
      </c>
      <c r="C73" s="37">
        <f>IF(Mitarbeiter!B73="","",N(INDEX($F73:$BM73,1,(Einstellungen!$C$3-2026)*12+1))+N(INDEX($F73:$BM73,1,(Einstellungen!$C$3-2026)*12+2))+N(INDEX($F73:$BM73,1,(Einstellungen!$C$3-2026)*12+3))+N(INDEX($F73:$BM73,1,(Einstellungen!$C$3-2026)*12+4))+N(INDEX($F73:$BM73,1,(Einstellungen!$C$3-2026)*12+5))+N(INDEX($F73:$BM73,1,(Einstellungen!$C$3-2026)*12+6))+N(INDEX($F73:$BM73,1,(Einstellungen!$C$3-2026)*12+7))+N(INDEX($F73:$BM73,1,(Einstellungen!$C$3-2026)*12+8))+N(INDEX($F73:$BM73,1,(Einstellungen!$C$3-2026)*12+9))+N(INDEX($F73:$BM73,1,(Einstellungen!$C$3-2026)*12+10))+N(INDEX($F73:$BM73,1,(Einstellungen!$C$3-2026)*12+11))+N(INDEX($F73:$BM73,1,(Einstellungen!$C$3-2026)*12+12)))</f>
        <v/>
      </c>
      <c r="D73" s="37">
        <f>IF(Mitarbeiter!B73="","",SUM(F73:BM73))</f>
        <v/>
      </c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51" t="n"/>
      <c r="Z73" s="51" t="n"/>
      <c r="AA73" s="51" t="n"/>
      <c r="AB73" s="51" t="n"/>
      <c r="AC73" s="51" t="n"/>
      <c r="AD73" s="51" t="n"/>
      <c r="AE73" s="51" t="n"/>
      <c r="AF73" s="51" t="n"/>
      <c r="AG73" s="51" t="n"/>
      <c r="AH73" s="51" t="n"/>
      <c r="AI73" s="51" t="n"/>
      <c r="AJ73" s="51" t="n"/>
      <c r="AK73" s="51" t="n"/>
      <c r="AL73" s="51" t="n"/>
      <c r="AM73" s="51" t="n"/>
      <c r="AN73" s="51" t="n"/>
      <c r="AO73" s="51" t="n"/>
      <c r="AP73" s="51" t="n"/>
      <c r="AQ73" s="51" t="n"/>
      <c r="AR73" s="51" t="n"/>
      <c r="AS73" s="51" t="n"/>
      <c r="AT73" s="51" t="n"/>
      <c r="AU73" s="51" t="n"/>
      <c r="AV73" s="51" t="n"/>
      <c r="AW73" s="51" t="n"/>
      <c r="AX73" s="51" t="n"/>
      <c r="AY73" s="51" t="n"/>
      <c r="AZ73" s="51" t="n"/>
      <c r="BA73" s="51" t="n"/>
      <c r="BB73" s="51" t="n"/>
      <c r="BC73" s="51" t="n"/>
      <c r="BD73" s="51" t="n"/>
      <c r="BE73" s="51" t="n"/>
      <c r="BF73" s="51" t="n"/>
      <c r="BG73" s="51" t="n"/>
      <c r="BH73" s="51" t="n"/>
      <c r="BI73" s="51" t="n"/>
      <c r="BJ73" s="51" t="n"/>
      <c r="BK73" s="51" t="n"/>
      <c r="BL73" s="51" t="n"/>
      <c r="BM73" s="51" t="n"/>
    </row>
    <row r="74">
      <c r="A74" s="47">
        <f>IF(Mitarbeiter!B74="","",Mitarbeiter!A74)</f>
        <v/>
      </c>
      <c r="B74" s="48">
        <f>IF(Mitarbeiter!B74="","",Mitarbeiter!B74)</f>
        <v/>
      </c>
      <c r="C74" s="37">
        <f>IF(Mitarbeiter!B74="","",N(INDEX($F74:$BM74,1,(Einstellungen!$C$3-2026)*12+1))+N(INDEX($F74:$BM74,1,(Einstellungen!$C$3-2026)*12+2))+N(INDEX($F74:$BM74,1,(Einstellungen!$C$3-2026)*12+3))+N(INDEX($F74:$BM74,1,(Einstellungen!$C$3-2026)*12+4))+N(INDEX($F74:$BM74,1,(Einstellungen!$C$3-2026)*12+5))+N(INDEX($F74:$BM74,1,(Einstellungen!$C$3-2026)*12+6))+N(INDEX($F74:$BM74,1,(Einstellungen!$C$3-2026)*12+7))+N(INDEX($F74:$BM74,1,(Einstellungen!$C$3-2026)*12+8))+N(INDEX($F74:$BM74,1,(Einstellungen!$C$3-2026)*12+9))+N(INDEX($F74:$BM74,1,(Einstellungen!$C$3-2026)*12+10))+N(INDEX($F74:$BM74,1,(Einstellungen!$C$3-2026)*12+11))+N(INDEX($F74:$BM74,1,(Einstellungen!$C$3-2026)*12+12)))</f>
        <v/>
      </c>
      <c r="D74" s="37">
        <f>IF(Mitarbeiter!B74="","",SUM(F74:BM74))</f>
        <v/>
      </c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  <c r="Z74" s="51" t="n"/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51" t="n"/>
      <c r="AJ74" s="51" t="n"/>
      <c r="AK74" s="51" t="n"/>
      <c r="AL74" s="51" t="n"/>
      <c r="AM74" s="51" t="n"/>
      <c r="AN74" s="51" t="n"/>
      <c r="AO74" s="51" t="n"/>
      <c r="AP74" s="51" t="n"/>
      <c r="AQ74" s="51" t="n"/>
      <c r="AR74" s="51" t="n"/>
      <c r="AS74" s="51" t="n"/>
      <c r="AT74" s="51" t="n"/>
      <c r="AU74" s="51" t="n"/>
      <c r="AV74" s="51" t="n"/>
      <c r="AW74" s="51" t="n"/>
      <c r="AX74" s="51" t="n"/>
      <c r="AY74" s="51" t="n"/>
      <c r="AZ74" s="51" t="n"/>
      <c r="BA74" s="51" t="n"/>
      <c r="BB74" s="51" t="n"/>
      <c r="BC74" s="51" t="n"/>
      <c r="BD74" s="51" t="n"/>
      <c r="BE74" s="51" t="n"/>
      <c r="BF74" s="51" t="n"/>
      <c r="BG74" s="51" t="n"/>
      <c r="BH74" s="51" t="n"/>
      <c r="BI74" s="51" t="n"/>
      <c r="BJ74" s="51" t="n"/>
      <c r="BK74" s="51" t="n"/>
      <c r="BL74" s="51" t="n"/>
      <c r="BM74" s="51" t="n"/>
    </row>
    <row r="75">
      <c r="A75" s="47">
        <f>IF(Mitarbeiter!B75="","",Mitarbeiter!A75)</f>
        <v/>
      </c>
      <c r="B75" s="48">
        <f>IF(Mitarbeiter!B75="","",Mitarbeiter!B75)</f>
        <v/>
      </c>
      <c r="C75" s="37">
        <f>IF(Mitarbeiter!B75="","",N(INDEX($F75:$BM75,1,(Einstellungen!$C$3-2026)*12+1))+N(INDEX($F75:$BM75,1,(Einstellungen!$C$3-2026)*12+2))+N(INDEX($F75:$BM75,1,(Einstellungen!$C$3-2026)*12+3))+N(INDEX($F75:$BM75,1,(Einstellungen!$C$3-2026)*12+4))+N(INDEX($F75:$BM75,1,(Einstellungen!$C$3-2026)*12+5))+N(INDEX($F75:$BM75,1,(Einstellungen!$C$3-2026)*12+6))+N(INDEX($F75:$BM75,1,(Einstellungen!$C$3-2026)*12+7))+N(INDEX($F75:$BM75,1,(Einstellungen!$C$3-2026)*12+8))+N(INDEX($F75:$BM75,1,(Einstellungen!$C$3-2026)*12+9))+N(INDEX($F75:$BM75,1,(Einstellungen!$C$3-2026)*12+10))+N(INDEX($F75:$BM75,1,(Einstellungen!$C$3-2026)*12+11))+N(INDEX($F75:$BM75,1,(Einstellungen!$C$3-2026)*12+12)))</f>
        <v/>
      </c>
      <c r="D75" s="37">
        <f>IF(Mitarbeiter!B75="","",SUM(F75:BM75))</f>
        <v/>
      </c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  <c r="AA75" s="51" t="n"/>
      <c r="AB75" s="51" t="n"/>
      <c r="AC75" s="51" t="n"/>
      <c r="AD75" s="51" t="n"/>
      <c r="AE75" s="51" t="n"/>
      <c r="AF75" s="51" t="n"/>
      <c r="AG75" s="51" t="n"/>
      <c r="AH75" s="51" t="n"/>
      <c r="AI75" s="51" t="n"/>
      <c r="AJ75" s="51" t="n"/>
      <c r="AK75" s="51" t="n"/>
      <c r="AL75" s="51" t="n"/>
      <c r="AM75" s="51" t="n"/>
      <c r="AN75" s="51" t="n"/>
      <c r="AO75" s="51" t="n"/>
      <c r="AP75" s="51" t="n"/>
      <c r="AQ75" s="51" t="n"/>
      <c r="AR75" s="51" t="n"/>
      <c r="AS75" s="51" t="n"/>
      <c r="AT75" s="51" t="n"/>
      <c r="AU75" s="51" t="n"/>
      <c r="AV75" s="51" t="n"/>
      <c r="AW75" s="51" t="n"/>
      <c r="AX75" s="51" t="n"/>
      <c r="AY75" s="51" t="n"/>
      <c r="AZ75" s="51" t="n"/>
      <c r="BA75" s="51" t="n"/>
      <c r="BB75" s="51" t="n"/>
      <c r="BC75" s="51" t="n"/>
      <c r="BD75" s="51" t="n"/>
      <c r="BE75" s="51" t="n"/>
      <c r="BF75" s="51" t="n"/>
      <c r="BG75" s="51" t="n"/>
      <c r="BH75" s="51" t="n"/>
      <c r="BI75" s="51" t="n"/>
      <c r="BJ75" s="51" t="n"/>
      <c r="BK75" s="51" t="n"/>
      <c r="BL75" s="51" t="n"/>
      <c r="BM75" s="51" t="n"/>
    </row>
    <row r="76">
      <c r="A76" s="47">
        <f>IF(Mitarbeiter!B76="","",Mitarbeiter!A76)</f>
        <v/>
      </c>
      <c r="B76" s="48">
        <f>IF(Mitarbeiter!B76="","",Mitarbeiter!B76)</f>
        <v/>
      </c>
      <c r="C76" s="37">
        <f>IF(Mitarbeiter!B76="","",N(INDEX($F76:$BM76,1,(Einstellungen!$C$3-2026)*12+1))+N(INDEX($F76:$BM76,1,(Einstellungen!$C$3-2026)*12+2))+N(INDEX($F76:$BM76,1,(Einstellungen!$C$3-2026)*12+3))+N(INDEX($F76:$BM76,1,(Einstellungen!$C$3-2026)*12+4))+N(INDEX($F76:$BM76,1,(Einstellungen!$C$3-2026)*12+5))+N(INDEX($F76:$BM76,1,(Einstellungen!$C$3-2026)*12+6))+N(INDEX($F76:$BM76,1,(Einstellungen!$C$3-2026)*12+7))+N(INDEX($F76:$BM76,1,(Einstellungen!$C$3-2026)*12+8))+N(INDEX($F76:$BM76,1,(Einstellungen!$C$3-2026)*12+9))+N(INDEX($F76:$BM76,1,(Einstellungen!$C$3-2026)*12+10))+N(INDEX($F76:$BM76,1,(Einstellungen!$C$3-2026)*12+11))+N(INDEX($F76:$BM76,1,(Einstellungen!$C$3-2026)*12+12)))</f>
        <v/>
      </c>
      <c r="D76" s="37">
        <f>IF(Mitarbeiter!B76="","",SUM(F76:BM76))</f>
        <v/>
      </c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  <c r="Y76" s="51" t="n"/>
      <c r="Z76" s="51" t="n"/>
      <c r="AA76" s="51" t="n"/>
      <c r="AB76" s="51" t="n"/>
      <c r="AC76" s="51" t="n"/>
      <c r="AD76" s="51" t="n"/>
      <c r="AE76" s="51" t="n"/>
      <c r="AF76" s="51" t="n"/>
      <c r="AG76" s="51" t="n"/>
      <c r="AH76" s="51" t="n"/>
      <c r="AI76" s="51" t="n"/>
      <c r="AJ76" s="51" t="n"/>
      <c r="AK76" s="51" t="n"/>
      <c r="AL76" s="51" t="n"/>
      <c r="AM76" s="51" t="n"/>
      <c r="AN76" s="51" t="n"/>
      <c r="AO76" s="51" t="n"/>
      <c r="AP76" s="51" t="n"/>
      <c r="AQ76" s="51" t="n"/>
      <c r="AR76" s="51" t="n"/>
      <c r="AS76" s="51" t="n"/>
      <c r="AT76" s="51" t="n"/>
      <c r="AU76" s="51" t="n"/>
      <c r="AV76" s="51" t="n"/>
      <c r="AW76" s="51" t="n"/>
      <c r="AX76" s="51" t="n"/>
      <c r="AY76" s="51" t="n"/>
      <c r="AZ76" s="51" t="n"/>
      <c r="BA76" s="51" t="n"/>
      <c r="BB76" s="51" t="n"/>
      <c r="BC76" s="51" t="n"/>
      <c r="BD76" s="51" t="n"/>
      <c r="BE76" s="51" t="n"/>
      <c r="BF76" s="51" t="n"/>
      <c r="BG76" s="51" t="n"/>
      <c r="BH76" s="51" t="n"/>
      <c r="BI76" s="51" t="n"/>
      <c r="BJ76" s="51" t="n"/>
      <c r="BK76" s="51" t="n"/>
      <c r="BL76" s="51" t="n"/>
      <c r="BM76" s="51" t="n"/>
    </row>
    <row r="77">
      <c r="A77" s="47">
        <f>IF(Mitarbeiter!B77="","",Mitarbeiter!A77)</f>
        <v/>
      </c>
      <c r="B77" s="48">
        <f>IF(Mitarbeiter!B77="","",Mitarbeiter!B77)</f>
        <v/>
      </c>
      <c r="C77" s="37">
        <f>IF(Mitarbeiter!B77="","",N(INDEX($F77:$BM77,1,(Einstellungen!$C$3-2026)*12+1))+N(INDEX($F77:$BM77,1,(Einstellungen!$C$3-2026)*12+2))+N(INDEX($F77:$BM77,1,(Einstellungen!$C$3-2026)*12+3))+N(INDEX($F77:$BM77,1,(Einstellungen!$C$3-2026)*12+4))+N(INDEX($F77:$BM77,1,(Einstellungen!$C$3-2026)*12+5))+N(INDEX($F77:$BM77,1,(Einstellungen!$C$3-2026)*12+6))+N(INDEX($F77:$BM77,1,(Einstellungen!$C$3-2026)*12+7))+N(INDEX($F77:$BM77,1,(Einstellungen!$C$3-2026)*12+8))+N(INDEX($F77:$BM77,1,(Einstellungen!$C$3-2026)*12+9))+N(INDEX($F77:$BM77,1,(Einstellungen!$C$3-2026)*12+10))+N(INDEX($F77:$BM77,1,(Einstellungen!$C$3-2026)*12+11))+N(INDEX($F77:$BM77,1,(Einstellungen!$C$3-2026)*12+12)))</f>
        <v/>
      </c>
      <c r="D77" s="37">
        <f>IF(Mitarbeiter!B77="","",SUM(F77:BM77))</f>
        <v/>
      </c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  <c r="Y77" s="51" t="n"/>
      <c r="Z77" s="51" t="n"/>
      <c r="AA77" s="51" t="n"/>
      <c r="AB77" s="51" t="n"/>
      <c r="AC77" s="51" t="n"/>
      <c r="AD77" s="51" t="n"/>
      <c r="AE77" s="51" t="n"/>
      <c r="AF77" s="51" t="n"/>
      <c r="AG77" s="51" t="n"/>
      <c r="AH77" s="51" t="n"/>
      <c r="AI77" s="51" t="n"/>
      <c r="AJ77" s="51" t="n"/>
      <c r="AK77" s="51" t="n"/>
      <c r="AL77" s="51" t="n"/>
      <c r="AM77" s="51" t="n"/>
      <c r="AN77" s="51" t="n"/>
      <c r="AO77" s="51" t="n"/>
      <c r="AP77" s="51" t="n"/>
      <c r="AQ77" s="51" t="n"/>
      <c r="AR77" s="51" t="n"/>
      <c r="AS77" s="51" t="n"/>
      <c r="AT77" s="51" t="n"/>
      <c r="AU77" s="51" t="n"/>
      <c r="AV77" s="51" t="n"/>
      <c r="AW77" s="51" t="n"/>
      <c r="AX77" s="51" t="n"/>
      <c r="AY77" s="51" t="n"/>
      <c r="AZ77" s="51" t="n"/>
      <c r="BA77" s="51" t="n"/>
      <c r="BB77" s="51" t="n"/>
      <c r="BC77" s="51" t="n"/>
      <c r="BD77" s="51" t="n"/>
      <c r="BE77" s="51" t="n"/>
      <c r="BF77" s="51" t="n"/>
      <c r="BG77" s="51" t="n"/>
      <c r="BH77" s="51" t="n"/>
      <c r="BI77" s="51" t="n"/>
      <c r="BJ77" s="51" t="n"/>
      <c r="BK77" s="51" t="n"/>
      <c r="BL77" s="51" t="n"/>
      <c r="BM77" s="51" t="n"/>
    </row>
    <row r="78">
      <c r="A78" s="47">
        <f>IF(Mitarbeiter!B78="","",Mitarbeiter!A78)</f>
        <v/>
      </c>
      <c r="B78" s="48">
        <f>IF(Mitarbeiter!B78="","",Mitarbeiter!B78)</f>
        <v/>
      </c>
      <c r="C78" s="37">
        <f>IF(Mitarbeiter!B78="","",N(INDEX($F78:$BM78,1,(Einstellungen!$C$3-2026)*12+1))+N(INDEX($F78:$BM78,1,(Einstellungen!$C$3-2026)*12+2))+N(INDEX($F78:$BM78,1,(Einstellungen!$C$3-2026)*12+3))+N(INDEX($F78:$BM78,1,(Einstellungen!$C$3-2026)*12+4))+N(INDEX($F78:$BM78,1,(Einstellungen!$C$3-2026)*12+5))+N(INDEX($F78:$BM78,1,(Einstellungen!$C$3-2026)*12+6))+N(INDEX($F78:$BM78,1,(Einstellungen!$C$3-2026)*12+7))+N(INDEX($F78:$BM78,1,(Einstellungen!$C$3-2026)*12+8))+N(INDEX($F78:$BM78,1,(Einstellungen!$C$3-2026)*12+9))+N(INDEX($F78:$BM78,1,(Einstellungen!$C$3-2026)*12+10))+N(INDEX($F78:$BM78,1,(Einstellungen!$C$3-2026)*12+11))+N(INDEX($F78:$BM78,1,(Einstellungen!$C$3-2026)*12+12)))</f>
        <v/>
      </c>
      <c r="D78" s="37">
        <f>IF(Mitarbeiter!B78="","",SUM(F78:BM78))</f>
        <v/>
      </c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  <c r="Y78" s="51" t="n"/>
      <c r="Z78" s="51" t="n"/>
      <c r="AA78" s="51" t="n"/>
      <c r="AB78" s="51" t="n"/>
      <c r="AC78" s="51" t="n"/>
      <c r="AD78" s="51" t="n"/>
      <c r="AE78" s="51" t="n"/>
      <c r="AF78" s="51" t="n"/>
      <c r="AG78" s="51" t="n"/>
      <c r="AH78" s="51" t="n"/>
      <c r="AI78" s="51" t="n"/>
      <c r="AJ78" s="51" t="n"/>
      <c r="AK78" s="51" t="n"/>
      <c r="AL78" s="51" t="n"/>
      <c r="AM78" s="51" t="n"/>
      <c r="AN78" s="51" t="n"/>
      <c r="AO78" s="51" t="n"/>
      <c r="AP78" s="51" t="n"/>
      <c r="AQ78" s="51" t="n"/>
      <c r="AR78" s="51" t="n"/>
      <c r="AS78" s="51" t="n"/>
      <c r="AT78" s="51" t="n"/>
      <c r="AU78" s="51" t="n"/>
      <c r="AV78" s="51" t="n"/>
      <c r="AW78" s="51" t="n"/>
      <c r="AX78" s="51" t="n"/>
      <c r="AY78" s="51" t="n"/>
      <c r="AZ78" s="51" t="n"/>
      <c r="BA78" s="51" t="n"/>
      <c r="BB78" s="51" t="n"/>
      <c r="BC78" s="51" t="n"/>
      <c r="BD78" s="51" t="n"/>
      <c r="BE78" s="51" t="n"/>
      <c r="BF78" s="51" t="n"/>
      <c r="BG78" s="51" t="n"/>
      <c r="BH78" s="51" t="n"/>
      <c r="BI78" s="51" t="n"/>
      <c r="BJ78" s="51" t="n"/>
      <c r="BK78" s="51" t="n"/>
      <c r="BL78" s="51" t="n"/>
      <c r="BM78" s="51" t="n"/>
    </row>
    <row r="79">
      <c r="A79" s="47">
        <f>IF(Mitarbeiter!B79="","",Mitarbeiter!A79)</f>
        <v/>
      </c>
      <c r="B79" s="48">
        <f>IF(Mitarbeiter!B79="","",Mitarbeiter!B79)</f>
        <v/>
      </c>
      <c r="C79" s="37">
        <f>IF(Mitarbeiter!B79="","",N(INDEX($F79:$BM79,1,(Einstellungen!$C$3-2026)*12+1))+N(INDEX($F79:$BM79,1,(Einstellungen!$C$3-2026)*12+2))+N(INDEX($F79:$BM79,1,(Einstellungen!$C$3-2026)*12+3))+N(INDEX($F79:$BM79,1,(Einstellungen!$C$3-2026)*12+4))+N(INDEX($F79:$BM79,1,(Einstellungen!$C$3-2026)*12+5))+N(INDEX($F79:$BM79,1,(Einstellungen!$C$3-2026)*12+6))+N(INDEX($F79:$BM79,1,(Einstellungen!$C$3-2026)*12+7))+N(INDEX($F79:$BM79,1,(Einstellungen!$C$3-2026)*12+8))+N(INDEX($F79:$BM79,1,(Einstellungen!$C$3-2026)*12+9))+N(INDEX($F79:$BM79,1,(Einstellungen!$C$3-2026)*12+10))+N(INDEX($F79:$BM79,1,(Einstellungen!$C$3-2026)*12+11))+N(INDEX($F79:$BM79,1,(Einstellungen!$C$3-2026)*12+12)))</f>
        <v/>
      </c>
      <c r="D79" s="37">
        <f>IF(Mitarbeiter!B79="","",SUM(F79:BM79))</f>
        <v/>
      </c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  <c r="AA79" s="51" t="n"/>
      <c r="AB79" s="51" t="n"/>
      <c r="AC79" s="51" t="n"/>
      <c r="AD79" s="51" t="n"/>
      <c r="AE79" s="51" t="n"/>
      <c r="AF79" s="51" t="n"/>
      <c r="AG79" s="51" t="n"/>
      <c r="AH79" s="51" t="n"/>
      <c r="AI79" s="51" t="n"/>
      <c r="AJ79" s="51" t="n"/>
      <c r="AK79" s="51" t="n"/>
      <c r="AL79" s="51" t="n"/>
      <c r="AM79" s="51" t="n"/>
      <c r="AN79" s="51" t="n"/>
      <c r="AO79" s="51" t="n"/>
      <c r="AP79" s="51" t="n"/>
      <c r="AQ79" s="51" t="n"/>
      <c r="AR79" s="51" t="n"/>
      <c r="AS79" s="51" t="n"/>
      <c r="AT79" s="51" t="n"/>
      <c r="AU79" s="51" t="n"/>
      <c r="AV79" s="51" t="n"/>
      <c r="AW79" s="51" t="n"/>
      <c r="AX79" s="51" t="n"/>
      <c r="AY79" s="51" t="n"/>
      <c r="AZ79" s="51" t="n"/>
      <c r="BA79" s="51" t="n"/>
      <c r="BB79" s="51" t="n"/>
      <c r="BC79" s="51" t="n"/>
      <c r="BD79" s="51" t="n"/>
      <c r="BE79" s="51" t="n"/>
      <c r="BF79" s="51" t="n"/>
      <c r="BG79" s="51" t="n"/>
      <c r="BH79" s="51" t="n"/>
      <c r="BI79" s="51" t="n"/>
      <c r="BJ79" s="51" t="n"/>
      <c r="BK79" s="51" t="n"/>
      <c r="BL79" s="51" t="n"/>
      <c r="BM79" s="51" t="n"/>
    </row>
    <row r="80">
      <c r="A80" s="47">
        <f>IF(Mitarbeiter!B80="","",Mitarbeiter!A80)</f>
        <v/>
      </c>
      <c r="B80" s="48">
        <f>IF(Mitarbeiter!B80="","",Mitarbeiter!B80)</f>
        <v/>
      </c>
      <c r="C80" s="37">
        <f>IF(Mitarbeiter!B80="","",N(INDEX($F80:$BM80,1,(Einstellungen!$C$3-2026)*12+1))+N(INDEX($F80:$BM80,1,(Einstellungen!$C$3-2026)*12+2))+N(INDEX($F80:$BM80,1,(Einstellungen!$C$3-2026)*12+3))+N(INDEX($F80:$BM80,1,(Einstellungen!$C$3-2026)*12+4))+N(INDEX($F80:$BM80,1,(Einstellungen!$C$3-2026)*12+5))+N(INDEX($F80:$BM80,1,(Einstellungen!$C$3-2026)*12+6))+N(INDEX($F80:$BM80,1,(Einstellungen!$C$3-2026)*12+7))+N(INDEX($F80:$BM80,1,(Einstellungen!$C$3-2026)*12+8))+N(INDEX($F80:$BM80,1,(Einstellungen!$C$3-2026)*12+9))+N(INDEX($F80:$BM80,1,(Einstellungen!$C$3-2026)*12+10))+N(INDEX($F80:$BM80,1,(Einstellungen!$C$3-2026)*12+11))+N(INDEX($F80:$BM80,1,(Einstellungen!$C$3-2026)*12+12)))</f>
        <v/>
      </c>
      <c r="D80" s="37">
        <f>IF(Mitarbeiter!B80="","",SUM(F80:BM80))</f>
        <v/>
      </c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  <c r="AA80" s="51" t="n"/>
      <c r="AB80" s="51" t="n"/>
      <c r="AC80" s="51" t="n"/>
      <c r="AD80" s="51" t="n"/>
      <c r="AE80" s="51" t="n"/>
      <c r="AF80" s="51" t="n"/>
      <c r="AG80" s="51" t="n"/>
      <c r="AH80" s="51" t="n"/>
      <c r="AI80" s="51" t="n"/>
      <c r="AJ80" s="51" t="n"/>
      <c r="AK80" s="51" t="n"/>
      <c r="AL80" s="51" t="n"/>
      <c r="AM80" s="51" t="n"/>
      <c r="AN80" s="51" t="n"/>
      <c r="AO80" s="51" t="n"/>
      <c r="AP80" s="51" t="n"/>
      <c r="AQ80" s="51" t="n"/>
      <c r="AR80" s="51" t="n"/>
      <c r="AS80" s="51" t="n"/>
      <c r="AT80" s="51" t="n"/>
      <c r="AU80" s="51" t="n"/>
      <c r="AV80" s="51" t="n"/>
      <c r="AW80" s="51" t="n"/>
      <c r="AX80" s="51" t="n"/>
      <c r="AY80" s="51" t="n"/>
      <c r="AZ80" s="51" t="n"/>
      <c r="BA80" s="51" t="n"/>
      <c r="BB80" s="51" t="n"/>
      <c r="BC80" s="51" t="n"/>
      <c r="BD80" s="51" t="n"/>
      <c r="BE80" s="51" t="n"/>
      <c r="BF80" s="51" t="n"/>
      <c r="BG80" s="51" t="n"/>
      <c r="BH80" s="51" t="n"/>
      <c r="BI80" s="51" t="n"/>
      <c r="BJ80" s="51" t="n"/>
      <c r="BK80" s="51" t="n"/>
      <c r="BL80" s="51" t="n"/>
      <c r="BM80" s="51" t="n"/>
    </row>
    <row r="81">
      <c r="A81" s="47">
        <f>IF(Mitarbeiter!B81="","",Mitarbeiter!A81)</f>
        <v/>
      </c>
      <c r="B81" s="48">
        <f>IF(Mitarbeiter!B81="","",Mitarbeiter!B81)</f>
        <v/>
      </c>
      <c r="C81" s="37">
        <f>IF(Mitarbeiter!B81="","",N(INDEX($F81:$BM81,1,(Einstellungen!$C$3-2026)*12+1))+N(INDEX($F81:$BM81,1,(Einstellungen!$C$3-2026)*12+2))+N(INDEX($F81:$BM81,1,(Einstellungen!$C$3-2026)*12+3))+N(INDEX($F81:$BM81,1,(Einstellungen!$C$3-2026)*12+4))+N(INDEX($F81:$BM81,1,(Einstellungen!$C$3-2026)*12+5))+N(INDEX($F81:$BM81,1,(Einstellungen!$C$3-2026)*12+6))+N(INDEX($F81:$BM81,1,(Einstellungen!$C$3-2026)*12+7))+N(INDEX($F81:$BM81,1,(Einstellungen!$C$3-2026)*12+8))+N(INDEX($F81:$BM81,1,(Einstellungen!$C$3-2026)*12+9))+N(INDEX($F81:$BM81,1,(Einstellungen!$C$3-2026)*12+10))+N(INDEX($F81:$BM81,1,(Einstellungen!$C$3-2026)*12+11))+N(INDEX($F81:$BM81,1,(Einstellungen!$C$3-2026)*12+12)))</f>
        <v/>
      </c>
      <c r="D81" s="37">
        <f>IF(Mitarbeiter!B81="","",SUM(F81:BM81))</f>
        <v/>
      </c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1" t="n"/>
      <c r="AH81" s="51" t="n"/>
      <c r="AI81" s="51" t="n"/>
      <c r="AJ81" s="51" t="n"/>
      <c r="AK81" s="51" t="n"/>
      <c r="AL81" s="51" t="n"/>
      <c r="AM81" s="51" t="n"/>
      <c r="AN81" s="51" t="n"/>
      <c r="AO81" s="51" t="n"/>
      <c r="AP81" s="51" t="n"/>
      <c r="AQ81" s="51" t="n"/>
      <c r="AR81" s="51" t="n"/>
      <c r="AS81" s="51" t="n"/>
      <c r="AT81" s="51" t="n"/>
      <c r="AU81" s="51" t="n"/>
      <c r="AV81" s="51" t="n"/>
      <c r="AW81" s="51" t="n"/>
      <c r="AX81" s="51" t="n"/>
      <c r="AY81" s="51" t="n"/>
      <c r="AZ81" s="51" t="n"/>
      <c r="BA81" s="51" t="n"/>
      <c r="BB81" s="51" t="n"/>
      <c r="BC81" s="51" t="n"/>
      <c r="BD81" s="51" t="n"/>
      <c r="BE81" s="51" t="n"/>
      <c r="BF81" s="51" t="n"/>
      <c r="BG81" s="51" t="n"/>
      <c r="BH81" s="51" t="n"/>
      <c r="BI81" s="51" t="n"/>
      <c r="BJ81" s="51" t="n"/>
      <c r="BK81" s="51" t="n"/>
      <c r="BL81" s="51" t="n"/>
      <c r="BM81" s="51" t="n"/>
    </row>
    <row r="82">
      <c r="A82" s="47">
        <f>IF(Mitarbeiter!B82="","",Mitarbeiter!A82)</f>
        <v/>
      </c>
      <c r="B82" s="48">
        <f>IF(Mitarbeiter!B82="","",Mitarbeiter!B82)</f>
        <v/>
      </c>
      <c r="C82" s="37">
        <f>IF(Mitarbeiter!B82="","",N(INDEX($F82:$BM82,1,(Einstellungen!$C$3-2026)*12+1))+N(INDEX($F82:$BM82,1,(Einstellungen!$C$3-2026)*12+2))+N(INDEX($F82:$BM82,1,(Einstellungen!$C$3-2026)*12+3))+N(INDEX($F82:$BM82,1,(Einstellungen!$C$3-2026)*12+4))+N(INDEX($F82:$BM82,1,(Einstellungen!$C$3-2026)*12+5))+N(INDEX($F82:$BM82,1,(Einstellungen!$C$3-2026)*12+6))+N(INDEX($F82:$BM82,1,(Einstellungen!$C$3-2026)*12+7))+N(INDEX($F82:$BM82,1,(Einstellungen!$C$3-2026)*12+8))+N(INDEX($F82:$BM82,1,(Einstellungen!$C$3-2026)*12+9))+N(INDEX($F82:$BM82,1,(Einstellungen!$C$3-2026)*12+10))+N(INDEX($F82:$BM82,1,(Einstellungen!$C$3-2026)*12+11))+N(INDEX($F82:$BM82,1,(Einstellungen!$C$3-2026)*12+12)))</f>
        <v/>
      </c>
      <c r="D82" s="37">
        <f>IF(Mitarbeiter!B82="","",SUM(F82:BM82))</f>
        <v/>
      </c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1" t="n"/>
      <c r="AH82" s="51" t="n"/>
      <c r="AI82" s="51" t="n"/>
      <c r="AJ82" s="51" t="n"/>
      <c r="AK82" s="51" t="n"/>
      <c r="AL82" s="51" t="n"/>
      <c r="AM82" s="51" t="n"/>
      <c r="AN82" s="51" t="n"/>
      <c r="AO82" s="51" t="n"/>
      <c r="AP82" s="51" t="n"/>
      <c r="AQ82" s="51" t="n"/>
      <c r="AR82" s="51" t="n"/>
      <c r="AS82" s="51" t="n"/>
      <c r="AT82" s="51" t="n"/>
      <c r="AU82" s="51" t="n"/>
      <c r="AV82" s="51" t="n"/>
      <c r="AW82" s="51" t="n"/>
      <c r="AX82" s="51" t="n"/>
      <c r="AY82" s="51" t="n"/>
      <c r="AZ82" s="51" t="n"/>
      <c r="BA82" s="51" t="n"/>
      <c r="BB82" s="51" t="n"/>
      <c r="BC82" s="51" t="n"/>
      <c r="BD82" s="51" t="n"/>
      <c r="BE82" s="51" t="n"/>
      <c r="BF82" s="51" t="n"/>
      <c r="BG82" s="51" t="n"/>
      <c r="BH82" s="51" t="n"/>
      <c r="BI82" s="51" t="n"/>
      <c r="BJ82" s="51" t="n"/>
      <c r="BK82" s="51" t="n"/>
      <c r="BL82" s="51" t="n"/>
      <c r="BM82" s="51" t="n"/>
    </row>
    <row r="83">
      <c r="A83" s="47">
        <f>IF(Mitarbeiter!B83="","",Mitarbeiter!A83)</f>
        <v/>
      </c>
      <c r="B83" s="48">
        <f>IF(Mitarbeiter!B83="","",Mitarbeiter!B83)</f>
        <v/>
      </c>
      <c r="C83" s="37">
        <f>IF(Mitarbeiter!B83="","",N(INDEX($F83:$BM83,1,(Einstellungen!$C$3-2026)*12+1))+N(INDEX($F83:$BM83,1,(Einstellungen!$C$3-2026)*12+2))+N(INDEX($F83:$BM83,1,(Einstellungen!$C$3-2026)*12+3))+N(INDEX($F83:$BM83,1,(Einstellungen!$C$3-2026)*12+4))+N(INDEX($F83:$BM83,1,(Einstellungen!$C$3-2026)*12+5))+N(INDEX($F83:$BM83,1,(Einstellungen!$C$3-2026)*12+6))+N(INDEX($F83:$BM83,1,(Einstellungen!$C$3-2026)*12+7))+N(INDEX($F83:$BM83,1,(Einstellungen!$C$3-2026)*12+8))+N(INDEX($F83:$BM83,1,(Einstellungen!$C$3-2026)*12+9))+N(INDEX($F83:$BM83,1,(Einstellungen!$C$3-2026)*12+10))+N(INDEX($F83:$BM83,1,(Einstellungen!$C$3-2026)*12+11))+N(INDEX($F83:$BM83,1,(Einstellungen!$C$3-2026)*12+12)))</f>
        <v/>
      </c>
      <c r="D83" s="37">
        <f>IF(Mitarbeiter!B83="","",SUM(F83:BM83))</f>
        <v/>
      </c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1" t="n"/>
      <c r="AH83" s="51" t="n"/>
      <c r="AI83" s="51" t="n"/>
      <c r="AJ83" s="51" t="n"/>
      <c r="AK83" s="51" t="n"/>
      <c r="AL83" s="51" t="n"/>
      <c r="AM83" s="51" t="n"/>
      <c r="AN83" s="51" t="n"/>
      <c r="AO83" s="51" t="n"/>
      <c r="AP83" s="51" t="n"/>
      <c r="AQ83" s="51" t="n"/>
      <c r="AR83" s="51" t="n"/>
      <c r="AS83" s="51" t="n"/>
      <c r="AT83" s="51" t="n"/>
      <c r="AU83" s="51" t="n"/>
      <c r="AV83" s="51" t="n"/>
      <c r="AW83" s="51" t="n"/>
      <c r="AX83" s="51" t="n"/>
      <c r="AY83" s="51" t="n"/>
      <c r="AZ83" s="51" t="n"/>
      <c r="BA83" s="51" t="n"/>
      <c r="BB83" s="51" t="n"/>
      <c r="BC83" s="51" t="n"/>
      <c r="BD83" s="51" t="n"/>
      <c r="BE83" s="51" t="n"/>
      <c r="BF83" s="51" t="n"/>
      <c r="BG83" s="51" t="n"/>
      <c r="BH83" s="51" t="n"/>
      <c r="BI83" s="51" t="n"/>
      <c r="BJ83" s="51" t="n"/>
      <c r="BK83" s="51" t="n"/>
      <c r="BL83" s="51" t="n"/>
      <c r="BM83" s="51" t="n"/>
    </row>
    <row r="84">
      <c r="A84" s="47">
        <f>IF(Mitarbeiter!B84="","",Mitarbeiter!A84)</f>
        <v/>
      </c>
      <c r="B84" s="48">
        <f>IF(Mitarbeiter!B84="","",Mitarbeiter!B84)</f>
        <v/>
      </c>
      <c r="C84" s="37">
        <f>IF(Mitarbeiter!B84="","",N(INDEX($F84:$BM84,1,(Einstellungen!$C$3-2026)*12+1))+N(INDEX($F84:$BM84,1,(Einstellungen!$C$3-2026)*12+2))+N(INDEX($F84:$BM84,1,(Einstellungen!$C$3-2026)*12+3))+N(INDEX($F84:$BM84,1,(Einstellungen!$C$3-2026)*12+4))+N(INDEX($F84:$BM84,1,(Einstellungen!$C$3-2026)*12+5))+N(INDEX($F84:$BM84,1,(Einstellungen!$C$3-2026)*12+6))+N(INDEX($F84:$BM84,1,(Einstellungen!$C$3-2026)*12+7))+N(INDEX($F84:$BM84,1,(Einstellungen!$C$3-2026)*12+8))+N(INDEX($F84:$BM84,1,(Einstellungen!$C$3-2026)*12+9))+N(INDEX($F84:$BM84,1,(Einstellungen!$C$3-2026)*12+10))+N(INDEX($F84:$BM84,1,(Einstellungen!$C$3-2026)*12+11))+N(INDEX($F84:$BM84,1,(Einstellungen!$C$3-2026)*12+12)))</f>
        <v/>
      </c>
      <c r="D84" s="37">
        <f>IF(Mitarbeiter!B84="","",SUM(F84:BM84))</f>
        <v/>
      </c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1" t="n"/>
      <c r="AH84" s="51" t="n"/>
      <c r="AI84" s="51" t="n"/>
      <c r="AJ84" s="51" t="n"/>
      <c r="AK84" s="51" t="n"/>
      <c r="AL84" s="51" t="n"/>
      <c r="AM84" s="51" t="n"/>
      <c r="AN84" s="51" t="n"/>
      <c r="AO84" s="51" t="n"/>
      <c r="AP84" s="51" t="n"/>
      <c r="AQ84" s="51" t="n"/>
      <c r="AR84" s="51" t="n"/>
      <c r="AS84" s="51" t="n"/>
      <c r="AT84" s="51" t="n"/>
      <c r="AU84" s="51" t="n"/>
      <c r="AV84" s="51" t="n"/>
      <c r="AW84" s="51" t="n"/>
      <c r="AX84" s="51" t="n"/>
      <c r="AY84" s="51" t="n"/>
      <c r="AZ84" s="51" t="n"/>
      <c r="BA84" s="51" t="n"/>
      <c r="BB84" s="51" t="n"/>
      <c r="BC84" s="51" t="n"/>
      <c r="BD84" s="51" t="n"/>
      <c r="BE84" s="51" t="n"/>
      <c r="BF84" s="51" t="n"/>
      <c r="BG84" s="51" t="n"/>
      <c r="BH84" s="51" t="n"/>
      <c r="BI84" s="51" t="n"/>
      <c r="BJ84" s="51" t="n"/>
      <c r="BK84" s="51" t="n"/>
      <c r="BL84" s="51" t="n"/>
      <c r="BM84" s="51" t="n"/>
    </row>
    <row r="85">
      <c r="A85" s="47">
        <f>IF(Mitarbeiter!B85="","",Mitarbeiter!A85)</f>
        <v/>
      </c>
      <c r="B85" s="48">
        <f>IF(Mitarbeiter!B85="","",Mitarbeiter!B85)</f>
        <v/>
      </c>
      <c r="C85" s="37">
        <f>IF(Mitarbeiter!B85="","",N(INDEX($F85:$BM85,1,(Einstellungen!$C$3-2026)*12+1))+N(INDEX($F85:$BM85,1,(Einstellungen!$C$3-2026)*12+2))+N(INDEX($F85:$BM85,1,(Einstellungen!$C$3-2026)*12+3))+N(INDEX($F85:$BM85,1,(Einstellungen!$C$3-2026)*12+4))+N(INDEX($F85:$BM85,1,(Einstellungen!$C$3-2026)*12+5))+N(INDEX($F85:$BM85,1,(Einstellungen!$C$3-2026)*12+6))+N(INDEX($F85:$BM85,1,(Einstellungen!$C$3-2026)*12+7))+N(INDEX($F85:$BM85,1,(Einstellungen!$C$3-2026)*12+8))+N(INDEX($F85:$BM85,1,(Einstellungen!$C$3-2026)*12+9))+N(INDEX($F85:$BM85,1,(Einstellungen!$C$3-2026)*12+10))+N(INDEX($F85:$BM85,1,(Einstellungen!$C$3-2026)*12+11))+N(INDEX($F85:$BM85,1,(Einstellungen!$C$3-2026)*12+12)))</f>
        <v/>
      </c>
      <c r="D85" s="37">
        <f>IF(Mitarbeiter!B85="","",SUM(F85:BM85))</f>
        <v/>
      </c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1" t="n"/>
      <c r="AH85" s="51" t="n"/>
      <c r="AI85" s="51" t="n"/>
      <c r="AJ85" s="51" t="n"/>
      <c r="AK85" s="51" t="n"/>
      <c r="AL85" s="51" t="n"/>
      <c r="AM85" s="51" t="n"/>
      <c r="AN85" s="51" t="n"/>
      <c r="AO85" s="51" t="n"/>
      <c r="AP85" s="51" t="n"/>
      <c r="AQ85" s="51" t="n"/>
      <c r="AR85" s="51" t="n"/>
      <c r="AS85" s="51" t="n"/>
      <c r="AT85" s="51" t="n"/>
      <c r="AU85" s="51" t="n"/>
      <c r="AV85" s="51" t="n"/>
      <c r="AW85" s="51" t="n"/>
      <c r="AX85" s="51" t="n"/>
      <c r="AY85" s="51" t="n"/>
      <c r="AZ85" s="51" t="n"/>
      <c r="BA85" s="51" t="n"/>
      <c r="BB85" s="51" t="n"/>
      <c r="BC85" s="51" t="n"/>
      <c r="BD85" s="51" t="n"/>
      <c r="BE85" s="51" t="n"/>
      <c r="BF85" s="51" t="n"/>
      <c r="BG85" s="51" t="n"/>
      <c r="BH85" s="51" t="n"/>
      <c r="BI85" s="51" t="n"/>
      <c r="BJ85" s="51" t="n"/>
      <c r="BK85" s="51" t="n"/>
      <c r="BL85" s="51" t="n"/>
      <c r="BM85" s="51" t="n"/>
    </row>
    <row r="86">
      <c r="A86" s="47">
        <f>IF(Mitarbeiter!B86="","",Mitarbeiter!A86)</f>
        <v/>
      </c>
      <c r="B86" s="48">
        <f>IF(Mitarbeiter!B86="","",Mitarbeiter!B86)</f>
        <v/>
      </c>
      <c r="C86" s="37">
        <f>IF(Mitarbeiter!B86="","",N(INDEX($F86:$BM86,1,(Einstellungen!$C$3-2026)*12+1))+N(INDEX($F86:$BM86,1,(Einstellungen!$C$3-2026)*12+2))+N(INDEX($F86:$BM86,1,(Einstellungen!$C$3-2026)*12+3))+N(INDEX($F86:$BM86,1,(Einstellungen!$C$3-2026)*12+4))+N(INDEX($F86:$BM86,1,(Einstellungen!$C$3-2026)*12+5))+N(INDEX($F86:$BM86,1,(Einstellungen!$C$3-2026)*12+6))+N(INDEX($F86:$BM86,1,(Einstellungen!$C$3-2026)*12+7))+N(INDEX($F86:$BM86,1,(Einstellungen!$C$3-2026)*12+8))+N(INDEX($F86:$BM86,1,(Einstellungen!$C$3-2026)*12+9))+N(INDEX($F86:$BM86,1,(Einstellungen!$C$3-2026)*12+10))+N(INDEX($F86:$BM86,1,(Einstellungen!$C$3-2026)*12+11))+N(INDEX($F86:$BM86,1,(Einstellungen!$C$3-2026)*12+12)))</f>
        <v/>
      </c>
      <c r="D86" s="37">
        <f>IF(Mitarbeiter!B86="","",SUM(F86:BM86))</f>
        <v/>
      </c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/>
      <c r="AG86" s="51" t="n"/>
      <c r="AH86" s="51" t="n"/>
      <c r="AI86" s="51" t="n"/>
      <c r="AJ86" s="51" t="n"/>
      <c r="AK86" s="51" t="n"/>
      <c r="AL86" s="51" t="n"/>
      <c r="AM86" s="51" t="n"/>
      <c r="AN86" s="51" t="n"/>
      <c r="AO86" s="51" t="n"/>
      <c r="AP86" s="51" t="n"/>
      <c r="AQ86" s="51" t="n"/>
      <c r="AR86" s="51" t="n"/>
      <c r="AS86" s="51" t="n"/>
      <c r="AT86" s="51" t="n"/>
      <c r="AU86" s="51" t="n"/>
      <c r="AV86" s="51" t="n"/>
      <c r="AW86" s="51" t="n"/>
      <c r="AX86" s="51" t="n"/>
      <c r="AY86" s="51" t="n"/>
      <c r="AZ86" s="51" t="n"/>
      <c r="BA86" s="51" t="n"/>
      <c r="BB86" s="51" t="n"/>
      <c r="BC86" s="51" t="n"/>
      <c r="BD86" s="51" t="n"/>
      <c r="BE86" s="51" t="n"/>
      <c r="BF86" s="51" t="n"/>
      <c r="BG86" s="51" t="n"/>
      <c r="BH86" s="51" t="n"/>
      <c r="BI86" s="51" t="n"/>
      <c r="BJ86" s="51" t="n"/>
      <c r="BK86" s="51" t="n"/>
      <c r="BL86" s="51" t="n"/>
      <c r="BM86" s="51" t="n"/>
    </row>
    <row r="87">
      <c r="A87" s="47">
        <f>IF(Mitarbeiter!B87="","",Mitarbeiter!A87)</f>
        <v/>
      </c>
      <c r="B87" s="48">
        <f>IF(Mitarbeiter!B87="","",Mitarbeiter!B87)</f>
        <v/>
      </c>
      <c r="C87" s="37">
        <f>IF(Mitarbeiter!B87="","",N(INDEX($F87:$BM87,1,(Einstellungen!$C$3-2026)*12+1))+N(INDEX($F87:$BM87,1,(Einstellungen!$C$3-2026)*12+2))+N(INDEX($F87:$BM87,1,(Einstellungen!$C$3-2026)*12+3))+N(INDEX($F87:$BM87,1,(Einstellungen!$C$3-2026)*12+4))+N(INDEX($F87:$BM87,1,(Einstellungen!$C$3-2026)*12+5))+N(INDEX($F87:$BM87,1,(Einstellungen!$C$3-2026)*12+6))+N(INDEX($F87:$BM87,1,(Einstellungen!$C$3-2026)*12+7))+N(INDEX($F87:$BM87,1,(Einstellungen!$C$3-2026)*12+8))+N(INDEX($F87:$BM87,1,(Einstellungen!$C$3-2026)*12+9))+N(INDEX($F87:$BM87,1,(Einstellungen!$C$3-2026)*12+10))+N(INDEX($F87:$BM87,1,(Einstellungen!$C$3-2026)*12+11))+N(INDEX($F87:$BM87,1,(Einstellungen!$C$3-2026)*12+12)))</f>
        <v/>
      </c>
      <c r="D87" s="37">
        <f>IF(Mitarbeiter!B87="","",SUM(F87:BM87))</f>
        <v/>
      </c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1" t="n"/>
      <c r="AH87" s="51" t="n"/>
      <c r="AI87" s="51" t="n"/>
      <c r="AJ87" s="51" t="n"/>
      <c r="AK87" s="51" t="n"/>
      <c r="AL87" s="51" t="n"/>
      <c r="AM87" s="51" t="n"/>
      <c r="AN87" s="51" t="n"/>
      <c r="AO87" s="51" t="n"/>
      <c r="AP87" s="51" t="n"/>
      <c r="AQ87" s="51" t="n"/>
      <c r="AR87" s="51" t="n"/>
      <c r="AS87" s="51" t="n"/>
      <c r="AT87" s="51" t="n"/>
      <c r="AU87" s="51" t="n"/>
      <c r="AV87" s="51" t="n"/>
      <c r="AW87" s="51" t="n"/>
      <c r="AX87" s="51" t="n"/>
      <c r="AY87" s="51" t="n"/>
      <c r="AZ87" s="51" t="n"/>
      <c r="BA87" s="51" t="n"/>
      <c r="BB87" s="51" t="n"/>
      <c r="BC87" s="51" t="n"/>
      <c r="BD87" s="51" t="n"/>
      <c r="BE87" s="51" t="n"/>
      <c r="BF87" s="51" t="n"/>
      <c r="BG87" s="51" t="n"/>
      <c r="BH87" s="51" t="n"/>
      <c r="BI87" s="51" t="n"/>
      <c r="BJ87" s="51" t="n"/>
      <c r="BK87" s="51" t="n"/>
      <c r="BL87" s="51" t="n"/>
      <c r="BM87" s="51" t="n"/>
    </row>
    <row r="88">
      <c r="A88" s="47">
        <f>IF(Mitarbeiter!B88="","",Mitarbeiter!A88)</f>
        <v/>
      </c>
      <c r="B88" s="48">
        <f>IF(Mitarbeiter!B88="","",Mitarbeiter!B88)</f>
        <v/>
      </c>
      <c r="C88" s="37">
        <f>IF(Mitarbeiter!B88="","",N(INDEX($F88:$BM88,1,(Einstellungen!$C$3-2026)*12+1))+N(INDEX($F88:$BM88,1,(Einstellungen!$C$3-2026)*12+2))+N(INDEX($F88:$BM88,1,(Einstellungen!$C$3-2026)*12+3))+N(INDEX($F88:$BM88,1,(Einstellungen!$C$3-2026)*12+4))+N(INDEX($F88:$BM88,1,(Einstellungen!$C$3-2026)*12+5))+N(INDEX($F88:$BM88,1,(Einstellungen!$C$3-2026)*12+6))+N(INDEX($F88:$BM88,1,(Einstellungen!$C$3-2026)*12+7))+N(INDEX($F88:$BM88,1,(Einstellungen!$C$3-2026)*12+8))+N(INDEX($F88:$BM88,1,(Einstellungen!$C$3-2026)*12+9))+N(INDEX($F88:$BM88,1,(Einstellungen!$C$3-2026)*12+10))+N(INDEX($F88:$BM88,1,(Einstellungen!$C$3-2026)*12+11))+N(INDEX($F88:$BM88,1,(Einstellungen!$C$3-2026)*12+12)))</f>
        <v/>
      </c>
      <c r="D88" s="37">
        <f>IF(Mitarbeiter!B88="","",SUM(F88:BM88))</f>
        <v/>
      </c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1" t="n"/>
      <c r="AH88" s="51" t="n"/>
      <c r="AI88" s="51" t="n"/>
      <c r="AJ88" s="51" t="n"/>
      <c r="AK88" s="51" t="n"/>
      <c r="AL88" s="51" t="n"/>
      <c r="AM88" s="51" t="n"/>
      <c r="AN88" s="51" t="n"/>
      <c r="AO88" s="51" t="n"/>
      <c r="AP88" s="51" t="n"/>
      <c r="AQ88" s="51" t="n"/>
      <c r="AR88" s="51" t="n"/>
      <c r="AS88" s="51" t="n"/>
      <c r="AT88" s="51" t="n"/>
      <c r="AU88" s="51" t="n"/>
      <c r="AV88" s="51" t="n"/>
      <c r="AW88" s="51" t="n"/>
      <c r="AX88" s="51" t="n"/>
      <c r="AY88" s="51" t="n"/>
      <c r="AZ88" s="51" t="n"/>
      <c r="BA88" s="51" t="n"/>
      <c r="BB88" s="51" t="n"/>
      <c r="BC88" s="51" t="n"/>
      <c r="BD88" s="51" t="n"/>
      <c r="BE88" s="51" t="n"/>
      <c r="BF88" s="51" t="n"/>
      <c r="BG88" s="51" t="n"/>
      <c r="BH88" s="51" t="n"/>
      <c r="BI88" s="51" t="n"/>
      <c r="BJ88" s="51" t="n"/>
      <c r="BK88" s="51" t="n"/>
      <c r="BL88" s="51" t="n"/>
      <c r="BM88" s="51" t="n"/>
    </row>
    <row r="89">
      <c r="A89" s="47">
        <f>IF(Mitarbeiter!B89="","",Mitarbeiter!A89)</f>
        <v/>
      </c>
      <c r="B89" s="48">
        <f>IF(Mitarbeiter!B89="","",Mitarbeiter!B89)</f>
        <v/>
      </c>
      <c r="C89" s="37">
        <f>IF(Mitarbeiter!B89="","",N(INDEX($F89:$BM89,1,(Einstellungen!$C$3-2026)*12+1))+N(INDEX($F89:$BM89,1,(Einstellungen!$C$3-2026)*12+2))+N(INDEX($F89:$BM89,1,(Einstellungen!$C$3-2026)*12+3))+N(INDEX($F89:$BM89,1,(Einstellungen!$C$3-2026)*12+4))+N(INDEX($F89:$BM89,1,(Einstellungen!$C$3-2026)*12+5))+N(INDEX($F89:$BM89,1,(Einstellungen!$C$3-2026)*12+6))+N(INDEX($F89:$BM89,1,(Einstellungen!$C$3-2026)*12+7))+N(INDEX($F89:$BM89,1,(Einstellungen!$C$3-2026)*12+8))+N(INDEX($F89:$BM89,1,(Einstellungen!$C$3-2026)*12+9))+N(INDEX($F89:$BM89,1,(Einstellungen!$C$3-2026)*12+10))+N(INDEX($F89:$BM89,1,(Einstellungen!$C$3-2026)*12+11))+N(INDEX($F89:$BM89,1,(Einstellungen!$C$3-2026)*12+12)))</f>
        <v/>
      </c>
      <c r="D89" s="37">
        <f>IF(Mitarbeiter!B89="","",SUM(F89:BM89))</f>
        <v/>
      </c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1" t="n"/>
      <c r="AH89" s="51" t="n"/>
      <c r="AI89" s="51" t="n"/>
      <c r="AJ89" s="51" t="n"/>
      <c r="AK89" s="51" t="n"/>
      <c r="AL89" s="51" t="n"/>
      <c r="AM89" s="51" t="n"/>
      <c r="AN89" s="51" t="n"/>
      <c r="AO89" s="51" t="n"/>
      <c r="AP89" s="51" t="n"/>
      <c r="AQ89" s="51" t="n"/>
      <c r="AR89" s="51" t="n"/>
      <c r="AS89" s="51" t="n"/>
      <c r="AT89" s="51" t="n"/>
      <c r="AU89" s="51" t="n"/>
      <c r="AV89" s="51" t="n"/>
      <c r="AW89" s="51" t="n"/>
      <c r="AX89" s="51" t="n"/>
      <c r="AY89" s="51" t="n"/>
      <c r="AZ89" s="51" t="n"/>
      <c r="BA89" s="51" t="n"/>
      <c r="BB89" s="51" t="n"/>
      <c r="BC89" s="51" t="n"/>
      <c r="BD89" s="51" t="n"/>
      <c r="BE89" s="51" t="n"/>
      <c r="BF89" s="51" t="n"/>
      <c r="BG89" s="51" t="n"/>
      <c r="BH89" s="51" t="n"/>
      <c r="BI89" s="51" t="n"/>
      <c r="BJ89" s="51" t="n"/>
      <c r="BK89" s="51" t="n"/>
      <c r="BL89" s="51" t="n"/>
      <c r="BM89" s="51" t="n"/>
    </row>
    <row r="90">
      <c r="A90" s="47">
        <f>IF(Mitarbeiter!B90="","",Mitarbeiter!A90)</f>
        <v/>
      </c>
      <c r="B90" s="48">
        <f>IF(Mitarbeiter!B90="","",Mitarbeiter!B90)</f>
        <v/>
      </c>
      <c r="C90" s="37">
        <f>IF(Mitarbeiter!B90="","",N(INDEX($F90:$BM90,1,(Einstellungen!$C$3-2026)*12+1))+N(INDEX($F90:$BM90,1,(Einstellungen!$C$3-2026)*12+2))+N(INDEX($F90:$BM90,1,(Einstellungen!$C$3-2026)*12+3))+N(INDEX($F90:$BM90,1,(Einstellungen!$C$3-2026)*12+4))+N(INDEX($F90:$BM90,1,(Einstellungen!$C$3-2026)*12+5))+N(INDEX($F90:$BM90,1,(Einstellungen!$C$3-2026)*12+6))+N(INDEX($F90:$BM90,1,(Einstellungen!$C$3-2026)*12+7))+N(INDEX($F90:$BM90,1,(Einstellungen!$C$3-2026)*12+8))+N(INDEX($F90:$BM90,1,(Einstellungen!$C$3-2026)*12+9))+N(INDEX($F90:$BM90,1,(Einstellungen!$C$3-2026)*12+10))+N(INDEX($F90:$BM90,1,(Einstellungen!$C$3-2026)*12+11))+N(INDEX($F90:$BM90,1,(Einstellungen!$C$3-2026)*12+12)))</f>
        <v/>
      </c>
      <c r="D90" s="37">
        <f>IF(Mitarbeiter!B90="","",SUM(F90:BM90))</f>
        <v/>
      </c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1" t="n"/>
      <c r="AH90" s="51" t="n"/>
      <c r="AI90" s="51" t="n"/>
      <c r="AJ90" s="51" t="n"/>
      <c r="AK90" s="51" t="n"/>
      <c r="AL90" s="51" t="n"/>
      <c r="AM90" s="51" t="n"/>
      <c r="AN90" s="51" t="n"/>
      <c r="AO90" s="51" t="n"/>
      <c r="AP90" s="51" t="n"/>
      <c r="AQ90" s="51" t="n"/>
      <c r="AR90" s="51" t="n"/>
      <c r="AS90" s="51" t="n"/>
      <c r="AT90" s="51" t="n"/>
      <c r="AU90" s="51" t="n"/>
      <c r="AV90" s="51" t="n"/>
      <c r="AW90" s="51" t="n"/>
      <c r="AX90" s="51" t="n"/>
      <c r="AY90" s="51" t="n"/>
      <c r="AZ90" s="51" t="n"/>
      <c r="BA90" s="51" t="n"/>
      <c r="BB90" s="51" t="n"/>
      <c r="BC90" s="51" t="n"/>
      <c r="BD90" s="51" t="n"/>
      <c r="BE90" s="51" t="n"/>
      <c r="BF90" s="51" t="n"/>
      <c r="BG90" s="51" t="n"/>
      <c r="BH90" s="51" t="n"/>
      <c r="BI90" s="51" t="n"/>
      <c r="BJ90" s="51" t="n"/>
      <c r="BK90" s="51" t="n"/>
      <c r="BL90" s="51" t="n"/>
      <c r="BM90" s="51" t="n"/>
    </row>
    <row r="91">
      <c r="A91" s="47">
        <f>IF(Mitarbeiter!B91="","",Mitarbeiter!A91)</f>
        <v/>
      </c>
      <c r="B91" s="48">
        <f>IF(Mitarbeiter!B91="","",Mitarbeiter!B91)</f>
        <v/>
      </c>
      <c r="C91" s="37">
        <f>IF(Mitarbeiter!B91="","",N(INDEX($F91:$BM91,1,(Einstellungen!$C$3-2026)*12+1))+N(INDEX($F91:$BM91,1,(Einstellungen!$C$3-2026)*12+2))+N(INDEX($F91:$BM91,1,(Einstellungen!$C$3-2026)*12+3))+N(INDEX($F91:$BM91,1,(Einstellungen!$C$3-2026)*12+4))+N(INDEX($F91:$BM91,1,(Einstellungen!$C$3-2026)*12+5))+N(INDEX($F91:$BM91,1,(Einstellungen!$C$3-2026)*12+6))+N(INDEX($F91:$BM91,1,(Einstellungen!$C$3-2026)*12+7))+N(INDEX($F91:$BM91,1,(Einstellungen!$C$3-2026)*12+8))+N(INDEX($F91:$BM91,1,(Einstellungen!$C$3-2026)*12+9))+N(INDEX($F91:$BM91,1,(Einstellungen!$C$3-2026)*12+10))+N(INDEX($F91:$BM91,1,(Einstellungen!$C$3-2026)*12+11))+N(INDEX($F91:$BM91,1,(Einstellungen!$C$3-2026)*12+12)))</f>
        <v/>
      </c>
      <c r="D91" s="37">
        <f>IF(Mitarbeiter!B91="","",SUM(F91:BM91))</f>
        <v/>
      </c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1" t="n"/>
      <c r="AH91" s="51" t="n"/>
      <c r="AI91" s="51" t="n"/>
      <c r="AJ91" s="51" t="n"/>
      <c r="AK91" s="51" t="n"/>
      <c r="AL91" s="51" t="n"/>
      <c r="AM91" s="51" t="n"/>
      <c r="AN91" s="51" t="n"/>
      <c r="AO91" s="51" t="n"/>
      <c r="AP91" s="51" t="n"/>
      <c r="AQ91" s="51" t="n"/>
      <c r="AR91" s="51" t="n"/>
      <c r="AS91" s="51" t="n"/>
      <c r="AT91" s="51" t="n"/>
      <c r="AU91" s="51" t="n"/>
      <c r="AV91" s="51" t="n"/>
      <c r="AW91" s="51" t="n"/>
      <c r="AX91" s="51" t="n"/>
      <c r="AY91" s="51" t="n"/>
      <c r="AZ91" s="51" t="n"/>
      <c r="BA91" s="51" t="n"/>
      <c r="BB91" s="51" t="n"/>
      <c r="BC91" s="51" t="n"/>
      <c r="BD91" s="51" t="n"/>
      <c r="BE91" s="51" t="n"/>
      <c r="BF91" s="51" t="n"/>
      <c r="BG91" s="51" t="n"/>
      <c r="BH91" s="51" t="n"/>
      <c r="BI91" s="51" t="n"/>
      <c r="BJ91" s="51" t="n"/>
      <c r="BK91" s="51" t="n"/>
      <c r="BL91" s="51" t="n"/>
      <c r="BM91" s="51" t="n"/>
    </row>
    <row r="92">
      <c r="A92" s="47">
        <f>IF(Mitarbeiter!B92="","",Mitarbeiter!A92)</f>
        <v/>
      </c>
      <c r="B92" s="48">
        <f>IF(Mitarbeiter!B92="","",Mitarbeiter!B92)</f>
        <v/>
      </c>
      <c r="C92" s="37">
        <f>IF(Mitarbeiter!B92="","",N(INDEX($F92:$BM92,1,(Einstellungen!$C$3-2026)*12+1))+N(INDEX($F92:$BM92,1,(Einstellungen!$C$3-2026)*12+2))+N(INDEX($F92:$BM92,1,(Einstellungen!$C$3-2026)*12+3))+N(INDEX($F92:$BM92,1,(Einstellungen!$C$3-2026)*12+4))+N(INDEX($F92:$BM92,1,(Einstellungen!$C$3-2026)*12+5))+N(INDEX($F92:$BM92,1,(Einstellungen!$C$3-2026)*12+6))+N(INDEX($F92:$BM92,1,(Einstellungen!$C$3-2026)*12+7))+N(INDEX($F92:$BM92,1,(Einstellungen!$C$3-2026)*12+8))+N(INDEX($F92:$BM92,1,(Einstellungen!$C$3-2026)*12+9))+N(INDEX($F92:$BM92,1,(Einstellungen!$C$3-2026)*12+10))+N(INDEX($F92:$BM92,1,(Einstellungen!$C$3-2026)*12+11))+N(INDEX($F92:$BM92,1,(Einstellungen!$C$3-2026)*12+12)))</f>
        <v/>
      </c>
      <c r="D92" s="37">
        <f>IF(Mitarbeiter!B92="","",SUM(F92:BM92))</f>
        <v/>
      </c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1" t="n"/>
      <c r="AH92" s="51" t="n"/>
      <c r="AI92" s="51" t="n"/>
      <c r="AJ92" s="51" t="n"/>
      <c r="AK92" s="51" t="n"/>
      <c r="AL92" s="51" t="n"/>
      <c r="AM92" s="51" t="n"/>
      <c r="AN92" s="51" t="n"/>
      <c r="AO92" s="51" t="n"/>
      <c r="AP92" s="51" t="n"/>
      <c r="AQ92" s="51" t="n"/>
      <c r="AR92" s="51" t="n"/>
      <c r="AS92" s="51" t="n"/>
      <c r="AT92" s="51" t="n"/>
      <c r="AU92" s="51" t="n"/>
      <c r="AV92" s="51" t="n"/>
      <c r="AW92" s="51" t="n"/>
      <c r="AX92" s="51" t="n"/>
      <c r="AY92" s="51" t="n"/>
      <c r="AZ92" s="51" t="n"/>
      <c r="BA92" s="51" t="n"/>
      <c r="BB92" s="51" t="n"/>
      <c r="BC92" s="51" t="n"/>
      <c r="BD92" s="51" t="n"/>
      <c r="BE92" s="51" t="n"/>
      <c r="BF92" s="51" t="n"/>
      <c r="BG92" s="51" t="n"/>
      <c r="BH92" s="51" t="n"/>
      <c r="BI92" s="51" t="n"/>
      <c r="BJ92" s="51" t="n"/>
      <c r="BK92" s="51" t="n"/>
      <c r="BL92" s="51" t="n"/>
      <c r="BM92" s="51" t="n"/>
    </row>
    <row r="93">
      <c r="A93" s="47">
        <f>IF(Mitarbeiter!B93="","",Mitarbeiter!A93)</f>
        <v/>
      </c>
      <c r="B93" s="48">
        <f>IF(Mitarbeiter!B93="","",Mitarbeiter!B93)</f>
        <v/>
      </c>
      <c r="C93" s="37">
        <f>IF(Mitarbeiter!B93="","",N(INDEX($F93:$BM93,1,(Einstellungen!$C$3-2026)*12+1))+N(INDEX($F93:$BM93,1,(Einstellungen!$C$3-2026)*12+2))+N(INDEX($F93:$BM93,1,(Einstellungen!$C$3-2026)*12+3))+N(INDEX($F93:$BM93,1,(Einstellungen!$C$3-2026)*12+4))+N(INDEX($F93:$BM93,1,(Einstellungen!$C$3-2026)*12+5))+N(INDEX($F93:$BM93,1,(Einstellungen!$C$3-2026)*12+6))+N(INDEX($F93:$BM93,1,(Einstellungen!$C$3-2026)*12+7))+N(INDEX($F93:$BM93,1,(Einstellungen!$C$3-2026)*12+8))+N(INDEX($F93:$BM93,1,(Einstellungen!$C$3-2026)*12+9))+N(INDEX($F93:$BM93,1,(Einstellungen!$C$3-2026)*12+10))+N(INDEX($F93:$BM93,1,(Einstellungen!$C$3-2026)*12+11))+N(INDEX($F93:$BM93,1,(Einstellungen!$C$3-2026)*12+12)))</f>
        <v/>
      </c>
      <c r="D93" s="37">
        <f>IF(Mitarbeiter!B93="","",SUM(F93:BM93))</f>
        <v/>
      </c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1" t="n"/>
      <c r="AH93" s="51" t="n"/>
      <c r="AI93" s="51" t="n"/>
      <c r="AJ93" s="51" t="n"/>
      <c r="AK93" s="51" t="n"/>
      <c r="AL93" s="51" t="n"/>
      <c r="AM93" s="51" t="n"/>
      <c r="AN93" s="51" t="n"/>
      <c r="AO93" s="51" t="n"/>
      <c r="AP93" s="51" t="n"/>
      <c r="AQ93" s="51" t="n"/>
      <c r="AR93" s="51" t="n"/>
      <c r="AS93" s="51" t="n"/>
      <c r="AT93" s="51" t="n"/>
      <c r="AU93" s="51" t="n"/>
      <c r="AV93" s="51" t="n"/>
      <c r="AW93" s="51" t="n"/>
      <c r="AX93" s="51" t="n"/>
      <c r="AY93" s="51" t="n"/>
      <c r="AZ93" s="51" t="n"/>
      <c r="BA93" s="51" t="n"/>
      <c r="BB93" s="51" t="n"/>
      <c r="BC93" s="51" t="n"/>
      <c r="BD93" s="51" t="n"/>
      <c r="BE93" s="51" t="n"/>
      <c r="BF93" s="51" t="n"/>
      <c r="BG93" s="51" t="n"/>
      <c r="BH93" s="51" t="n"/>
      <c r="BI93" s="51" t="n"/>
      <c r="BJ93" s="51" t="n"/>
      <c r="BK93" s="51" t="n"/>
      <c r="BL93" s="51" t="n"/>
      <c r="BM93" s="51" t="n"/>
    </row>
    <row r="94">
      <c r="A94" s="47">
        <f>IF(Mitarbeiter!B94="","",Mitarbeiter!A94)</f>
        <v/>
      </c>
      <c r="B94" s="48">
        <f>IF(Mitarbeiter!B94="","",Mitarbeiter!B94)</f>
        <v/>
      </c>
      <c r="C94" s="37">
        <f>IF(Mitarbeiter!B94="","",N(INDEX($F94:$BM94,1,(Einstellungen!$C$3-2026)*12+1))+N(INDEX($F94:$BM94,1,(Einstellungen!$C$3-2026)*12+2))+N(INDEX($F94:$BM94,1,(Einstellungen!$C$3-2026)*12+3))+N(INDEX($F94:$BM94,1,(Einstellungen!$C$3-2026)*12+4))+N(INDEX($F94:$BM94,1,(Einstellungen!$C$3-2026)*12+5))+N(INDEX($F94:$BM94,1,(Einstellungen!$C$3-2026)*12+6))+N(INDEX($F94:$BM94,1,(Einstellungen!$C$3-2026)*12+7))+N(INDEX($F94:$BM94,1,(Einstellungen!$C$3-2026)*12+8))+N(INDEX($F94:$BM94,1,(Einstellungen!$C$3-2026)*12+9))+N(INDEX($F94:$BM94,1,(Einstellungen!$C$3-2026)*12+10))+N(INDEX($F94:$BM94,1,(Einstellungen!$C$3-2026)*12+11))+N(INDEX($F94:$BM94,1,(Einstellungen!$C$3-2026)*12+12)))</f>
        <v/>
      </c>
      <c r="D94" s="37">
        <f>IF(Mitarbeiter!B94="","",SUM(F94:BM94))</f>
        <v/>
      </c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  <c r="AA94" s="51" t="n"/>
      <c r="AB94" s="51" t="n"/>
      <c r="AC94" s="51" t="n"/>
      <c r="AD94" s="51" t="n"/>
      <c r="AE94" s="51" t="n"/>
      <c r="AF94" s="51" t="n"/>
      <c r="AG94" s="51" t="n"/>
      <c r="AH94" s="51" t="n"/>
      <c r="AI94" s="51" t="n"/>
      <c r="AJ94" s="51" t="n"/>
      <c r="AK94" s="51" t="n"/>
      <c r="AL94" s="51" t="n"/>
      <c r="AM94" s="51" t="n"/>
      <c r="AN94" s="51" t="n"/>
      <c r="AO94" s="51" t="n"/>
      <c r="AP94" s="51" t="n"/>
      <c r="AQ94" s="51" t="n"/>
      <c r="AR94" s="51" t="n"/>
      <c r="AS94" s="51" t="n"/>
      <c r="AT94" s="51" t="n"/>
      <c r="AU94" s="51" t="n"/>
      <c r="AV94" s="51" t="n"/>
      <c r="AW94" s="51" t="n"/>
      <c r="AX94" s="51" t="n"/>
      <c r="AY94" s="51" t="n"/>
      <c r="AZ94" s="51" t="n"/>
      <c r="BA94" s="51" t="n"/>
      <c r="BB94" s="51" t="n"/>
      <c r="BC94" s="51" t="n"/>
      <c r="BD94" s="51" t="n"/>
      <c r="BE94" s="51" t="n"/>
      <c r="BF94" s="51" t="n"/>
      <c r="BG94" s="51" t="n"/>
      <c r="BH94" s="51" t="n"/>
      <c r="BI94" s="51" t="n"/>
      <c r="BJ94" s="51" t="n"/>
      <c r="BK94" s="51" t="n"/>
      <c r="BL94" s="51" t="n"/>
      <c r="BM94" s="51" t="n"/>
    </row>
    <row r="95">
      <c r="A95" s="47">
        <f>IF(Mitarbeiter!B95="","",Mitarbeiter!A95)</f>
        <v/>
      </c>
      <c r="B95" s="48">
        <f>IF(Mitarbeiter!B95="","",Mitarbeiter!B95)</f>
        <v/>
      </c>
      <c r="C95" s="37">
        <f>IF(Mitarbeiter!B95="","",N(INDEX($F95:$BM95,1,(Einstellungen!$C$3-2026)*12+1))+N(INDEX($F95:$BM95,1,(Einstellungen!$C$3-2026)*12+2))+N(INDEX($F95:$BM95,1,(Einstellungen!$C$3-2026)*12+3))+N(INDEX($F95:$BM95,1,(Einstellungen!$C$3-2026)*12+4))+N(INDEX($F95:$BM95,1,(Einstellungen!$C$3-2026)*12+5))+N(INDEX($F95:$BM95,1,(Einstellungen!$C$3-2026)*12+6))+N(INDEX($F95:$BM95,1,(Einstellungen!$C$3-2026)*12+7))+N(INDEX($F95:$BM95,1,(Einstellungen!$C$3-2026)*12+8))+N(INDEX($F95:$BM95,1,(Einstellungen!$C$3-2026)*12+9))+N(INDEX($F95:$BM95,1,(Einstellungen!$C$3-2026)*12+10))+N(INDEX($F95:$BM95,1,(Einstellungen!$C$3-2026)*12+11))+N(INDEX($F95:$BM95,1,(Einstellungen!$C$3-2026)*12+12)))</f>
        <v/>
      </c>
      <c r="D95" s="37">
        <f>IF(Mitarbeiter!B95="","",SUM(F95:BM95))</f>
        <v/>
      </c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  <c r="Y95" s="51" t="n"/>
      <c r="Z95" s="51" t="n"/>
      <c r="AA95" s="51" t="n"/>
      <c r="AB95" s="51" t="n"/>
      <c r="AC95" s="51" t="n"/>
      <c r="AD95" s="51" t="n"/>
      <c r="AE95" s="51" t="n"/>
      <c r="AF95" s="51" t="n"/>
      <c r="AG95" s="51" t="n"/>
      <c r="AH95" s="51" t="n"/>
      <c r="AI95" s="51" t="n"/>
      <c r="AJ95" s="51" t="n"/>
      <c r="AK95" s="51" t="n"/>
      <c r="AL95" s="51" t="n"/>
      <c r="AM95" s="51" t="n"/>
      <c r="AN95" s="51" t="n"/>
      <c r="AO95" s="51" t="n"/>
      <c r="AP95" s="51" t="n"/>
      <c r="AQ95" s="51" t="n"/>
      <c r="AR95" s="51" t="n"/>
      <c r="AS95" s="51" t="n"/>
      <c r="AT95" s="51" t="n"/>
      <c r="AU95" s="51" t="n"/>
      <c r="AV95" s="51" t="n"/>
      <c r="AW95" s="51" t="n"/>
      <c r="AX95" s="51" t="n"/>
      <c r="AY95" s="51" t="n"/>
      <c r="AZ95" s="51" t="n"/>
      <c r="BA95" s="51" t="n"/>
      <c r="BB95" s="51" t="n"/>
      <c r="BC95" s="51" t="n"/>
      <c r="BD95" s="51" t="n"/>
      <c r="BE95" s="51" t="n"/>
      <c r="BF95" s="51" t="n"/>
      <c r="BG95" s="51" t="n"/>
      <c r="BH95" s="51" t="n"/>
      <c r="BI95" s="51" t="n"/>
      <c r="BJ95" s="51" t="n"/>
      <c r="BK95" s="51" t="n"/>
      <c r="BL95" s="51" t="n"/>
      <c r="BM95" s="51" t="n"/>
    </row>
    <row r="96">
      <c r="A96" s="47">
        <f>IF(Mitarbeiter!B96="","",Mitarbeiter!A96)</f>
        <v/>
      </c>
      <c r="B96" s="48">
        <f>IF(Mitarbeiter!B96="","",Mitarbeiter!B96)</f>
        <v/>
      </c>
      <c r="C96" s="37">
        <f>IF(Mitarbeiter!B96="","",N(INDEX($F96:$BM96,1,(Einstellungen!$C$3-2026)*12+1))+N(INDEX($F96:$BM96,1,(Einstellungen!$C$3-2026)*12+2))+N(INDEX($F96:$BM96,1,(Einstellungen!$C$3-2026)*12+3))+N(INDEX($F96:$BM96,1,(Einstellungen!$C$3-2026)*12+4))+N(INDEX($F96:$BM96,1,(Einstellungen!$C$3-2026)*12+5))+N(INDEX($F96:$BM96,1,(Einstellungen!$C$3-2026)*12+6))+N(INDEX($F96:$BM96,1,(Einstellungen!$C$3-2026)*12+7))+N(INDEX($F96:$BM96,1,(Einstellungen!$C$3-2026)*12+8))+N(INDEX($F96:$BM96,1,(Einstellungen!$C$3-2026)*12+9))+N(INDEX($F96:$BM96,1,(Einstellungen!$C$3-2026)*12+10))+N(INDEX($F96:$BM96,1,(Einstellungen!$C$3-2026)*12+11))+N(INDEX($F96:$BM96,1,(Einstellungen!$C$3-2026)*12+12)))</f>
        <v/>
      </c>
      <c r="D96" s="37">
        <f>IF(Mitarbeiter!B96="","",SUM(F96:BM96))</f>
        <v/>
      </c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  <c r="AA96" s="51" t="n"/>
      <c r="AB96" s="51" t="n"/>
      <c r="AC96" s="51" t="n"/>
      <c r="AD96" s="51" t="n"/>
      <c r="AE96" s="51" t="n"/>
      <c r="AF96" s="51" t="n"/>
      <c r="AG96" s="51" t="n"/>
      <c r="AH96" s="51" t="n"/>
      <c r="AI96" s="51" t="n"/>
      <c r="AJ96" s="51" t="n"/>
      <c r="AK96" s="51" t="n"/>
      <c r="AL96" s="51" t="n"/>
      <c r="AM96" s="51" t="n"/>
      <c r="AN96" s="51" t="n"/>
      <c r="AO96" s="51" t="n"/>
      <c r="AP96" s="51" t="n"/>
      <c r="AQ96" s="51" t="n"/>
      <c r="AR96" s="51" t="n"/>
      <c r="AS96" s="51" t="n"/>
      <c r="AT96" s="51" t="n"/>
      <c r="AU96" s="51" t="n"/>
      <c r="AV96" s="51" t="n"/>
      <c r="AW96" s="51" t="n"/>
      <c r="AX96" s="51" t="n"/>
      <c r="AY96" s="51" t="n"/>
      <c r="AZ96" s="51" t="n"/>
      <c r="BA96" s="51" t="n"/>
      <c r="BB96" s="51" t="n"/>
      <c r="BC96" s="51" t="n"/>
      <c r="BD96" s="51" t="n"/>
      <c r="BE96" s="51" t="n"/>
      <c r="BF96" s="51" t="n"/>
      <c r="BG96" s="51" t="n"/>
      <c r="BH96" s="51" t="n"/>
      <c r="BI96" s="51" t="n"/>
      <c r="BJ96" s="51" t="n"/>
      <c r="BK96" s="51" t="n"/>
      <c r="BL96" s="51" t="n"/>
      <c r="BM96" s="51" t="n"/>
    </row>
    <row r="97">
      <c r="A97" s="47">
        <f>IF(Mitarbeiter!B97="","",Mitarbeiter!A97)</f>
        <v/>
      </c>
      <c r="B97" s="48">
        <f>IF(Mitarbeiter!B97="","",Mitarbeiter!B97)</f>
        <v/>
      </c>
      <c r="C97" s="37">
        <f>IF(Mitarbeiter!B97="","",N(INDEX($F97:$BM97,1,(Einstellungen!$C$3-2026)*12+1))+N(INDEX($F97:$BM97,1,(Einstellungen!$C$3-2026)*12+2))+N(INDEX($F97:$BM97,1,(Einstellungen!$C$3-2026)*12+3))+N(INDEX($F97:$BM97,1,(Einstellungen!$C$3-2026)*12+4))+N(INDEX($F97:$BM97,1,(Einstellungen!$C$3-2026)*12+5))+N(INDEX($F97:$BM97,1,(Einstellungen!$C$3-2026)*12+6))+N(INDEX($F97:$BM97,1,(Einstellungen!$C$3-2026)*12+7))+N(INDEX($F97:$BM97,1,(Einstellungen!$C$3-2026)*12+8))+N(INDEX($F97:$BM97,1,(Einstellungen!$C$3-2026)*12+9))+N(INDEX($F97:$BM97,1,(Einstellungen!$C$3-2026)*12+10))+N(INDEX($F97:$BM97,1,(Einstellungen!$C$3-2026)*12+11))+N(INDEX($F97:$BM97,1,(Einstellungen!$C$3-2026)*12+12)))</f>
        <v/>
      </c>
      <c r="D97" s="37">
        <f>IF(Mitarbeiter!B97="","",SUM(F97:BM97))</f>
        <v/>
      </c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  <c r="AA97" s="51" t="n"/>
      <c r="AB97" s="51" t="n"/>
      <c r="AC97" s="51" t="n"/>
      <c r="AD97" s="51" t="n"/>
      <c r="AE97" s="51" t="n"/>
      <c r="AF97" s="51" t="n"/>
      <c r="AG97" s="51" t="n"/>
      <c r="AH97" s="51" t="n"/>
      <c r="AI97" s="51" t="n"/>
      <c r="AJ97" s="51" t="n"/>
      <c r="AK97" s="51" t="n"/>
      <c r="AL97" s="51" t="n"/>
      <c r="AM97" s="51" t="n"/>
      <c r="AN97" s="51" t="n"/>
      <c r="AO97" s="51" t="n"/>
      <c r="AP97" s="51" t="n"/>
      <c r="AQ97" s="51" t="n"/>
      <c r="AR97" s="51" t="n"/>
      <c r="AS97" s="51" t="n"/>
      <c r="AT97" s="51" t="n"/>
      <c r="AU97" s="51" t="n"/>
      <c r="AV97" s="51" t="n"/>
      <c r="AW97" s="51" t="n"/>
      <c r="AX97" s="51" t="n"/>
      <c r="AY97" s="51" t="n"/>
      <c r="AZ97" s="51" t="n"/>
      <c r="BA97" s="51" t="n"/>
      <c r="BB97" s="51" t="n"/>
      <c r="BC97" s="51" t="n"/>
      <c r="BD97" s="51" t="n"/>
      <c r="BE97" s="51" t="n"/>
      <c r="BF97" s="51" t="n"/>
      <c r="BG97" s="51" t="n"/>
      <c r="BH97" s="51" t="n"/>
      <c r="BI97" s="51" t="n"/>
      <c r="BJ97" s="51" t="n"/>
      <c r="BK97" s="51" t="n"/>
      <c r="BL97" s="51" t="n"/>
      <c r="BM97" s="51" t="n"/>
    </row>
    <row r="98">
      <c r="A98" s="47">
        <f>IF(Mitarbeiter!B98="","",Mitarbeiter!A98)</f>
        <v/>
      </c>
      <c r="B98" s="48">
        <f>IF(Mitarbeiter!B98="","",Mitarbeiter!B98)</f>
        <v/>
      </c>
      <c r="C98" s="37">
        <f>IF(Mitarbeiter!B98="","",N(INDEX($F98:$BM98,1,(Einstellungen!$C$3-2026)*12+1))+N(INDEX($F98:$BM98,1,(Einstellungen!$C$3-2026)*12+2))+N(INDEX($F98:$BM98,1,(Einstellungen!$C$3-2026)*12+3))+N(INDEX($F98:$BM98,1,(Einstellungen!$C$3-2026)*12+4))+N(INDEX($F98:$BM98,1,(Einstellungen!$C$3-2026)*12+5))+N(INDEX($F98:$BM98,1,(Einstellungen!$C$3-2026)*12+6))+N(INDEX($F98:$BM98,1,(Einstellungen!$C$3-2026)*12+7))+N(INDEX($F98:$BM98,1,(Einstellungen!$C$3-2026)*12+8))+N(INDEX($F98:$BM98,1,(Einstellungen!$C$3-2026)*12+9))+N(INDEX($F98:$BM98,1,(Einstellungen!$C$3-2026)*12+10))+N(INDEX($F98:$BM98,1,(Einstellungen!$C$3-2026)*12+11))+N(INDEX($F98:$BM98,1,(Einstellungen!$C$3-2026)*12+12)))</f>
        <v/>
      </c>
      <c r="D98" s="37">
        <f>IF(Mitarbeiter!B98="","",SUM(F98:BM98))</f>
        <v/>
      </c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  <c r="AA98" s="51" t="n"/>
      <c r="AB98" s="51" t="n"/>
      <c r="AC98" s="51" t="n"/>
      <c r="AD98" s="51" t="n"/>
      <c r="AE98" s="51" t="n"/>
      <c r="AF98" s="51" t="n"/>
      <c r="AG98" s="51" t="n"/>
      <c r="AH98" s="51" t="n"/>
      <c r="AI98" s="51" t="n"/>
      <c r="AJ98" s="51" t="n"/>
      <c r="AK98" s="51" t="n"/>
      <c r="AL98" s="51" t="n"/>
      <c r="AM98" s="51" t="n"/>
      <c r="AN98" s="51" t="n"/>
      <c r="AO98" s="51" t="n"/>
      <c r="AP98" s="51" t="n"/>
      <c r="AQ98" s="51" t="n"/>
      <c r="AR98" s="51" t="n"/>
      <c r="AS98" s="51" t="n"/>
      <c r="AT98" s="51" t="n"/>
      <c r="AU98" s="51" t="n"/>
      <c r="AV98" s="51" t="n"/>
      <c r="AW98" s="51" t="n"/>
      <c r="AX98" s="51" t="n"/>
      <c r="AY98" s="51" t="n"/>
      <c r="AZ98" s="51" t="n"/>
      <c r="BA98" s="51" t="n"/>
      <c r="BB98" s="51" t="n"/>
      <c r="BC98" s="51" t="n"/>
      <c r="BD98" s="51" t="n"/>
      <c r="BE98" s="51" t="n"/>
      <c r="BF98" s="51" t="n"/>
      <c r="BG98" s="51" t="n"/>
      <c r="BH98" s="51" t="n"/>
      <c r="BI98" s="51" t="n"/>
      <c r="BJ98" s="51" t="n"/>
      <c r="BK98" s="51" t="n"/>
      <c r="BL98" s="51" t="n"/>
      <c r="BM98" s="51" t="n"/>
    </row>
    <row r="99">
      <c r="A99" s="47">
        <f>IF(Mitarbeiter!B99="","",Mitarbeiter!A99)</f>
        <v/>
      </c>
      <c r="B99" s="48">
        <f>IF(Mitarbeiter!B99="","",Mitarbeiter!B99)</f>
        <v/>
      </c>
      <c r="C99" s="37">
        <f>IF(Mitarbeiter!B99="","",N(INDEX($F99:$BM99,1,(Einstellungen!$C$3-2026)*12+1))+N(INDEX($F99:$BM99,1,(Einstellungen!$C$3-2026)*12+2))+N(INDEX($F99:$BM99,1,(Einstellungen!$C$3-2026)*12+3))+N(INDEX($F99:$BM99,1,(Einstellungen!$C$3-2026)*12+4))+N(INDEX($F99:$BM99,1,(Einstellungen!$C$3-2026)*12+5))+N(INDEX($F99:$BM99,1,(Einstellungen!$C$3-2026)*12+6))+N(INDEX($F99:$BM99,1,(Einstellungen!$C$3-2026)*12+7))+N(INDEX($F99:$BM99,1,(Einstellungen!$C$3-2026)*12+8))+N(INDEX($F99:$BM99,1,(Einstellungen!$C$3-2026)*12+9))+N(INDEX($F99:$BM99,1,(Einstellungen!$C$3-2026)*12+10))+N(INDEX($F99:$BM99,1,(Einstellungen!$C$3-2026)*12+11))+N(INDEX($F99:$BM99,1,(Einstellungen!$C$3-2026)*12+12)))</f>
        <v/>
      </c>
      <c r="D99" s="37">
        <f>IF(Mitarbeiter!B99="","",SUM(F99:BM99))</f>
        <v/>
      </c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  <c r="AJ99" s="51" t="n"/>
      <c r="AK99" s="51" t="n"/>
      <c r="AL99" s="51" t="n"/>
      <c r="AM99" s="51" t="n"/>
      <c r="AN99" s="51" t="n"/>
      <c r="AO99" s="51" t="n"/>
      <c r="AP99" s="51" t="n"/>
      <c r="AQ99" s="51" t="n"/>
      <c r="AR99" s="51" t="n"/>
      <c r="AS99" s="51" t="n"/>
      <c r="AT99" s="51" t="n"/>
      <c r="AU99" s="51" t="n"/>
      <c r="AV99" s="51" t="n"/>
      <c r="AW99" s="51" t="n"/>
      <c r="AX99" s="51" t="n"/>
      <c r="AY99" s="51" t="n"/>
      <c r="AZ99" s="51" t="n"/>
      <c r="BA99" s="51" t="n"/>
      <c r="BB99" s="51" t="n"/>
      <c r="BC99" s="51" t="n"/>
      <c r="BD99" s="51" t="n"/>
      <c r="BE99" s="51" t="n"/>
      <c r="BF99" s="51" t="n"/>
      <c r="BG99" s="51" t="n"/>
      <c r="BH99" s="51" t="n"/>
      <c r="BI99" s="51" t="n"/>
      <c r="BJ99" s="51" t="n"/>
      <c r="BK99" s="51" t="n"/>
      <c r="BL99" s="51" t="n"/>
      <c r="BM99" s="51" t="n"/>
    </row>
    <row r="100">
      <c r="A100" s="47">
        <f>IF(Mitarbeiter!B100="","",Mitarbeiter!A100)</f>
        <v/>
      </c>
      <c r="B100" s="48">
        <f>IF(Mitarbeiter!B100="","",Mitarbeiter!B100)</f>
        <v/>
      </c>
      <c r="C100" s="37">
        <f>IF(Mitarbeiter!B100="","",N(INDEX($F100:$BM100,1,(Einstellungen!$C$3-2026)*12+1))+N(INDEX($F100:$BM100,1,(Einstellungen!$C$3-2026)*12+2))+N(INDEX($F100:$BM100,1,(Einstellungen!$C$3-2026)*12+3))+N(INDEX($F100:$BM100,1,(Einstellungen!$C$3-2026)*12+4))+N(INDEX($F100:$BM100,1,(Einstellungen!$C$3-2026)*12+5))+N(INDEX($F100:$BM100,1,(Einstellungen!$C$3-2026)*12+6))+N(INDEX($F100:$BM100,1,(Einstellungen!$C$3-2026)*12+7))+N(INDEX($F100:$BM100,1,(Einstellungen!$C$3-2026)*12+8))+N(INDEX($F100:$BM100,1,(Einstellungen!$C$3-2026)*12+9))+N(INDEX($F100:$BM100,1,(Einstellungen!$C$3-2026)*12+10))+N(INDEX($F100:$BM100,1,(Einstellungen!$C$3-2026)*12+11))+N(INDEX($F100:$BM100,1,(Einstellungen!$C$3-2026)*12+12)))</f>
        <v/>
      </c>
      <c r="D100" s="37">
        <f>IF(Mitarbeiter!B100="","",SUM(F100:BM100))</f>
        <v/>
      </c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  <c r="AA100" s="51" t="n"/>
      <c r="AB100" s="51" t="n"/>
      <c r="AC100" s="51" t="n"/>
      <c r="AD100" s="51" t="n"/>
      <c r="AE100" s="51" t="n"/>
      <c r="AF100" s="51" t="n"/>
      <c r="AG100" s="51" t="n"/>
      <c r="AH100" s="51" t="n"/>
      <c r="AI100" s="51" t="n"/>
      <c r="AJ100" s="51" t="n"/>
      <c r="AK100" s="51" t="n"/>
      <c r="AL100" s="51" t="n"/>
      <c r="AM100" s="51" t="n"/>
      <c r="AN100" s="51" t="n"/>
      <c r="AO100" s="51" t="n"/>
      <c r="AP100" s="51" t="n"/>
      <c r="AQ100" s="51" t="n"/>
      <c r="AR100" s="51" t="n"/>
      <c r="AS100" s="51" t="n"/>
      <c r="AT100" s="51" t="n"/>
      <c r="AU100" s="51" t="n"/>
      <c r="AV100" s="51" t="n"/>
      <c r="AW100" s="51" t="n"/>
      <c r="AX100" s="51" t="n"/>
      <c r="AY100" s="51" t="n"/>
      <c r="AZ100" s="51" t="n"/>
      <c r="BA100" s="51" t="n"/>
      <c r="BB100" s="51" t="n"/>
      <c r="BC100" s="51" t="n"/>
      <c r="BD100" s="51" t="n"/>
      <c r="BE100" s="51" t="n"/>
      <c r="BF100" s="51" t="n"/>
      <c r="BG100" s="51" t="n"/>
      <c r="BH100" s="51" t="n"/>
      <c r="BI100" s="51" t="n"/>
      <c r="BJ100" s="51" t="n"/>
      <c r="BK100" s="51" t="n"/>
      <c r="BL100" s="51" t="n"/>
      <c r="BM100" s="51" t="n"/>
    </row>
    <row r="101">
      <c r="A101" s="47">
        <f>IF(Mitarbeiter!B101="","",Mitarbeiter!A101)</f>
        <v/>
      </c>
      <c r="B101" s="48">
        <f>IF(Mitarbeiter!B101="","",Mitarbeiter!B101)</f>
        <v/>
      </c>
      <c r="C101" s="37">
        <f>IF(Mitarbeiter!B101="","",N(INDEX($F101:$BM101,1,(Einstellungen!$C$3-2026)*12+1))+N(INDEX($F101:$BM101,1,(Einstellungen!$C$3-2026)*12+2))+N(INDEX($F101:$BM101,1,(Einstellungen!$C$3-2026)*12+3))+N(INDEX($F101:$BM101,1,(Einstellungen!$C$3-2026)*12+4))+N(INDEX($F101:$BM101,1,(Einstellungen!$C$3-2026)*12+5))+N(INDEX($F101:$BM101,1,(Einstellungen!$C$3-2026)*12+6))+N(INDEX($F101:$BM101,1,(Einstellungen!$C$3-2026)*12+7))+N(INDEX($F101:$BM101,1,(Einstellungen!$C$3-2026)*12+8))+N(INDEX($F101:$BM101,1,(Einstellungen!$C$3-2026)*12+9))+N(INDEX($F101:$BM101,1,(Einstellungen!$C$3-2026)*12+10))+N(INDEX($F101:$BM101,1,(Einstellungen!$C$3-2026)*12+11))+N(INDEX($F101:$BM101,1,(Einstellungen!$C$3-2026)*12+12)))</f>
        <v/>
      </c>
      <c r="D101" s="37">
        <f>IF(Mitarbeiter!B101="","",SUM(F101:BM101))</f>
        <v/>
      </c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  <c r="AA101" s="51" t="n"/>
      <c r="AB101" s="51" t="n"/>
      <c r="AC101" s="51" t="n"/>
      <c r="AD101" s="51" t="n"/>
      <c r="AE101" s="51" t="n"/>
      <c r="AF101" s="51" t="n"/>
      <c r="AG101" s="51" t="n"/>
      <c r="AH101" s="51" t="n"/>
      <c r="AI101" s="51" t="n"/>
      <c r="AJ101" s="51" t="n"/>
      <c r="AK101" s="51" t="n"/>
      <c r="AL101" s="51" t="n"/>
      <c r="AM101" s="51" t="n"/>
      <c r="AN101" s="51" t="n"/>
      <c r="AO101" s="51" t="n"/>
      <c r="AP101" s="51" t="n"/>
      <c r="AQ101" s="51" t="n"/>
      <c r="AR101" s="51" t="n"/>
      <c r="AS101" s="51" t="n"/>
      <c r="AT101" s="51" t="n"/>
      <c r="AU101" s="51" t="n"/>
      <c r="AV101" s="51" t="n"/>
      <c r="AW101" s="51" t="n"/>
      <c r="AX101" s="51" t="n"/>
      <c r="AY101" s="51" t="n"/>
      <c r="AZ101" s="51" t="n"/>
      <c r="BA101" s="51" t="n"/>
      <c r="BB101" s="51" t="n"/>
      <c r="BC101" s="51" t="n"/>
      <c r="BD101" s="51" t="n"/>
      <c r="BE101" s="51" t="n"/>
      <c r="BF101" s="51" t="n"/>
      <c r="BG101" s="51" t="n"/>
      <c r="BH101" s="51" t="n"/>
      <c r="BI101" s="51" t="n"/>
      <c r="BJ101" s="51" t="n"/>
      <c r="BK101" s="51" t="n"/>
      <c r="BL101" s="51" t="n"/>
      <c r="BM101" s="51" t="n"/>
    </row>
    <row r="102">
      <c r="A102" s="47">
        <f>IF(Mitarbeiter!B102="","",Mitarbeiter!A102)</f>
        <v/>
      </c>
      <c r="B102" s="48">
        <f>IF(Mitarbeiter!B102="","",Mitarbeiter!B102)</f>
        <v/>
      </c>
      <c r="C102" s="37">
        <f>IF(Mitarbeiter!B102="","",N(INDEX($F102:$BM102,1,(Einstellungen!$C$3-2026)*12+1))+N(INDEX($F102:$BM102,1,(Einstellungen!$C$3-2026)*12+2))+N(INDEX($F102:$BM102,1,(Einstellungen!$C$3-2026)*12+3))+N(INDEX($F102:$BM102,1,(Einstellungen!$C$3-2026)*12+4))+N(INDEX($F102:$BM102,1,(Einstellungen!$C$3-2026)*12+5))+N(INDEX($F102:$BM102,1,(Einstellungen!$C$3-2026)*12+6))+N(INDEX($F102:$BM102,1,(Einstellungen!$C$3-2026)*12+7))+N(INDEX($F102:$BM102,1,(Einstellungen!$C$3-2026)*12+8))+N(INDEX($F102:$BM102,1,(Einstellungen!$C$3-2026)*12+9))+N(INDEX($F102:$BM102,1,(Einstellungen!$C$3-2026)*12+10))+N(INDEX($F102:$BM102,1,(Einstellungen!$C$3-2026)*12+11))+N(INDEX($F102:$BM102,1,(Einstellungen!$C$3-2026)*12+12)))</f>
        <v/>
      </c>
      <c r="D102" s="37">
        <f>IF(Mitarbeiter!B102="","",SUM(F102:BM102))</f>
        <v/>
      </c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  <c r="AA102" s="51" t="n"/>
      <c r="AB102" s="51" t="n"/>
      <c r="AC102" s="51" t="n"/>
      <c r="AD102" s="51" t="n"/>
      <c r="AE102" s="51" t="n"/>
      <c r="AF102" s="51" t="n"/>
      <c r="AG102" s="51" t="n"/>
      <c r="AH102" s="51" t="n"/>
      <c r="AI102" s="51" t="n"/>
      <c r="AJ102" s="51" t="n"/>
      <c r="AK102" s="51" t="n"/>
      <c r="AL102" s="51" t="n"/>
      <c r="AM102" s="51" t="n"/>
      <c r="AN102" s="51" t="n"/>
      <c r="AO102" s="51" t="n"/>
      <c r="AP102" s="51" t="n"/>
      <c r="AQ102" s="51" t="n"/>
      <c r="AR102" s="51" t="n"/>
      <c r="AS102" s="51" t="n"/>
      <c r="AT102" s="51" t="n"/>
      <c r="AU102" s="51" t="n"/>
      <c r="AV102" s="51" t="n"/>
      <c r="AW102" s="51" t="n"/>
      <c r="AX102" s="51" t="n"/>
      <c r="AY102" s="51" t="n"/>
      <c r="AZ102" s="51" t="n"/>
      <c r="BA102" s="51" t="n"/>
      <c r="BB102" s="51" t="n"/>
      <c r="BC102" s="51" t="n"/>
      <c r="BD102" s="51" t="n"/>
      <c r="BE102" s="51" t="n"/>
      <c r="BF102" s="51" t="n"/>
      <c r="BG102" s="51" t="n"/>
      <c r="BH102" s="51" t="n"/>
      <c r="BI102" s="51" t="n"/>
      <c r="BJ102" s="51" t="n"/>
      <c r="BK102" s="51" t="n"/>
      <c r="BL102" s="51" t="n"/>
      <c r="BM102" s="51" t="n"/>
    </row>
    <row r="103">
      <c r="A103" s="47">
        <f>IF(Mitarbeiter!B103="","",Mitarbeiter!A103)</f>
        <v/>
      </c>
      <c r="B103" s="48">
        <f>IF(Mitarbeiter!B103="","",Mitarbeiter!B103)</f>
        <v/>
      </c>
      <c r="C103" s="37">
        <f>IF(Mitarbeiter!B103="","",N(INDEX($F103:$BM103,1,(Einstellungen!$C$3-2026)*12+1))+N(INDEX($F103:$BM103,1,(Einstellungen!$C$3-2026)*12+2))+N(INDEX($F103:$BM103,1,(Einstellungen!$C$3-2026)*12+3))+N(INDEX($F103:$BM103,1,(Einstellungen!$C$3-2026)*12+4))+N(INDEX($F103:$BM103,1,(Einstellungen!$C$3-2026)*12+5))+N(INDEX($F103:$BM103,1,(Einstellungen!$C$3-2026)*12+6))+N(INDEX($F103:$BM103,1,(Einstellungen!$C$3-2026)*12+7))+N(INDEX($F103:$BM103,1,(Einstellungen!$C$3-2026)*12+8))+N(INDEX($F103:$BM103,1,(Einstellungen!$C$3-2026)*12+9))+N(INDEX($F103:$BM103,1,(Einstellungen!$C$3-2026)*12+10))+N(INDEX($F103:$BM103,1,(Einstellungen!$C$3-2026)*12+11))+N(INDEX($F103:$BM103,1,(Einstellungen!$C$3-2026)*12+12)))</f>
        <v/>
      </c>
      <c r="D103" s="37">
        <f>IF(Mitarbeiter!B103="","",SUM(F103:BM103))</f>
        <v/>
      </c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  <c r="AA103" s="51" t="n"/>
      <c r="AB103" s="51" t="n"/>
      <c r="AC103" s="51" t="n"/>
      <c r="AD103" s="51" t="n"/>
      <c r="AE103" s="51" t="n"/>
      <c r="AF103" s="51" t="n"/>
      <c r="AG103" s="51" t="n"/>
      <c r="AH103" s="51" t="n"/>
      <c r="AI103" s="51" t="n"/>
      <c r="AJ103" s="51" t="n"/>
      <c r="AK103" s="51" t="n"/>
      <c r="AL103" s="51" t="n"/>
      <c r="AM103" s="51" t="n"/>
      <c r="AN103" s="51" t="n"/>
      <c r="AO103" s="51" t="n"/>
      <c r="AP103" s="51" t="n"/>
      <c r="AQ103" s="51" t="n"/>
      <c r="AR103" s="51" t="n"/>
      <c r="AS103" s="51" t="n"/>
      <c r="AT103" s="51" t="n"/>
      <c r="AU103" s="51" t="n"/>
      <c r="AV103" s="51" t="n"/>
      <c r="AW103" s="51" t="n"/>
      <c r="AX103" s="51" t="n"/>
      <c r="AY103" s="51" t="n"/>
      <c r="AZ103" s="51" t="n"/>
      <c r="BA103" s="51" t="n"/>
      <c r="BB103" s="51" t="n"/>
      <c r="BC103" s="51" t="n"/>
      <c r="BD103" s="51" t="n"/>
      <c r="BE103" s="51" t="n"/>
      <c r="BF103" s="51" t="n"/>
      <c r="BG103" s="51" t="n"/>
      <c r="BH103" s="51" t="n"/>
      <c r="BI103" s="51" t="n"/>
      <c r="BJ103" s="51" t="n"/>
      <c r="BK103" s="51" t="n"/>
      <c r="BL103" s="51" t="n"/>
      <c r="BM103" s="51" t="n"/>
    </row>
    <row r="104">
      <c r="A104" s="47">
        <f>IF(Mitarbeiter!B104="","",Mitarbeiter!A104)</f>
        <v/>
      </c>
      <c r="B104" s="48">
        <f>IF(Mitarbeiter!B104="","",Mitarbeiter!B104)</f>
        <v/>
      </c>
      <c r="C104" s="37">
        <f>IF(Mitarbeiter!B104="","",N(INDEX($F104:$BM104,1,(Einstellungen!$C$3-2026)*12+1))+N(INDEX($F104:$BM104,1,(Einstellungen!$C$3-2026)*12+2))+N(INDEX($F104:$BM104,1,(Einstellungen!$C$3-2026)*12+3))+N(INDEX($F104:$BM104,1,(Einstellungen!$C$3-2026)*12+4))+N(INDEX($F104:$BM104,1,(Einstellungen!$C$3-2026)*12+5))+N(INDEX($F104:$BM104,1,(Einstellungen!$C$3-2026)*12+6))+N(INDEX($F104:$BM104,1,(Einstellungen!$C$3-2026)*12+7))+N(INDEX($F104:$BM104,1,(Einstellungen!$C$3-2026)*12+8))+N(INDEX($F104:$BM104,1,(Einstellungen!$C$3-2026)*12+9))+N(INDEX($F104:$BM104,1,(Einstellungen!$C$3-2026)*12+10))+N(INDEX($F104:$BM104,1,(Einstellungen!$C$3-2026)*12+11))+N(INDEX($F104:$BM104,1,(Einstellungen!$C$3-2026)*12+12)))</f>
        <v/>
      </c>
      <c r="D104" s="37">
        <f>IF(Mitarbeiter!B104="","",SUM(F104:BM104))</f>
        <v/>
      </c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  <c r="AA104" s="51" t="n"/>
      <c r="AB104" s="51" t="n"/>
      <c r="AC104" s="51" t="n"/>
      <c r="AD104" s="51" t="n"/>
      <c r="AE104" s="51" t="n"/>
      <c r="AF104" s="51" t="n"/>
      <c r="AG104" s="51" t="n"/>
      <c r="AH104" s="51" t="n"/>
      <c r="AI104" s="51" t="n"/>
      <c r="AJ104" s="51" t="n"/>
      <c r="AK104" s="51" t="n"/>
      <c r="AL104" s="51" t="n"/>
      <c r="AM104" s="51" t="n"/>
      <c r="AN104" s="51" t="n"/>
      <c r="AO104" s="51" t="n"/>
      <c r="AP104" s="51" t="n"/>
      <c r="AQ104" s="51" t="n"/>
      <c r="AR104" s="51" t="n"/>
      <c r="AS104" s="51" t="n"/>
      <c r="AT104" s="51" t="n"/>
      <c r="AU104" s="51" t="n"/>
      <c r="AV104" s="51" t="n"/>
      <c r="AW104" s="51" t="n"/>
      <c r="AX104" s="51" t="n"/>
      <c r="AY104" s="51" t="n"/>
      <c r="AZ104" s="51" t="n"/>
      <c r="BA104" s="51" t="n"/>
      <c r="BB104" s="51" t="n"/>
      <c r="BC104" s="51" t="n"/>
      <c r="BD104" s="51" t="n"/>
      <c r="BE104" s="51" t="n"/>
      <c r="BF104" s="51" t="n"/>
      <c r="BG104" s="51" t="n"/>
      <c r="BH104" s="51" t="n"/>
      <c r="BI104" s="51" t="n"/>
      <c r="BJ104" s="51" t="n"/>
      <c r="BK104" s="51" t="n"/>
      <c r="BL104" s="51" t="n"/>
      <c r="BM104" s="51" t="n"/>
    </row>
    <row r="105">
      <c r="A105" s="47">
        <f>IF(Mitarbeiter!B105="","",Mitarbeiter!A105)</f>
        <v/>
      </c>
      <c r="B105" s="48">
        <f>IF(Mitarbeiter!B105="","",Mitarbeiter!B105)</f>
        <v/>
      </c>
      <c r="C105" s="37">
        <f>IF(Mitarbeiter!B105="","",N(INDEX($F105:$BM105,1,(Einstellungen!$C$3-2026)*12+1))+N(INDEX($F105:$BM105,1,(Einstellungen!$C$3-2026)*12+2))+N(INDEX($F105:$BM105,1,(Einstellungen!$C$3-2026)*12+3))+N(INDEX($F105:$BM105,1,(Einstellungen!$C$3-2026)*12+4))+N(INDEX($F105:$BM105,1,(Einstellungen!$C$3-2026)*12+5))+N(INDEX($F105:$BM105,1,(Einstellungen!$C$3-2026)*12+6))+N(INDEX($F105:$BM105,1,(Einstellungen!$C$3-2026)*12+7))+N(INDEX($F105:$BM105,1,(Einstellungen!$C$3-2026)*12+8))+N(INDEX($F105:$BM105,1,(Einstellungen!$C$3-2026)*12+9))+N(INDEX($F105:$BM105,1,(Einstellungen!$C$3-2026)*12+10))+N(INDEX($F105:$BM105,1,(Einstellungen!$C$3-2026)*12+11))+N(INDEX($F105:$BM105,1,(Einstellungen!$C$3-2026)*12+12)))</f>
        <v/>
      </c>
      <c r="D105" s="37">
        <f>IF(Mitarbeiter!B105="","",SUM(F105:BM105))</f>
        <v/>
      </c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  <c r="AA105" s="51" t="n"/>
      <c r="AB105" s="51" t="n"/>
      <c r="AC105" s="51" t="n"/>
      <c r="AD105" s="51" t="n"/>
      <c r="AE105" s="51" t="n"/>
      <c r="AF105" s="51" t="n"/>
      <c r="AG105" s="51" t="n"/>
      <c r="AH105" s="51" t="n"/>
      <c r="AI105" s="51" t="n"/>
      <c r="AJ105" s="51" t="n"/>
      <c r="AK105" s="51" t="n"/>
      <c r="AL105" s="51" t="n"/>
      <c r="AM105" s="51" t="n"/>
      <c r="AN105" s="51" t="n"/>
      <c r="AO105" s="51" t="n"/>
      <c r="AP105" s="51" t="n"/>
      <c r="AQ105" s="51" t="n"/>
      <c r="AR105" s="51" t="n"/>
      <c r="AS105" s="51" t="n"/>
      <c r="AT105" s="51" t="n"/>
      <c r="AU105" s="51" t="n"/>
      <c r="AV105" s="51" t="n"/>
      <c r="AW105" s="51" t="n"/>
      <c r="AX105" s="51" t="n"/>
      <c r="AY105" s="51" t="n"/>
      <c r="AZ105" s="51" t="n"/>
      <c r="BA105" s="51" t="n"/>
      <c r="BB105" s="51" t="n"/>
      <c r="BC105" s="51" t="n"/>
      <c r="BD105" s="51" t="n"/>
      <c r="BE105" s="51" t="n"/>
      <c r="BF105" s="51" t="n"/>
      <c r="BG105" s="51" t="n"/>
      <c r="BH105" s="51" t="n"/>
      <c r="BI105" s="51" t="n"/>
      <c r="BJ105" s="51" t="n"/>
      <c r="BK105" s="51" t="n"/>
      <c r="BL105" s="51" t="n"/>
      <c r="BM105" s="51" t="n"/>
    </row>
    <row r="106">
      <c r="A106" s="47">
        <f>IF(Mitarbeiter!B106="","",Mitarbeiter!A106)</f>
        <v/>
      </c>
      <c r="B106" s="48">
        <f>IF(Mitarbeiter!B106="","",Mitarbeiter!B106)</f>
        <v/>
      </c>
      <c r="C106" s="37">
        <f>IF(Mitarbeiter!B106="","",N(INDEX($F106:$BM106,1,(Einstellungen!$C$3-2026)*12+1))+N(INDEX($F106:$BM106,1,(Einstellungen!$C$3-2026)*12+2))+N(INDEX($F106:$BM106,1,(Einstellungen!$C$3-2026)*12+3))+N(INDEX($F106:$BM106,1,(Einstellungen!$C$3-2026)*12+4))+N(INDEX($F106:$BM106,1,(Einstellungen!$C$3-2026)*12+5))+N(INDEX($F106:$BM106,1,(Einstellungen!$C$3-2026)*12+6))+N(INDEX($F106:$BM106,1,(Einstellungen!$C$3-2026)*12+7))+N(INDEX($F106:$BM106,1,(Einstellungen!$C$3-2026)*12+8))+N(INDEX($F106:$BM106,1,(Einstellungen!$C$3-2026)*12+9))+N(INDEX($F106:$BM106,1,(Einstellungen!$C$3-2026)*12+10))+N(INDEX($F106:$BM106,1,(Einstellungen!$C$3-2026)*12+11))+N(INDEX($F106:$BM106,1,(Einstellungen!$C$3-2026)*12+12)))</f>
        <v/>
      </c>
      <c r="D106" s="37">
        <f>IF(Mitarbeiter!B106="","",SUM(F106:BM106))</f>
        <v/>
      </c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  <c r="AA106" s="51" t="n"/>
      <c r="AB106" s="51" t="n"/>
      <c r="AC106" s="51" t="n"/>
      <c r="AD106" s="51" t="n"/>
      <c r="AE106" s="51" t="n"/>
      <c r="AF106" s="51" t="n"/>
      <c r="AG106" s="51" t="n"/>
      <c r="AH106" s="51" t="n"/>
      <c r="AI106" s="51" t="n"/>
      <c r="AJ106" s="51" t="n"/>
      <c r="AK106" s="51" t="n"/>
      <c r="AL106" s="51" t="n"/>
      <c r="AM106" s="51" t="n"/>
      <c r="AN106" s="51" t="n"/>
      <c r="AO106" s="51" t="n"/>
      <c r="AP106" s="51" t="n"/>
      <c r="AQ106" s="51" t="n"/>
      <c r="AR106" s="51" t="n"/>
      <c r="AS106" s="51" t="n"/>
      <c r="AT106" s="51" t="n"/>
      <c r="AU106" s="51" t="n"/>
      <c r="AV106" s="51" t="n"/>
      <c r="AW106" s="51" t="n"/>
      <c r="AX106" s="51" t="n"/>
      <c r="AY106" s="51" t="n"/>
      <c r="AZ106" s="51" t="n"/>
      <c r="BA106" s="51" t="n"/>
      <c r="BB106" s="51" t="n"/>
      <c r="BC106" s="51" t="n"/>
      <c r="BD106" s="51" t="n"/>
      <c r="BE106" s="51" t="n"/>
      <c r="BF106" s="51" t="n"/>
      <c r="BG106" s="51" t="n"/>
      <c r="BH106" s="51" t="n"/>
      <c r="BI106" s="51" t="n"/>
      <c r="BJ106" s="51" t="n"/>
      <c r="BK106" s="51" t="n"/>
      <c r="BL106" s="51" t="n"/>
      <c r="BM106" s="51" t="n"/>
    </row>
    <row r="107">
      <c r="A107" s="47">
        <f>IF(Mitarbeiter!B107="","",Mitarbeiter!A107)</f>
        <v/>
      </c>
      <c r="B107" s="48">
        <f>IF(Mitarbeiter!B107="","",Mitarbeiter!B107)</f>
        <v/>
      </c>
      <c r="C107" s="37">
        <f>IF(Mitarbeiter!B107="","",N(INDEX($F107:$BM107,1,(Einstellungen!$C$3-2026)*12+1))+N(INDEX($F107:$BM107,1,(Einstellungen!$C$3-2026)*12+2))+N(INDEX($F107:$BM107,1,(Einstellungen!$C$3-2026)*12+3))+N(INDEX($F107:$BM107,1,(Einstellungen!$C$3-2026)*12+4))+N(INDEX($F107:$BM107,1,(Einstellungen!$C$3-2026)*12+5))+N(INDEX($F107:$BM107,1,(Einstellungen!$C$3-2026)*12+6))+N(INDEX($F107:$BM107,1,(Einstellungen!$C$3-2026)*12+7))+N(INDEX($F107:$BM107,1,(Einstellungen!$C$3-2026)*12+8))+N(INDEX($F107:$BM107,1,(Einstellungen!$C$3-2026)*12+9))+N(INDEX($F107:$BM107,1,(Einstellungen!$C$3-2026)*12+10))+N(INDEX($F107:$BM107,1,(Einstellungen!$C$3-2026)*12+11))+N(INDEX($F107:$BM107,1,(Einstellungen!$C$3-2026)*12+12)))</f>
        <v/>
      </c>
      <c r="D107" s="37">
        <f>IF(Mitarbeiter!B107="","",SUM(F107:BM107))</f>
        <v/>
      </c>
      <c r="F107" s="51" t="n"/>
      <c r="G107" s="51" t="n"/>
      <c r="H107" s="51" t="n"/>
      <c r="I107" s="51" t="n"/>
      <c r="J107" s="51" t="n"/>
      <c r="K107" s="51" t="n"/>
      <c r="L107" s="51" t="n"/>
      <c r="M107" s="51" t="n"/>
      <c r="N107" s="51" t="n"/>
      <c r="O107" s="51" t="n"/>
      <c r="P107" s="51" t="n"/>
      <c r="Q107" s="51" t="n"/>
      <c r="R107" s="51" t="n"/>
      <c r="S107" s="51" t="n"/>
      <c r="T107" s="51" t="n"/>
      <c r="U107" s="51" t="n"/>
      <c r="V107" s="51" t="n"/>
      <c r="W107" s="51" t="n"/>
      <c r="X107" s="51" t="n"/>
      <c r="Y107" s="51" t="n"/>
      <c r="Z107" s="51" t="n"/>
      <c r="AA107" s="51" t="n"/>
      <c r="AB107" s="51" t="n"/>
      <c r="AC107" s="51" t="n"/>
      <c r="AD107" s="51" t="n"/>
      <c r="AE107" s="51" t="n"/>
      <c r="AF107" s="51" t="n"/>
      <c r="AG107" s="51" t="n"/>
      <c r="AH107" s="51" t="n"/>
      <c r="AI107" s="51" t="n"/>
      <c r="AJ107" s="51" t="n"/>
      <c r="AK107" s="51" t="n"/>
      <c r="AL107" s="51" t="n"/>
      <c r="AM107" s="51" t="n"/>
      <c r="AN107" s="51" t="n"/>
      <c r="AO107" s="51" t="n"/>
      <c r="AP107" s="51" t="n"/>
      <c r="AQ107" s="51" t="n"/>
      <c r="AR107" s="51" t="n"/>
      <c r="AS107" s="51" t="n"/>
      <c r="AT107" s="51" t="n"/>
      <c r="AU107" s="51" t="n"/>
      <c r="AV107" s="51" t="n"/>
      <c r="AW107" s="51" t="n"/>
      <c r="AX107" s="51" t="n"/>
      <c r="AY107" s="51" t="n"/>
      <c r="AZ107" s="51" t="n"/>
      <c r="BA107" s="51" t="n"/>
      <c r="BB107" s="51" t="n"/>
      <c r="BC107" s="51" t="n"/>
      <c r="BD107" s="51" t="n"/>
      <c r="BE107" s="51" t="n"/>
      <c r="BF107" s="51" t="n"/>
      <c r="BG107" s="51" t="n"/>
      <c r="BH107" s="51" t="n"/>
      <c r="BI107" s="51" t="n"/>
      <c r="BJ107" s="51" t="n"/>
      <c r="BK107" s="51" t="n"/>
      <c r="BL107" s="51" t="n"/>
      <c r="BM107" s="51" t="n"/>
    </row>
    <row r="108">
      <c r="A108" s="47">
        <f>IF(Mitarbeiter!B108="","",Mitarbeiter!A108)</f>
        <v/>
      </c>
      <c r="B108" s="48">
        <f>IF(Mitarbeiter!B108="","",Mitarbeiter!B108)</f>
        <v/>
      </c>
      <c r="C108" s="37">
        <f>IF(Mitarbeiter!B108="","",N(INDEX($F108:$BM108,1,(Einstellungen!$C$3-2026)*12+1))+N(INDEX($F108:$BM108,1,(Einstellungen!$C$3-2026)*12+2))+N(INDEX($F108:$BM108,1,(Einstellungen!$C$3-2026)*12+3))+N(INDEX($F108:$BM108,1,(Einstellungen!$C$3-2026)*12+4))+N(INDEX($F108:$BM108,1,(Einstellungen!$C$3-2026)*12+5))+N(INDEX($F108:$BM108,1,(Einstellungen!$C$3-2026)*12+6))+N(INDEX($F108:$BM108,1,(Einstellungen!$C$3-2026)*12+7))+N(INDEX($F108:$BM108,1,(Einstellungen!$C$3-2026)*12+8))+N(INDEX($F108:$BM108,1,(Einstellungen!$C$3-2026)*12+9))+N(INDEX($F108:$BM108,1,(Einstellungen!$C$3-2026)*12+10))+N(INDEX($F108:$BM108,1,(Einstellungen!$C$3-2026)*12+11))+N(INDEX($F108:$BM108,1,(Einstellungen!$C$3-2026)*12+12)))</f>
        <v/>
      </c>
      <c r="D108" s="37">
        <f>IF(Mitarbeiter!B108="","",SUM(F108:BM108))</f>
        <v/>
      </c>
      <c r="F108" s="51" t="n"/>
      <c r="G108" s="51" t="n"/>
      <c r="H108" s="51" t="n"/>
      <c r="I108" s="51" t="n"/>
      <c r="J108" s="51" t="n"/>
      <c r="K108" s="51" t="n"/>
      <c r="L108" s="51" t="n"/>
      <c r="M108" s="51" t="n"/>
      <c r="N108" s="51" t="n"/>
      <c r="O108" s="51" t="n"/>
      <c r="P108" s="51" t="n"/>
      <c r="Q108" s="51" t="n"/>
      <c r="R108" s="51" t="n"/>
      <c r="S108" s="51" t="n"/>
      <c r="T108" s="51" t="n"/>
      <c r="U108" s="51" t="n"/>
      <c r="V108" s="51" t="n"/>
      <c r="W108" s="51" t="n"/>
      <c r="X108" s="51" t="n"/>
      <c r="Y108" s="51" t="n"/>
      <c r="Z108" s="51" t="n"/>
      <c r="AA108" s="51" t="n"/>
      <c r="AB108" s="51" t="n"/>
      <c r="AC108" s="51" t="n"/>
      <c r="AD108" s="51" t="n"/>
      <c r="AE108" s="51" t="n"/>
      <c r="AF108" s="51" t="n"/>
      <c r="AG108" s="51" t="n"/>
      <c r="AH108" s="51" t="n"/>
      <c r="AI108" s="51" t="n"/>
      <c r="AJ108" s="51" t="n"/>
      <c r="AK108" s="51" t="n"/>
      <c r="AL108" s="51" t="n"/>
      <c r="AM108" s="51" t="n"/>
      <c r="AN108" s="51" t="n"/>
      <c r="AO108" s="51" t="n"/>
      <c r="AP108" s="51" t="n"/>
      <c r="AQ108" s="51" t="n"/>
      <c r="AR108" s="51" t="n"/>
      <c r="AS108" s="51" t="n"/>
      <c r="AT108" s="51" t="n"/>
      <c r="AU108" s="51" t="n"/>
      <c r="AV108" s="51" t="n"/>
      <c r="AW108" s="51" t="n"/>
      <c r="AX108" s="51" t="n"/>
      <c r="AY108" s="51" t="n"/>
      <c r="AZ108" s="51" t="n"/>
      <c r="BA108" s="51" t="n"/>
      <c r="BB108" s="51" t="n"/>
      <c r="BC108" s="51" t="n"/>
      <c r="BD108" s="51" t="n"/>
      <c r="BE108" s="51" t="n"/>
      <c r="BF108" s="51" t="n"/>
      <c r="BG108" s="51" t="n"/>
      <c r="BH108" s="51" t="n"/>
      <c r="BI108" s="51" t="n"/>
      <c r="BJ108" s="51" t="n"/>
      <c r="BK108" s="51" t="n"/>
      <c r="BL108" s="51" t="n"/>
      <c r="BM108" s="51" t="n"/>
    </row>
    <row r="109">
      <c r="A109" s="47">
        <f>IF(Mitarbeiter!B109="","",Mitarbeiter!A109)</f>
        <v/>
      </c>
      <c r="B109" s="48">
        <f>IF(Mitarbeiter!B109="","",Mitarbeiter!B109)</f>
        <v/>
      </c>
      <c r="C109" s="37">
        <f>IF(Mitarbeiter!B109="","",N(INDEX($F109:$BM109,1,(Einstellungen!$C$3-2026)*12+1))+N(INDEX($F109:$BM109,1,(Einstellungen!$C$3-2026)*12+2))+N(INDEX($F109:$BM109,1,(Einstellungen!$C$3-2026)*12+3))+N(INDEX($F109:$BM109,1,(Einstellungen!$C$3-2026)*12+4))+N(INDEX($F109:$BM109,1,(Einstellungen!$C$3-2026)*12+5))+N(INDEX($F109:$BM109,1,(Einstellungen!$C$3-2026)*12+6))+N(INDEX($F109:$BM109,1,(Einstellungen!$C$3-2026)*12+7))+N(INDEX($F109:$BM109,1,(Einstellungen!$C$3-2026)*12+8))+N(INDEX($F109:$BM109,1,(Einstellungen!$C$3-2026)*12+9))+N(INDEX($F109:$BM109,1,(Einstellungen!$C$3-2026)*12+10))+N(INDEX($F109:$BM109,1,(Einstellungen!$C$3-2026)*12+11))+N(INDEX($F109:$BM109,1,(Einstellungen!$C$3-2026)*12+12)))</f>
        <v/>
      </c>
      <c r="D109" s="37">
        <f>IF(Mitarbeiter!B109="","",SUM(F109:BM109))</f>
        <v/>
      </c>
      <c r="F109" s="51" t="n"/>
      <c r="G109" s="51" t="n"/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  <c r="R109" s="51" t="n"/>
      <c r="S109" s="51" t="n"/>
      <c r="T109" s="51" t="n"/>
      <c r="U109" s="51" t="n"/>
      <c r="V109" s="51" t="n"/>
      <c r="W109" s="51" t="n"/>
      <c r="X109" s="51" t="n"/>
      <c r="Y109" s="51" t="n"/>
      <c r="Z109" s="51" t="n"/>
      <c r="AA109" s="51" t="n"/>
      <c r="AB109" s="51" t="n"/>
      <c r="AC109" s="51" t="n"/>
      <c r="AD109" s="51" t="n"/>
      <c r="AE109" s="51" t="n"/>
      <c r="AF109" s="51" t="n"/>
      <c r="AG109" s="51" t="n"/>
      <c r="AH109" s="51" t="n"/>
      <c r="AI109" s="51" t="n"/>
      <c r="AJ109" s="51" t="n"/>
      <c r="AK109" s="51" t="n"/>
      <c r="AL109" s="51" t="n"/>
      <c r="AM109" s="51" t="n"/>
      <c r="AN109" s="51" t="n"/>
      <c r="AO109" s="51" t="n"/>
      <c r="AP109" s="51" t="n"/>
      <c r="AQ109" s="51" t="n"/>
      <c r="AR109" s="51" t="n"/>
      <c r="AS109" s="51" t="n"/>
      <c r="AT109" s="51" t="n"/>
      <c r="AU109" s="51" t="n"/>
      <c r="AV109" s="51" t="n"/>
      <c r="AW109" s="51" t="n"/>
      <c r="AX109" s="51" t="n"/>
      <c r="AY109" s="51" t="n"/>
      <c r="AZ109" s="51" t="n"/>
      <c r="BA109" s="51" t="n"/>
      <c r="BB109" s="51" t="n"/>
      <c r="BC109" s="51" t="n"/>
      <c r="BD109" s="51" t="n"/>
      <c r="BE109" s="51" t="n"/>
      <c r="BF109" s="51" t="n"/>
      <c r="BG109" s="51" t="n"/>
      <c r="BH109" s="51" t="n"/>
      <c r="BI109" s="51" t="n"/>
      <c r="BJ109" s="51" t="n"/>
      <c r="BK109" s="51" t="n"/>
      <c r="BL109" s="51" t="n"/>
      <c r="BM109" s="51" t="n"/>
    </row>
    <row r="110">
      <c r="A110" s="47">
        <f>IF(Mitarbeiter!B110="","",Mitarbeiter!A110)</f>
        <v/>
      </c>
      <c r="B110" s="48">
        <f>IF(Mitarbeiter!B110="","",Mitarbeiter!B110)</f>
        <v/>
      </c>
      <c r="C110" s="37">
        <f>IF(Mitarbeiter!B110="","",N(INDEX($F110:$BM110,1,(Einstellungen!$C$3-2026)*12+1))+N(INDEX($F110:$BM110,1,(Einstellungen!$C$3-2026)*12+2))+N(INDEX($F110:$BM110,1,(Einstellungen!$C$3-2026)*12+3))+N(INDEX($F110:$BM110,1,(Einstellungen!$C$3-2026)*12+4))+N(INDEX($F110:$BM110,1,(Einstellungen!$C$3-2026)*12+5))+N(INDEX($F110:$BM110,1,(Einstellungen!$C$3-2026)*12+6))+N(INDEX($F110:$BM110,1,(Einstellungen!$C$3-2026)*12+7))+N(INDEX($F110:$BM110,1,(Einstellungen!$C$3-2026)*12+8))+N(INDEX($F110:$BM110,1,(Einstellungen!$C$3-2026)*12+9))+N(INDEX($F110:$BM110,1,(Einstellungen!$C$3-2026)*12+10))+N(INDEX($F110:$BM110,1,(Einstellungen!$C$3-2026)*12+11))+N(INDEX($F110:$BM110,1,(Einstellungen!$C$3-2026)*12+12)))</f>
        <v/>
      </c>
      <c r="D110" s="37">
        <f>IF(Mitarbeiter!B110="","",SUM(F110:BM110))</f>
        <v/>
      </c>
      <c r="F110" s="51" t="n"/>
      <c r="G110" s="51" t="n"/>
      <c r="H110" s="51" t="n"/>
      <c r="I110" s="51" t="n"/>
      <c r="J110" s="51" t="n"/>
      <c r="K110" s="51" t="n"/>
      <c r="L110" s="51" t="n"/>
      <c r="M110" s="51" t="n"/>
      <c r="N110" s="51" t="n"/>
      <c r="O110" s="51" t="n"/>
      <c r="P110" s="51" t="n"/>
      <c r="Q110" s="51" t="n"/>
      <c r="R110" s="51" t="n"/>
      <c r="S110" s="51" t="n"/>
      <c r="T110" s="51" t="n"/>
      <c r="U110" s="51" t="n"/>
      <c r="V110" s="51" t="n"/>
      <c r="W110" s="51" t="n"/>
      <c r="X110" s="51" t="n"/>
      <c r="Y110" s="51" t="n"/>
      <c r="Z110" s="51" t="n"/>
      <c r="AA110" s="51" t="n"/>
      <c r="AB110" s="51" t="n"/>
      <c r="AC110" s="51" t="n"/>
      <c r="AD110" s="51" t="n"/>
      <c r="AE110" s="51" t="n"/>
      <c r="AF110" s="51" t="n"/>
      <c r="AG110" s="51" t="n"/>
      <c r="AH110" s="51" t="n"/>
      <c r="AI110" s="51" t="n"/>
      <c r="AJ110" s="51" t="n"/>
      <c r="AK110" s="51" t="n"/>
      <c r="AL110" s="51" t="n"/>
      <c r="AM110" s="51" t="n"/>
      <c r="AN110" s="51" t="n"/>
      <c r="AO110" s="51" t="n"/>
      <c r="AP110" s="51" t="n"/>
      <c r="AQ110" s="51" t="n"/>
      <c r="AR110" s="51" t="n"/>
      <c r="AS110" s="51" t="n"/>
      <c r="AT110" s="51" t="n"/>
      <c r="AU110" s="51" t="n"/>
      <c r="AV110" s="51" t="n"/>
      <c r="AW110" s="51" t="n"/>
      <c r="AX110" s="51" t="n"/>
      <c r="AY110" s="51" t="n"/>
      <c r="AZ110" s="51" t="n"/>
      <c r="BA110" s="51" t="n"/>
      <c r="BB110" s="51" t="n"/>
      <c r="BC110" s="51" t="n"/>
      <c r="BD110" s="51" t="n"/>
      <c r="BE110" s="51" t="n"/>
      <c r="BF110" s="51" t="n"/>
      <c r="BG110" s="51" t="n"/>
      <c r="BH110" s="51" t="n"/>
      <c r="BI110" s="51" t="n"/>
      <c r="BJ110" s="51" t="n"/>
      <c r="BK110" s="51" t="n"/>
      <c r="BL110" s="51" t="n"/>
      <c r="BM110" s="51" t="n"/>
    </row>
    <row r="111">
      <c r="A111" s="47">
        <f>IF(Mitarbeiter!B111="","",Mitarbeiter!A111)</f>
        <v/>
      </c>
      <c r="B111" s="48">
        <f>IF(Mitarbeiter!B111="","",Mitarbeiter!B111)</f>
        <v/>
      </c>
      <c r="C111" s="37">
        <f>IF(Mitarbeiter!B111="","",N(INDEX($F111:$BM111,1,(Einstellungen!$C$3-2026)*12+1))+N(INDEX($F111:$BM111,1,(Einstellungen!$C$3-2026)*12+2))+N(INDEX($F111:$BM111,1,(Einstellungen!$C$3-2026)*12+3))+N(INDEX($F111:$BM111,1,(Einstellungen!$C$3-2026)*12+4))+N(INDEX($F111:$BM111,1,(Einstellungen!$C$3-2026)*12+5))+N(INDEX($F111:$BM111,1,(Einstellungen!$C$3-2026)*12+6))+N(INDEX($F111:$BM111,1,(Einstellungen!$C$3-2026)*12+7))+N(INDEX($F111:$BM111,1,(Einstellungen!$C$3-2026)*12+8))+N(INDEX($F111:$BM111,1,(Einstellungen!$C$3-2026)*12+9))+N(INDEX($F111:$BM111,1,(Einstellungen!$C$3-2026)*12+10))+N(INDEX($F111:$BM111,1,(Einstellungen!$C$3-2026)*12+11))+N(INDEX($F111:$BM111,1,(Einstellungen!$C$3-2026)*12+12)))</f>
        <v/>
      </c>
      <c r="D111" s="37">
        <f>IF(Mitarbeiter!B111="","",SUM(F111:BM111))</f>
        <v/>
      </c>
      <c r="F111" s="51" t="n"/>
      <c r="G111" s="51" t="n"/>
      <c r="H111" s="51" t="n"/>
      <c r="I111" s="51" t="n"/>
      <c r="J111" s="51" t="n"/>
      <c r="K111" s="51" t="n"/>
      <c r="L111" s="51" t="n"/>
      <c r="M111" s="51" t="n"/>
      <c r="N111" s="51" t="n"/>
      <c r="O111" s="51" t="n"/>
      <c r="P111" s="51" t="n"/>
      <c r="Q111" s="51" t="n"/>
      <c r="R111" s="51" t="n"/>
      <c r="S111" s="51" t="n"/>
      <c r="T111" s="51" t="n"/>
      <c r="U111" s="51" t="n"/>
      <c r="V111" s="51" t="n"/>
      <c r="W111" s="51" t="n"/>
      <c r="X111" s="51" t="n"/>
      <c r="Y111" s="51" t="n"/>
      <c r="Z111" s="51" t="n"/>
      <c r="AA111" s="51" t="n"/>
      <c r="AB111" s="51" t="n"/>
      <c r="AC111" s="51" t="n"/>
      <c r="AD111" s="51" t="n"/>
      <c r="AE111" s="51" t="n"/>
      <c r="AF111" s="51" t="n"/>
      <c r="AG111" s="51" t="n"/>
      <c r="AH111" s="51" t="n"/>
      <c r="AI111" s="51" t="n"/>
      <c r="AJ111" s="51" t="n"/>
      <c r="AK111" s="51" t="n"/>
      <c r="AL111" s="51" t="n"/>
      <c r="AM111" s="51" t="n"/>
      <c r="AN111" s="51" t="n"/>
      <c r="AO111" s="51" t="n"/>
      <c r="AP111" s="51" t="n"/>
      <c r="AQ111" s="51" t="n"/>
      <c r="AR111" s="51" t="n"/>
      <c r="AS111" s="51" t="n"/>
      <c r="AT111" s="51" t="n"/>
      <c r="AU111" s="51" t="n"/>
      <c r="AV111" s="51" t="n"/>
      <c r="AW111" s="51" t="n"/>
      <c r="AX111" s="51" t="n"/>
      <c r="AY111" s="51" t="n"/>
      <c r="AZ111" s="51" t="n"/>
      <c r="BA111" s="51" t="n"/>
      <c r="BB111" s="51" t="n"/>
      <c r="BC111" s="51" t="n"/>
      <c r="BD111" s="51" t="n"/>
      <c r="BE111" s="51" t="n"/>
      <c r="BF111" s="51" t="n"/>
      <c r="BG111" s="51" t="n"/>
      <c r="BH111" s="51" t="n"/>
      <c r="BI111" s="51" t="n"/>
      <c r="BJ111" s="51" t="n"/>
      <c r="BK111" s="51" t="n"/>
      <c r="BL111" s="51" t="n"/>
      <c r="BM111" s="51" t="n"/>
    </row>
    <row r="112">
      <c r="A112" s="47">
        <f>IF(Mitarbeiter!B112="","",Mitarbeiter!A112)</f>
        <v/>
      </c>
      <c r="B112" s="48">
        <f>IF(Mitarbeiter!B112="","",Mitarbeiter!B112)</f>
        <v/>
      </c>
      <c r="C112" s="37">
        <f>IF(Mitarbeiter!B112="","",N(INDEX($F112:$BM112,1,(Einstellungen!$C$3-2026)*12+1))+N(INDEX($F112:$BM112,1,(Einstellungen!$C$3-2026)*12+2))+N(INDEX($F112:$BM112,1,(Einstellungen!$C$3-2026)*12+3))+N(INDEX($F112:$BM112,1,(Einstellungen!$C$3-2026)*12+4))+N(INDEX($F112:$BM112,1,(Einstellungen!$C$3-2026)*12+5))+N(INDEX($F112:$BM112,1,(Einstellungen!$C$3-2026)*12+6))+N(INDEX($F112:$BM112,1,(Einstellungen!$C$3-2026)*12+7))+N(INDEX($F112:$BM112,1,(Einstellungen!$C$3-2026)*12+8))+N(INDEX($F112:$BM112,1,(Einstellungen!$C$3-2026)*12+9))+N(INDEX($F112:$BM112,1,(Einstellungen!$C$3-2026)*12+10))+N(INDEX($F112:$BM112,1,(Einstellungen!$C$3-2026)*12+11))+N(INDEX($F112:$BM112,1,(Einstellungen!$C$3-2026)*12+12)))</f>
        <v/>
      </c>
      <c r="D112" s="37">
        <f>IF(Mitarbeiter!B112="","",SUM(F112:BM112))</f>
        <v/>
      </c>
      <c r="F112" s="51" t="n"/>
      <c r="G112" s="51" t="n"/>
      <c r="H112" s="51" t="n"/>
      <c r="I112" s="51" t="n"/>
      <c r="J112" s="51" t="n"/>
      <c r="K112" s="51" t="n"/>
      <c r="L112" s="51" t="n"/>
      <c r="M112" s="51" t="n"/>
      <c r="N112" s="51" t="n"/>
      <c r="O112" s="51" t="n"/>
      <c r="P112" s="51" t="n"/>
      <c r="Q112" s="51" t="n"/>
      <c r="R112" s="51" t="n"/>
      <c r="S112" s="51" t="n"/>
      <c r="T112" s="51" t="n"/>
      <c r="U112" s="51" t="n"/>
      <c r="V112" s="51" t="n"/>
      <c r="W112" s="51" t="n"/>
      <c r="X112" s="51" t="n"/>
      <c r="Y112" s="51" t="n"/>
      <c r="Z112" s="51" t="n"/>
      <c r="AA112" s="51" t="n"/>
      <c r="AB112" s="51" t="n"/>
      <c r="AC112" s="51" t="n"/>
      <c r="AD112" s="51" t="n"/>
      <c r="AE112" s="51" t="n"/>
      <c r="AF112" s="51" t="n"/>
      <c r="AG112" s="51" t="n"/>
      <c r="AH112" s="51" t="n"/>
      <c r="AI112" s="51" t="n"/>
      <c r="AJ112" s="51" t="n"/>
      <c r="AK112" s="51" t="n"/>
      <c r="AL112" s="51" t="n"/>
      <c r="AM112" s="51" t="n"/>
      <c r="AN112" s="51" t="n"/>
      <c r="AO112" s="51" t="n"/>
      <c r="AP112" s="51" t="n"/>
      <c r="AQ112" s="51" t="n"/>
      <c r="AR112" s="51" t="n"/>
      <c r="AS112" s="51" t="n"/>
      <c r="AT112" s="51" t="n"/>
      <c r="AU112" s="51" t="n"/>
      <c r="AV112" s="51" t="n"/>
      <c r="AW112" s="51" t="n"/>
      <c r="AX112" s="51" t="n"/>
      <c r="AY112" s="51" t="n"/>
      <c r="AZ112" s="51" t="n"/>
      <c r="BA112" s="51" t="n"/>
      <c r="BB112" s="51" t="n"/>
      <c r="BC112" s="51" t="n"/>
      <c r="BD112" s="51" t="n"/>
      <c r="BE112" s="51" t="n"/>
      <c r="BF112" s="51" t="n"/>
      <c r="BG112" s="51" t="n"/>
      <c r="BH112" s="51" t="n"/>
      <c r="BI112" s="51" t="n"/>
      <c r="BJ112" s="51" t="n"/>
      <c r="BK112" s="51" t="n"/>
      <c r="BL112" s="51" t="n"/>
      <c r="BM112" s="51" t="n"/>
    </row>
    <row r="113">
      <c r="A113" s="47">
        <f>IF(Mitarbeiter!B113="","",Mitarbeiter!A113)</f>
        <v/>
      </c>
      <c r="B113" s="48">
        <f>IF(Mitarbeiter!B113="","",Mitarbeiter!B113)</f>
        <v/>
      </c>
      <c r="C113" s="37">
        <f>IF(Mitarbeiter!B113="","",N(INDEX($F113:$BM113,1,(Einstellungen!$C$3-2026)*12+1))+N(INDEX($F113:$BM113,1,(Einstellungen!$C$3-2026)*12+2))+N(INDEX($F113:$BM113,1,(Einstellungen!$C$3-2026)*12+3))+N(INDEX($F113:$BM113,1,(Einstellungen!$C$3-2026)*12+4))+N(INDEX($F113:$BM113,1,(Einstellungen!$C$3-2026)*12+5))+N(INDEX($F113:$BM113,1,(Einstellungen!$C$3-2026)*12+6))+N(INDEX($F113:$BM113,1,(Einstellungen!$C$3-2026)*12+7))+N(INDEX($F113:$BM113,1,(Einstellungen!$C$3-2026)*12+8))+N(INDEX($F113:$BM113,1,(Einstellungen!$C$3-2026)*12+9))+N(INDEX($F113:$BM113,1,(Einstellungen!$C$3-2026)*12+10))+N(INDEX($F113:$BM113,1,(Einstellungen!$C$3-2026)*12+11))+N(INDEX($F113:$BM113,1,(Einstellungen!$C$3-2026)*12+12)))</f>
        <v/>
      </c>
      <c r="D113" s="37">
        <f>IF(Mitarbeiter!B113="","",SUM(F113:BM113))</f>
        <v/>
      </c>
      <c r="F113" s="51" t="n"/>
      <c r="G113" s="51" t="n"/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  <c r="R113" s="51" t="n"/>
      <c r="S113" s="51" t="n"/>
      <c r="T113" s="51" t="n"/>
      <c r="U113" s="51" t="n"/>
      <c r="V113" s="51" t="n"/>
      <c r="W113" s="51" t="n"/>
      <c r="X113" s="51" t="n"/>
      <c r="Y113" s="51" t="n"/>
      <c r="Z113" s="51" t="n"/>
      <c r="AA113" s="51" t="n"/>
      <c r="AB113" s="51" t="n"/>
      <c r="AC113" s="51" t="n"/>
      <c r="AD113" s="51" t="n"/>
      <c r="AE113" s="51" t="n"/>
      <c r="AF113" s="51" t="n"/>
      <c r="AG113" s="51" t="n"/>
      <c r="AH113" s="51" t="n"/>
      <c r="AI113" s="51" t="n"/>
      <c r="AJ113" s="51" t="n"/>
      <c r="AK113" s="51" t="n"/>
      <c r="AL113" s="51" t="n"/>
      <c r="AM113" s="51" t="n"/>
      <c r="AN113" s="51" t="n"/>
      <c r="AO113" s="51" t="n"/>
      <c r="AP113" s="51" t="n"/>
      <c r="AQ113" s="51" t="n"/>
      <c r="AR113" s="51" t="n"/>
      <c r="AS113" s="51" t="n"/>
      <c r="AT113" s="51" t="n"/>
      <c r="AU113" s="51" t="n"/>
      <c r="AV113" s="51" t="n"/>
      <c r="AW113" s="51" t="n"/>
      <c r="AX113" s="51" t="n"/>
      <c r="AY113" s="51" t="n"/>
      <c r="AZ113" s="51" t="n"/>
      <c r="BA113" s="51" t="n"/>
      <c r="BB113" s="51" t="n"/>
      <c r="BC113" s="51" t="n"/>
      <c r="BD113" s="51" t="n"/>
      <c r="BE113" s="51" t="n"/>
      <c r="BF113" s="51" t="n"/>
      <c r="BG113" s="51" t="n"/>
      <c r="BH113" s="51" t="n"/>
      <c r="BI113" s="51" t="n"/>
      <c r="BJ113" s="51" t="n"/>
      <c r="BK113" s="51" t="n"/>
      <c r="BL113" s="51" t="n"/>
      <c r="BM113" s="51" t="n"/>
    </row>
    <row r="114">
      <c r="A114" s="47">
        <f>IF(Mitarbeiter!B114="","",Mitarbeiter!A114)</f>
        <v/>
      </c>
      <c r="B114" s="48">
        <f>IF(Mitarbeiter!B114="","",Mitarbeiter!B114)</f>
        <v/>
      </c>
      <c r="C114" s="37">
        <f>IF(Mitarbeiter!B114="","",N(INDEX($F114:$BM114,1,(Einstellungen!$C$3-2026)*12+1))+N(INDEX($F114:$BM114,1,(Einstellungen!$C$3-2026)*12+2))+N(INDEX($F114:$BM114,1,(Einstellungen!$C$3-2026)*12+3))+N(INDEX($F114:$BM114,1,(Einstellungen!$C$3-2026)*12+4))+N(INDEX($F114:$BM114,1,(Einstellungen!$C$3-2026)*12+5))+N(INDEX($F114:$BM114,1,(Einstellungen!$C$3-2026)*12+6))+N(INDEX($F114:$BM114,1,(Einstellungen!$C$3-2026)*12+7))+N(INDEX($F114:$BM114,1,(Einstellungen!$C$3-2026)*12+8))+N(INDEX($F114:$BM114,1,(Einstellungen!$C$3-2026)*12+9))+N(INDEX($F114:$BM114,1,(Einstellungen!$C$3-2026)*12+10))+N(INDEX($F114:$BM114,1,(Einstellungen!$C$3-2026)*12+11))+N(INDEX($F114:$BM114,1,(Einstellungen!$C$3-2026)*12+12)))</f>
        <v/>
      </c>
      <c r="D114" s="37">
        <f>IF(Mitarbeiter!B114="","",SUM(F114:BM114))</f>
        <v/>
      </c>
      <c r="F114" s="51" t="n"/>
      <c r="G114" s="51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  <c r="AA114" s="51" t="n"/>
      <c r="AB114" s="51" t="n"/>
      <c r="AC114" s="51" t="n"/>
      <c r="AD114" s="51" t="n"/>
      <c r="AE114" s="51" t="n"/>
      <c r="AF114" s="51" t="n"/>
      <c r="AG114" s="51" t="n"/>
      <c r="AH114" s="51" t="n"/>
      <c r="AI114" s="51" t="n"/>
      <c r="AJ114" s="51" t="n"/>
      <c r="AK114" s="51" t="n"/>
      <c r="AL114" s="51" t="n"/>
      <c r="AM114" s="51" t="n"/>
      <c r="AN114" s="51" t="n"/>
      <c r="AO114" s="51" t="n"/>
      <c r="AP114" s="51" t="n"/>
      <c r="AQ114" s="51" t="n"/>
      <c r="AR114" s="51" t="n"/>
      <c r="AS114" s="51" t="n"/>
      <c r="AT114" s="51" t="n"/>
      <c r="AU114" s="51" t="n"/>
      <c r="AV114" s="51" t="n"/>
      <c r="AW114" s="51" t="n"/>
      <c r="AX114" s="51" t="n"/>
      <c r="AY114" s="51" t="n"/>
      <c r="AZ114" s="51" t="n"/>
      <c r="BA114" s="51" t="n"/>
      <c r="BB114" s="51" t="n"/>
      <c r="BC114" s="51" t="n"/>
      <c r="BD114" s="51" t="n"/>
      <c r="BE114" s="51" t="n"/>
      <c r="BF114" s="51" t="n"/>
      <c r="BG114" s="51" t="n"/>
      <c r="BH114" s="51" t="n"/>
      <c r="BI114" s="51" t="n"/>
      <c r="BJ114" s="51" t="n"/>
      <c r="BK114" s="51" t="n"/>
      <c r="BL114" s="51" t="n"/>
      <c r="BM114" s="51" t="n"/>
    </row>
    <row r="115">
      <c r="A115" s="47">
        <f>IF(Mitarbeiter!B115="","",Mitarbeiter!A115)</f>
        <v/>
      </c>
      <c r="B115" s="48">
        <f>IF(Mitarbeiter!B115="","",Mitarbeiter!B115)</f>
        <v/>
      </c>
      <c r="C115" s="37">
        <f>IF(Mitarbeiter!B115="","",N(INDEX($F115:$BM115,1,(Einstellungen!$C$3-2026)*12+1))+N(INDEX($F115:$BM115,1,(Einstellungen!$C$3-2026)*12+2))+N(INDEX($F115:$BM115,1,(Einstellungen!$C$3-2026)*12+3))+N(INDEX($F115:$BM115,1,(Einstellungen!$C$3-2026)*12+4))+N(INDEX($F115:$BM115,1,(Einstellungen!$C$3-2026)*12+5))+N(INDEX($F115:$BM115,1,(Einstellungen!$C$3-2026)*12+6))+N(INDEX($F115:$BM115,1,(Einstellungen!$C$3-2026)*12+7))+N(INDEX($F115:$BM115,1,(Einstellungen!$C$3-2026)*12+8))+N(INDEX($F115:$BM115,1,(Einstellungen!$C$3-2026)*12+9))+N(INDEX($F115:$BM115,1,(Einstellungen!$C$3-2026)*12+10))+N(INDEX($F115:$BM115,1,(Einstellungen!$C$3-2026)*12+11))+N(INDEX($F115:$BM115,1,(Einstellungen!$C$3-2026)*12+12)))</f>
        <v/>
      </c>
      <c r="D115" s="37">
        <f>IF(Mitarbeiter!B115="","",SUM(F115:BM115))</f>
        <v/>
      </c>
      <c r="F115" s="51" t="n"/>
      <c r="G115" s="51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  <c r="AA115" s="51" t="n"/>
      <c r="AB115" s="51" t="n"/>
      <c r="AC115" s="51" t="n"/>
      <c r="AD115" s="51" t="n"/>
      <c r="AE115" s="51" t="n"/>
      <c r="AF115" s="51" t="n"/>
      <c r="AG115" s="51" t="n"/>
      <c r="AH115" s="51" t="n"/>
      <c r="AI115" s="51" t="n"/>
      <c r="AJ115" s="51" t="n"/>
      <c r="AK115" s="51" t="n"/>
      <c r="AL115" s="51" t="n"/>
      <c r="AM115" s="51" t="n"/>
      <c r="AN115" s="51" t="n"/>
      <c r="AO115" s="51" t="n"/>
      <c r="AP115" s="51" t="n"/>
      <c r="AQ115" s="51" t="n"/>
      <c r="AR115" s="51" t="n"/>
      <c r="AS115" s="51" t="n"/>
      <c r="AT115" s="51" t="n"/>
      <c r="AU115" s="51" t="n"/>
      <c r="AV115" s="51" t="n"/>
      <c r="AW115" s="51" t="n"/>
      <c r="AX115" s="51" t="n"/>
      <c r="AY115" s="51" t="n"/>
      <c r="AZ115" s="51" t="n"/>
      <c r="BA115" s="51" t="n"/>
      <c r="BB115" s="51" t="n"/>
      <c r="BC115" s="51" t="n"/>
      <c r="BD115" s="51" t="n"/>
      <c r="BE115" s="51" t="n"/>
      <c r="BF115" s="51" t="n"/>
      <c r="BG115" s="51" t="n"/>
      <c r="BH115" s="51" t="n"/>
      <c r="BI115" s="51" t="n"/>
      <c r="BJ115" s="51" t="n"/>
      <c r="BK115" s="51" t="n"/>
      <c r="BL115" s="51" t="n"/>
      <c r="BM115" s="51" t="n"/>
    </row>
    <row r="116">
      <c r="A116" s="47">
        <f>IF(Mitarbeiter!B116="","",Mitarbeiter!A116)</f>
        <v/>
      </c>
      <c r="B116" s="48">
        <f>IF(Mitarbeiter!B116="","",Mitarbeiter!B116)</f>
        <v/>
      </c>
      <c r="C116" s="37">
        <f>IF(Mitarbeiter!B116="","",N(INDEX($F116:$BM116,1,(Einstellungen!$C$3-2026)*12+1))+N(INDEX($F116:$BM116,1,(Einstellungen!$C$3-2026)*12+2))+N(INDEX($F116:$BM116,1,(Einstellungen!$C$3-2026)*12+3))+N(INDEX($F116:$BM116,1,(Einstellungen!$C$3-2026)*12+4))+N(INDEX($F116:$BM116,1,(Einstellungen!$C$3-2026)*12+5))+N(INDEX($F116:$BM116,1,(Einstellungen!$C$3-2026)*12+6))+N(INDEX($F116:$BM116,1,(Einstellungen!$C$3-2026)*12+7))+N(INDEX($F116:$BM116,1,(Einstellungen!$C$3-2026)*12+8))+N(INDEX($F116:$BM116,1,(Einstellungen!$C$3-2026)*12+9))+N(INDEX($F116:$BM116,1,(Einstellungen!$C$3-2026)*12+10))+N(INDEX($F116:$BM116,1,(Einstellungen!$C$3-2026)*12+11))+N(INDEX($F116:$BM116,1,(Einstellungen!$C$3-2026)*12+12)))</f>
        <v/>
      </c>
      <c r="D116" s="37">
        <f>IF(Mitarbeiter!B116="","",SUM(F116:BM116))</f>
        <v/>
      </c>
      <c r="F116" s="51" t="n"/>
      <c r="G116" s="51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  <c r="AA116" s="51" t="n"/>
      <c r="AB116" s="51" t="n"/>
      <c r="AC116" s="51" t="n"/>
      <c r="AD116" s="51" t="n"/>
      <c r="AE116" s="51" t="n"/>
      <c r="AF116" s="51" t="n"/>
      <c r="AG116" s="51" t="n"/>
      <c r="AH116" s="51" t="n"/>
      <c r="AI116" s="51" t="n"/>
      <c r="AJ116" s="51" t="n"/>
      <c r="AK116" s="51" t="n"/>
      <c r="AL116" s="51" t="n"/>
      <c r="AM116" s="51" t="n"/>
      <c r="AN116" s="51" t="n"/>
      <c r="AO116" s="51" t="n"/>
      <c r="AP116" s="51" t="n"/>
      <c r="AQ116" s="51" t="n"/>
      <c r="AR116" s="51" t="n"/>
      <c r="AS116" s="51" t="n"/>
      <c r="AT116" s="51" t="n"/>
      <c r="AU116" s="51" t="n"/>
      <c r="AV116" s="51" t="n"/>
      <c r="AW116" s="51" t="n"/>
      <c r="AX116" s="51" t="n"/>
      <c r="AY116" s="51" t="n"/>
      <c r="AZ116" s="51" t="n"/>
      <c r="BA116" s="51" t="n"/>
      <c r="BB116" s="51" t="n"/>
      <c r="BC116" s="51" t="n"/>
      <c r="BD116" s="51" t="n"/>
      <c r="BE116" s="51" t="n"/>
      <c r="BF116" s="51" t="n"/>
      <c r="BG116" s="51" t="n"/>
      <c r="BH116" s="51" t="n"/>
      <c r="BI116" s="51" t="n"/>
      <c r="BJ116" s="51" t="n"/>
      <c r="BK116" s="51" t="n"/>
      <c r="BL116" s="51" t="n"/>
      <c r="BM116" s="51" t="n"/>
    </row>
    <row r="117">
      <c r="A117" s="47">
        <f>IF(Mitarbeiter!B117="","",Mitarbeiter!A117)</f>
        <v/>
      </c>
      <c r="B117" s="48">
        <f>IF(Mitarbeiter!B117="","",Mitarbeiter!B117)</f>
        <v/>
      </c>
      <c r="C117" s="37">
        <f>IF(Mitarbeiter!B117="","",N(INDEX($F117:$BM117,1,(Einstellungen!$C$3-2026)*12+1))+N(INDEX($F117:$BM117,1,(Einstellungen!$C$3-2026)*12+2))+N(INDEX($F117:$BM117,1,(Einstellungen!$C$3-2026)*12+3))+N(INDEX($F117:$BM117,1,(Einstellungen!$C$3-2026)*12+4))+N(INDEX($F117:$BM117,1,(Einstellungen!$C$3-2026)*12+5))+N(INDEX($F117:$BM117,1,(Einstellungen!$C$3-2026)*12+6))+N(INDEX($F117:$BM117,1,(Einstellungen!$C$3-2026)*12+7))+N(INDEX($F117:$BM117,1,(Einstellungen!$C$3-2026)*12+8))+N(INDEX($F117:$BM117,1,(Einstellungen!$C$3-2026)*12+9))+N(INDEX($F117:$BM117,1,(Einstellungen!$C$3-2026)*12+10))+N(INDEX($F117:$BM117,1,(Einstellungen!$C$3-2026)*12+11))+N(INDEX($F117:$BM117,1,(Einstellungen!$C$3-2026)*12+12)))</f>
        <v/>
      </c>
      <c r="D117" s="37">
        <f>IF(Mitarbeiter!B117="","",SUM(F117:BM117))</f>
        <v/>
      </c>
      <c r="F117" s="51" t="n"/>
      <c r="G117" s="51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  <c r="AA117" s="51" t="n"/>
      <c r="AB117" s="51" t="n"/>
      <c r="AC117" s="51" t="n"/>
      <c r="AD117" s="51" t="n"/>
      <c r="AE117" s="51" t="n"/>
      <c r="AF117" s="51" t="n"/>
      <c r="AG117" s="51" t="n"/>
      <c r="AH117" s="51" t="n"/>
      <c r="AI117" s="51" t="n"/>
      <c r="AJ117" s="51" t="n"/>
      <c r="AK117" s="51" t="n"/>
      <c r="AL117" s="51" t="n"/>
      <c r="AM117" s="51" t="n"/>
      <c r="AN117" s="51" t="n"/>
      <c r="AO117" s="51" t="n"/>
      <c r="AP117" s="51" t="n"/>
      <c r="AQ117" s="51" t="n"/>
      <c r="AR117" s="51" t="n"/>
      <c r="AS117" s="51" t="n"/>
      <c r="AT117" s="51" t="n"/>
      <c r="AU117" s="51" t="n"/>
      <c r="AV117" s="51" t="n"/>
      <c r="AW117" s="51" t="n"/>
      <c r="AX117" s="51" t="n"/>
      <c r="AY117" s="51" t="n"/>
      <c r="AZ117" s="51" t="n"/>
      <c r="BA117" s="51" t="n"/>
      <c r="BB117" s="51" t="n"/>
      <c r="BC117" s="51" t="n"/>
      <c r="BD117" s="51" t="n"/>
      <c r="BE117" s="51" t="n"/>
      <c r="BF117" s="51" t="n"/>
      <c r="BG117" s="51" t="n"/>
      <c r="BH117" s="51" t="n"/>
      <c r="BI117" s="51" t="n"/>
      <c r="BJ117" s="51" t="n"/>
      <c r="BK117" s="51" t="n"/>
      <c r="BL117" s="51" t="n"/>
      <c r="BM117" s="51" t="n"/>
    </row>
    <row r="118">
      <c r="A118" s="47">
        <f>IF(Mitarbeiter!B118="","",Mitarbeiter!A118)</f>
        <v/>
      </c>
      <c r="B118" s="48">
        <f>IF(Mitarbeiter!B118="","",Mitarbeiter!B118)</f>
        <v/>
      </c>
      <c r="C118" s="37">
        <f>IF(Mitarbeiter!B118="","",N(INDEX($F118:$BM118,1,(Einstellungen!$C$3-2026)*12+1))+N(INDEX($F118:$BM118,1,(Einstellungen!$C$3-2026)*12+2))+N(INDEX($F118:$BM118,1,(Einstellungen!$C$3-2026)*12+3))+N(INDEX($F118:$BM118,1,(Einstellungen!$C$3-2026)*12+4))+N(INDEX($F118:$BM118,1,(Einstellungen!$C$3-2026)*12+5))+N(INDEX($F118:$BM118,1,(Einstellungen!$C$3-2026)*12+6))+N(INDEX($F118:$BM118,1,(Einstellungen!$C$3-2026)*12+7))+N(INDEX($F118:$BM118,1,(Einstellungen!$C$3-2026)*12+8))+N(INDEX($F118:$BM118,1,(Einstellungen!$C$3-2026)*12+9))+N(INDEX($F118:$BM118,1,(Einstellungen!$C$3-2026)*12+10))+N(INDEX($F118:$BM118,1,(Einstellungen!$C$3-2026)*12+11))+N(INDEX($F118:$BM118,1,(Einstellungen!$C$3-2026)*12+12)))</f>
        <v/>
      </c>
      <c r="D118" s="37">
        <f>IF(Mitarbeiter!B118="","",SUM(F118:BM118))</f>
        <v/>
      </c>
      <c r="F118" s="51" t="n"/>
      <c r="G118" s="51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  <c r="AA118" s="51" t="n"/>
      <c r="AB118" s="51" t="n"/>
      <c r="AC118" s="51" t="n"/>
      <c r="AD118" s="51" t="n"/>
      <c r="AE118" s="51" t="n"/>
      <c r="AF118" s="51" t="n"/>
      <c r="AG118" s="51" t="n"/>
      <c r="AH118" s="51" t="n"/>
      <c r="AI118" s="51" t="n"/>
      <c r="AJ118" s="51" t="n"/>
      <c r="AK118" s="51" t="n"/>
      <c r="AL118" s="51" t="n"/>
      <c r="AM118" s="51" t="n"/>
      <c r="AN118" s="51" t="n"/>
      <c r="AO118" s="51" t="n"/>
      <c r="AP118" s="51" t="n"/>
      <c r="AQ118" s="51" t="n"/>
      <c r="AR118" s="51" t="n"/>
      <c r="AS118" s="51" t="n"/>
      <c r="AT118" s="51" t="n"/>
      <c r="AU118" s="51" t="n"/>
      <c r="AV118" s="51" t="n"/>
      <c r="AW118" s="51" t="n"/>
      <c r="AX118" s="51" t="n"/>
      <c r="AY118" s="51" t="n"/>
      <c r="AZ118" s="51" t="n"/>
      <c r="BA118" s="51" t="n"/>
      <c r="BB118" s="51" t="n"/>
      <c r="BC118" s="51" t="n"/>
      <c r="BD118" s="51" t="n"/>
      <c r="BE118" s="51" t="n"/>
      <c r="BF118" s="51" t="n"/>
      <c r="BG118" s="51" t="n"/>
      <c r="BH118" s="51" t="n"/>
      <c r="BI118" s="51" t="n"/>
      <c r="BJ118" s="51" t="n"/>
      <c r="BK118" s="51" t="n"/>
      <c r="BL118" s="51" t="n"/>
      <c r="BM118" s="51" t="n"/>
    </row>
    <row r="119">
      <c r="A119" s="47">
        <f>IF(Mitarbeiter!B119="","",Mitarbeiter!A119)</f>
        <v/>
      </c>
      <c r="B119" s="48">
        <f>IF(Mitarbeiter!B119="","",Mitarbeiter!B119)</f>
        <v/>
      </c>
      <c r="C119" s="37">
        <f>IF(Mitarbeiter!B119="","",N(INDEX($F119:$BM119,1,(Einstellungen!$C$3-2026)*12+1))+N(INDEX($F119:$BM119,1,(Einstellungen!$C$3-2026)*12+2))+N(INDEX($F119:$BM119,1,(Einstellungen!$C$3-2026)*12+3))+N(INDEX($F119:$BM119,1,(Einstellungen!$C$3-2026)*12+4))+N(INDEX($F119:$BM119,1,(Einstellungen!$C$3-2026)*12+5))+N(INDEX($F119:$BM119,1,(Einstellungen!$C$3-2026)*12+6))+N(INDEX($F119:$BM119,1,(Einstellungen!$C$3-2026)*12+7))+N(INDEX($F119:$BM119,1,(Einstellungen!$C$3-2026)*12+8))+N(INDEX($F119:$BM119,1,(Einstellungen!$C$3-2026)*12+9))+N(INDEX($F119:$BM119,1,(Einstellungen!$C$3-2026)*12+10))+N(INDEX($F119:$BM119,1,(Einstellungen!$C$3-2026)*12+11))+N(INDEX($F119:$BM119,1,(Einstellungen!$C$3-2026)*12+12)))</f>
        <v/>
      </c>
      <c r="D119" s="37">
        <f>IF(Mitarbeiter!B119="","",SUM(F119:BM119))</f>
        <v/>
      </c>
      <c r="F119" s="51" t="n"/>
      <c r="G119" s="51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  <c r="AA119" s="51" t="n"/>
      <c r="AB119" s="51" t="n"/>
      <c r="AC119" s="51" t="n"/>
      <c r="AD119" s="51" t="n"/>
      <c r="AE119" s="51" t="n"/>
      <c r="AF119" s="51" t="n"/>
      <c r="AG119" s="51" t="n"/>
      <c r="AH119" s="51" t="n"/>
      <c r="AI119" s="51" t="n"/>
      <c r="AJ119" s="51" t="n"/>
      <c r="AK119" s="51" t="n"/>
      <c r="AL119" s="51" t="n"/>
      <c r="AM119" s="51" t="n"/>
      <c r="AN119" s="51" t="n"/>
      <c r="AO119" s="51" t="n"/>
      <c r="AP119" s="51" t="n"/>
      <c r="AQ119" s="51" t="n"/>
      <c r="AR119" s="51" t="n"/>
      <c r="AS119" s="51" t="n"/>
      <c r="AT119" s="51" t="n"/>
      <c r="AU119" s="51" t="n"/>
      <c r="AV119" s="51" t="n"/>
      <c r="AW119" s="51" t="n"/>
      <c r="AX119" s="51" t="n"/>
      <c r="AY119" s="51" t="n"/>
      <c r="AZ119" s="51" t="n"/>
      <c r="BA119" s="51" t="n"/>
      <c r="BB119" s="51" t="n"/>
      <c r="BC119" s="51" t="n"/>
      <c r="BD119" s="51" t="n"/>
      <c r="BE119" s="51" t="n"/>
      <c r="BF119" s="51" t="n"/>
      <c r="BG119" s="51" t="n"/>
      <c r="BH119" s="51" t="n"/>
      <c r="BI119" s="51" t="n"/>
      <c r="BJ119" s="51" t="n"/>
      <c r="BK119" s="51" t="n"/>
      <c r="BL119" s="51" t="n"/>
      <c r="BM119" s="51" t="n"/>
    </row>
    <row r="120">
      <c r="A120" s="47">
        <f>IF(Mitarbeiter!B120="","",Mitarbeiter!A120)</f>
        <v/>
      </c>
      <c r="B120" s="48">
        <f>IF(Mitarbeiter!B120="","",Mitarbeiter!B120)</f>
        <v/>
      </c>
      <c r="C120" s="37">
        <f>IF(Mitarbeiter!B120="","",N(INDEX($F120:$BM120,1,(Einstellungen!$C$3-2026)*12+1))+N(INDEX($F120:$BM120,1,(Einstellungen!$C$3-2026)*12+2))+N(INDEX($F120:$BM120,1,(Einstellungen!$C$3-2026)*12+3))+N(INDEX($F120:$BM120,1,(Einstellungen!$C$3-2026)*12+4))+N(INDEX($F120:$BM120,1,(Einstellungen!$C$3-2026)*12+5))+N(INDEX($F120:$BM120,1,(Einstellungen!$C$3-2026)*12+6))+N(INDEX($F120:$BM120,1,(Einstellungen!$C$3-2026)*12+7))+N(INDEX($F120:$BM120,1,(Einstellungen!$C$3-2026)*12+8))+N(INDEX($F120:$BM120,1,(Einstellungen!$C$3-2026)*12+9))+N(INDEX($F120:$BM120,1,(Einstellungen!$C$3-2026)*12+10))+N(INDEX($F120:$BM120,1,(Einstellungen!$C$3-2026)*12+11))+N(INDEX($F120:$BM120,1,(Einstellungen!$C$3-2026)*12+12)))</f>
        <v/>
      </c>
      <c r="D120" s="37">
        <f>IF(Mitarbeiter!B120="","",SUM(F120:BM120))</f>
        <v/>
      </c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  <c r="AA120" s="51" t="n"/>
      <c r="AB120" s="51" t="n"/>
      <c r="AC120" s="51" t="n"/>
      <c r="AD120" s="51" t="n"/>
      <c r="AE120" s="51" t="n"/>
      <c r="AF120" s="51" t="n"/>
      <c r="AG120" s="51" t="n"/>
      <c r="AH120" s="51" t="n"/>
      <c r="AI120" s="51" t="n"/>
      <c r="AJ120" s="51" t="n"/>
      <c r="AK120" s="51" t="n"/>
      <c r="AL120" s="51" t="n"/>
      <c r="AM120" s="51" t="n"/>
      <c r="AN120" s="51" t="n"/>
      <c r="AO120" s="51" t="n"/>
      <c r="AP120" s="51" t="n"/>
      <c r="AQ120" s="51" t="n"/>
      <c r="AR120" s="51" t="n"/>
      <c r="AS120" s="51" t="n"/>
      <c r="AT120" s="51" t="n"/>
      <c r="AU120" s="51" t="n"/>
      <c r="AV120" s="51" t="n"/>
      <c r="AW120" s="51" t="n"/>
      <c r="AX120" s="51" t="n"/>
      <c r="AY120" s="51" t="n"/>
      <c r="AZ120" s="51" t="n"/>
      <c r="BA120" s="51" t="n"/>
      <c r="BB120" s="51" t="n"/>
      <c r="BC120" s="51" t="n"/>
      <c r="BD120" s="51" t="n"/>
      <c r="BE120" s="51" t="n"/>
      <c r="BF120" s="51" t="n"/>
      <c r="BG120" s="51" t="n"/>
      <c r="BH120" s="51" t="n"/>
      <c r="BI120" s="51" t="n"/>
      <c r="BJ120" s="51" t="n"/>
      <c r="BK120" s="51" t="n"/>
      <c r="BL120" s="51" t="n"/>
      <c r="BM120" s="51" t="n"/>
    </row>
    <row r="121">
      <c r="A121" s="47">
        <f>IF(Mitarbeiter!B121="","",Mitarbeiter!A121)</f>
        <v/>
      </c>
      <c r="B121" s="48">
        <f>IF(Mitarbeiter!B121="","",Mitarbeiter!B121)</f>
        <v/>
      </c>
      <c r="C121" s="37">
        <f>IF(Mitarbeiter!B121="","",N(INDEX($F121:$BM121,1,(Einstellungen!$C$3-2026)*12+1))+N(INDEX($F121:$BM121,1,(Einstellungen!$C$3-2026)*12+2))+N(INDEX($F121:$BM121,1,(Einstellungen!$C$3-2026)*12+3))+N(INDEX($F121:$BM121,1,(Einstellungen!$C$3-2026)*12+4))+N(INDEX($F121:$BM121,1,(Einstellungen!$C$3-2026)*12+5))+N(INDEX($F121:$BM121,1,(Einstellungen!$C$3-2026)*12+6))+N(INDEX($F121:$BM121,1,(Einstellungen!$C$3-2026)*12+7))+N(INDEX($F121:$BM121,1,(Einstellungen!$C$3-2026)*12+8))+N(INDEX($F121:$BM121,1,(Einstellungen!$C$3-2026)*12+9))+N(INDEX($F121:$BM121,1,(Einstellungen!$C$3-2026)*12+10))+N(INDEX($F121:$BM121,1,(Einstellungen!$C$3-2026)*12+11))+N(INDEX($F121:$BM121,1,(Einstellungen!$C$3-2026)*12+12)))</f>
        <v/>
      </c>
      <c r="D121" s="37">
        <f>IF(Mitarbeiter!B121="","",SUM(F121:BM121))</f>
        <v/>
      </c>
      <c r="F121" s="51" t="n"/>
      <c r="G121" s="51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  <c r="AA121" s="51" t="n"/>
      <c r="AB121" s="51" t="n"/>
      <c r="AC121" s="51" t="n"/>
      <c r="AD121" s="51" t="n"/>
      <c r="AE121" s="51" t="n"/>
      <c r="AF121" s="51" t="n"/>
      <c r="AG121" s="51" t="n"/>
      <c r="AH121" s="51" t="n"/>
      <c r="AI121" s="51" t="n"/>
      <c r="AJ121" s="51" t="n"/>
      <c r="AK121" s="51" t="n"/>
      <c r="AL121" s="51" t="n"/>
      <c r="AM121" s="51" t="n"/>
      <c r="AN121" s="51" t="n"/>
      <c r="AO121" s="51" t="n"/>
      <c r="AP121" s="51" t="n"/>
      <c r="AQ121" s="51" t="n"/>
      <c r="AR121" s="51" t="n"/>
      <c r="AS121" s="51" t="n"/>
      <c r="AT121" s="51" t="n"/>
      <c r="AU121" s="51" t="n"/>
      <c r="AV121" s="51" t="n"/>
      <c r="AW121" s="51" t="n"/>
      <c r="AX121" s="51" t="n"/>
      <c r="AY121" s="51" t="n"/>
      <c r="AZ121" s="51" t="n"/>
      <c r="BA121" s="51" t="n"/>
      <c r="BB121" s="51" t="n"/>
      <c r="BC121" s="51" t="n"/>
      <c r="BD121" s="51" t="n"/>
      <c r="BE121" s="51" t="n"/>
      <c r="BF121" s="51" t="n"/>
      <c r="BG121" s="51" t="n"/>
      <c r="BH121" s="51" t="n"/>
      <c r="BI121" s="51" t="n"/>
      <c r="BJ121" s="51" t="n"/>
      <c r="BK121" s="51" t="n"/>
      <c r="BL121" s="51" t="n"/>
      <c r="BM121" s="51" t="n"/>
    </row>
    <row r="122">
      <c r="A122" s="47">
        <f>IF(Mitarbeiter!B122="","",Mitarbeiter!A122)</f>
        <v/>
      </c>
      <c r="B122" s="48">
        <f>IF(Mitarbeiter!B122="","",Mitarbeiter!B122)</f>
        <v/>
      </c>
      <c r="C122" s="37">
        <f>IF(Mitarbeiter!B122="","",N(INDEX($F122:$BM122,1,(Einstellungen!$C$3-2026)*12+1))+N(INDEX($F122:$BM122,1,(Einstellungen!$C$3-2026)*12+2))+N(INDEX($F122:$BM122,1,(Einstellungen!$C$3-2026)*12+3))+N(INDEX($F122:$BM122,1,(Einstellungen!$C$3-2026)*12+4))+N(INDEX($F122:$BM122,1,(Einstellungen!$C$3-2026)*12+5))+N(INDEX($F122:$BM122,1,(Einstellungen!$C$3-2026)*12+6))+N(INDEX($F122:$BM122,1,(Einstellungen!$C$3-2026)*12+7))+N(INDEX($F122:$BM122,1,(Einstellungen!$C$3-2026)*12+8))+N(INDEX($F122:$BM122,1,(Einstellungen!$C$3-2026)*12+9))+N(INDEX($F122:$BM122,1,(Einstellungen!$C$3-2026)*12+10))+N(INDEX($F122:$BM122,1,(Einstellungen!$C$3-2026)*12+11))+N(INDEX($F122:$BM122,1,(Einstellungen!$C$3-2026)*12+12)))</f>
        <v/>
      </c>
      <c r="D122" s="37">
        <f>IF(Mitarbeiter!B122="","",SUM(F122:BM122))</f>
        <v/>
      </c>
      <c r="F122" s="51" t="n"/>
      <c r="G122" s="51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  <c r="AA122" s="51" t="n"/>
      <c r="AB122" s="51" t="n"/>
      <c r="AC122" s="51" t="n"/>
      <c r="AD122" s="51" t="n"/>
      <c r="AE122" s="51" t="n"/>
      <c r="AF122" s="51" t="n"/>
      <c r="AG122" s="51" t="n"/>
      <c r="AH122" s="51" t="n"/>
      <c r="AI122" s="51" t="n"/>
      <c r="AJ122" s="51" t="n"/>
      <c r="AK122" s="51" t="n"/>
      <c r="AL122" s="51" t="n"/>
      <c r="AM122" s="51" t="n"/>
      <c r="AN122" s="51" t="n"/>
      <c r="AO122" s="51" t="n"/>
      <c r="AP122" s="51" t="n"/>
      <c r="AQ122" s="51" t="n"/>
      <c r="AR122" s="51" t="n"/>
      <c r="AS122" s="51" t="n"/>
      <c r="AT122" s="51" t="n"/>
      <c r="AU122" s="51" t="n"/>
      <c r="AV122" s="51" t="n"/>
      <c r="AW122" s="51" t="n"/>
      <c r="AX122" s="51" t="n"/>
      <c r="AY122" s="51" t="n"/>
      <c r="AZ122" s="51" t="n"/>
      <c r="BA122" s="51" t="n"/>
      <c r="BB122" s="51" t="n"/>
      <c r="BC122" s="51" t="n"/>
      <c r="BD122" s="51" t="n"/>
      <c r="BE122" s="51" t="n"/>
      <c r="BF122" s="51" t="n"/>
      <c r="BG122" s="51" t="n"/>
      <c r="BH122" s="51" t="n"/>
      <c r="BI122" s="51" t="n"/>
      <c r="BJ122" s="51" t="n"/>
      <c r="BK122" s="51" t="n"/>
      <c r="BL122" s="51" t="n"/>
      <c r="BM122" s="51" t="n"/>
    </row>
    <row r="123">
      <c r="A123" s="47">
        <f>IF(Mitarbeiter!B123="","",Mitarbeiter!A123)</f>
        <v/>
      </c>
      <c r="B123" s="48">
        <f>IF(Mitarbeiter!B123="","",Mitarbeiter!B123)</f>
        <v/>
      </c>
      <c r="C123" s="37">
        <f>IF(Mitarbeiter!B123="","",N(INDEX($F123:$BM123,1,(Einstellungen!$C$3-2026)*12+1))+N(INDEX($F123:$BM123,1,(Einstellungen!$C$3-2026)*12+2))+N(INDEX($F123:$BM123,1,(Einstellungen!$C$3-2026)*12+3))+N(INDEX($F123:$BM123,1,(Einstellungen!$C$3-2026)*12+4))+N(INDEX($F123:$BM123,1,(Einstellungen!$C$3-2026)*12+5))+N(INDEX($F123:$BM123,1,(Einstellungen!$C$3-2026)*12+6))+N(INDEX($F123:$BM123,1,(Einstellungen!$C$3-2026)*12+7))+N(INDEX($F123:$BM123,1,(Einstellungen!$C$3-2026)*12+8))+N(INDEX($F123:$BM123,1,(Einstellungen!$C$3-2026)*12+9))+N(INDEX($F123:$BM123,1,(Einstellungen!$C$3-2026)*12+10))+N(INDEX($F123:$BM123,1,(Einstellungen!$C$3-2026)*12+11))+N(INDEX($F123:$BM123,1,(Einstellungen!$C$3-2026)*12+12)))</f>
        <v/>
      </c>
      <c r="D123" s="37">
        <f>IF(Mitarbeiter!B123="","",SUM(F123:BM123))</f>
        <v/>
      </c>
      <c r="F123" s="51" t="n"/>
      <c r="G123" s="51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  <c r="AA123" s="51" t="n"/>
      <c r="AB123" s="51" t="n"/>
      <c r="AC123" s="51" t="n"/>
      <c r="AD123" s="51" t="n"/>
      <c r="AE123" s="51" t="n"/>
      <c r="AF123" s="51" t="n"/>
      <c r="AG123" s="51" t="n"/>
      <c r="AH123" s="51" t="n"/>
      <c r="AI123" s="51" t="n"/>
      <c r="AJ123" s="51" t="n"/>
      <c r="AK123" s="51" t="n"/>
      <c r="AL123" s="51" t="n"/>
      <c r="AM123" s="51" t="n"/>
      <c r="AN123" s="51" t="n"/>
      <c r="AO123" s="51" t="n"/>
      <c r="AP123" s="51" t="n"/>
      <c r="AQ123" s="51" t="n"/>
      <c r="AR123" s="51" t="n"/>
      <c r="AS123" s="51" t="n"/>
      <c r="AT123" s="51" t="n"/>
      <c r="AU123" s="51" t="n"/>
      <c r="AV123" s="51" t="n"/>
      <c r="AW123" s="51" t="n"/>
      <c r="AX123" s="51" t="n"/>
      <c r="AY123" s="51" t="n"/>
      <c r="AZ123" s="51" t="n"/>
      <c r="BA123" s="51" t="n"/>
      <c r="BB123" s="51" t="n"/>
      <c r="BC123" s="51" t="n"/>
      <c r="BD123" s="51" t="n"/>
      <c r="BE123" s="51" t="n"/>
      <c r="BF123" s="51" t="n"/>
      <c r="BG123" s="51" t="n"/>
      <c r="BH123" s="51" t="n"/>
      <c r="BI123" s="51" t="n"/>
      <c r="BJ123" s="51" t="n"/>
      <c r="BK123" s="51" t="n"/>
      <c r="BL123" s="51" t="n"/>
      <c r="BM123" s="51" t="n"/>
    </row>
    <row r="124">
      <c r="A124" s="47">
        <f>IF(Mitarbeiter!B124="","",Mitarbeiter!A124)</f>
        <v/>
      </c>
      <c r="B124" s="48">
        <f>IF(Mitarbeiter!B124="","",Mitarbeiter!B124)</f>
        <v/>
      </c>
      <c r="C124" s="37">
        <f>IF(Mitarbeiter!B124="","",N(INDEX($F124:$BM124,1,(Einstellungen!$C$3-2026)*12+1))+N(INDEX($F124:$BM124,1,(Einstellungen!$C$3-2026)*12+2))+N(INDEX($F124:$BM124,1,(Einstellungen!$C$3-2026)*12+3))+N(INDEX($F124:$BM124,1,(Einstellungen!$C$3-2026)*12+4))+N(INDEX($F124:$BM124,1,(Einstellungen!$C$3-2026)*12+5))+N(INDEX($F124:$BM124,1,(Einstellungen!$C$3-2026)*12+6))+N(INDEX($F124:$BM124,1,(Einstellungen!$C$3-2026)*12+7))+N(INDEX($F124:$BM124,1,(Einstellungen!$C$3-2026)*12+8))+N(INDEX($F124:$BM124,1,(Einstellungen!$C$3-2026)*12+9))+N(INDEX($F124:$BM124,1,(Einstellungen!$C$3-2026)*12+10))+N(INDEX($F124:$BM124,1,(Einstellungen!$C$3-2026)*12+11))+N(INDEX($F124:$BM124,1,(Einstellungen!$C$3-2026)*12+12)))</f>
        <v/>
      </c>
      <c r="D124" s="37">
        <f>IF(Mitarbeiter!B124="","",SUM(F124:BM124))</f>
        <v/>
      </c>
      <c r="F124" s="51" t="n"/>
      <c r="G124" s="51" t="n"/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  <c r="R124" s="51" t="n"/>
      <c r="S124" s="51" t="n"/>
      <c r="T124" s="51" t="n"/>
      <c r="U124" s="51" t="n"/>
      <c r="V124" s="51" t="n"/>
      <c r="W124" s="51" t="n"/>
      <c r="X124" s="51" t="n"/>
      <c r="Y124" s="51" t="n"/>
      <c r="Z124" s="51" t="n"/>
      <c r="AA124" s="51" t="n"/>
      <c r="AB124" s="51" t="n"/>
      <c r="AC124" s="51" t="n"/>
      <c r="AD124" s="51" t="n"/>
      <c r="AE124" s="51" t="n"/>
      <c r="AF124" s="51" t="n"/>
      <c r="AG124" s="51" t="n"/>
      <c r="AH124" s="51" t="n"/>
      <c r="AI124" s="51" t="n"/>
      <c r="AJ124" s="51" t="n"/>
      <c r="AK124" s="51" t="n"/>
      <c r="AL124" s="51" t="n"/>
      <c r="AM124" s="51" t="n"/>
      <c r="AN124" s="51" t="n"/>
      <c r="AO124" s="51" t="n"/>
      <c r="AP124" s="51" t="n"/>
      <c r="AQ124" s="51" t="n"/>
      <c r="AR124" s="51" t="n"/>
      <c r="AS124" s="51" t="n"/>
      <c r="AT124" s="51" t="n"/>
      <c r="AU124" s="51" t="n"/>
      <c r="AV124" s="51" t="n"/>
      <c r="AW124" s="51" t="n"/>
      <c r="AX124" s="51" t="n"/>
      <c r="AY124" s="51" t="n"/>
      <c r="AZ124" s="51" t="n"/>
      <c r="BA124" s="51" t="n"/>
      <c r="BB124" s="51" t="n"/>
      <c r="BC124" s="51" t="n"/>
      <c r="BD124" s="51" t="n"/>
      <c r="BE124" s="51" t="n"/>
      <c r="BF124" s="51" t="n"/>
      <c r="BG124" s="51" t="n"/>
      <c r="BH124" s="51" t="n"/>
      <c r="BI124" s="51" t="n"/>
      <c r="BJ124" s="51" t="n"/>
      <c r="BK124" s="51" t="n"/>
      <c r="BL124" s="51" t="n"/>
      <c r="BM124" s="51" t="n"/>
    </row>
    <row r="125">
      <c r="A125" s="47">
        <f>IF(Mitarbeiter!B125="","",Mitarbeiter!A125)</f>
        <v/>
      </c>
      <c r="B125" s="48">
        <f>IF(Mitarbeiter!B125="","",Mitarbeiter!B125)</f>
        <v/>
      </c>
      <c r="C125" s="37">
        <f>IF(Mitarbeiter!B125="","",N(INDEX($F125:$BM125,1,(Einstellungen!$C$3-2026)*12+1))+N(INDEX($F125:$BM125,1,(Einstellungen!$C$3-2026)*12+2))+N(INDEX($F125:$BM125,1,(Einstellungen!$C$3-2026)*12+3))+N(INDEX($F125:$BM125,1,(Einstellungen!$C$3-2026)*12+4))+N(INDEX($F125:$BM125,1,(Einstellungen!$C$3-2026)*12+5))+N(INDEX($F125:$BM125,1,(Einstellungen!$C$3-2026)*12+6))+N(INDEX($F125:$BM125,1,(Einstellungen!$C$3-2026)*12+7))+N(INDEX($F125:$BM125,1,(Einstellungen!$C$3-2026)*12+8))+N(INDEX($F125:$BM125,1,(Einstellungen!$C$3-2026)*12+9))+N(INDEX($F125:$BM125,1,(Einstellungen!$C$3-2026)*12+10))+N(INDEX($F125:$BM125,1,(Einstellungen!$C$3-2026)*12+11))+N(INDEX($F125:$BM125,1,(Einstellungen!$C$3-2026)*12+12)))</f>
        <v/>
      </c>
      <c r="D125" s="37">
        <f>IF(Mitarbeiter!B125="","",SUM(F125:BM125))</f>
        <v/>
      </c>
      <c r="F125" s="51" t="n"/>
      <c r="G125" s="51" t="n"/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  <c r="Z125" s="51" t="n"/>
      <c r="AA125" s="51" t="n"/>
      <c r="AB125" s="51" t="n"/>
      <c r="AC125" s="51" t="n"/>
      <c r="AD125" s="51" t="n"/>
      <c r="AE125" s="51" t="n"/>
      <c r="AF125" s="51" t="n"/>
      <c r="AG125" s="51" t="n"/>
      <c r="AH125" s="51" t="n"/>
      <c r="AI125" s="51" t="n"/>
      <c r="AJ125" s="51" t="n"/>
      <c r="AK125" s="51" t="n"/>
      <c r="AL125" s="51" t="n"/>
      <c r="AM125" s="51" t="n"/>
      <c r="AN125" s="51" t="n"/>
      <c r="AO125" s="51" t="n"/>
      <c r="AP125" s="51" t="n"/>
      <c r="AQ125" s="51" t="n"/>
      <c r="AR125" s="51" t="n"/>
      <c r="AS125" s="51" t="n"/>
      <c r="AT125" s="51" t="n"/>
      <c r="AU125" s="51" t="n"/>
      <c r="AV125" s="51" t="n"/>
      <c r="AW125" s="51" t="n"/>
      <c r="AX125" s="51" t="n"/>
      <c r="AY125" s="51" t="n"/>
      <c r="AZ125" s="51" t="n"/>
      <c r="BA125" s="51" t="n"/>
      <c r="BB125" s="51" t="n"/>
      <c r="BC125" s="51" t="n"/>
      <c r="BD125" s="51" t="n"/>
      <c r="BE125" s="51" t="n"/>
      <c r="BF125" s="51" t="n"/>
      <c r="BG125" s="51" t="n"/>
      <c r="BH125" s="51" t="n"/>
      <c r="BI125" s="51" t="n"/>
      <c r="BJ125" s="51" t="n"/>
      <c r="BK125" s="51" t="n"/>
      <c r="BL125" s="51" t="n"/>
      <c r="BM125" s="51" t="n"/>
    </row>
    <row r="126">
      <c r="A126" s="47">
        <f>IF(Mitarbeiter!B126="","",Mitarbeiter!A126)</f>
        <v/>
      </c>
      <c r="B126" s="48">
        <f>IF(Mitarbeiter!B126="","",Mitarbeiter!B126)</f>
        <v/>
      </c>
      <c r="C126" s="37">
        <f>IF(Mitarbeiter!B126="","",N(INDEX($F126:$BM126,1,(Einstellungen!$C$3-2026)*12+1))+N(INDEX($F126:$BM126,1,(Einstellungen!$C$3-2026)*12+2))+N(INDEX($F126:$BM126,1,(Einstellungen!$C$3-2026)*12+3))+N(INDEX($F126:$BM126,1,(Einstellungen!$C$3-2026)*12+4))+N(INDEX($F126:$BM126,1,(Einstellungen!$C$3-2026)*12+5))+N(INDEX($F126:$BM126,1,(Einstellungen!$C$3-2026)*12+6))+N(INDEX($F126:$BM126,1,(Einstellungen!$C$3-2026)*12+7))+N(INDEX($F126:$BM126,1,(Einstellungen!$C$3-2026)*12+8))+N(INDEX($F126:$BM126,1,(Einstellungen!$C$3-2026)*12+9))+N(INDEX($F126:$BM126,1,(Einstellungen!$C$3-2026)*12+10))+N(INDEX($F126:$BM126,1,(Einstellungen!$C$3-2026)*12+11))+N(INDEX($F126:$BM126,1,(Einstellungen!$C$3-2026)*12+12)))</f>
        <v/>
      </c>
      <c r="D126" s="37">
        <f>IF(Mitarbeiter!B126="","",SUM(F126:BM126))</f>
        <v/>
      </c>
      <c r="F126" s="51" t="n"/>
      <c r="G126" s="51" t="n"/>
      <c r="H126" s="51" t="n"/>
      <c r="I126" s="51" t="n"/>
      <c r="J126" s="51" t="n"/>
      <c r="K126" s="51" t="n"/>
      <c r="L126" s="51" t="n"/>
      <c r="M126" s="51" t="n"/>
      <c r="N126" s="51" t="n"/>
      <c r="O126" s="51" t="n"/>
      <c r="P126" s="51" t="n"/>
      <c r="Q126" s="51" t="n"/>
      <c r="R126" s="51" t="n"/>
      <c r="S126" s="51" t="n"/>
      <c r="T126" s="51" t="n"/>
      <c r="U126" s="51" t="n"/>
      <c r="V126" s="51" t="n"/>
      <c r="W126" s="51" t="n"/>
      <c r="X126" s="51" t="n"/>
      <c r="Y126" s="51" t="n"/>
      <c r="Z126" s="51" t="n"/>
      <c r="AA126" s="51" t="n"/>
      <c r="AB126" s="51" t="n"/>
      <c r="AC126" s="51" t="n"/>
      <c r="AD126" s="51" t="n"/>
      <c r="AE126" s="51" t="n"/>
      <c r="AF126" s="51" t="n"/>
      <c r="AG126" s="51" t="n"/>
      <c r="AH126" s="51" t="n"/>
      <c r="AI126" s="51" t="n"/>
      <c r="AJ126" s="51" t="n"/>
      <c r="AK126" s="51" t="n"/>
      <c r="AL126" s="51" t="n"/>
      <c r="AM126" s="51" t="n"/>
      <c r="AN126" s="51" t="n"/>
      <c r="AO126" s="51" t="n"/>
      <c r="AP126" s="51" t="n"/>
      <c r="AQ126" s="51" t="n"/>
      <c r="AR126" s="51" t="n"/>
      <c r="AS126" s="51" t="n"/>
      <c r="AT126" s="51" t="n"/>
      <c r="AU126" s="51" t="n"/>
      <c r="AV126" s="51" t="n"/>
      <c r="AW126" s="51" t="n"/>
      <c r="AX126" s="51" t="n"/>
      <c r="AY126" s="51" t="n"/>
      <c r="AZ126" s="51" t="n"/>
      <c r="BA126" s="51" t="n"/>
      <c r="BB126" s="51" t="n"/>
      <c r="BC126" s="51" t="n"/>
      <c r="BD126" s="51" t="n"/>
      <c r="BE126" s="51" t="n"/>
      <c r="BF126" s="51" t="n"/>
      <c r="BG126" s="51" t="n"/>
      <c r="BH126" s="51" t="n"/>
      <c r="BI126" s="51" t="n"/>
      <c r="BJ126" s="51" t="n"/>
      <c r="BK126" s="51" t="n"/>
      <c r="BL126" s="51" t="n"/>
      <c r="BM126" s="51" t="n"/>
    </row>
    <row r="127">
      <c r="A127" s="47">
        <f>IF(Mitarbeiter!B127="","",Mitarbeiter!A127)</f>
        <v/>
      </c>
      <c r="B127" s="48">
        <f>IF(Mitarbeiter!B127="","",Mitarbeiter!B127)</f>
        <v/>
      </c>
      <c r="C127" s="37">
        <f>IF(Mitarbeiter!B127="","",N(INDEX($F127:$BM127,1,(Einstellungen!$C$3-2026)*12+1))+N(INDEX($F127:$BM127,1,(Einstellungen!$C$3-2026)*12+2))+N(INDEX($F127:$BM127,1,(Einstellungen!$C$3-2026)*12+3))+N(INDEX($F127:$BM127,1,(Einstellungen!$C$3-2026)*12+4))+N(INDEX($F127:$BM127,1,(Einstellungen!$C$3-2026)*12+5))+N(INDEX($F127:$BM127,1,(Einstellungen!$C$3-2026)*12+6))+N(INDEX($F127:$BM127,1,(Einstellungen!$C$3-2026)*12+7))+N(INDEX($F127:$BM127,1,(Einstellungen!$C$3-2026)*12+8))+N(INDEX($F127:$BM127,1,(Einstellungen!$C$3-2026)*12+9))+N(INDEX($F127:$BM127,1,(Einstellungen!$C$3-2026)*12+10))+N(INDEX($F127:$BM127,1,(Einstellungen!$C$3-2026)*12+11))+N(INDEX($F127:$BM127,1,(Einstellungen!$C$3-2026)*12+12)))</f>
        <v/>
      </c>
      <c r="D127" s="37">
        <f>IF(Mitarbeiter!B127="","",SUM(F127:BM127))</f>
        <v/>
      </c>
      <c r="F127" s="51" t="n"/>
      <c r="G127" s="51" t="n"/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  <c r="R127" s="51" t="n"/>
      <c r="S127" s="51" t="n"/>
      <c r="T127" s="51" t="n"/>
      <c r="U127" s="51" t="n"/>
      <c r="V127" s="51" t="n"/>
      <c r="W127" s="51" t="n"/>
      <c r="X127" s="51" t="n"/>
      <c r="Y127" s="51" t="n"/>
      <c r="Z127" s="51" t="n"/>
      <c r="AA127" s="51" t="n"/>
      <c r="AB127" s="51" t="n"/>
      <c r="AC127" s="51" t="n"/>
      <c r="AD127" s="51" t="n"/>
      <c r="AE127" s="51" t="n"/>
      <c r="AF127" s="51" t="n"/>
      <c r="AG127" s="51" t="n"/>
      <c r="AH127" s="51" t="n"/>
      <c r="AI127" s="51" t="n"/>
      <c r="AJ127" s="51" t="n"/>
      <c r="AK127" s="51" t="n"/>
      <c r="AL127" s="51" t="n"/>
      <c r="AM127" s="51" t="n"/>
      <c r="AN127" s="51" t="n"/>
      <c r="AO127" s="51" t="n"/>
      <c r="AP127" s="51" t="n"/>
      <c r="AQ127" s="51" t="n"/>
      <c r="AR127" s="51" t="n"/>
      <c r="AS127" s="51" t="n"/>
      <c r="AT127" s="51" t="n"/>
      <c r="AU127" s="51" t="n"/>
      <c r="AV127" s="51" t="n"/>
      <c r="AW127" s="51" t="n"/>
      <c r="AX127" s="51" t="n"/>
      <c r="AY127" s="51" t="n"/>
      <c r="AZ127" s="51" t="n"/>
      <c r="BA127" s="51" t="n"/>
      <c r="BB127" s="51" t="n"/>
      <c r="BC127" s="51" t="n"/>
      <c r="BD127" s="51" t="n"/>
      <c r="BE127" s="51" t="n"/>
      <c r="BF127" s="51" t="n"/>
      <c r="BG127" s="51" t="n"/>
      <c r="BH127" s="51" t="n"/>
      <c r="BI127" s="51" t="n"/>
      <c r="BJ127" s="51" t="n"/>
      <c r="BK127" s="51" t="n"/>
      <c r="BL127" s="51" t="n"/>
      <c r="BM127" s="51" t="n"/>
    </row>
    <row r="128">
      <c r="A128" s="47">
        <f>IF(Mitarbeiter!B128="","",Mitarbeiter!A128)</f>
        <v/>
      </c>
      <c r="B128" s="48">
        <f>IF(Mitarbeiter!B128="","",Mitarbeiter!B128)</f>
        <v/>
      </c>
      <c r="C128" s="37">
        <f>IF(Mitarbeiter!B128="","",N(INDEX($F128:$BM128,1,(Einstellungen!$C$3-2026)*12+1))+N(INDEX($F128:$BM128,1,(Einstellungen!$C$3-2026)*12+2))+N(INDEX($F128:$BM128,1,(Einstellungen!$C$3-2026)*12+3))+N(INDEX($F128:$BM128,1,(Einstellungen!$C$3-2026)*12+4))+N(INDEX($F128:$BM128,1,(Einstellungen!$C$3-2026)*12+5))+N(INDEX($F128:$BM128,1,(Einstellungen!$C$3-2026)*12+6))+N(INDEX($F128:$BM128,1,(Einstellungen!$C$3-2026)*12+7))+N(INDEX($F128:$BM128,1,(Einstellungen!$C$3-2026)*12+8))+N(INDEX($F128:$BM128,1,(Einstellungen!$C$3-2026)*12+9))+N(INDEX($F128:$BM128,1,(Einstellungen!$C$3-2026)*12+10))+N(INDEX($F128:$BM128,1,(Einstellungen!$C$3-2026)*12+11))+N(INDEX($F128:$BM128,1,(Einstellungen!$C$3-2026)*12+12)))</f>
        <v/>
      </c>
      <c r="D128" s="37">
        <f>IF(Mitarbeiter!B128="","",SUM(F128:BM128))</f>
        <v/>
      </c>
      <c r="F128" s="51" t="n"/>
      <c r="G128" s="51" t="n"/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  <c r="R128" s="51" t="n"/>
      <c r="S128" s="51" t="n"/>
      <c r="T128" s="51" t="n"/>
      <c r="U128" s="51" t="n"/>
      <c r="V128" s="51" t="n"/>
      <c r="W128" s="51" t="n"/>
      <c r="X128" s="51" t="n"/>
      <c r="Y128" s="51" t="n"/>
      <c r="Z128" s="51" t="n"/>
      <c r="AA128" s="51" t="n"/>
      <c r="AB128" s="51" t="n"/>
      <c r="AC128" s="51" t="n"/>
      <c r="AD128" s="51" t="n"/>
      <c r="AE128" s="51" t="n"/>
      <c r="AF128" s="51" t="n"/>
      <c r="AG128" s="51" t="n"/>
      <c r="AH128" s="51" t="n"/>
      <c r="AI128" s="51" t="n"/>
      <c r="AJ128" s="51" t="n"/>
      <c r="AK128" s="51" t="n"/>
      <c r="AL128" s="51" t="n"/>
      <c r="AM128" s="51" t="n"/>
      <c r="AN128" s="51" t="n"/>
      <c r="AO128" s="51" t="n"/>
      <c r="AP128" s="51" t="n"/>
      <c r="AQ128" s="51" t="n"/>
      <c r="AR128" s="51" t="n"/>
      <c r="AS128" s="51" t="n"/>
      <c r="AT128" s="51" t="n"/>
      <c r="AU128" s="51" t="n"/>
      <c r="AV128" s="51" t="n"/>
      <c r="AW128" s="51" t="n"/>
      <c r="AX128" s="51" t="n"/>
      <c r="AY128" s="51" t="n"/>
      <c r="AZ128" s="51" t="n"/>
      <c r="BA128" s="51" t="n"/>
      <c r="BB128" s="51" t="n"/>
      <c r="BC128" s="51" t="n"/>
      <c r="BD128" s="51" t="n"/>
      <c r="BE128" s="51" t="n"/>
      <c r="BF128" s="51" t="n"/>
      <c r="BG128" s="51" t="n"/>
      <c r="BH128" s="51" t="n"/>
      <c r="BI128" s="51" t="n"/>
      <c r="BJ128" s="51" t="n"/>
      <c r="BK128" s="51" t="n"/>
      <c r="BL128" s="51" t="n"/>
      <c r="BM128" s="51" t="n"/>
    </row>
    <row r="129">
      <c r="A129" s="47">
        <f>IF(Mitarbeiter!B129="","",Mitarbeiter!A129)</f>
        <v/>
      </c>
      <c r="B129" s="48">
        <f>IF(Mitarbeiter!B129="","",Mitarbeiter!B129)</f>
        <v/>
      </c>
      <c r="C129" s="37">
        <f>IF(Mitarbeiter!B129="","",N(INDEX($F129:$BM129,1,(Einstellungen!$C$3-2026)*12+1))+N(INDEX($F129:$BM129,1,(Einstellungen!$C$3-2026)*12+2))+N(INDEX($F129:$BM129,1,(Einstellungen!$C$3-2026)*12+3))+N(INDEX($F129:$BM129,1,(Einstellungen!$C$3-2026)*12+4))+N(INDEX($F129:$BM129,1,(Einstellungen!$C$3-2026)*12+5))+N(INDEX($F129:$BM129,1,(Einstellungen!$C$3-2026)*12+6))+N(INDEX($F129:$BM129,1,(Einstellungen!$C$3-2026)*12+7))+N(INDEX($F129:$BM129,1,(Einstellungen!$C$3-2026)*12+8))+N(INDEX($F129:$BM129,1,(Einstellungen!$C$3-2026)*12+9))+N(INDEX($F129:$BM129,1,(Einstellungen!$C$3-2026)*12+10))+N(INDEX($F129:$BM129,1,(Einstellungen!$C$3-2026)*12+11))+N(INDEX($F129:$BM129,1,(Einstellungen!$C$3-2026)*12+12)))</f>
        <v/>
      </c>
      <c r="D129" s="37">
        <f>IF(Mitarbeiter!B129="","",SUM(F129:BM129))</f>
        <v/>
      </c>
      <c r="F129" s="51" t="n"/>
      <c r="G129" s="51" t="n"/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  <c r="R129" s="51" t="n"/>
      <c r="S129" s="51" t="n"/>
      <c r="T129" s="51" t="n"/>
      <c r="U129" s="51" t="n"/>
      <c r="V129" s="51" t="n"/>
      <c r="W129" s="51" t="n"/>
      <c r="X129" s="51" t="n"/>
      <c r="Y129" s="51" t="n"/>
      <c r="Z129" s="51" t="n"/>
      <c r="AA129" s="51" t="n"/>
      <c r="AB129" s="51" t="n"/>
      <c r="AC129" s="51" t="n"/>
      <c r="AD129" s="51" t="n"/>
      <c r="AE129" s="51" t="n"/>
      <c r="AF129" s="51" t="n"/>
      <c r="AG129" s="51" t="n"/>
      <c r="AH129" s="51" t="n"/>
      <c r="AI129" s="51" t="n"/>
      <c r="AJ129" s="51" t="n"/>
      <c r="AK129" s="51" t="n"/>
      <c r="AL129" s="51" t="n"/>
      <c r="AM129" s="51" t="n"/>
      <c r="AN129" s="51" t="n"/>
      <c r="AO129" s="51" t="n"/>
      <c r="AP129" s="51" t="n"/>
      <c r="AQ129" s="51" t="n"/>
      <c r="AR129" s="51" t="n"/>
      <c r="AS129" s="51" t="n"/>
      <c r="AT129" s="51" t="n"/>
      <c r="AU129" s="51" t="n"/>
      <c r="AV129" s="51" t="n"/>
      <c r="AW129" s="51" t="n"/>
      <c r="AX129" s="51" t="n"/>
      <c r="AY129" s="51" t="n"/>
      <c r="AZ129" s="51" t="n"/>
      <c r="BA129" s="51" t="n"/>
      <c r="BB129" s="51" t="n"/>
      <c r="BC129" s="51" t="n"/>
      <c r="BD129" s="51" t="n"/>
      <c r="BE129" s="51" t="n"/>
      <c r="BF129" s="51" t="n"/>
      <c r="BG129" s="51" t="n"/>
      <c r="BH129" s="51" t="n"/>
      <c r="BI129" s="51" t="n"/>
      <c r="BJ129" s="51" t="n"/>
      <c r="BK129" s="51" t="n"/>
      <c r="BL129" s="51" t="n"/>
      <c r="BM129" s="51" t="n"/>
    </row>
    <row r="130">
      <c r="A130" s="47">
        <f>IF(Mitarbeiter!B130="","",Mitarbeiter!A130)</f>
        <v/>
      </c>
      <c r="B130" s="48">
        <f>IF(Mitarbeiter!B130="","",Mitarbeiter!B130)</f>
        <v/>
      </c>
      <c r="C130" s="37">
        <f>IF(Mitarbeiter!B130="","",N(INDEX($F130:$BM130,1,(Einstellungen!$C$3-2026)*12+1))+N(INDEX($F130:$BM130,1,(Einstellungen!$C$3-2026)*12+2))+N(INDEX($F130:$BM130,1,(Einstellungen!$C$3-2026)*12+3))+N(INDEX($F130:$BM130,1,(Einstellungen!$C$3-2026)*12+4))+N(INDEX($F130:$BM130,1,(Einstellungen!$C$3-2026)*12+5))+N(INDEX($F130:$BM130,1,(Einstellungen!$C$3-2026)*12+6))+N(INDEX($F130:$BM130,1,(Einstellungen!$C$3-2026)*12+7))+N(INDEX($F130:$BM130,1,(Einstellungen!$C$3-2026)*12+8))+N(INDEX($F130:$BM130,1,(Einstellungen!$C$3-2026)*12+9))+N(INDEX($F130:$BM130,1,(Einstellungen!$C$3-2026)*12+10))+N(INDEX($F130:$BM130,1,(Einstellungen!$C$3-2026)*12+11))+N(INDEX($F130:$BM130,1,(Einstellungen!$C$3-2026)*12+12)))</f>
        <v/>
      </c>
      <c r="D130" s="37">
        <f>IF(Mitarbeiter!B130="","",SUM(F130:BM130))</f>
        <v/>
      </c>
      <c r="F130" s="51" t="n"/>
      <c r="G130" s="51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  <c r="S130" s="51" t="n"/>
      <c r="T130" s="51" t="n"/>
      <c r="U130" s="51" t="n"/>
      <c r="V130" s="51" t="n"/>
      <c r="W130" s="51" t="n"/>
      <c r="X130" s="51" t="n"/>
      <c r="Y130" s="51" t="n"/>
      <c r="Z130" s="51" t="n"/>
      <c r="AA130" s="51" t="n"/>
      <c r="AB130" s="51" t="n"/>
      <c r="AC130" s="51" t="n"/>
      <c r="AD130" s="51" t="n"/>
      <c r="AE130" s="51" t="n"/>
      <c r="AF130" s="51" t="n"/>
      <c r="AG130" s="51" t="n"/>
      <c r="AH130" s="51" t="n"/>
      <c r="AI130" s="51" t="n"/>
      <c r="AJ130" s="51" t="n"/>
      <c r="AK130" s="51" t="n"/>
      <c r="AL130" s="51" t="n"/>
      <c r="AM130" s="51" t="n"/>
      <c r="AN130" s="51" t="n"/>
      <c r="AO130" s="51" t="n"/>
      <c r="AP130" s="51" t="n"/>
      <c r="AQ130" s="51" t="n"/>
      <c r="AR130" s="51" t="n"/>
      <c r="AS130" s="51" t="n"/>
      <c r="AT130" s="51" t="n"/>
      <c r="AU130" s="51" t="n"/>
      <c r="AV130" s="51" t="n"/>
      <c r="AW130" s="51" t="n"/>
      <c r="AX130" s="51" t="n"/>
      <c r="AY130" s="51" t="n"/>
      <c r="AZ130" s="51" t="n"/>
      <c r="BA130" s="51" t="n"/>
      <c r="BB130" s="51" t="n"/>
      <c r="BC130" s="51" t="n"/>
      <c r="BD130" s="51" t="n"/>
      <c r="BE130" s="51" t="n"/>
      <c r="BF130" s="51" t="n"/>
      <c r="BG130" s="51" t="n"/>
      <c r="BH130" s="51" t="n"/>
      <c r="BI130" s="51" t="n"/>
      <c r="BJ130" s="51" t="n"/>
      <c r="BK130" s="51" t="n"/>
      <c r="BL130" s="51" t="n"/>
      <c r="BM130" s="51" t="n"/>
    </row>
    <row r="131">
      <c r="A131" s="47">
        <f>IF(Mitarbeiter!B131="","",Mitarbeiter!A131)</f>
        <v/>
      </c>
      <c r="B131" s="48">
        <f>IF(Mitarbeiter!B131="","",Mitarbeiter!B131)</f>
        <v/>
      </c>
      <c r="C131" s="37">
        <f>IF(Mitarbeiter!B131="","",N(INDEX($F131:$BM131,1,(Einstellungen!$C$3-2026)*12+1))+N(INDEX($F131:$BM131,1,(Einstellungen!$C$3-2026)*12+2))+N(INDEX($F131:$BM131,1,(Einstellungen!$C$3-2026)*12+3))+N(INDEX($F131:$BM131,1,(Einstellungen!$C$3-2026)*12+4))+N(INDEX($F131:$BM131,1,(Einstellungen!$C$3-2026)*12+5))+N(INDEX($F131:$BM131,1,(Einstellungen!$C$3-2026)*12+6))+N(INDEX($F131:$BM131,1,(Einstellungen!$C$3-2026)*12+7))+N(INDEX($F131:$BM131,1,(Einstellungen!$C$3-2026)*12+8))+N(INDEX($F131:$BM131,1,(Einstellungen!$C$3-2026)*12+9))+N(INDEX($F131:$BM131,1,(Einstellungen!$C$3-2026)*12+10))+N(INDEX($F131:$BM131,1,(Einstellungen!$C$3-2026)*12+11))+N(INDEX($F131:$BM131,1,(Einstellungen!$C$3-2026)*12+12)))</f>
        <v/>
      </c>
      <c r="D131" s="37">
        <f>IF(Mitarbeiter!B131="","",SUM(F131:BM131))</f>
        <v/>
      </c>
      <c r="F131" s="51" t="n"/>
      <c r="G131" s="51" t="n"/>
      <c r="H131" s="51" t="n"/>
      <c r="I131" s="51" t="n"/>
      <c r="J131" s="51" t="n"/>
      <c r="K131" s="51" t="n"/>
      <c r="L131" s="51" t="n"/>
      <c r="M131" s="51" t="n"/>
      <c r="N131" s="51" t="n"/>
      <c r="O131" s="51" t="n"/>
      <c r="P131" s="51" t="n"/>
      <c r="Q131" s="51" t="n"/>
      <c r="R131" s="51" t="n"/>
      <c r="S131" s="51" t="n"/>
      <c r="T131" s="51" t="n"/>
      <c r="U131" s="51" t="n"/>
      <c r="V131" s="51" t="n"/>
      <c r="W131" s="51" t="n"/>
      <c r="X131" s="51" t="n"/>
      <c r="Y131" s="51" t="n"/>
      <c r="Z131" s="51" t="n"/>
      <c r="AA131" s="51" t="n"/>
      <c r="AB131" s="51" t="n"/>
      <c r="AC131" s="51" t="n"/>
      <c r="AD131" s="51" t="n"/>
      <c r="AE131" s="51" t="n"/>
      <c r="AF131" s="51" t="n"/>
      <c r="AG131" s="51" t="n"/>
      <c r="AH131" s="51" t="n"/>
      <c r="AI131" s="51" t="n"/>
      <c r="AJ131" s="51" t="n"/>
      <c r="AK131" s="51" t="n"/>
      <c r="AL131" s="51" t="n"/>
      <c r="AM131" s="51" t="n"/>
      <c r="AN131" s="51" t="n"/>
      <c r="AO131" s="51" t="n"/>
      <c r="AP131" s="51" t="n"/>
      <c r="AQ131" s="51" t="n"/>
      <c r="AR131" s="51" t="n"/>
      <c r="AS131" s="51" t="n"/>
      <c r="AT131" s="51" t="n"/>
      <c r="AU131" s="51" t="n"/>
      <c r="AV131" s="51" t="n"/>
      <c r="AW131" s="51" t="n"/>
      <c r="AX131" s="51" t="n"/>
      <c r="AY131" s="51" t="n"/>
      <c r="AZ131" s="51" t="n"/>
      <c r="BA131" s="51" t="n"/>
      <c r="BB131" s="51" t="n"/>
      <c r="BC131" s="51" t="n"/>
      <c r="BD131" s="51" t="n"/>
      <c r="BE131" s="51" t="n"/>
      <c r="BF131" s="51" t="n"/>
      <c r="BG131" s="51" t="n"/>
      <c r="BH131" s="51" t="n"/>
      <c r="BI131" s="51" t="n"/>
      <c r="BJ131" s="51" t="n"/>
      <c r="BK131" s="51" t="n"/>
      <c r="BL131" s="51" t="n"/>
      <c r="BM131" s="51" t="n"/>
    </row>
    <row r="132">
      <c r="A132" s="47">
        <f>IF(Mitarbeiter!B132="","",Mitarbeiter!A132)</f>
        <v/>
      </c>
      <c r="B132" s="48">
        <f>IF(Mitarbeiter!B132="","",Mitarbeiter!B132)</f>
        <v/>
      </c>
      <c r="C132" s="37">
        <f>IF(Mitarbeiter!B132="","",N(INDEX($F132:$BM132,1,(Einstellungen!$C$3-2026)*12+1))+N(INDEX($F132:$BM132,1,(Einstellungen!$C$3-2026)*12+2))+N(INDEX($F132:$BM132,1,(Einstellungen!$C$3-2026)*12+3))+N(INDEX($F132:$BM132,1,(Einstellungen!$C$3-2026)*12+4))+N(INDEX($F132:$BM132,1,(Einstellungen!$C$3-2026)*12+5))+N(INDEX($F132:$BM132,1,(Einstellungen!$C$3-2026)*12+6))+N(INDEX($F132:$BM132,1,(Einstellungen!$C$3-2026)*12+7))+N(INDEX($F132:$BM132,1,(Einstellungen!$C$3-2026)*12+8))+N(INDEX($F132:$BM132,1,(Einstellungen!$C$3-2026)*12+9))+N(INDEX($F132:$BM132,1,(Einstellungen!$C$3-2026)*12+10))+N(INDEX($F132:$BM132,1,(Einstellungen!$C$3-2026)*12+11))+N(INDEX($F132:$BM132,1,(Einstellungen!$C$3-2026)*12+12)))</f>
        <v/>
      </c>
      <c r="D132" s="37">
        <f>IF(Mitarbeiter!B132="","",SUM(F132:BM132))</f>
        <v/>
      </c>
      <c r="F132" s="51" t="n"/>
      <c r="G132" s="51" t="n"/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  <c r="Z132" s="51" t="n"/>
      <c r="AA132" s="51" t="n"/>
      <c r="AB132" s="51" t="n"/>
      <c r="AC132" s="51" t="n"/>
      <c r="AD132" s="51" t="n"/>
      <c r="AE132" s="51" t="n"/>
      <c r="AF132" s="51" t="n"/>
      <c r="AG132" s="51" t="n"/>
      <c r="AH132" s="51" t="n"/>
      <c r="AI132" s="51" t="n"/>
      <c r="AJ132" s="51" t="n"/>
      <c r="AK132" s="51" t="n"/>
      <c r="AL132" s="51" t="n"/>
      <c r="AM132" s="51" t="n"/>
      <c r="AN132" s="51" t="n"/>
      <c r="AO132" s="51" t="n"/>
      <c r="AP132" s="51" t="n"/>
      <c r="AQ132" s="51" t="n"/>
      <c r="AR132" s="51" t="n"/>
      <c r="AS132" s="51" t="n"/>
      <c r="AT132" s="51" t="n"/>
      <c r="AU132" s="51" t="n"/>
      <c r="AV132" s="51" t="n"/>
      <c r="AW132" s="51" t="n"/>
      <c r="AX132" s="51" t="n"/>
      <c r="AY132" s="51" t="n"/>
      <c r="AZ132" s="51" t="n"/>
      <c r="BA132" s="51" t="n"/>
      <c r="BB132" s="51" t="n"/>
      <c r="BC132" s="51" t="n"/>
      <c r="BD132" s="51" t="n"/>
      <c r="BE132" s="51" t="n"/>
      <c r="BF132" s="51" t="n"/>
      <c r="BG132" s="51" t="n"/>
      <c r="BH132" s="51" t="n"/>
      <c r="BI132" s="51" t="n"/>
      <c r="BJ132" s="51" t="n"/>
      <c r="BK132" s="51" t="n"/>
      <c r="BL132" s="51" t="n"/>
      <c r="BM132" s="51" t="n"/>
    </row>
    <row r="133">
      <c r="A133" s="47">
        <f>IF(Mitarbeiter!B133="","",Mitarbeiter!A133)</f>
        <v/>
      </c>
      <c r="B133" s="48">
        <f>IF(Mitarbeiter!B133="","",Mitarbeiter!B133)</f>
        <v/>
      </c>
      <c r="C133" s="37">
        <f>IF(Mitarbeiter!B133="","",N(INDEX($F133:$BM133,1,(Einstellungen!$C$3-2026)*12+1))+N(INDEX($F133:$BM133,1,(Einstellungen!$C$3-2026)*12+2))+N(INDEX($F133:$BM133,1,(Einstellungen!$C$3-2026)*12+3))+N(INDEX($F133:$BM133,1,(Einstellungen!$C$3-2026)*12+4))+N(INDEX($F133:$BM133,1,(Einstellungen!$C$3-2026)*12+5))+N(INDEX($F133:$BM133,1,(Einstellungen!$C$3-2026)*12+6))+N(INDEX($F133:$BM133,1,(Einstellungen!$C$3-2026)*12+7))+N(INDEX($F133:$BM133,1,(Einstellungen!$C$3-2026)*12+8))+N(INDEX($F133:$BM133,1,(Einstellungen!$C$3-2026)*12+9))+N(INDEX($F133:$BM133,1,(Einstellungen!$C$3-2026)*12+10))+N(INDEX($F133:$BM133,1,(Einstellungen!$C$3-2026)*12+11))+N(INDEX($F133:$BM133,1,(Einstellungen!$C$3-2026)*12+12)))</f>
        <v/>
      </c>
      <c r="D133" s="37">
        <f>IF(Mitarbeiter!B133="","",SUM(F133:BM133))</f>
        <v/>
      </c>
      <c r="F133" s="51" t="n"/>
      <c r="G133" s="51" t="n"/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  <c r="R133" s="51" t="n"/>
      <c r="S133" s="51" t="n"/>
      <c r="T133" s="51" t="n"/>
      <c r="U133" s="51" t="n"/>
      <c r="V133" s="51" t="n"/>
      <c r="W133" s="51" t="n"/>
      <c r="X133" s="51" t="n"/>
      <c r="Y133" s="51" t="n"/>
      <c r="Z133" s="51" t="n"/>
      <c r="AA133" s="51" t="n"/>
      <c r="AB133" s="51" t="n"/>
      <c r="AC133" s="51" t="n"/>
      <c r="AD133" s="51" t="n"/>
      <c r="AE133" s="51" t="n"/>
      <c r="AF133" s="51" t="n"/>
      <c r="AG133" s="51" t="n"/>
      <c r="AH133" s="51" t="n"/>
      <c r="AI133" s="51" t="n"/>
      <c r="AJ133" s="51" t="n"/>
      <c r="AK133" s="51" t="n"/>
      <c r="AL133" s="51" t="n"/>
      <c r="AM133" s="51" t="n"/>
      <c r="AN133" s="51" t="n"/>
      <c r="AO133" s="51" t="n"/>
      <c r="AP133" s="51" t="n"/>
      <c r="AQ133" s="51" t="n"/>
      <c r="AR133" s="51" t="n"/>
      <c r="AS133" s="51" t="n"/>
      <c r="AT133" s="51" t="n"/>
      <c r="AU133" s="51" t="n"/>
      <c r="AV133" s="51" t="n"/>
      <c r="AW133" s="51" t="n"/>
      <c r="AX133" s="51" t="n"/>
      <c r="AY133" s="51" t="n"/>
      <c r="AZ133" s="51" t="n"/>
      <c r="BA133" s="51" t="n"/>
      <c r="BB133" s="51" t="n"/>
      <c r="BC133" s="51" t="n"/>
      <c r="BD133" s="51" t="n"/>
      <c r="BE133" s="51" t="n"/>
      <c r="BF133" s="51" t="n"/>
      <c r="BG133" s="51" t="n"/>
      <c r="BH133" s="51" t="n"/>
      <c r="BI133" s="51" t="n"/>
      <c r="BJ133" s="51" t="n"/>
      <c r="BK133" s="51" t="n"/>
      <c r="BL133" s="51" t="n"/>
      <c r="BM133" s="51" t="n"/>
    </row>
    <row r="134">
      <c r="A134" s="47">
        <f>IF(Mitarbeiter!B134="","",Mitarbeiter!A134)</f>
        <v/>
      </c>
      <c r="B134" s="48">
        <f>IF(Mitarbeiter!B134="","",Mitarbeiter!B134)</f>
        <v/>
      </c>
      <c r="C134" s="37">
        <f>IF(Mitarbeiter!B134="","",N(INDEX($F134:$BM134,1,(Einstellungen!$C$3-2026)*12+1))+N(INDEX($F134:$BM134,1,(Einstellungen!$C$3-2026)*12+2))+N(INDEX($F134:$BM134,1,(Einstellungen!$C$3-2026)*12+3))+N(INDEX($F134:$BM134,1,(Einstellungen!$C$3-2026)*12+4))+N(INDEX($F134:$BM134,1,(Einstellungen!$C$3-2026)*12+5))+N(INDEX($F134:$BM134,1,(Einstellungen!$C$3-2026)*12+6))+N(INDEX($F134:$BM134,1,(Einstellungen!$C$3-2026)*12+7))+N(INDEX($F134:$BM134,1,(Einstellungen!$C$3-2026)*12+8))+N(INDEX($F134:$BM134,1,(Einstellungen!$C$3-2026)*12+9))+N(INDEX($F134:$BM134,1,(Einstellungen!$C$3-2026)*12+10))+N(INDEX($F134:$BM134,1,(Einstellungen!$C$3-2026)*12+11))+N(INDEX($F134:$BM134,1,(Einstellungen!$C$3-2026)*12+12)))</f>
        <v/>
      </c>
      <c r="D134" s="37">
        <f>IF(Mitarbeiter!B134="","",SUM(F134:BM134))</f>
        <v/>
      </c>
      <c r="F134" s="51" t="n"/>
      <c r="G134" s="51" t="n"/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/>
      <c r="Q134" s="51" t="n"/>
      <c r="R134" s="51" t="n"/>
      <c r="S134" s="51" t="n"/>
      <c r="T134" s="51" t="n"/>
      <c r="U134" s="51" t="n"/>
      <c r="V134" s="51" t="n"/>
      <c r="W134" s="51" t="n"/>
      <c r="X134" s="51" t="n"/>
      <c r="Y134" s="51" t="n"/>
      <c r="Z134" s="51" t="n"/>
      <c r="AA134" s="51" t="n"/>
      <c r="AB134" s="51" t="n"/>
      <c r="AC134" s="51" t="n"/>
      <c r="AD134" s="51" t="n"/>
      <c r="AE134" s="51" t="n"/>
      <c r="AF134" s="51" t="n"/>
      <c r="AG134" s="51" t="n"/>
      <c r="AH134" s="51" t="n"/>
      <c r="AI134" s="51" t="n"/>
      <c r="AJ134" s="51" t="n"/>
      <c r="AK134" s="51" t="n"/>
      <c r="AL134" s="51" t="n"/>
      <c r="AM134" s="51" t="n"/>
      <c r="AN134" s="51" t="n"/>
      <c r="AO134" s="51" t="n"/>
      <c r="AP134" s="51" t="n"/>
      <c r="AQ134" s="51" t="n"/>
      <c r="AR134" s="51" t="n"/>
      <c r="AS134" s="51" t="n"/>
      <c r="AT134" s="51" t="n"/>
      <c r="AU134" s="51" t="n"/>
      <c r="AV134" s="51" t="n"/>
      <c r="AW134" s="51" t="n"/>
      <c r="AX134" s="51" t="n"/>
      <c r="AY134" s="51" t="n"/>
      <c r="AZ134" s="51" t="n"/>
      <c r="BA134" s="51" t="n"/>
      <c r="BB134" s="51" t="n"/>
      <c r="BC134" s="51" t="n"/>
      <c r="BD134" s="51" t="n"/>
      <c r="BE134" s="51" t="n"/>
      <c r="BF134" s="51" t="n"/>
      <c r="BG134" s="51" t="n"/>
      <c r="BH134" s="51" t="n"/>
      <c r="BI134" s="51" t="n"/>
      <c r="BJ134" s="51" t="n"/>
      <c r="BK134" s="51" t="n"/>
      <c r="BL134" s="51" t="n"/>
      <c r="BM134" s="51" t="n"/>
    </row>
    <row r="135">
      <c r="A135" s="47">
        <f>IF(Mitarbeiter!B135="","",Mitarbeiter!A135)</f>
        <v/>
      </c>
      <c r="B135" s="48">
        <f>IF(Mitarbeiter!B135="","",Mitarbeiter!B135)</f>
        <v/>
      </c>
      <c r="C135" s="37">
        <f>IF(Mitarbeiter!B135="","",N(INDEX($F135:$BM135,1,(Einstellungen!$C$3-2026)*12+1))+N(INDEX($F135:$BM135,1,(Einstellungen!$C$3-2026)*12+2))+N(INDEX($F135:$BM135,1,(Einstellungen!$C$3-2026)*12+3))+N(INDEX($F135:$BM135,1,(Einstellungen!$C$3-2026)*12+4))+N(INDEX($F135:$BM135,1,(Einstellungen!$C$3-2026)*12+5))+N(INDEX($F135:$BM135,1,(Einstellungen!$C$3-2026)*12+6))+N(INDEX($F135:$BM135,1,(Einstellungen!$C$3-2026)*12+7))+N(INDEX($F135:$BM135,1,(Einstellungen!$C$3-2026)*12+8))+N(INDEX($F135:$BM135,1,(Einstellungen!$C$3-2026)*12+9))+N(INDEX($F135:$BM135,1,(Einstellungen!$C$3-2026)*12+10))+N(INDEX($F135:$BM135,1,(Einstellungen!$C$3-2026)*12+11))+N(INDEX($F135:$BM135,1,(Einstellungen!$C$3-2026)*12+12)))</f>
        <v/>
      </c>
      <c r="D135" s="37">
        <f>IF(Mitarbeiter!B135="","",SUM(F135:BM135))</f>
        <v/>
      </c>
      <c r="F135" s="51" t="n"/>
      <c r="G135" s="51" t="n"/>
      <c r="H135" s="51" t="n"/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  <c r="R135" s="51" t="n"/>
      <c r="S135" s="51" t="n"/>
      <c r="T135" s="51" t="n"/>
      <c r="U135" s="51" t="n"/>
      <c r="V135" s="51" t="n"/>
      <c r="W135" s="51" t="n"/>
      <c r="X135" s="51" t="n"/>
      <c r="Y135" s="51" t="n"/>
      <c r="Z135" s="51" t="n"/>
      <c r="AA135" s="51" t="n"/>
      <c r="AB135" s="51" t="n"/>
      <c r="AC135" s="51" t="n"/>
      <c r="AD135" s="51" t="n"/>
      <c r="AE135" s="51" t="n"/>
      <c r="AF135" s="51" t="n"/>
      <c r="AG135" s="51" t="n"/>
      <c r="AH135" s="51" t="n"/>
      <c r="AI135" s="51" t="n"/>
      <c r="AJ135" s="51" t="n"/>
      <c r="AK135" s="51" t="n"/>
      <c r="AL135" s="51" t="n"/>
      <c r="AM135" s="51" t="n"/>
      <c r="AN135" s="51" t="n"/>
      <c r="AO135" s="51" t="n"/>
      <c r="AP135" s="51" t="n"/>
      <c r="AQ135" s="51" t="n"/>
      <c r="AR135" s="51" t="n"/>
      <c r="AS135" s="51" t="n"/>
      <c r="AT135" s="51" t="n"/>
      <c r="AU135" s="51" t="n"/>
      <c r="AV135" s="51" t="n"/>
      <c r="AW135" s="51" t="n"/>
      <c r="AX135" s="51" t="n"/>
      <c r="AY135" s="51" t="n"/>
      <c r="AZ135" s="51" t="n"/>
      <c r="BA135" s="51" t="n"/>
      <c r="BB135" s="51" t="n"/>
      <c r="BC135" s="51" t="n"/>
      <c r="BD135" s="51" t="n"/>
      <c r="BE135" s="51" t="n"/>
      <c r="BF135" s="51" t="n"/>
      <c r="BG135" s="51" t="n"/>
      <c r="BH135" s="51" t="n"/>
      <c r="BI135" s="51" t="n"/>
      <c r="BJ135" s="51" t="n"/>
      <c r="BK135" s="51" t="n"/>
      <c r="BL135" s="51" t="n"/>
      <c r="BM135" s="51" t="n"/>
    </row>
    <row r="136">
      <c r="A136" s="47">
        <f>IF(Mitarbeiter!B136="","",Mitarbeiter!A136)</f>
        <v/>
      </c>
      <c r="B136" s="48">
        <f>IF(Mitarbeiter!B136="","",Mitarbeiter!B136)</f>
        <v/>
      </c>
      <c r="C136" s="37">
        <f>IF(Mitarbeiter!B136="","",N(INDEX($F136:$BM136,1,(Einstellungen!$C$3-2026)*12+1))+N(INDEX($F136:$BM136,1,(Einstellungen!$C$3-2026)*12+2))+N(INDEX($F136:$BM136,1,(Einstellungen!$C$3-2026)*12+3))+N(INDEX($F136:$BM136,1,(Einstellungen!$C$3-2026)*12+4))+N(INDEX($F136:$BM136,1,(Einstellungen!$C$3-2026)*12+5))+N(INDEX($F136:$BM136,1,(Einstellungen!$C$3-2026)*12+6))+N(INDEX($F136:$BM136,1,(Einstellungen!$C$3-2026)*12+7))+N(INDEX($F136:$BM136,1,(Einstellungen!$C$3-2026)*12+8))+N(INDEX($F136:$BM136,1,(Einstellungen!$C$3-2026)*12+9))+N(INDEX($F136:$BM136,1,(Einstellungen!$C$3-2026)*12+10))+N(INDEX($F136:$BM136,1,(Einstellungen!$C$3-2026)*12+11))+N(INDEX($F136:$BM136,1,(Einstellungen!$C$3-2026)*12+12)))</f>
        <v/>
      </c>
      <c r="D136" s="37">
        <f>IF(Mitarbeiter!B136="","",SUM(F136:BM136))</f>
        <v/>
      </c>
      <c r="F136" s="51" t="n"/>
      <c r="G136" s="51" t="n"/>
      <c r="H136" s="51" t="n"/>
      <c r="I136" s="51" t="n"/>
      <c r="J136" s="51" t="n"/>
      <c r="K136" s="51" t="n"/>
      <c r="L136" s="51" t="n"/>
      <c r="M136" s="51" t="n"/>
      <c r="N136" s="51" t="n"/>
      <c r="O136" s="51" t="n"/>
      <c r="P136" s="51" t="n"/>
      <c r="Q136" s="51" t="n"/>
      <c r="R136" s="51" t="n"/>
      <c r="S136" s="51" t="n"/>
      <c r="T136" s="51" t="n"/>
      <c r="U136" s="51" t="n"/>
      <c r="V136" s="51" t="n"/>
      <c r="W136" s="51" t="n"/>
      <c r="X136" s="51" t="n"/>
      <c r="Y136" s="51" t="n"/>
      <c r="Z136" s="51" t="n"/>
      <c r="AA136" s="51" t="n"/>
      <c r="AB136" s="51" t="n"/>
      <c r="AC136" s="51" t="n"/>
      <c r="AD136" s="51" t="n"/>
      <c r="AE136" s="51" t="n"/>
      <c r="AF136" s="51" t="n"/>
      <c r="AG136" s="51" t="n"/>
      <c r="AH136" s="51" t="n"/>
      <c r="AI136" s="51" t="n"/>
      <c r="AJ136" s="51" t="n"/>
      <c r="AK136" s="51" t="n"/>
      <c r="AL136" s="51" t="n"/>
      <c r="AM136" s="51" t="n"/>
      <c r="AN136" s="51" t="n"/>
      <c r="AO136" s="51" t="n"/>
      <c r="AP136" s="51" t="n"/>
      <c r="AQ136" s="51" t="n"/>
      <c r="AR136" s="51" t="n"/>
      <c r="AS136" s="51" t="n"/>
      <c r="AT136" s="51" t="n"/>
      <c r="AU136" s="51" t="n"/>
      <c r="AV136" s="51" t="n"/>
      <c r="AW136" s="51" t="n"/>
      <c r="AX136" s="51" t="n"/>
      <c r="AY136" s="51" t="n"/>
      <c r="AZ136" s="51" t="n"/>
      <c r="BA136" s="51" t="n"/>
      <c r="BB136" s="51" t="n"/>
      <c r="BC136" s="51" t="n"/>
      <c r="BD136" s="51" t="n"/>
      <c r="BE136" s="51" t="n"/>
      <c r="BF136" s="51" t="n"/>
      <c r="BG136" s="51" t="n"/>
      <c r="BH136" s="51" t="n"/>
      <c r="BI136" s="51" t="n"/>
      <c r="BJ136" s="51" t="n"/>
      <c r="BK136" s="51" t="n"/>
      <c r="BL136" s="51" t="n"/>
      <c r="BM136" s="51" t="n"/>
    </row>
    <row r="137">
      <c r="A137" s="47">
        <f>IF(Mitarbeiter!B137="","",Mitarbeiter!A137)</f>
        <v/>
      </c>
      <c r="B137" s="48">
        <f>IF(Mitarbeiter!B137="","",Mitarbeiter!B137)</f>
        <v/>
      </c>
      <c r="C137" s="37">
        <f>IF(Mitarbeiter!B137="","",N(INDEX($F137:$BM137,1,(Einstellungen!$C$3-2026)*12+1))+N(INDEX($F137:$BM137,1,(Einstellungen!$C$3-2026)*12+2))+N(INDEX($F137:$BM137,1,(Einstellungen!$C$3-2026)*12+3))+N(INDEX($F137:$BM137,1,(Einstellungen!$C$3-2026)*12+4))+N(INDEX($F137:$BM137,1,(Einstellungen!$C$3-2026)*12+5))+N(INDEX($F137:$BM137,1,(Einstellungen!$C$3-2026)*12+6))+N(INDEX($F137:$BM137,1,(Einstellungen!$C$3-2026)*12+7))+N(INDEX($F137:$BM137,1,(Einstellungen!$C$3-2026)*12+8))+N(INDEX($F137:$BM137,1,(Einstellungen!$C$3-2026)*12+9))+N(INDEX($F137:$BM137,1,(Einstellungen!$C$3-2026)*12+10))+N(INDEX($F137:$BM137,1,(Einstellungen!$C$3-2026)*12+11))+N(INDEX($F137:$BM137,1,(Einstellungen!$C$3-2026)*12+12)))</f>
        <v/>
      </c>
      <c r="D137" s="37">
        <f>IF(Mitarbeiter!B137="","",SUM(F137:BM137))</f>
        <v/>
      </c>
      <c r="F137" s="51" t="n"/>
      <c r="G137" s="51" t="n"/>
      <c r="H137" s="51" t="n"/>
      <c r="I137" s="51" t="n"/>
      <c r="J137" s="51" t="n"/>
      <c r="K137" s="51" t="n"/>
      <c r="L137" s="51" t="n"/>
      <c r="M137" s="51" t="n"/>
      <c r="N137" s="51" t="n"/>
      <c r="O137" s="51" t="n"/>
      <c r="P137" s="51" t="n"/>
      <c r="Q137" s="51" t="n"/>
      <c r="R137" s="51" t="n"/>
      <c r="S137" s="51" t="n"/>
      <c r="T137" s="51" t="n"/>
      <c r="U137" s="51" t="n"/>
      <c r="V137" s="51" t="n"/>
      <c r="W137" s="51" t="n"/>
      <c r="X137" s="51" t="n"/>
      <c r="Y137" s="51" t="n"/>
      <c r="Z137" s="51" t="n"/>
      <c r="AA137" s="51" t="n"/>
      <c r="AB137" s="51" t="n"/>
      <c r="AC137" s="51" t="n"/>
      <c r="AD137" s="51" t="n"/>
      <c r="AE137" s="51" t="n"/>
      <c r="AF137" s="51" t="n"/>
      <c r="AG137" s="51" t="n"/>
      <c r="AH137" s="51" t="n"/>
      <c r="AI137" s="51" t="n"/>
      <c r="AJ137" s="51" t="n"/>
      <c r="AK137" s="51" t="n"/>
      <c r="AL137" s="51" t="n"/>
      <c r="AM137" s="51" t="n"/>
      <c r="AN137" s="51" t="n"/>
      <c r="AO137" s="51" t="n"/>
      <c r="AP137" s="51" t="n"/>
      <c r="AQ137" s="51" t="n"/>
      <c r="AR137" s="51" t="n"/>
      <c r="AS137" s="51" t="n"/>
      <c r="AT137" s="51" t="n"/>
      <c r="AU137" s="51" t="n"/>
      <c r="AV137" s="51" t="n"/>
      <c r="AW137" s="51" t="n"/>
      <c r="AX137" s="51" t="n"/>
      <c r="AY137" s="51" t="n"/>
      <c r="AZ137" s="51" t="n"/>
      <c r="BA137" s="51" t="n"/>
      <c r="BB137" s="51" t="n"/>
      <c r="BC137" s="51" t="n"/>
      <c r="BD137" s="51" t="n"/>
      <c r="BE137" s="51" t="n"/>
      <c r="BF137" s="51" t="n"/>
      <c r="BG137" s="51" t="n"/>
      <c r="BH137" s="51" t="n"/>
      <c r="BI137" s="51" t="n"/>
      <c r="BJ137" s="51" t="n"/>
      <c r="BK137" s="51" t="n"/>
      <c r="BL137" s="51" t="n"/>
      <c r="BM137" s="51" t="n"/>
    </row>
    <row r="138">
      <c r="A138" s="47">
        <f>IF(Mitarbeiter!B138="","",Mitarbeiter!A138)</f>
        <v/>
      </c>
      <c r="B138" s="48">
        <f>IF(Mitarbeiter!B138="","",Mitarbeiter!B138)</f>
        <v/>
      </c>
      <c r="C138" s="37">
        <f>IF(Mitarbeiter!B138="","",N(INDEX($F138:$BM138,1,(Einstellungen!$C$3-2026)*12+1))+N(INDEX($F138:$BM138,1,(Einstellungen!$C$3-2026)*12+2))+N(INDEX($F138:$BM138,1,(Einstellungen!$C$3-2026)*12+3))+N(INDEX($F138:$BM138,1,(Einstellungen!$C$3-2026)*12+4))+N(INDEX($F138:$BM138,1,(Einstellungen!$C$3-2026)*12+5))+N(INDEX($F138:$BM138,1,(Einstellungen!$C$3-2026)*12+6))+N(INDEX($F138:$BM138,1,(Einstellungen!$C$3-2026)*12+7))+N(INDEX($F138:$BM138,1,(Einstellungen!$C$3-2026)*12+8))+N(INDEX($F138:$BM138,1,(Einstellungen!$C$3-2026)*12+9))+N(INDEX($F138:$BM138,1,(Einstellungen!$C$3-2026)*12+10))+N(INDEX($F138:$BM138,1,(Einstellungen!$C$3-2026)*12+11))+N(INDEX($F138:$BM138,1,(Einstellungen!$C$3-2026)*12+12)))</f>
        <v/>
      </c>
      <c r="D138" s="37">
        <f>IF(Mitarbeiter!B138="","",SUM(F138:BM138))</f>
        <v/>
      </c>
      <c r="F138" s="51" t="n"/>
      <c r="G138" s="51" t="n"/>
      <c r="H138" s="51" t="n"/>
      <c r="I138" s="51" t="n"/>
      <c r="J138" s="51" t="n"/>
      <c r="K138" s="51" t="n"/>
      <c r="L138" s="51" t="n"/>
      <c r="M138" s="51" t="n"/>
      <c r="N138" s="51" t="n"/>
      <c r="O138" s="51" t="n"/>
      <c r="P138" s="51" t="n"/>
      <c r="Q138" s="51" t="n"/>
      <c r="R138" s="51" t="n"/>
      <c r="S138" s="51" t="n"/>
      <c r="T138" s="51" t="n"/>
      <c r="U138" s="51" t="n"/>
      <c r="V138" s="51" t="n"/>
      <c r="W138" s="51" t="n"/>
      <c r="X138" s="51" t="n"/>
      <c r="Y138" s="51" t="n"/>
      <c r="Z138" s="51" t="n"/>
      <c r="AA138" s="51" t="n"/>
      <c r="AB138" s="51" t="n"/>
      <c r="AC138" s="51" t="n"/>
      <c r="AD138" s="51" t="n"/>
      <c r="AE138" s="51" t="n"/>
      <c r="AF138" s="51" t="n"/>
      <c r="AG138" s="51" t="n"/>
      <c r="AH138" s="51" t="n"/>
      <c r="AI138" s="51" t="n"/>
      <c r="AJ138" s="51" t="n"/>
      <c r="AK138" s="51" t="n"/>
      <c r="AL138" s="51" t="n"/>
      <c r="AM138" s="51" t="n"/>
      <c r="AN138" s="51" t="n"/>
      <c r="AO138" s="51" t="n"/>
      <c r="AP138" s="51" t="n"/>
      <c r="AQ138" s="51" t="n"/>
      <c r="AR138" s="51" t="n"/>
      <c r="AS138" s="51" t="n"/>
      <c r="AT138" s="51" t="n"/>
      <c r="AU138" s="51" t="n"/>
      <c r="AV138" s="51" t="n"/>
      <c r="AW138" s="51" t="n"/>
      <c r="AX138" s="51" t="n"/>
      <c r="AY138" s="51" t="n"/>
      <c r="AZ138" s="51" t="n"/>
      <c r="BA138" s="51" t="n"/>
      <c r="BB138" s="51" t="n"/>
      <c r="BC138" s="51" t="n"/>
      <c r="BD138" s="51" t="n"/>
      <c r="BE138" s="51" t="n"/>
      <c r="BF138" s="51" t="n"/>
      <c r="BG138" s="51" t="n"/>
      <c r="BH138" s="51" t="n"/>
      <c r="BI138" s="51" t="n"/>
      <c r="BJ138" s="51" t="n"/>
      <c r="BK138" s="51" t="n"/>
      <c r="BL138" s="51" t="n"/>
      <c r="BM138" s="51" t="n"/>
    </row>
    <row r="139">
      <c r="A139" s="47">
        <f>IF(Mitarbeiter!B139="","",Mitarbeiter!A139)</f>
        <v/>
      </c>
      <c r="B139" s="48">
        <f>IF(Mitarbeiter!B139="","",Mitarbeiter!B139)</f>
        <v/>
      </c>
      <c r="C139" s="37">
        <f>IF(Mitarbeiter!B139="","",N(INDEX($F139:$BM139,1,(Einstellungen!$C$3-2026)*12+1))+N(INDEX($F139:$BM139,1,(Einstellungen!$C$3-2026)*12+2))+N(INDEX($F139:$BM139,1,(Einstellungen!$C$3-2026)*12+3))+N(INDEX($F139:$BM139,1,(Einstellungen!$C$3-2026)*12+4))+N(INDEX($F139:$BM139,1,(Einstellungen!$C$3-2026)*12+5))+N(INDEX($F139:$BM139,1,(Einstellungen!$C$3-2026)*12+6))+N(INDEX($F139:$BM139,1,(Einstellungen!$C$3-2026)*12+7))+N(INDEX($F139:$BM139,1,(Einstellungen!$C$3-2026)*12+8))+N(INDEX($F139:$BM139,1,(Einstellungen!$C$3-2026)*12+9))+N(INDEX($F139:$BM139,1,(Einstellungen!$C$3-2026)*12+10))+N(INDEX($F139:$BM139,1,(Einstellungen!$C$3-2026)*12+11))+N(INDEX($F139:$BM139,1,(Einstellungen!$C$3-2026)*12+12)))</f>
        <v/>
      </c>
      <c r="D139" s="37">
        <f>IF(Mitarbeiter!B139="","",SUM(F139:BM139))</f>
        <v/>
      </c>
      <c r="F139" s="51" t="n"/>
      <c r="G139" s="51" t="n"/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  <c r="R139" s="51" t="n"/>
      <c r="S139" s="51" t="n"/>
      <c r="T139" s="51" t="n"/>
      <c r="U139" s="51" t="n"/>
      <c r="V139" s="51" t="n"/>
      <c r="W139" s="51" t="n"/>
      <c r="X139" s="51" t="n"/>
      <c r="Y139" s="51" t="n"/>
      <c r="Z139" s="51" t="n"/>
      <c r="AA139" s="51" t="n"/>
      <c r="AB139" s="51" t="n"/>
      <c r="AC139" s="51" t="n"/>
      <c r="AD139" s="51" t="n"/>
      <c r="AE139" s="51" t="n"/>
      <c r="AF139" s="51" t="n"/>
      <c r="AG139" s="51" t="n"/>
      <c r="AH139" s="51" t="n"/>
      <c r="AI139" s="51" t="n"/>
      <c r="AJ139" s="51" t="n"/>
      <c r="AK139" s="51" t="n"/>
      <c r="AL139" s="51" t="n"/>
      <c r="AM139" s="51" t="n"/>
      <c r="AN139" s="51" t="n"/>
      <c r="AO139" s="51" t="n"/>
      <c r="AP139" s="51" t="n"/>
      <c r="AQ139" s="51" t="n"/>
      <c r="AR139" s="51" t="n"/>
      <c r="AS139" s="51" t="n"/>
      <c r="AT139" s="51" t="n"/>
      <c r="AU139" s="51" t="n"/>
      <c r="AV139" s="51" t="n"/>
      <c r="AW139" s="51" t="n"/>
      <c r="AX139" s="51" t="n"/>
      <c r="AY139" s="51" t="n"/>
      <c r="AZ139" s="51" t="n"/>
      <c r="BA139" s="51" t="n"/>
      <c r="BB139" s="51" t="n"/>
      <c r="BC139" s="51" t="n"/>
      <c r="BD139" s="51" t="n"/>
      <c r="BE139" s="51" t="n"/>
      <c r="BF139" s="51" t="n"/>
      <c r="BG139" s="51" t="n"/>
      <c r="BH139" s="51" t="n"/>
      <c r="BI139" s="51" t="n"/>
      <c r="BJ139" s="51" t="n"/>
      <c r="BK139" s="51" t="n"/>
      <c r="BL139" s="51" t="n"/>
      <c r="BM139" s="51" t="n"/>
    </row>
    <row r="140">
      <c r="A140" s="47">
        <f>IF(Mitarbeiter!B140="","",Mitarbeiter!A140)</f>
        <v/>
      </c>
      <c r="B140" s="48">
        <f>IF(Mitarbeiter!B140="","",Mitarbeiter!B140)</f>
        <v/>
      </c>
      <c r="C140" s="37">
        <f>IF(Mitarbeiter!B140="","",N(INDEX($F140:$BM140,1,(Einstellungen!$C$3-2026)*12+1))+N(INDEX($F140:$BM140,1,(Einstellungen!$C$3-2026)*12+2))+N(INDEX($F140:$BM140,1,(Einstellungen!$C$3-2026)*12+3))+N(INDEX($F140:$BM140,1,(Einstellungen!$C$3-2026)*12+4))+N(INDEX($F140:$BM140,1,(Einstellungen!$C$3-2026)*12+5))+N(INDEX($F140:$BM140,1,(Einstellungen!$C$3-2026)*12+6))+N(INDEX($F140:$BM140,1,(Einstellungen!$C$3-2026)*12+7))+N(INDEX($F140:$BM140,1,(Einstellungen!$C$3-2026)*12+8))+N(INDEX($F140:$BM140,1,(Einstellungen!$C$3-2026)*12+9))+N(INDEX($F140:$BM140,1,(Einstellungen!$C$3-2026)*12+10))+N(INDEX($F140:$BM140,1,(Einstellungen!$C$3-2026)*12+11))+N(INDEX($F140:$BM140,1,(Einstellungen!$C$3-2026)*12+12)))</f>
        <v/>
      </c>
      <c r="D140" s="37">
        <f>IF(Mitarbeiter!B140="","",SUM(F140:BM140))</f>
        <v/>
      </c>
      <c r="F140" s="51" t="n"/>
      <c r="G140" s="51" t="n"/>
      <c r="H140" s="51" t="n"/>
      <c r="I140" s="51" t="n"/>
      <c r="J140" s="51" t="n"/>
      <c r="K140" s="51" t="n"/>
      <c r="L140" s="51" t="n"/>
      <c r="M140" s="51" t="n"/>
      <c r="N140" s="51" t="n"/>
      <c r="O140" s="51" t="n"/>
      <c r="P140" s="51" t="n"/>
      <c r="Q140" s="51" t="n"/>
      <c r="R140" s="51" t="n"/>
      <c r="S140" s="51" t="n"/>
      <c r="T140" s="51" t="n"/>
      <c r="U140" s="51" t="n"/>
      <c r="V140" s="51" t="n"/>
      <c r="W140" s="51" t="n"/>
      <c r="X140" s="51" t="n"/>
      <c r="Y140" s="51" t="n"/>
      <c r="Z140" s="51" t="n"/>
      <c r="AA140" s="51" t="n"/>
      <c r="AB140" s="51" t="n"/>
      <c r="AC140" s="51" t="n"/>
      <c r="AD140" s="51" t="n"/>
      <c r="AE140" s="51" t="n"/>
      <c r="AF140" s="51" t="n"/>
      <c r="AG140" s="51" t="n"/>
      <c r="AH140" s="51" t="n"/>
      <c r="AI140" s="51" t="n"/>
      <c r="AJ140" s="51" t="n"/>
      <c r="AK140" s="51" t="n"/>
      <c r="AL140" s="51" t="n"/>
      <c r="AM140" s="51" t="n"/>
      <c r="AN140" s="51" t="n"/>
      <c r="AO140" s="51" t="n"/>
      <c r="AP140" s="51" t="n"/>
      <c r="AQ140" s="51" t="n"/>
      <c r="AR140" s="51" t="n"/>
      <c r="AS140" s="51" t="n"/>
      <c r="AT140" s="51" t="n"/>
      <c r="AU140" s="51" t="n"/>
      <c r="AV140" s="51" t="n"/>
      <c r="AW140" s="51" t="n"/>
      <c r="AX140" s="51" t="n"/>
      <c r="AY140" s="51" t="n"/>
      <c r="AZ140" s="51" t="n"/>
      <c r="BA140" s="51" t="n"/>
      <c r="BB140" s="51" t="n"/>
      <c r="BC140" s="51" t="n"/>
      <c r="BD140" s="51" t="n"/>
      <c r="BE140" s="51" t="n"/>
      <c r="BF140" s="51" t="n"/>
      <c r="BG140" s="51" t="n"/>
      <c r="BH140" s="51" t="n"/>
      <c r="BI140" s="51" t="n"/>
      <c r="BJ140" s="51" t="n"/>
      <c r="BK140" s="51" t="n"/>
      <c r="BL140" s="51" t="n"/>
      <c r="BM140" s="51" t="n"/>
    </row>
    <row r="141">
      <c r="A141" s="47">
        <f>IF(Mitarbeiter!B141="","",Mitarbeiter!A141)</f>
        <v/>
      </c>
      <c r="B141" s="48">
        <f>IF(Mitarbeiter!B141="","",Mitarbeiter!B141)</f>
        <v/>
      </c>
      <c r="C141" s="37">
        <f>IF(Mitarbeiter!B141="","",N(INDEX($F141:$BM141,1,(Einstellungen!$C$3-2026)*12+1))+N(INDEX($F141:$BM141,1,(Einstellungen!$C$3-2026)*12+2))+N(INDEX($F141:$BM141,1,(Einstellungen!$C$3-2026)*12+3))+N(INDEX($F141:$BM141,1,(Einstellungen!$C$3-2026)*12+4))+N(INDEX($F141:$BM141,1,(Einstellungen!$C$3-2026)*12+5))+N(INDEX($F141:$BM141,1,(Einstellungen!$C$3-2026)*12+6))+N(INDEX($F141:$BM141,1,(Einstellungen!$C$3-2026)*12+7))+N(INDEX($F141:$BM141,1,(Einstellungen!$C$3-2026)*12+8))+N(INDEX($F141:$BM141,1,(Einstellungen!$C$3-2026)*12+9))+N(INDEX($F141:$BM141,1,(Einstellungen!$C$3-2026)*12+10))+N(INDEX($F141:$BM141,1,(Einstellungen!$C$3-2026)*12+11))+N(INDEX($F141:$BM141,1,(Einstellungen!$C$3-2026)*12+12)))</f>
        <v/>
      </c>
      <c r="D141" s="37">
        <f>IF(Mitarbeiter!B141="","",SUM(F141:BM141))</f>
        <v/>
      </c>
      <c r="F141" s="51" t="n"/>
      <c r="G141" s="51" t="n"/>
      <c r="H141" s="51" t="n"/>
      <c r="I141" s="51" t="n"/>
      <c r="J141" s="51" t="n"/>
      <c r="K141" s="51" t="n"/>
      <c r="L141" s="51" t="n"/>
      <c r="M141" s="51" t="n"/>
      <c r="N141" s="51" t="n"/>
      <c r="O141" s="51" t="n"/>
      <c r="P141" s="51" t="n"/>
      <c r="Q141" s="51" t="n"/>
      <c r="R141" s="51" t="n"/>
      <c r="S141" s="51" t="n"/>
      <c r="T141" s="51" t="n"/>
      <c r="U141" s="51" t="n"/>
      <c r="V141" s="51" t="n"/>
      <c r="W141" s="51" t="n"/>
      <c r="X141" s="51" t="n"/>
      <c r="Y141" s="51" t="n"/>
      <c r="Z141" s="51" t="n"/>
      <c r="AA141" s="51" t="n"/>
      <c r="AB141" s="51" t="n"/>
      <c r="AC141" s="51" t="n"/>
      <c r="AD141" s="51" t="n"/>
      <c r="AE141" s="51" t="n"/>
      <c r="AF141" s="51" t="n"/>
      <c r="AG141" s="51" t="n"/>
      <c r="AH141" s="51" t="n"/>
      <c r="AI141" s="51" t="n"/>
      <c r="AJ141" s="51" t="n"/>
      <c r="AK141" s="51" t="n"/>
      <c r="AL141" s="51" t="n"/>
      <c r="AM141" s="51" t="n"/>
      <c r="AN141" s="51" t="n"/>
      <c r="AO141" s="51" t="n"/>
      <c r="AP141" s="51" t="n"/>
      <c r="AQ141" s="51" t="n"/>
      <c r="AR141" s="51" t="n"/>
      <c r="AS141" s="51" t="n"/>
      <c r="AT141" s="51" t="n"/>
      <c r="AU141" s="51" t="n"/>
      <c r="AV141" s="51" t="n"/>
      <c r="AW141" s="51" t="n"/>
      <c r="AX141" s="51" t="n"/>
      <c r="AY141" s="51" t="n"/>
      <c r="AZ141" s="51" t="n"/>
      <c r="BA141" s="51" t="n"/>
      <c r="BB141" s="51" t="n"/>
      <c r="BC141" s="51" t="n"/>
      <c r="BD141" s="51" t="n"/>
      <c r="BE141" s="51" t="n"/>
      <c r="BF141" s="51" t="n"/>
      <c r="BG141" s="51" t="n"/>
      <c r="BH141" s="51" t="n"/>
      <c r="BI141" s="51" t="n"/>
      <c r="BJ141" s="51" t="n"/>
      <c r="BK141" s="51" t="n"/>
      <c r="BL141" s="51" t="n"/>
      <c r="BM141" s="51" t="n"/>
    </row>
    <row r="142">
      <c r="A142" s="47">
        <f>IF(Mitarbeiter!B142="","",Mitarbeiter!A142)</f>
        <v/>
      </c>
      <c r="B142" s="48">
        <f>IF(Mitarbeiter!B142="","",Mitarbeiter!B142)</f>
        <v/>
      </c>
      <c r="C142" s="37">
        <f>IF(Mitarbeiter!B142="","",N(INDEX($F142:$BM142,1,(Einstellungen!$C$3-2026)*12+1))+N(INDEX($F142:$BM142,1,(Einstellungen!$C$3-2026)*12+2))+N(INDEX($F142:$BM142,1,(Einstellungen!$C$3-2026)*12+3))+N(INDEX($F142:$BM142,1,(Einstellungen!$C$3-2026)*12+4))+N(INDEX($F142:$BM142,1,(Einstellungen!$C$3-2026)*12+5))+N(INDEX($F142:$BM142,1,(Einstellungen!$C$3-2026)*12+6))+N(INDEX($F142:$BM142,1,(Einstellungen!$C$3-2026)*12+7))+N(INDEX($F142:$BM142,1,(Einstellungen!$C$3-2026)*12+8))+N(INDEX($F142:$BM142,1,(Einstellungen!$C$3-2026)*12+9))+N(INDEX($F142:$BM142,1,(Einstellungen!$C$3-2026)*12+10))+N(INDEX($F142:$BM142,1,(Einstellungen!$C$3-2026)*12+11))+N(INDEX($F142:$BM142,1,(Einstellungen!$C$3-2026)*12+12)))</f>
        <v/>
      </c>
      <c r="D142" s="37">
        <f>IF(Mitarbeiter!B142="","",SUM(F142:BM142))</f>
        <v/>
      </c>
      <c r="F142" s="51" t="n"/>
      <c r="G142" s="51" t="n"/>
      <c r="H142" s="51" t="n"/>
      <c r="I142" s="51" t="n"/>
      <c r="J142" s="51" t="n"/>
      <c r="K142" s="51" t="n"/>
      <c r="L142" s="51" t="n"/>
      <c r="M142" s="51" t="n"/>
      <c r="N142" s="51" t="n"/>
      <c r="O142" s="51" t="n"/>
      <c r="P142" s="51" t="n"/>
      <c r="Q142" s="51" t="n"/>
      <c r="R142" s="51" t="n"/>
      <c r="S142" s="51" t="n"/>
      <c r="T142" s="51" t="n"/>
      <c r="U142" s="51" t="n"/>
      <c r="V142" s="51" t="n"/>
      <c r="W142" s="51" t="n"/>
      <c r="X142" s="51" t="n"/>
      <c r="Y142" s="51" t="n"/>
      <c r="Z142" s="51" t="n"/>
      <c r="AA142" s="51" t="n"/>
      <c r="AB142" s="51" t="n"/>
      <c r="AC142" s="51" t="n"/>
      <c r="AD142" s="51" t="n"/>
      <c r="AE142" s="51" t="n"/>
      <c r="AF142" s="51" t="n"/>
      <c r="AG142" s="51" t="n"/>
      <c r="AH142" s="51" t="n"/>
      <c r="AI142" s="51" t="n"/>
      <c r="AJ142" s="51" t="n"/>
      <c r="AK142" s="51" t="n"/>
      <c r="AL142" s="51" t="n"/>
      <c r="AM142" s="51" t="n"/>
      <c r="AN142" s="51" t="n"/>
      <c r="AO142" s="51" t="n"/>
      <c r="AP142" s="51" t="n"/>
      <c r="AQ142" s="51" t="n"/>
      <c r="AR142" s="51" t="n"/>
      <c r="AS142" s="51" t="n"/>
      <c r="AT142" s="51" t="n"/>
      <c r="AU142" s="51" t="n"/>
      <c r="AV142" s="51" t="n"/>
      <c r="AW142" s="51" t="n"/>
      <c r="AX142" s="51" t="n"/>
      <c r="AY142" s="51" t="n"/>
      <c r="AZ142" s="51" t="n"/>
      <c r="BA142" s="51" t="n"/>
      <c r="BB142" s="51" t="n"/>
      <c r="BC142" s="51" t="n"/>
      <c r="BD142" s="51" t="n"/>
      <c r="BE142" s="51" t="n"/>
      <c r="BF142" s="51" t="n"/>
      <c r="BG142" s="51" t="n"/>
      <c r="BH142" s="51" t="n"/>
      <c r="BI142" s="51" t="n"/>
      <c r="BJ142" s="51" t="n"/>
      <c r="BK142" s="51" t="n"/>
      <c r="BL142" s="51" t="n"/>
      <c r="BM142" s="51" t="n"/>
    </row>
    <row r="143">
      <c r="A143" s="47">
        <f>IF(Mitarbeiter!B143="","",Mitarbeiter!A143)</f>
        <v/>
      </c>
      <c r="B143" s="48">
        <f>IF(Mitarbeiter!B143="","",Mitarbeiter!B143)</f>
        <v/>
      </c>
      <c r="C143" s="37">
        <f>IF(Mitarbeiter!B143="","",N(INDEX($F143:$BM143,1,(Einstellungen!$C$3-2026)*12+1))+N(INDEX($F143:$BM143,1,(Einstellungen!$C$3-2026)*12+2))+N(INDEX($F143:$BM143,1,(Einstellungen!$C$3-2026)*12+3))+N(INDEX($F143:$BM143,1,(Einstellungen!$C$3-2026)*12+4))+N(INDEX($F143:$BM143,1,(Einstellungen!$C$3-2026)*12+5))+N(INDEX($F143:$BM143,1,(Einstellungen!$C$3-2026)*12+6))+N(INDEX($F143:$BM143,1,(Einstellungen!$C$3-2026)*12+7))+N(INDEX($F143:$BM143,1,(Einstellungen!$C$3-2026)*12+8))+N(INDEX($F143:$BM143,1,(Einstellungen!$C$3-2026)*12+9))+N(INDEX($F143:$BM143,1,(Einstellungen!$C$3-2026)*12+10))+N(INDEX($F143:$BM143,1,(Einstellungen!$C$3-2026)*12+11))+N(INDEX($F143:$BM143,1,(Einstellungen!$C$3-2026)*12+12)))</f>
        <v/>
      </c>
      <c r="D143" s="37">
        <f>IF(Mitarbeiter!B143="","",SUM(F143:BM143))</f>
        <v/>
      </c>
      <c r="F143" s="51" t="n"/>
      <c r="G143" s="51" t="n"/>
      <c r="H143" s="51" t="n"/>
      <c r="I143" s="51" t="n"/>
      <c r="J143" s="51" t="n"/>
      <c r="K143" s="51" t="n"/>
      <c r="L143" s="51" t="n"/>
      <c r="M143" s="51" t="n"/>
      <c r="N143" s="51" t="n"/>
      <c r="O143" s="51" t="n"/>
      <c r="P143" s="51" t="n"/>
      <c r="Q143" s="51" t="n"/>
      <c r="R143" s="51" t="n"/>
      <c r="S143" s="51" t="n"/>
      <c r="T143" s="51" t="n"/>
      <c r="U143" s="51" t="n"/>
      <c r="V143" s="51" t="n"/>
      <c r="W143" s="51" t="n"/>
      <c r="X143" s="51" t="n"/>
      <c r="Y143" s="51" t="n"/>
      <c r="Z143" s="51" t="n"/>
      <c r="AA143" s="51" t="n"/>
      <c r="AB143" s="51" t="n"/>
      <c r="AC143" s="51" t="n"/>
      <c r="AD143" s="51" t="n"/>
      <c r="AE143" s="51" t="n"/>
      <c r="AF143" s="51" t="n"/>
      <c r="AG143" s="51" t="n"/>
      <c r="AH143" s="51" t="n"/>
      <c r="AI143" s="51" t="n"/>
      <c r="AJ143" s="51" t="n"/>
      <c r="AK143" s="51" t="n"/>
      <c r="AL143" s="51" t="n"/>
      <c r="AM143" s="51" t="n"/>
      <c r="AN143" s="51" t="n"/>
      <c r="AO143" s="51" t="n"/>
      <c r="AP143" s="51" t="n"/>
      <c r="AQ143" s="51" t="n"/>
      <c r="AR143" s="51" t="n"/>
      <c r="AS143" s="51" t="n"/>
      <c r="AT143" s="51" t="n"/>
      <c r="AU143" s="51" t="n"/>
      <c r="AV143" s="51" t="n"/>
      <c r="AW143" s="51" t="n"/>
      <c r="AX143" s="51" t="n"/>
      <c r="AY143" s="51" t="n"/>
      <c r="AZ143" s="51" t="n"/>
      <c r="BA143" s="51" t="n"/>
      <c r="BB143" s="51" t="n"/>
      <c r="BC143" s="51" t="n"/>
      <c r="BD143" s="51" t="n"/>
      <c r="BE143" s="51" t="n"/>
      <c r="BF143" s="51" t="n"/>
      <c r="BG143" s="51" t="n"/>
      <c r="BH143" s="51" t="n"/>
      <c r="BI143" s="51" t="n"/>
      <c r="BJ143" s="51" t="n"/>
      <c r="BK143" s="51" t="n"/>
      <c r="BL143" s="51" t="n"/>
      <c r="BM143" s="51" t="n"/>
    </row>
    <row r="144">
      <c r="A144" s="47">
        <f>IF(Mitarbeiter!B144="","",Mitarbeiter!A144)</f>
        <v/>
      </c>
      <c r="B144" s="48">
        <f>IF(Mitarbeiter!B144="","",Mitarbeiter!B144)</f>
        <v/>
      </c>
      <c r="C144" s="37">
        <f>IF(Mitarbeiter!B144="","",N(INDEX($F144:$BM144,1,(Einstellungen!$C$3-2026)*12+1))+N(INDEX($F144:$BM144,1,(Einstellungen!$C$3-2026)*12+2))+N(INDEX($F144:$BM144,1,(Einstellungen!$C$3-2026)*12+3))+N(INDEX($F144:$BM144,1,(Einstellungen!$C$3-2026)*12+4))+N(INDEX($F144:$BM144,1,(Einstellungen!$C$3-2026)*12+5))+N(INDEX($F144:$BM144,1,(Einstellungen!$C$3-2026)*12+6))+N(INDEX($F144:$BM144,1,(Einstellungen!$C$3-2026)*12+7))+N(INDEX($F144:$BM144,1,(Einstellungen!$C$3-2026)*12+8))+N(INDEX($F144:$BM144,1,(Einstellungen!$C$3-2026)*12+9))+N(INDEX($F144:$BM144,1,(Einstellungen!$C$3-2026)*12+10))+N(INDEX($F144:$BM144,1,(Einstellungen!$C$3-2026)*12+11))+N(INDEX($F144:$BM144,1,(Einstellungen!$C$3-2026)*12+12)))</f>
        <v/>
      </c>
      <c r="D144" s="37">
        <f>IF(Mitarbeiter!B144="","",SUM(F144:BM144))</f>
        <v/>
      </c>
      <c r="F144" s="51" t="n"/>
      <c r="G144" s="51" t="n"/>
      <c r="H144" s="51" t="n"/>
      <c r="I144" s="51" t="n"/>
      <c r="J144" s="51" t="n"/>
      <c r="K144" s="51" t="n"/>
      <c r="L144" s="51" t="n"/>
      <c r="M144" s="51" t="n"/>
      <c r="N144" s="51" t="n"/>
      <c r="O144" s="51" t="n"/>
      <c r="P144" s="51" t="n"/>
      <c r="Q144" s="51" t="n"/>
      <c r="R144" s="51" t="n"/>
      <c r="S144" s="51" t="n"/>
      <c r="T144" s="51" t="n"/>
      <c r="U144" s="51" t="n"/>
      <c r="V144" s="51" t="n"/>
      <c r="W144" s="51" t="n"/>
      <c r="X144" s="51" t="n"/>
      <c r="Y144" s="51" t="n"/>
      <c r="Z144" s="51" t="n"/>
      <c r="AA144" s="51" t="n"/>
      <c r="AB144" s="51" t="n"/>
      <c r="AC144" s="51" t="n"/>
      <c r="AD144" s="51" t="n"/>
      <c r="AE144" s="51" t="n"/>
      <c r="AF144" s="51" t="n"/>
      <c r="AG144" s="51" t="n"/>
      <c r="AH144" s="51" t="n"/>
      <c r="AI144" s="51" t="n"/>
      <c r="AJ144" s="51" t="n"/>
      <c r="AK144" s="51" t="n"/>
      <c r="AL144" s="51" t="n"/>
      <c r="AM144" s="51" t="n"/>
      <c r="AN144" s="51" t="n"/>
      <c r="AO144" s="51" t="n"/>
      <c r="AP144" s="51" t="n"/>
      <c r="AQ144" s="51" t="n"/>
      <c r="AR144" s="51" t="n"/>
      <c r="AS144" s="51" t="n"/>
      <c r="AT144" s="51" t="n"/>
      <c r="AU144" s="51" t="n"/>
      <c r="AV144" s="51" t="n"/>
      <c r="AW144" s="51" t="n"/>
      <c r="AX144" s="51" t="n"/>
      <c r="AY144" s="51" t="n"/>
      <c r="AZ144" s="51" t="n"/>
      <c r="BA144" s="51" t="n"/>
      <c r="BB144" s="51" t="n"/>
      <c r="BC144" s="51" t="n"/>
      <c r="BD144" s="51" t="n"/>
      <c r="BE144" s="51" t="n"/>
      <c r="BF144" s="51" t="n"/>
      <c r="BG144" s="51" t="n"/>
      <c r="BH144" s="51" t="n"/>
      <c r="BI144" s="51" t="n"/>
      <c r="BJ144" s="51" t="n"/>
      <c r="BK144" s="51" t="n"/>
      <c r="BL144" s="51" t="n"/>
      <c r="BM144" s="51" t="n"/>
    </row>
    <row r="145">
      <c r="A145" s="47">
        <f>IF(Mitarbeiter!B145="","",Mitarbeiter!A145)</f>
        <v/>
      </c>
      <c r="B145" s="48">
        <f>IF(Mitarbeiter!B145="","",Mitarbeiter!B145)</f>
        <v/>
      </c>
      <c r="C145" s="37">
        <f>IF(Mitarbeiter!B145="","",N(INDEX($F145:$BM145,1,(Einstellungen!$C$3-2026)*12+1))+N(INDEX($F145:$BM145,1,(Einstellungen!$C$3-2026)*12+2))+N(INDEX($F145:$BM145,1,(Einstellungen!$C$3-2026)*12+3))+N(INDEX($F145:$BM145,1,(Einstellungen!$C$3-2026)*12+4))+N(INDEX($F145:$BM145,1,(Einstellungen!$C$3-2026)*12+5))+N(INDEX($F145:$BM145,1,(Einstellungen!$C$3-2026)*12+6))+N(INDEX($F145:$BM145,1,(Einstellungen!$C$3-2026)*12+7))+N(INDEX($F145:$BM145,1,(Einstellungen!$C$3-2026)*12+8))+N(INDEX($F145:$BM145,1,(Einstellungen!$C$3-2026)*12+9))+N(INDEX($F145:$BM145,1,(Einstellungen!$C$3-2026)*12+10))+N(INDEX($F145:$BM145,1,(Einstellungen!$C$3-2026)*12+11))+N(INDEX($F145:$BM145,1,(Einstellungen!$C$3-2026)*12+12)))</f>
        <v/>
      </c>
      <c r="D145" s="37">
        <f>IF(Mitarbeiter!B145="","",SUM(F145:BM145))</f>
        <v/>
      </c>
      <c r="F145" s="51" t="n"/>
      <c r="G145" s="51" t="n"/>
      <c r="H145" s="51" t="n"/>
      <c r="I145" s="51" t="n"/>
      <c r="J145" s="51" t="n"/>
      <c r="K145" s="51" t="n"/>
      <c r="L145" s="51" t="n"/>
      <c r="M145" s="51" t="n"/>
      <c r="N145" s="51" t="n"/>
      <c r="O145" s="51" t="n"/>
      <c r="P145" s="51" t="n"/>
      <c r="Q145" s="51" t="n"/>
      <c r="R145" s="51" t="n"/>
      <c r="S145" s="51" t="n"/>
      <c r="T145" s="51" t="n"/>
      <c r="U145" s="51" t="n"/>
      <c r="V145" s="51" t="n"/>
      <c r="W145" s="51" t="n"/>
      <c r="X145" s="51" t="n"/>
      <c r="Y145" s="51" t="n"/>
      <c r="Z145" s="51" t="n"/>
      <c r="AA145" s="51" t="n"/>
      <c r="AB145" s="51" t="n"/>
      <c r="AC145" s="51" t="n"/>
      <c r="AD145" s="51" t="n"/>
      <c r="AE145" s="51" t="n"/>
      <c r="AF145" s="51" t="n"/>
      <c r="AG145" s="51" t="n"/>
      <c r="AH145" s="51" t="n"/>
      <c r="AI145" s="51" t="n"/>
      <c r="AJ145" s="51" t="n"/>
      <c r="AK145" s="51" t="n"/>
      <c r="AL145" s="51" t="n"/>
      <c r="AM145" s="51" t="n"/>
      <c r="AN145" s="51" t="n"/>
      <c r="AO145" s="51" t="n"/>
      <c r="AP145" s="51" t="n"/>
      <c r="AQ145" s="51" t="n"/>
      <c r="AR145" s="51" t="n"/>
      <c r="AS145" s="51" t="n"/>
      <c r="AT145" s="51" t="n"/>
      <c r="AU145" s="51" t="n"/>
      <c r="AV145" s="51" t="n"/>
      <c r="AW145" s="51" t="n"/>
      <c r="AX145" s="51" t="n"/>
      <c r="AY145" s="51" t="n"/>
      <c r="AZ145" s="51" t="n"/>
      <c r="BA145" s="51" t="n"/>
      <c r="BB145" s="51" t="n"/>
      <c r="BC145" s="51" t="n"/>
      <c r="BD145" s="51" t="n"/>
      <c r="BE145" s="51" t="n"/>
      <c r="BF145" s="51" t="n"/>
      <c r="BG145" s="51" t="n"/>
      <c r="BH145" s="51" t="n"/>
      <c r="BI145" s="51" t="n"/>
      <c r="BJ145" s="51" t="n"/>
      <c r="BK145" s="51" t="n"/>
      <c r="BL145" s="51" t="n"/>
      <c r="BM145" s="51" t="n"/>
    </row>
    <row r="146">
      <c r="A146" s="47">
        <f>IF(Mitarbeiter!B146="","",Mitarbeiter!A146)</f>
        <v/>
      </c>
      <c r="B146" s="48">
        <f>IF(Mitarbeiter!B146="","",Mitarbeiter!B146)</f>
        <v/>
      </c>
      <c r="C146" s="37">
        <f>IF(Mitarbeiter!B146="","",N(INDEX($F146:$BM146,1,(Einstellungen!$C$3-2026)*12+1))+N(INDEX($F146:$BM146,1,(Einstellungen!$C$3-2026)*12+2))+N(INDEX($F146:$BM146,1,(Einstellungen!$C$3-2026)*12+3))+N(INDEX($F146:$BM146,1,(Einstellungen!$C$3-2026)*12+4))+N(INDEX($F146:$BM146,1,(Einstellungen!$C$3-2026)*12+5))+N(INDEX($F146:$BM146,1,(Einstellungen!$C$3-2026)*12+6))+N(INDEX($F146:$BM146,1,(Einstellungen!$C$3-2026)*12+7))+N(INDEX($F146:$BM146,1,(Einstellungen!$C$3-2026)*12+8))+N(INDEX($F146:$BM146,1,(Einstellungen!$C$3-2026)*12+9))+N(INDEX($F146:$BM146,1,(Einstellungen!$C$3-2026)*12+10))+N(INDEX($F146:$BM146,1,(Einstellungen!$C$3-2026)*12+11))+N(INDEX($F146:$BM146,1,(Einstellungen!$C$3-2026)*12+12)))</f>
        <v/>
      </c>
      <c r="D146" s="37">
        <f>IF(Mitarbeiter!B146="","",SUM(F146:BM146))</f>
        <v/>
      </c>
      <c r="F146" s="51" t="n"/>
      <c r="G146" s="51" t="n"/>
      <c r="H146" s="51" t="n"/>
      <c r="I146" s="51" t="n"/>
      <c r="J146" s="51" t="n"/>
      <c r="K146" s="51" t="n"/>
      <c r="L146" s="51" t="n"/>
      <c r="M146" s="51" t="n"/>
      <c r="N146" s="51" t="n"/>
      <c r="O146" s="51" t="n"/>
      <c r="P146" s="51" t="n"/>
      <c r="Q146" s="51" t="n"/>
      <c r="R146" s="51" t="n"/>
      <c r="S146" s="51" t="n"/>
      <c r="T146" s="51" t="n"/>
      <c r="U146" s="51" t="n"/>
      <c r="V146" s="51" t="n"/>
      <c r="W146" s="51" t="n"/>
      <c r="X146" s="51" t="n"/>
      <c r="Y146" s="51" t="n"/>
      <c r="Z146" s="51" t="n"/>
      <c r="AA146" s="51" t="n"/>
      <c r="AB146" s="51" t="n"/>
      <c r="AC146" s="51" t="n"/>
      <c r="AD146" s="51" t="n"/>
      <c r="AE146" s="51" t="n"/>
      <c r="AF146" s="51" t="n"/>
      <c r="AG146" s="51" t="n"/>
      <c r="AH146" s="51" t="n"/>
      <c r="AI146" s="51" t="n"/>
      <c r="AJ146" s="51" t="n"/>
      <c r="AK146" s="51" t="n"/>
      <c r="AL146" s="51" t="n"/>
      <c r="AM146" s="51" t="n"/>
      <c r="AN146" s="51" t="n"/>
      <c r="AO146" s="51" t="n"/>
      <c r="AP146" s="51" t="n"/>
      <c r="AQ146" s="51" t="n"/>
      <c r="AR146" s="51" t="n"/>
      <c r="AS146" s="51" t="n"/>
      <c r="AT146" s="51" t="n"/>
      <c r="AU146" s="51" t="n"/>
      <c r="AV146" s="51" t="n"/>
      <c r="AW146" s="51" t="n"/>
      <c r="AX146" s="51" t="n"/>
      <c r="AY146" s="51" t="n"/>
      <c r="AZ146" s="51" t="n"/>
      <c r="BA146" s="51" t="n"/>
      <c r="BB146" s="51" t="n"/>
      <c r="BC146" s="51" t="n"/>
      <c r="BD146" s="51" t="n"/>
      <c r="BE146" s="51" t="n"/>
      <c r="BF146" s="51" t="n"/>
      <c r="BG146" s="51" t="n"/>
      <c r="BH146" s="51" t="n"/>
      <c r="BI146" s="51" t="n"/>
      <c r="BJ146" s="51" t="n"/>
      <c r="BK146" s="51" t="n"/>
      <c r="BL146" s="51" t="n"/>
      <c r="BM146" s="51" t="n"/>
    </row>
    <row r="147">
      <c r="A147" s="47">
        <f>IF(Mitarbeiter!B147="","",Mitarbeiter!A147)</f>
        <v/>
      </c>
      <c r="B147" s="48">
        <f>IF(Mitarbeiter!B147="","",Mitarbeiter!B147)</f>
        <v/>
      </c>
      <c r="C147" s="37">
        <f>IF(Mitarbeiter!B147="","",N(INDEX($F147:$BM147,1,(Einstellungen!$C$3-2026)*12+1))+N(INDEX($F147:$BM147,1,(Einstellungen!$C$3-2026)*12+2))+N(INDEX($F147:$BM147,1,(Einstellungen!$C$3-2026)*12+3))+N(INDEX($F147:$BM147,1,(Einstellungen!$C$3-2026)*12+4))+N(INDEX($F147:$BM147,1,(Einstellungen!$C$3-2026)*12+5))+N(INDEX($F147:$BM147,1,(Einstellungen!$C$3-2026)*12+6))+N(INDEX($F147:$BM147,1,(Einstellungen!$C$3-2026)*12+7))+N(INDEX($F147:$BM147,1,(Einstellungen!$C$3-2026)*12+8))+N(INDEX($F147:$BM147,1,(Einstellungen!$C$3-2026)*12+9))+N(INDEX($F147:$BM147,1,(Einstellungen!$C$3-2026)*12+10))+N(INDEX($F147:$BM147,1,(Einstellungen!$C$3-2026)*12+11))+N(INDEX($F147:$BM147,1,(Einstellungen!$C$3-2026)*12+12)))</f>
        <v/>
      </c>
      <c r="D147" s="37">
        <f>IF(Mitarbeiter!B147="","",SUM(F147:BM147))</f>
        <v/>
      </c>
      <c r="F147" s="51" t="n"/>
      <c r="G147" s="51" t="n"/>
      <c r="H147" s="51" t="n"/>
      <c r="I147" s="51" t="n"/>
      <c r="J147" s="51" t="n"/>
      <c r="K147" s="51" t="n"/>
      <c r="L147" s="51" t="n"/>
      <c r="M147" s="51" t="n"/>
      <c r="N147" s="51" t="n"/>
      <c r="O147" s="51" t="n"/>
      <c r="P147" s="51" t="n"/>
      <c r="Q147" s="51" t="n"/>
      <c r="R147" s="51" t="n"/>
      <c r="S147" s="51" t="n"/>
      <c r="T147" s="51" t="n"/>
      <c r="U147" s="51" t="n"/>
      <c r="V147" s="51" t="n"/>
      <c r="W147" s="51" t="n"/>
      <c r="X147" s="51" t="n"/>
      <c r="Y147" s="51" t="n"/>
      <c r="Z147" s="51" t="n"/>
      <c r="AA147" s="51" t="n"/>
      <c r="AB147" s="51" t="n"/>
      <c r="AC147" s="51" t="n"/>
      <c r="AD147" s="51" t="n"/>
      <c r="AE147" s="51" t="n"/>
      <c r="AF147" s="51" t="n"/>
      <c r="AG147" s="51" t="n"/>
      <c r="AH147" s="51" t="n"/>
      <c r="AI147" s="51" t="n"/>
      <c r="AJ147" s="51" t="n"/>
      <c r="AK147" s="51" t="n"/>
      <c r="AL147" s="51" t="n"/>
      <c r="AM147" s="51" t="n"/>
      <c r="AN147" s="51" t="n"/>
      <c r="AO147" s="51" t="n"/>
      <c r="AP147" s="51" t="n"/>
      <c r="AQ147" s="51" t="n"/>
      <c r="AR147" s="51" t="n"/>
      <c r="AS147" s="51" t="n"/>
      <c r="AT147" s="51" t="n"/>
      <c r="AU147" s="51" t="n"/>
      <c r="AV147" s="51" t="n"/>
      <c r="AW147" s="51" t="n"/>
      <c r="AX147" s="51" t="n"/>
      <c r="AY147" s="51" t="n"/>
      <c r="AZ147" s="51" t="n"/>
      <c r="BA147" s="51" t="n"/>
      <c r="BB147" s="51" t="n"/>
      <c r="BC147" s="51" t="n"/>
      <c r="BD147" s="51" t="n"/>
      <c r="BE147" s="51" t="n"/>
      <c r="BF147" s="51" t="n"/>
      <c r="BG147" s="51" t="n"/>
      <c r="BH147" s="51" t="n"/>
      <c r="BI147" s="51" t="n"/>
      <c r="BJ147" s="51" t="n"/>
      <c r="BK147" s="51" t="n"/>
      <c r="BL147" s="51" t="n"/>
      <c r="BM147" s="51" t="n"/>
    </row>
    <row r="148">
      <c r="A148" s="47">
        <f>IF(Mitarbeiter!B148="","",Mitarbeiter!A148)</f>
        <v/>
      </c>
      <c r="B148" s="48">
        <f>IF(Mitarbeiter!B148="","",Mitarbeiter!B148)</f>
        <v/>
      </c>
      <c r="C148" s="37">
        <f>IF(Mitarbeiter!B148="","",N(INDEX($F148:$BM148,1,(Einstellungen!$C$3-2026)*12+1))+N(INDEX($F148:$BM148,1,(Einstellungen!$C$3-2026)*12+2))+N(INDEX($F148:$BM148,1,(Einstellungen!$C$3-2026)*12+3))+N(INDEX($F148:$BM148,1,(Einstellungen!$C$3-2026)*12+4))+N(INDEX($F148:$BM148,1,(Einstellungen!$C$3-2026)*12+5))+N(INDEX($F148:$BM148,1,(Einstellungen!$C$3-2026)*12+6))+N(INDEX($F148:$BM148,1,(Einstellungen!$C$3-2026)*12+7))+N(INDEX($F148:$BM148,1,(Einstellungen!$C$3-2026)*12+8))+N(INDEX($F148:$BM148,1,(Einstellungen!$C$3-2026)*12+9))+N(INDEX($F148:$BM148,1,(Einstellungen!$C$3-2026)*12+10))+N(INDEX($F148:$BM148,1,(Einstellungen!$C$3-2026)*12+11))+N(INDEX($F148:$BM148,1,(Einstellungen!$C$3-2026)*12+12)))</f>
        <v/>
      </c>
      <c r="D148" s="37">
        <f>IF(Mitarbeiter!B148="","",SUM(F148:BM148))</f>
        <v/>
      </c>
      <c r="F148" s="51" t="n"/>
      <c r="G148" s="51" t="n"/>
      <c r="H148" s="51" t="n"/>
      <c r="I148" s="51" t="n"/>
      <c r="J148" s="51" t="n"/>
      <c r="K148" s="51" t="n"/>
      <c r="L148" s="51" t="n"/>
      <c r="M148" s="51" t="n"/>
      <c r="N148" s="51" t="n"/>
      <c r="O148" s="51" t="n"/>
      <c r="P148" s="51" t="n"/>
      <c r="Q148" s="51" t="n"/>
      <c r="R148" s="51" t="n"/>
      <c r="S148" s="51" t="n"/>
      <c r="T148" s="51" t="n"/>
      <c r="U148" s="51" t="n"/>
      <c r="V148" s="51" t="n"/>
      <c r="W148" s="51" t="n"/>
      <c r="X148" s="51" t="n"/>
      <c r="Y148" s="51" t="n"/>
      <c r="Z148" s="51" t="n"/>
      <c r="AA148" s="51" t="n"/>
      <c r="AB148" s="51" t="n"/>
      <c r="AC148" s="51" t="n"/>
      <c r="AD148" s="51" t="n"/>
      <c r="AE148" s="51" t="n"/>
      <c r="AF148" s="51" t="n"/>
      <c r="AG148" s="51" t="n"/>
      <c r="AH148" s="51" t="n"/>
      <c r="AI148" s="51" t="n"/>
      <c r="AJ148" s="51" t="n"/>
      <c r="AK148" s="51" t="n"/>
      <c r="AL148" s="51" t="n"/>
      <c r="AM148" s="51" t="n"/>
      <c r="AN148" s="51" t="n"/>
      <c r="AO148" s="51" t="n"/>
      <c r="AP148" s="51" t="n"/>
      <c r="AQ148" s="51" t="n"/>
      <c r="AR148" s="51" t="n"/>
      <c r="AS148" s="51" t="n"/>
      <c r="AT148" s="51" t="n"/>
      <c r="AU148" s="51" t="n"/>
      <c r="AV148" s="51" t="n"/>
      <c r="AW148" s="51" t="n"/>
      <c r="AX148" s="51" t="n"/>
      <c r="AY148" s="51" t="n"/>
      <c r="AZ148" s="51" t="n"/>
      <c r="BA148" s="51" t="n"/>
      <c r="BB148" s="51" t="n"/>
      <c r="BC148" s="51" t="n"/>
      <c r="BD148" s="51" t="n"/>
      <c r="BE148" s="51" t="n"/>
      <c r="BF148" s="51" t="n"/>
      <c r="BG148" s="51" t="n"/>
      <c r="BH148" s="51" t="n"/>
      <c r="BI148" s="51" t="n"/>
      <c r="BJ148" s="51" t="n"/>
      <c r="BK148" s="51" t="n"/>
      <c r="BL148" s="51" t="n"/>
      <c r="BM148" s="51" t="n"/>
    </row>
    <row r="149">
      <c r="A149" s="47">
        <f>IF(Mitarbeiter!B149="","",Mitarbeiter!A149)</f>
        <v/>
      </c>
      <c r="B149" s="48">
        <f>IF(Mitarbeiter!B149="","",Mitarbeiter!B149)</f>
        <v/>
      </c>
      <c r="C149" s="37">
        <f>IF(Mitarbeiter!B149="","",N(INDEX($F149:$BM149,1,(Einstellungen!$C$3-2026)*12+1))+N(INDEX($F149:$BM149,1,(Einstellungen!$C$3-2026)*12+2))+N(INDEX($F149:$BM149,1,(Einstellungen!$C$3-2026)*12+3))+N(INDEX($F149:$BM149,1,(Einstellungen!$C$3-2026)*12+4))+N(INDEX($F149:$BM149,1,(Einstellungen!$C$3-2026)*12+5))+N(INDEX($F149:$BM149,1,(Einstellungen!$C$3-2026)*12+6))+N(INDEX($F149:$BM149,1,(Einstellungen!$C$3-2026)*12+7))+N(INDEX($F149:$BM149,1,(Einstellungen!$C$3-2026)*12+8))+N(INDEX($F149:$BM149,1,(Einstellungen!$C$3-2026)*12+9))+N(INDEX($F149:$BM149,1,(Einstellungen!$C$3-2026)*12+10))+N(INDEX($F149:$BM149,1,(Einstellungen!$C$3-2026)*12+11))+N(INDEX($F149:$BM149,1,(Einstellungen!$C$3-2026)*12+12)))</f>
        <v/>
      </c>
      <c r="D149" s="37">
        <f>IF(Mitarbeiter!B149="","",SUM(F149:BM149))</f>
        <v/>
      </c>
      <c r="F149" s="51" t="n"/>
      <c r="G149" s="51" t="n"/>
      <c r="H149" s="51" t="n"/>
      <c r="I149" s="51" t="n"/>
      <c r="J149" s="51" t="n"/>
      <c r="K149" s="51" t="n"/>
      <c r="L149" s="51" t="n"/>
      <c r="M149" s="51" t="n"/>
      <c r="N149" s="51" t="n"/>
      <c r="O149" s="51" t="n"/>
      <c r="P149" s="51" t="n"/>
      <c r="Q149" s="51" t="n"/>
      <c r="R149" s="51" t="n"/>
      <c r="S149" s="51" t="n"/>
      <c r="T149" s="51" t="n"/>
      <c r="U149" s="51" t="n"/>
      <c r="V149" s="51" t="n"/>
      <c r="W149" s="51" t="n"/>
      <c r="X149" s="51" t="n"/>
      <c r="Y149" s="51" t="n"/>
      <c r="Z149" s="51" t="n"/>
      <c r="AA149" s="51" t="n"/>
      <c r="AB149" s="51" t="n"/>
      <c r="AC149" s="51" t="n"/>
      <c r="AD149" s="51" t="n"/>
      <c r="AE149" s="51" t="n"/>
      <c r="AF149" s="51" t="n"/>
      <c r="AG149" s="51" t="n"/>
      <c r="AH149" s="51" t="n"/>
      <c r="AI149" s="51" t="n"/>
      <c r="AJ149" s="51" t="n"/>
      <c r="AK149" s="51" t="n"/>
      <c r="AL149" s="51" t="n"/>
      <c r="AM149" s="51" t="n"/>
      <c r="AN149" s="51" t="n"/>
      <c r="AO149" s="51" t="n"/>
      <c r="AP149" s="51" t="n"/>
      <c r="AQ149" s="51" t="n"/>
      <c r="AR149" s="51" t="n"/>
      <c r="AS149" s="51" t="n"/>
      <c r="AT149" s="51" t="n"/>
      <c r="AU149" s="51" t="n"/>
      <c r="AV149" s="51" t="n"/>
      <c r="AW149" s="51" t="n"/>
      <c r="AX149" s="51" t="n"/>
      <c r="AY149" s="51" t="n"/>
      <c r="AZ149" s="51" t="n"/>
      <c r="BA149" s="51" t="n"/>
      <c r="BB149" s="51" t="n"/>
      <c r="BC149" s="51" t="n"/>
      <c r="BD149" s="51" t="n"/>
      <c r="BE149" s="51" t="n"/>
      <c r="BF149" s="51" t="n"/>
      <c r="BG149" s="51" t="n"/>
      <c r="BH149" s="51" t="n"/>
      <c r="BI149" s="51" t="n"/>
      <c r="BJ149" s="51" t="n"/>
      <c r="BK149" s="51" t="n"/>
      <c r="BL149" s="51" t="n"/>
      <c r="BM149" s="51" t="n"/>
    </row>
    <row r="150">
      <c r="A150" s="47">
        <f>IF(Mitarbeiter!B150="","",Mitarbeiter!A150)</f>
        <v/>
      </c>
      <c r="B150" s="48">
        <f>IF(Mitarbeiter!B150="","",Mitarbeiter!B150)</f>
        <v/>
      </c>
      <c r="C150" s="37">
        <f>IF(Mitarbeiter!B150="","",N(INDEX($F150:$BM150,1,(Einstellungen!$C$3-2026)*12+1))+N(INDEX($F150:$BM150,1,(Einstellungen!$C$3-2026)*12+2))+N(INDEX($F150:$BM150,1,(Einstellungen!$C$3-2026)*12+3))+N(INDEX($F150:$BM150,1,(Einstellungen!$C$3-2026)*12+4))+N(INDEX($F150:$BM150,1,(Einstellungen!$C$3-2026)*12+5))+N(INDEX($F150:$BM150,1,(Einstellungen!$C$3-2026)*12+6))+N(INDEX($F150:$BM150,1,(Einstellungen!$C$3-2026)*12+7))+N(INDEX($F150:$BM150,1,(Einstellungen!$C$3-2026)*12+8))+N(INDEX($F150:$BM150,1,(Einstellungen!$C$3-2026)*12+9))+N(INDEX($F150:$BM150,1,(Einstellungen!$C$3-2026)*12+10))+N(INDEX($F150:$BM150,1,(Einstellungen!$C$3-2026)*12+11))+N(INDEX($F150:$BM150,1,(Einstellungen!$C$3-2026)*12+12)))</f>
        <v/>
      </c>
      <c r="D150" s="37">
        <f>IF(Mitarbeiter!B150="","",SUM(F150:BM150))</f>
        <v/>
      </c>
      <c r="F150" s="51" t="n"/>
      <c r="G150" s="51" t="n"/>
      <c r="H150" s="51" t="n"/>
      <c r="I150" s="51" t="n"/>
      <c r="J150" s="51" t="n"/>
      <c r="K150" s="51" t="n"/>
      <c r="L150" s="51" t="n"/>
      <c r="M150" s="51" t="n"/>
      <c r="N150" s="51" t="n"/>
      <c r="O150" s="51" t="n"/>
      <c r="P150" s="51" t="n"/>
      <c r="Q150" s="51" t="n"/>
      <c r="R150" s="51" t="n"/>
      <c r="S150" s="51" t="n"/>
      <c r="T150" s="51" t="n"/>
      <c r="U150" s="51" t="n"/>
      <c r="V150" s="51" t="n"/>
      <c r="W150" s="51" t="n"/>
      <c r="X150" s="51" t="n"/>
      <c r="Y150" s="51" t="n"/>
      <c r="Z150" s="51" t="n"/>
      <c r="AA150" s="51" t="n"/>
      <c r="AB150" s="51" t="n"/>
      <c r="AC150" s="51" t="n"/>
      <c r="AD150" s="51" t="n"/>
      <c r="AE150" s="51" t="n"/>
      <c r="AF150" s="51" t="n"/>
      <c r="AG150" s="51" t="n"/>
      <c r="AH150" s="51" t="n"/>
      <c r="AI150" s="51" t="n"/>
      <c r="AJ150" s="51" t="n"/>
      <c r="AK150" s="51" t="n"/>
      <c r="AL150" s="51" t="n"/>
      <c r="AM150" s="51" t="n"/>
      <c r="AN150" s="51" t="n"/>
      <c r="AO150" s="51" t="n"/>
      <c r="AP150" s="51" t="n"/>
      <c r="AQ150" s="51" t="n"/>
      <c r="AR150" s="51" t="n"/>
      <c r="AS150" s="51" t="n"/>
      <c r="AT150" s="51" t="n"/>
      <c r="AU150" s="51" t="n"/>
      <c r="AV150" s="51" t="n"/>
      <c r="AW150" s="51" t="n"/>
      <c r="AX150" s="51" t="n"/>
      <c r="AY150" s="51" t="n"/>
      <c r="AZ150" s="51" t="n"/>
      <c r="BA150" s="51" t="n"/>
      <c r="BB150" s="51" t="n"/>
      <c r="BC150" s="51" t="n"/>
      <c r="BD150" s="51" t="n"/>
      <c r="BE150" s="51" t="n"/>
      <c r="BF150" s="51" t="n"/>
      <c r="BG150" s="51" t="n"/>
      <c r="BH150" s="51" t="n"/>
      <c r="BI150" s="51" t="n"/>
      <c r="BJ150" s="51" t="n"/>
      <c r="BK150" s="51" t="n"/>
      <c r="BL150" s="51" t="n"/>
      <c r="BM150" s="51" t="n"/>
    </row>
    <row r="151">
      <c r="A151" s="47">
        <f>IF(Mitarbeiter!B151="","",Mitarbeiter!A151)</f>
        <v/>
      </c>
      <c r="B151" s="48">
        <f>IF(Mitarbeiter!B151="","",Mitarbeiter!B151)</f>
        <v/>
      </c>
      <c r="C151" s="37">
        <f>IF(Mitarbeiter!B151="","",N(INDEX($F151:$BM151,1,(Einstellungen!$C$3-2026)*12+1))+N(INDEX($F151:$BM151,1,(Einstellungen!$C$3-2026)*12+2))+N(INDEX($F151:$BM151,1,(Einstellungen!$C$3-2026)*12+3))+N(INDEX($F151:$BM151,1,(Einstellungen!$C$3-2026)*12+4))+N(INDEX($F151:$BM151,1,(Einstellungen!$C$3-2026)*12+5))+N(INDEX($F151:$BM151,1,(Einstellungen!$C$3-2026)*12+6))+N(INDEX($F151:$BM151,1,(Einstellungen!$C$3-2026)*12+7))+N(INDEX($F151:$BM151,1,(Einstellungen!$C$3-2026)*12+8))+N(INDEX($F151:$BM151,1,(Einstellungen!$C$3-2026)*12+9))+N(INDEX($F151:$BM151,1,(Einstellungen!$C$3-2026)*12+10))+N(INDEX($F151:$BM151,1,(Einstellungen!$C$3-2026)*12+11))+N(INDEX($F151:$BM151,1,(Einstellungen!$C$3-2026)*12+12)))</f>
        <v/>
      </c>
      <c r="D151" s="37">
        <f>IF(Mitarbeiter!B151="","",SUM(F151:BM151))</f>
        <v/>
      </c>
      <c r="F151" s="51" t="n"/>
      <c r="G151" s="51" t="n"/>
      <c r="H151" s="51" t="n"/>
      <c r="I151" s="51" t="n"/>
      <c r="J151" s="51" t="n"/>
      <c r="K151" s="51" t="n"/>
      <c r="L151" s="51" t="n"/>
      <c r="M151" s="51" t="n"/>
      <c r="N151" s="51" t="n"/>
      <c r="O151" s="51" t="n"/>
      <c r="P151" s="51" t="n"/>
      <c r="Q151" s="51" t="n"/>
      <c r="R151" s="51" t="n"/>
      <c r="S151" s="51" t="n"/>
      <c r="T151" s="51" t="n"/>
      <c r="U151" s="51" t="n"/>
      <c r="V151" s="51" t="n"/>
      <c r="W151" s="51" t="n"/>
      <c r="X151" s="51" t="n"/>
      <c r="Y151" s="51" t="n"/>
      <c r="Z151" s="51" t="n"/>
      <c r="AA151" s="51" t="n"/>
      <c r="AB151" s="51" t="n"/>
      <c r="AC151" s="51" t="n"/>
      <c r="AD151" s="51" t="n"/>
      <c r="AE151" s="51" t="n"/>
      <c r="AF151" s="51" t="n"/>
      <c r="AG151" s="51" t="n"/>
      <c r="AH151" s="51" t="n"/>
      <c r="AI151" s="51" t="n"/>
      <c r="AJ151" s="51" t="n"/>
      <c r="AK151" s="51" t="n"/>
      <c r="AL151" s="51" t="n"/>
      <c r="AM151" s="51" t="n"/>
      <c r="AN151" s="51" t="n"/>
      <c r="AO151" s="51" t="n"/>
      <c r="AP151" s="51" t="n"/>
      <c r="AQ151" s="51" t="n"/>
      <c r="AR151" s="51" t="n"/>
      <c r="AS151" s="51" t="n"/>
      <c r="AT151" s="51" t="n"/>
      <c r="AU151" s="51" t="n"/>
      <c r="AV151" s="51" t="n"/>
      <c r="AW151" s="51" t="n"/>
      <c r="AX151" s="51" t="n"/>
      <c r="AY151" s="51" t="n"/>
      <c r="AZ151" s="51" t="n"/>
      <c r="BA151" s="51" t="n"/>
      <c r="BB151" s="51" t="n"/>
      <c r="BC151" s="51" t="n"/>
      <c r="BD151" s="51" t="n"/>
      <c r="BE151" s="51" t="n"/>
      <c r="BF151" s="51" t="n"/>
      <c r="BG151" s="51" t="n"/>
      <c r="BH151" s="51" t="n"/>
      <c r="BI151" s="51" t="n"/>
      <c r="BJ151" s="51" t="n"/>
      <c r="BK151" s="51" t="n"/>
      <c r="BL151" s="51" t="n"/>
      <c r="BM151" s="51" t="n"/>
    </row>
    <row r="152">
      <c r="A152" s="47">
        <f>IF(Mitarbeiter!B152="","",Mitarbeiter!A152)</f>
        <v/>
      </c>
      <c r="B152" s="48">
        <f>IF(Mitarbeiter!B152="","",Mitarbeiter!B152)</f>
        <v/>
      </c>
      <c r="C152" s="37">
        <f>IF(Mitarbeiter!B152="","",N(INDEX($F152:$BM152,1,(Einstellungen!$C$3-2026)*12+1))+N(INDEX($F152:$BM152,1,(Einstellungen!$C$3-2026)*12+2))+N(INDEX($F152:$BM152,1,(Einstellungen!$C$3-2026)*12+3))+N(INDEX($F152:$BM152,1,(Einstellungen!$C$3-2026)*12+4))+N(INDEX($F152:$BM152,1,(Einstellungen!$C$3-2026)*12+5))+N(INDEX($F152:$BM152,1,(Einstellungen!$C$3-2026)*12+6))+N(INDEX($F152:$BM152,1,(Einstellungen!$C$3-2026)*12+7))+N(INDEX($F152:$BM152,1,(Einstellungen!$C$3-2026)*12+8))+N(INDEX($F152:$BM152,1,(Einstellungen!$C$3-2026)*12+9))+N(INDEX($F152:$BM152,1,(Einstellungen!$C$3-2026)*12+10))+N(INDEX($F152:$BM152,1,(Einstellungen!$C$3-2026)*12+11))+N(INDEX($F152:$BM152,1,(Einstellungen!$C$3-2026)*12+12)))</f>
        <v/>
      </c>
      <c r="D152" s="37">
        <f>IF(Mitarbeiter!B152="","",SUM(F152:BM152))</f>
        <v/>
      </c>
      <c r="F152" s="51" t="n"/>
      <c r="G152" s="51" t="n"/>
      <c r="H152" s="51" t="n"/>
      <c r="I152" s="51" t="n"/>
      <c r="J152" s="51" t="n"/>
      <c r="K152" s="51" t="n"/>
      <c r="L152" s="51" t="n"/>
      <c r="M152" s="51" t="n"/>
      <c r="N152" s="51" t="n"/>
      <c r="O152" s="51" t="n"/>
      <c r="P152" s="51" t="n"/>
      <c r="Q152" s="51" t="n"/>
      <c r="R152" s="51" t="n"/>
      <c r="S152" s="51" t="n"/>
      <c r="T152" s="51" t="n"/>
      <c r="U152" s="51" t="n"/>
      <c r="V152" s="51" t="n"/>
      <c r="W152" s="51" t="n"/>
      <c r="X152" s="51" t="n"/>
      <c r="Y152" s="51" t="n"/>
      <c r="Z152" s="51" t="n"/>
      <c r="AA152" s="51" t="n"/>
      <c r="AB152" s="51" t="n"/>
      <c r="AC152" s="51" t="n"/>
      <c r="AD152" s="51" t="n"/>
      <c r="AE152" s="51" t="n"/>
      <c r="AF152" s="51" t="n"/>
      <c r="AG152" s="51" t="n"/>
      <c r="AH152" s="51" t="n"/>
      <c r="AI152" s="51" t="n"/>
      <c r="AJ152" s="51" t="n"/>
      <c r="AK152" s="51" t="n"/>
      <c r="AL152" s="51" t="n"/>
      <c r="AM152" s="51" t="n"/>
      <c r="AN152" s="51" t="n"/>
      <c r="AO152" s="51" t="n"/>
      <c r="AP152" s="51" t="n"/>
      <c r="AQ152" s="51" t="n"/>
      <c r="AR152" s="51" t="n"/>
      <c r="AS152" s="51" t="n"/>
      <c r="AT152" s="51" t="n"/>
      <c r="AU152" s="51" t="n"/>
      <c r="AV152" s="51" t="n"/>
      <c r="AW152" s="51" t="n"/>
      <c r="AX152" s="51" t="n"/>
      <c r="AY152" s="51" t="n"/>
      <c r="AZ152" s="51" t="n"/>
      <c r="BA152" s="51" t="n"/>
      <c r="BB152" s="51" t="n"/>
      <c r="BC152" s="51" t="n"/>
      <c r="BD152" s="51" t="n"/>
      <c r="BE152" s="51" t="n"/>
      <c r="BF152" s="51" t="n"/>
      <c r="BG152" s="51" t="n"/>
      <c r="BH152" s="51" t="n"/>
      <c r="BI152" s="51" t="n"/>
      <c r="BJ152" s="51" t="n"/>
      <c r="BK152" s="51" t="n"/>
      <c r="BL152" s="51" t="n"/>
      <c r="BM152" s="51" t="n"/>
    </row>
    <row r="153">
      <c r="A153" s="47">
        <f>IF(Mitarbeiter!B153="","",Mitarbeiter!A153)</f>
        <v/>
      </c>
      <c r="B153" s="48">
        <f>IF(Mitarbeiter!B153="","",Mitarbeiter!B153)</f>
        <v/>
      </c>
      <c r="C153" s="37">
        <f>IF(Mitarbeiter!B153="","",N(INDEX($F153:$BM153,1,(Einstellungen!$C$3-2026)*12+1))+N(INDEX($F153:$BM153,1,(Einstellungen!$C$3-2026)*12+2))+N(INDEX($F153:$BM153,1,(Einstellungen!$C$3-2026)*12+3))+N(INDEX($F153:$BM153,1,(Einstellungen!$C$3-2026)*12+4))+N(INDEX($F153:$BM153,1,(Einstellungen!$C$3-2026)*12+5))+N(INDEX($F153:$BM153,1,(Einstellungen!$C$3-2026)*12+6))+N(INDEX($F153:$BM153,1,(Einstellungen!$C$3-2026)*12+7))+N(INDEX($F153:$BM153,1,(Einstellungen!$C$3-2026)*12+8))+N(INDEX($F153:$BM153,1,(Einstellungen!$C$3-2026)*12+9))+N(INDEX($F153:$BM153,1,(Einstellungen!$C$3-2026)*12+10))+N(INDEX($F153:$BM153,1,(Einstellungen!$C$3-2026)*12+11))+N(INDEX($F153:$BM153,1,(Einstellungen!$C$3-2026)*12+12)))</f>
        <v/>
      </c>
      <c r="D153" s="37">
        <f>IF(Mitarbeiter!B153="","",SUM(F153:BM153))</f>
        <v/>
      </c>
      <c r="F153" s="51" t="n"/>
      <c r="G153" s="51" t="n"/>
      <c r="H153" s="51" t="n"/>
      <c r="I153" s="51" t="n"/>
      <c r="J153" s="51" t="n"/>
      <c r="K153" s="51" t="n"/>
      <c r="L153" s="51" t="n"/>
      <c r="M153" s="51" t="n"/>
      <c r="N153" s="51" t="n"/>
      <c r="O153" s="51" t="n"/>
      <c r="P153" s="51" t="n"/>
      <c r="Q153" s="51" t="n"/>
      <c r="R153" s="51" t="n"/>
      <c r="S153" s="51" t="n"/>
      <c r="T153" s="51" t="n"/>
      <c r="U153" s="51" t="n"/>
      <c r="V153" s="51" t="n"/>
      <c r="W153" s="51" t="n"/>
      <c r="X153" s="51" t="n"/>
      <c r="Y153" s="51" t="n"/>
      <c r="Z153" s="51" t="n"/>
      <c r="AA153" s="51" t="n"/>
      <c r="AB153" s="51" t="n"/>
      <c r="AC153" s="51" t="n"/>
      <c r="AD153" s="51" t="n"/>
      <c r="AE153" s="51" t="n"/>
      <c r="AF153" s="51" t="n"/>
      <c r="AG153" s="51" t="n"/>
      <c r="AH153" s="51" t="n"/>
      <c r="AI153" s="51" t="n"/>
      <c r="AJ153" s="51" t="n"/>
      <c r="AK153" s="51" t="n"/>
      <c r="AL153" s="51" t="n"/>
      <c r="AM153" s="51" t="n"/>
      <c r="AN153" s="51" t="n"/>
      <c r="AO153" s="51" t="n"/>
      <c r="AP153" s="51" t="n"/>
      <c r="AQ153" s="51" t="n"/>
      <c r="AR153" s="51" t="n"/>
      <c r="AS153" s="51" t="n"/>
      <c r="AT153" s="51" t="n"/>
      <c r="AU153" s="51" t="n"/>
      <c r="AV153" s="51" t="n"/>
      <c r="AW153" s="51" t="n"/>
      <c r="AX153" s="51" t="n"/>
      <c r="AY153" s="51" t="n"/>
      <c r="AZ153" s="51" t="n"/>
      <c r="BA153" s="51" t="n"/>
      <c r="BB153" s="51" t="n"/>
      <c r="BC153" s="51" t="n"/>
      <c r="BD153" s="51" t="n"/>
      <c r="BE153" s="51" t="n"/>
      <c r="BF153" s="51" t="n"/>
      <c r="BG153" s="51" t="n"/>
      <c r="BH153" s="51" t="n"/>
      <c r="BI153" s="51" t="n"/>
      <c r="BJ153" s="51" t="n"/>
      <c r="BK153" s="51" t="n"/>
      <c r="BL153" s="51" t="n"/>
      <c r="BM153" s="51" t="n"/>
    </row>
    <row r="154">
      <c r="A154" s="47">
        <f>IF(Mitarbeiter!B154="","",Mitarbeiter!A154)</f>
        <v/>
      </c>
      <c r="B154" s="48">
        <f>IF(Mitarbeiter!B154="","",Mitarbeiter!B154)</f>
        <v/>
      </c>
      <c r="C154" s="37">
        <f>IF(Mitarbeiter!B154="","",N(INDEX($F154:$BM154,1,(Einstellungen!$C$3-2026)*12+1))+N(INDEX($F154:$BM154,1,(Einstellungen!$C$3-2026)*12+2))+N(INDEX($F154:$BM154,1,(Einstellungen!$C$3-2026)*12+3))+N(INDEX($F154:$BM154,1,(Einstellungen!$C$3-2026)*12+4))+N(INDEX($F154:$BM154,1,(Einstellungen!$C$3-2026)*12+5))+N(INDEX($F154:$BM154,1,(Einstellungen!$C$3-2026)*12+6))+N(INDEX($F154:$BM154,1,(Einstellungen!$C$3-2026)*12+7))+N(INDEX($F154:$BM154,1,(Einstellungen!$C$3-2026)*12+8))+N(INDEX($F154:$BM154,1,(Einstellungen!$C$3-2026)*12+9))+N(INDEX($F154:$BM154,1,(Einstellungen!$C$3-2026)*12+10))+N(INDEX($F154:$BM154,1,(Einstellungen!$C$3-2026)*12+11))+N(INDEX($F154:$BM154,1,(Einstellungen!$C$3-2026)*12+12)))</f>
        <v/>
      </c>
      <c r="D154" s="37">
        <f>IF(Mitarbeiter!B154="","",SUM(F154:BM154))</f>
        <v/>
      </c>
      <c r="F154" s="51" t="n"/>
      <c r="G154" s="51" t="n"/>
      <c r="H154" s="51" t="n"/>
      <c r="I154" s="51" t="n"/>
      <c r="J154" s="51" t="n"/>
      <c r="K154" s="51" t="n"/>
      <c r="L154" s="51" t="n"/>
      <c r="M154" s="51" t="n"/>
      <c r="N154" s="51" t="n"/>
      <c r="O154" s="51" t="n"/>
      <c r="P154" s="51" t="n"/>
      <c r="Q154" s="51" t="n"/>
      <c r="R154" s="51" t="n"/>
      <c r="S154" s="51" t="n"/>
      <c r="T154" s="51" t="n"/>
      <c r="U154" s="51" t="n"/>
      <c r="V154" s="51" t="n"/>
      <c r="W154" s="51" t="n"/>
      <c r="X154" s="51" t="n"/>
      <c r="Y154" s="51" t="n"/>
      <c r="Z154" s="51" t="n"/>
      <c r="AA154" s="51" t="n"/>
      <c r="AB154" s="51" t="n"/>
      <c r="AC154" s="51" t="n"/>
      <c r="AD154" s="51" t="n"/>
      <c r="AE154" s="51" t="n"/>
      <c r="AF154" s="51" t="n"/>
      <c r="AG154" s="51" t="n"/>
      <c r="AH154" s="51" t="n"/>
      <c r="AI154" s="51" t="n"/>
      <c r="AJ154" s="51" t="n"/>
      <c r="AK154" s="51" t="n"/>
      <c r="AL154" s="51" t="n"/>
      <c r="AM154" s="51" t="n"/>
      <c r="AN154" s="51" t="n"/>
      <c r="AO154" s="51" t="n"/>
      <c r="AP154" s="51" t="n"/>
      <c r="AQ154" s="51" t="n"/>
      <c r="AR154" s="51" t="n"/>
      <c r="AS154" s="51" t="n"/>
      <c r="AT154" s="51" t="n"/>
      <c r="AU154" s="51" t="n"/>
      <c r="AV154" s="51" t="n"/>
      <c r="AW154" s="51" t="n"/>
      <c r="AX154" s="51" t="n"/>
      <c r="AY154" s="51" t="n"/>
      <c r="AZ154" s="51" t="n"/>
      <c r="BA154" s="51" t="n"/>
      <c r="BB154" s="51" t="n"/>
      <c r="BC154" s="51" t="n"/>
      <c r="BD154" s="51" t="n"/>
      <c r="BE154" s="51" t="n"/>
      <c r="BF154" s="51" t="n"/>
      <c r="BG154" s="51" t="n"/>
      <c r="BH154" s="51" t="n"/>
      <c r="BI154" s="51" t="n"/>
      <c r="BJ154" s="51" t="n"/>
      <c r="BK154" s="51" t="n"/>
      <c r="BL154" s="51" t="n"/>
      <c r="BM154" s="51" t="n"/>
    </row>
    <row r="155">
      <c r="A155" s="47">
        <f>IF(Mitarbeiter!B155="","",Mitarbeiter!A155)</f>
        <v/>
      </c>
      <c r="B155" s="48">
        <f>IF(Mitarbeiter!B155="","",Mitarbeiter!B155)</f>
        <v/>
      </c>
      <c r="C155" s="37">
        <f>IF(Mitarbeiter!B155="","",N(INDEX($F155:$BM155,1,(Einstellungen!$C$3-2026)*12+1))+N(INDEX($F155:$BM155,1,(Einstellungen!$C$3-2026)*12+2))+N(INDEX($F155:$BM155,1,(Einstellungen!$C$3-2026)*12+3))+N(INDEX($F155:$BM155,1,(Einstellungen!$C$3-2026)*12+4))+N(INDEX($F155:$BM155,1,(Einstellungen!$C$3-2026)*12+5))+N(INDEX($F155:$BM155,1,(Einstellungen!$C$3-2026)*12+6))+N(INDEX($F155:$BM155,1,(Einstellungen!$C$3-2026)*12+7))+N(INDEX($F155:$BM155,1,(Einstellungen!$C$3-2026)*12+8))+N(INDEX($F155:$BM155,1,(Einstellungen!$C$3-2026)*12+9))+N(INDEX($F155:$BM155,1,(Einstellungen!$C$3-2026)*12+10))+N(INDEX($F155:$BM155,1,(Einstellungen!$C$3-2026)*12+11))+N(INDEX($F155:$BM155,1,(Einstellungen!$C$3-2026)*12+12)))</f>
        <v/>
      </c>
      <c r="D155" s="37">
        <f>IF(Mitarbeiter!B155="","",SUM(F155:BM155))</f>
        <v/>
      </c>
      <c r="F155" s="51" t="n"/>
      <c r="G155" s="51" t="n"/>
      <c r="H155" s="51" t="n"/>
      <c r="I155" s="51" t="n"/>
      <c r="J155" s="51" t="n"/>
      <c r="K155" s="51" t="n"/>
      <c r="L155" s="51" t="n"/>
      <c r="M155" s="51" t="n"/>
      <c r="N155" s="51" t="n"/>
      <c r="O155" s="51" t="n"/>
      <c r="P155" s="51" t="n"/>
      <c r="Q155" s="51" t="n"/>
      <c r="R155" s="51" t="n"/>
      <c r="S155" s="51" t="n"/>
      <c r="T155" s="51" t="n"/>
      <c r="U155" s="51" t="n"/>
      <c r="V155" s="51" t="n"/>
      <c r="W155" s="51" t="n"/>
      <c r="X155" s="51" t="n"/>
      <c r="Y155" s="51" t="n"/>
      <c r="Z155" s="51" t="n"/>
      <c r="AA155" s="51" t="n"/>
      <c r="AB155" s="51" t="n"/>
      <c r="AC155" s="51" t="n"/>
      <c r="AD155" s="51" t="n"/>
      <c r="AE155" s="51" t="n"/>
      <c r="AF155" s="51" t="n"/>
      <c r="AG155" s="51" t="n"/>
      <c r="AH155" s="51" t="n"/>
      <c r="AI155" s="51" t="n"/>
      <c r="AJ155" s="51" t="n"/>
      <c r="AK155" s="51" t="n"/>
      <c r="AL155" s="51" t="n"/>
      <c r="AM155" s="51" t="n"/>
      <c r="AN155" s="51" t="n"/>
      <c r="AO155" s="51" t="n"/>
      <c r="AP155" s="51" t="n"/>
      <c r="AQ155" s="51" t="n"/>
      <c r="AR155" s="51" t="n"/>
      <c r="AS155" s="51" t="n"/>
      <c r="AT155" s="51" t="n"/>
      <c r="AU155" s="51" t="n"/>
      <c r="AV155" s="51" t="n"/>
      <c r="AW155" s="51" t="n"/>
      <c r="AX155" s="51" t="n"/>
      <c r="AY155" s="51" t="n"/>
      <c r="AZ155" s="51" t="n"/>
      <c r="BA155" s="51" t="n"/>
      <c r="BB155" s="51" t="n"/>
      <c r="BC155" s="51" t="n"/>
      <c r="BD155" s="51" t="n"/>
      <c r="BE155" s="51" t="n"/>
      <c r="BF155" s="51" t="n"/>
      <c r="BG155" s="51" t="n"/>
      <c r="BH155" s="51" t="n"/>
      <c r="BI155" s="51" t="n"/>
      <c r="BJ155" s="51" t="n"/>
      <c r="BK155" s="51" t="n"/>
      <c r="BL155" s="51" t="n"/>
      <c r="BM155" s="51" t="n"/>
    </row>
    <row r="156">
      <c r="A156" s="47">
        <f>IF(Mitarbeiter!B156="","",Mitarbeiter!A156)</f>
        <v/>
      </c>
      <c r="B156" s="48">
        <f>IF(Mitarbeiter!B156="","",Mitarbeiter!B156)</f>
        <v/>
      </c>
      <c r="C156" s="37">
        <f>IF(Mitarbeiter!B156="","",N(INDEX($F156:$BM156,1,(Einstellungen!$C$3-2026)*12+1))+N(INDEX($F156:$BM156,1,(Einstellungen!$C$3-2026)*12+2))+N(INDEX($F156:$BM156,1,(Einstellungen!$C$3-2026)*12+3))+N(INDEX($F156:$BM156,1,(Einstellungen!$C$3-2026)*12+4))+N(INDEX($F156:$BM156,1,(Einstellungen!$C$3-2026)*12+5))+N(INDEX($F156:$BM156,1,(Einstellungen!$C$3-2026)*12+6))+N(INDEX($F156:$BM156,1,(Einstellungen!$C$3-2026)*12+7))+N(INDEX($F156:$BM156,1,(Einstellungen!$C$3-2026)*12+8))+N(INDEX($F156:$BM156,1,(Einstellungen!$C$3-2026)*12+9))+N(INDEX($F156:$BM156,1,(Einstellungen!$C$3-2026)*12+10))+N(INDEX($F156:$BM156,1,(Einstellungen!$C$3-2026)*12+11))+N(INDEX($F156:$BM156,1,(Einstellungen!$C$3-2026)*12+12)))</f>
        <v/>
      </c>
      <c r="D156" s="37">
        <f>IF(Mitarbeiter!B156="","",SUM(F156:BM156))</f>
        <v/>
      </c>
      <c r="F156" s="51" t="n"/>
      <c r="G156" s="51" t="n"/>
      <c r="H156" s="51" t="n"/>
      <c r="I156" s="51" t="n"/>
      <c r="J156" s="51" t="n"/>
      <c r="K156" s="51" t="n"/>
      <c r="L156" s="51" t="n"/>
      <c r="M156" s="51" t="n"/>
      <c r="N156" s="51" t="n"/>
      <c r="O156" s="51" t="n"/>
      <c r="P156" s="51" t="n"/>
      <c r="Q156" s="51" t="n"/>
      <c r="R156" s="51" t="n"/>
      <c r="S156" s="51" t="n"/>
      <c r="T156" s="51" t="n"/>
      <c r="U156" s="51" t="n"/>
      <c r="V156" s="51" t="n"/>
      <c r="W156" s="51" t="n"/>
      <c r="X156" s="51" t="n"/>
      <c r="Y156" s="51" t="n"/>
      <c r="Z156" s="51" t="n"/>
      <c r="AA156" s="51" t="n"/>
      <c r="AB156" s="51" t="n"/>
      <c r="AC156" s="51" t="n"/>
      <c r="AD156" s="51" t="n"/>
      <c r="AE156" s="51" t="n"/>
      <c r="AF156" s="51" t="n"/>
      <c r="AG156" s="51" t="n"/>
      <c r="AH156" s="51" t="n"/>
      <c r="AI156" s="51" t="n"/>
      <c r="AJ156" s="51" t="n"/>
      <c r="AK156" s="51" t="n"/>
      <c r="AL156" s="51" t="n"/>
      <c r="AM156" s="51" t="n"/>
      <c r="AN156" s="51" t="n"/>
      <c r="AO156" s="51" t="n"/>
      <c r="AP156" s="51" t="n"/>
      <c r="AQ156" s="51" t="n"/>
      <c r="AR156" s="51" t="n"/>
      <c r="AS156" s="51" t="n"/>
      <c r="AT156" s="51" t="n"/>
      <c r="AU156" s="51" t="n"/>
      <c r="AV156" s="51" t="n"/>
      <c r="AW156" s="51" t="n"/>
      <c r="AX156" s="51" t="n"/>
      <c r="AY156" s="51" t="n"/>
      <c r="AZ156" s="51" t="n"/>
      <c r="BA156" s="51" t="n"/>
      <c r="BB156" s="51" t="n"/>
      <c r="BC156" s="51" t="n"/>
      <c r="BD156" s="51" t="n"/>
      <c r="BE156" s="51" t="n"/>
      <c r="BF156" s="51" t="n"/>
      <c r="BG156" s="51" t="n"/>
      <c r="BH156" s="51" t="n"/>
      <c r="BI156" s="51" t="n"/>
      <c r="BJ156" s="51" t="n"/>
      <c r="BK156" s="51" t="n"/>
      <c r="BL156" s="51" t="n"/>
      <c r="BM156" s="51" t="n"/>
    </row>
    <row r="157">
      <c r="A157" s="47">
        <f>IF(Mitarbeiter!B157="","",Mitarbeiter!A157)</f>
        <v/>
      </c>
      <c r="B157" s="48">
        <f>IF(Mitarbeiter!B157="","",Mitarbeiter!B157)</f>
        <v/>
      </c>
      <c r="C157" s="37">
        <f>IF(Mitarbeiter!B157="","",N(INDEX($F157:$BM157,1,(Einstellungen!$C$3-2026)*12+1))+N(INDEX($F157:$BM157,1,(Einstellungen!$C$3-2026)*12+2))+N(INDEX($F157:$BM157,1,(Einstellungen!$C$3-2026)*12+3))+N(INDEX($F157:$BM157,1,(Einstellungen!$C$3-2026)*12+4))+N(INDEX($F157:$BM157,1,(Einstellungen!$C$3-2026)*12+5))+N(INDEX($F157:$BM157,1,(Einstellungen!$C$3-2026)*12+6))+N(INDEX($F157:$BM157,1,(Einstellungen!$C$3-2026)*12+7))+N(INDEX($F157:$BM157,1,(Einstellungen!$C$3-2026)*12+8))+N(INDEX($F157:$BM157,1,(Einstellungen!$C$3-2026)*12+9))+N(INDEX($F157:$BM157,1,(Einstellungen!$C$3-2026)*12+10))+N(INDEX($F157:$BM157,1,(Einstellungen!$C$3-2026)*12+11))+N(INDEX($F157:$BM157,1,(Einstellungen!$C$3-2026)*12+12)))</f>
        <v/>
      </c>
      <c r="D157" s="37">
        <f>IF(Mitarbeiter!B157="","",SUM(F157:BM157))</f>
        <v/>
      </c>
      <c r="F157" s="51" t="n"/>
      <c r="G157" s="51" t="n"/>
      <c r="H157" s="51" t="n"/>
      <c r="I157" s="51" t="n"/>
      <c r="J157" s="51" t="n"/>
      <c r="K157" s="51" t="n"/>
      <c r="L157" s="51" t="n"/>
      <c r="M157" s="51" t="n"/>
      <c r="N157" s="51" t="n"/>
      <c r="O157" s="51" t="n"/>
      <c r="P157" s="51" t="n"/>
      <c r="Q157" s="51" t="n"/>
      <c r="R157" s="51" t="n"/>
      <c r="S157" s="51" t="n"/>
      <c r="T157" s="51" t="n"/>
      <c r="U157" s="51" t="n"/>
      <c r="V157" s="51" t="n"/>
      <c r="W157" s="51" t="n"/>
      <c r="X157" s="51" t="n"/>
      <c r="Y157" s="51" t="n"/>
      <c r="Z157" s="51" t="n"/>
      <c r="AA157" s="51" t="n"/>
      <c r="AB157" s="51" t="n"/>
      <c r="AC157" s="51" t="n"/>
      <c r="AD157" s="51" t="n"/>
      <c r="AE157" s="51" t="n"/>
      <c r="AF157" s="51" t="n"/>
      <c r="AG157" s="51" t="n"/>
      <c r="AH157" s="51" t="n"/>
      <c r="AI157" s="51" t="n"/>
      <c r="AJ157" s="51" t="n"/>
      <c r="AK157" s="51" t="n"/>
      <c r="AL157" s="51" t="n"/>
      <c r="AM157" s="51" t="n"/>
      <c r="AN157" s="51" t="n"/>
      <c r="AO157" s="51" t="n"/>
      <c r="AP157" s="51" t="n"/>
      <c r="AQ157" s="51" t="n"/>
      <c r="AR157" s="51" t="n"/>
      <c r="AS157" s="51" t="n"/>
      <c r="AT157" s="51" t="n"/>
      <c r="AU157" s="51" t="n"/>
      <c r="AV157" s="51" t="n"/>
      <c r="AW157" s="51" t="n"/>
      <c r="AX157" s="51" t="n"/>
      <c r="AY157" s="51" t="n"/>
      <c r="AZ157" s="51" t="n"/>
      <c r="BA157" s="51" t="n"/>
      <c r="BB157" s="51" t="n"/>
      <c r="BC157" s="51" t="n"/>
      <c r="BD157" s="51" t="n"/>
      <c r="BE157" s="51" t="n"/>
      <c r="BF157" s="51" t="n"/>
      <c r="BG157" s="51" t="n"/>
      <c r="BH157" s="51" t="n"/>
      <c r="BI157" s="51" t="n"/>
      <c r="BJ157" s="51" t="n"/>
      <c r="BK157" s="51" t="n"/>
      <c r="BL157" s="51" t="n"/>
      <c r="BM157" s="51" t="n"/>
    </row>
    <row r="158">
      <c r="A158" s="47">
        <f>IF(Mitarbeiter!B158="","",Mitarbeiter!A158)</f>
        <v/>
      </c>
      <c r="B158" s="48">
        <f>IF(Mitarbeiter!B158="","",Mitarbeiter!B158)</f>
        <v/>
      </c>
      <c r="C158" s="37">
        <f>IF(Mitarbeiter!B158="","",N(INDEX($F158:$BM158,1,(Einstellungen!$C$3-2026)*12+1))+N(INDEX($F158:$BM158,1,(Einstellungen!$C$3-2026)*12+2))+N(INDEX($F158:$BM158,1,(Einstellungen!$C$3-2026)*12+3))+N(INDEX($F158:$BM158,1,(Einstellungen!$C$3-2026)*12+4))+N(INDEX($F158:$BM158,1,(Einstellungen!$C$3-2026)*12+5))+N(INDEX($F158:$BM158,1,(Einstellungen!$C$3-2026)*12+6))+N(INDEX($F158:$BM158,1,(Einstellungen!$C$3-2026)*12+7))+N(INDEX($F158:$BM158,1,(Einstellungen!$C$3-2026)*12+8))+N(INDEX($F158:$BM158,1,(Einstellungen!$C$3-2026)*12+9))+N(INDEX($F158:$BM158,1,(Einstellungen!$C$3-2026)*12+10))+N(INDEX($F158:$BM158,1,(Einstellungen!$C$3-2026)*12+11))+N(INDEX($F158:$BM158,1,(Einstellungen!$C$3-2026)*12+12)))</f>
        <v/>
      </c>
      <c r="D158" s="37">
        <f>IF(Mitarbeiter!B158="","",SUM(F158:BM158))</f>
        <v/>
      </c>
      <c r="F158" s="51" t="n"/>
      <c r="G158" s="51" t="n"/>
      <c r="H158" s="51" t="n"/>
      <c r="I158" s="51" t="n"/>
      <c r="J158" s="51" t="n"/>
      <c r="K158" s="51" t="n"/>
      <c r="L158" s="51" t="n"/>
      <c r="M158" s="51" t="n"/>
      <c r="N158" s="51" t="n"/>
      <c r="O158" s="51" t="n"/>
      <c r="P158" s="51" t="n"/>
      <c r="Q158" s="51" t="n"/>
      <c r="R158" s="51" t="n"/>
      <c r="S158" s="51" t="n"/>
      <c r="T158" s="51" t="n"/>
      <c r="U158" s="51" t="n"/>
      <c r="V158" s="51" t="n"/>
      <c r="W158" s="51" t="n"/>
      <c r="X158" s="51" t="n"/>
      <c r="Y158" s="51" t="n"/>
      <c r="Z158" s="51" t="n"/>
      <c r="AA158" s="51" t="n"/>
      <c r="AB158" s="51" t="n"/>
      <c r="AC158" s="51" t="n"/>
      <c r="AD158" s="51" t="n"/>
      <c r="AE158" s="51" t="n"/>
      <c r="AF158" s="51" t="n"/>
      <c r="AG158" s="51" t="n"/>
      <c r="AH158" s="51" t="n"/>
      <c r="AI158" s="51" t="n"/>
      <c r="AJ158" s="51" t="n"/>
      <c r="AK158" s="51" t="n"/>
      <c r="AL158" s="51" t="n"/>
      <c r="AM158" s="51" t="n"/>
      <c r="AN158" s="51" t="n"/>
      <c r="AO158" s="51" t="n"/>
      <c r="AP158" s="51" t="n"/>
      <c r="AQ158" s="51" t="n"/>
      <c r="AR158" s="51" t="n"/>
      <c r="AS158" s="51" t="n"/>
      <c r="AT158" s="51" t="n"/>
      <c r="AU158" s="51" t="n"/>
      <c r="AV158" s="51" t="n"/>
      <c r="AW158" s="51" t="n"/>
      <c r="AX158" s="51" t="n"/>
      <c r="AY158" s="51" t="n"/>
      <c r="AZ158" s="51" t="n"/>
      <c r="BA158" s="51" t="n"/>
      <c r="BB158" s="51" t="n"/>
      <c r="BC158" s="51" t="n"/>
      <c r="BD158" s="51" t="n"/>
      <c r="BE158" s="51" t="n"/>
      <c r="BF158" s="51" t="n"/>
      <c r="BG158" s="51" t="n"/>
      <c r="BH158" s="51" t="n"/>
      <c r="BI158" s="51" t="n"/>
      <c r="BJ158" s="51" t="n"/>
      <c r="BK158" s="51" t="n"/>
      <c r="BL158" s="51" t="n"/>
      <c r="BM158" s="51" t="n"/>
    </row>
    <row r="159">
      <c r="A159" s="47">
        <f>IF(Mitarbeiter!B159="","",Mitarbeiter!A159)</f>
        <v/>
      </c>
      <c r="B159" s="48">
        <f>IF(Mitarbeiter!B159="","",Mitarbeiter!B159)</f>
        <v/>
      </c>
      <c r="C159" s="37">
        <f>IF(Mitarbeiter!B159="","",N(INDEX($F159:$BM159,1,(Einstellungen!$C$3-2026)*12+1))+N(INDEX($F159:$BM159,1,(Einstellungen!$C$3-2026)*12+2))+N(INDEX($F159:$BM159,1,(Einstellungen!$C$3-2026)*12+3))+N(INDEX($F159:$BM159,1,(Einstellungen!$C$3-2026)*12+4))+N(INDEX($F159:$BM159,1,(Einstellungen!$C$3-2026)*12+5))+N(INDEX($F159:$BM159,1,(Einstellungen!$C$3-2026)*12+6))+N(INDEX($F159:$BM159,1,(Einstellungen!$C$3-2026)*12+7))+N(INDEX($F159:$BM159,1,(Einstellungen!$C$3-2026)*12+8))+N(INDEX($F159:$BM159,1,(Einstellungen!$C$3-2026)*12+9))+N(INDEX($F159:$BM159,1,(Einstellungen!$C$3-2026)*12+10))+N(INDEX($F159:$BM159,1,(Einstellungen!$C$3-2026)*12+11))+N(INDEX($F159:$BM159,1,(Einstellungen!$C$3-2026)*12+12)))</f>
        <v/>
      </c>
      <c r="D159" s="37">
        <f>IF(Mitarbeiter!B159="","",SUM(F159:BM159))</f>
        <v/>
      </c>
      <c r="F159" s="51" t="n"/>
      <c r="G159" s="51" t="n"/>
      <c r="H159" s="51" t="n"/>
      <c r="I159" s="51" t="n"/>
      <c r="J159" s="51" t="n"/>
      <c r="K159" s="51" t="n"/>
      <c r="L159" s="51" t="n"/>
      <c r="M159" s="51" t="n"/>
      <c r="N159" s="51" t="n"/>
      <c r="O159" s="51" t="n"/>
      <c r="P159" s="51" t="n"/>
      <c r="Q159" s="51" t="n"/>
      <c r="R159" s="51" t="n"/>
      <c r="S159" s="51" t="n"/>
      <c r="T159" s="51" t="n"/>
      <c r="U159" s="51" t="n"/>
      <c r="V159" s="51" t="n"/>
      <c r="W159" s="51" t="n"/>
      <c r="X159" s="51" t="n"/>
      <c r="Y159" s="51" t="n"/>
      <c r="Z159" s="51" t="n"/>
      <c r="AA159" s="51" t="n"/>
      <c r="AB159" s="51" t="n"/>
      <c r="AC159" s="51" t="n"/>
      <c r="AD159" s="51" t="n"/>
      <c r="AE159" s="51" t="n"/>
      <c r="AF159" s="51" t="n"/>
      <c r="AG159" s="51" t="n"/>
      <c r="AH159" s="51" t="n"/>
      <c r="AI159" s="51" t="n"/>
      <c r="AJ159" s="51" t="n"/>
      <c r="AK159" s="51" t="n"/>
      <c r="AL159" s="51" t="n"/>
      <c r="AM159" s="51" t="n"/>
      <c r="AN159" s="51" t="n"/>
      <c r="AO159" s="51" t="n"/>
      <c r="AP159" s="51" t="n"/>
      <c r="AQ159" s="51" t="n"/>
      <c r="AR159" s="51" t="n"/>
      <c r="AS159" s="51" t="n"/>
      <c r="AT159" s="51" t="n"/>
      <c r="AU159" s="51" t="n"/>
      <c r="AV159" s="51" t="n"/>
      <c r="AW159" s="51" t="n"/>
      <c r="AX159" s="51" t="n"/>
      <c r="AY159" s="51" t="n"/>
      <c r="AZ159" s="51" t="n"/>
      <c r="BA159" s="51" t="n"/>
      <c r="BB159" s="51" t="n"/>
      <c r="BC159" s="51" t="n"/>
      <c r="BD159" s="51" t="n"/>
      <c r="BE159" s="51" t="n"/>
      <c r="BF159" s="51" t="n"/>
      <c r="BG159" s="51" t="n"/>
      <c r="BH159" s="51" t="n"/>
      <c r="BI159" s="51" t="n"/>
      <c r="BJ159" s="51" t="n"/>
      <c r="BK159" s="51" t="n"/>
      <c r="BL159" s="51" t="n"/>
      <c r="BM159" s="51" t="n"/>
    </row>
    <row r="160">
      <c r="A160" s="47">
        <f>IF(Mitarbeiter!B160="","",Mitarbeiter!A160)</f>
        <v/>
      </c>
      <c r="B160" s="48">
        <f>IF(Mitarbeiter!B160="","",Mitarbeiter!B160)</f>
        <v/>
      </c>
      <c r="C160" s="37">
        <f>IF(Mitarbeiter!B160="","",N(INDEX($F160:$BM160,1,(Einstellungen!$C$3-2026)*12+1))+N(INDEX($F160:$BM160,1,(Einstellungen!$C$3-2026)*12+2))+N(INDEX($F160:$BM160,1,(Einstellungen!$C$3-2026)*12+3))+N(INDEX($F160:$BM160,1,(Einstellungen!$C$3-2026)*12+4))+N(INDEX($F160:$BM160,1,(Einstellungen!$C$3-2026)*12+5))+N(INDEX($F160:$BM160,1,(Einstellungen!$C$3-2026)*12+6))+N(INDEX($F160:$BM160,1,(Einstellungen!$C$3-2026)*12+7))+N(INDEX($F160:$BM160,1,(Einstellungen!$C$3-2026)*12+8))+N(INDEX($F160:$BM160,1,(Einstellungen!$C$3-2026)*12+9))+N(INDEX($F160:$BM160,1,(Einstellungen!$C$3-2026)*12+10))+N(INDEX($F160:$BM160,1,(Einstellungen!$C$3-2026)*12+11))+N(INDEX($F160:$BM160,1,(Einstellungen!$C$3-2026)*12+12)))</f>
        <v/>
      </c>
      <c r="D160" s="37">
        <f>IF(Mitarbeiter!B160="","",SUM(F160:BM160))</f>
        <v/>
      </c>
      <c r="F160" s="51" t="n"/>
      <c r="G160" s="51" t="n"/>
      <c r="H160" s="51" t="n"/>
      <c r="I160" s="51" t="n"/>
      <c r="J160" s="51" t="n"/>
      <c r="K160" s="51" t="n"/>
      <c r="L160" s="51" t="n"/>
      <c r="M160" s="51" t="n"/>
      <c r="N160" s="51" t="n"/>
      <c r="O160" s="51" t="n"/>
      <c r="P160" s="51" t="n"/>
      <c r="Q160" s="51" t="n"/>
      <c r="R160" s="51" t="n"/>
      <c r="S160" s="51" t="n"/>
      <c r="T160" s="51" t="n"/>
      <c r="U160" s="51" t="n"/>
      <c r="V160" s="51" t="n"/>
      <c r="W160" s="51" t="n"/>
      <c r="X160" s="51" t="n"/>
      <c r="Y160" s="51" t="n"/>
      <c r="Z160" s="51" t="n"/>
      <c r="AA160" s="51" t="n"/>
      <c r="AB160" s="51" t="n"/>
      <c r="AC160" s="51" t="n"/>
      <c r="AD160" s="51" t="n"/>
      <c r="AE160" s="51" t="n"/>
      <c r="AF160" s="51" t="n"/>
      <c r="AG160" s="51" t="n"/>
      <c r="AH160" s="51" t="n"/>
      <c r="AI160" s="51" t="n"/>
      <c r="AJ160" s="51" t="n"/>
      <c r="AK160" s="51" t="n"/>
      <c r="AL160" s="51" t="n"/>
      <c r="AM160" s="51" t="n"/>
      <c r="AN160" s="51" t="n"/>
      <c r="AO160" s="51" t="n"/>
      <c r="AP160" s="51" t="n"/>
      <c r="AQ160" s="51" t="n"/>
      <c r="AR160" s="51" t="n"/>
      <c r="AS160" s="51" t="n"/>
      <c r="AT160" s="51" t="n"/>
      <c r="AU160" s="51" t="n"/>
      <c r="AV160" s="51" t="n"/>
      <c r="AW160" s="51" t="n"/>
      <c r="AX160" s="51" t="n"/>
      <c r="AY160" s="51" t="n"/>
      <c r="AZ160" s="51" t="n"/>
      <c r="BA160" s="51" t="n"/>
      <c r="BB160" s="51" t="n"/>
      <c r="BC160" s="51" t="n"/>
      <c r="BD160" s="51" t="n"/>
      <c r="BE160" s="51" t="n"/>
      <c r="BF160" s="51" t="n"/>
      <c r="BG160" s="51" t="n"/>
      <c r="BH160" s="51" t="n"/>
      <c r="BI160" s="51" t="n"/>
      <c r="BJ160" s="51" t="n"/>
      <c r="BK160" s="51" t="n"/>
      <c r="BL160" s="51" t="n"/>
      <c r="BM160" s="51" t="n"/>
    </row>
    <row r="161">
      <c r="A161" s="47">
        <f>IF(Mitarbeiter!B161="","",Mitarbeiter!A161)</f>
        <v/>
      </c>
      <c r="B161" s="48">
        <f>IF(Mitarbeiter!B161="","",Mitarbeiter!B161)</f>
        <v/>
      </c>
      <c r="C161" s="37">
        <f>IF(Mitarbeiter!B161="","",N(INDEX($F161:$BM161,1,(Einstellungen!$C$3-2026)*12+1))+N(INDEX($F161:$BM161,1,(Einstellungen!$C$3-2026)*12+2))+N(INDEX($F161:$BM161,1,(Einstellungen!$C$3-2026)*12+3))+N(INDEX($F161:$BM161,1,(Einstellungen!$C$3-2026)*12+4))+N(INDEX($F161:$BM161,1,(Einstellungen!$C$3-2026)*12+5))+N(INDEX($F161:$BM161,1,(Einstellungen!$C$3-2026)*12+6))+N(INDEX($F161:$BM161,1,(Einstellungen!$C$3-2026)*12+7))+N(INDEX($F161:$BM161,1,(Einstellungen!$C$3-2026)*12+8))+N(INDEX($F161:$BM161,1,(Einstellungen!$C$3-2026)*12+9))+N(INDEX($F161:$BM161,1,(Einstellungen!$C$3-2026)*12+10))+N(INDEX($F161:$BM161,1,(Einstellungen!$C$3-2026)*12+11))+N(INDEX($F161:$BM161,1,(Einstellungen!$C$3-2026)*12+12)))</f>
        <v/>
      </c>
      <c r="D161" s="37">
        <f>IF(Mitarbeiter!B161="","",SUM(F161:BM161))</f>
        <v/>
      </c>
      <c r="F161" s="51" t="n"/>
      <c r="G161" s="51" t="n"/>
      <c r="H161" s="51" t="n"/>
      <c r="I161" s="51" t="n"/>
      <c r="J161" s="51" t="n"/>
      <c r="K161" s="51" t="n"/>
      <c r="L161" s="51" t="n"/>
      <c r="M161" s="51" t="n"/>
      <c r="N161" s="51" t="n"/>
      <c r="O161" s="51" t="n"/>
      <c r="P161" s="51" t="n"/>
      <c r="Q161" s="51" t="n"/>
      <c r="R161" s="51" t="n"/>
      <c r="S161" s="51" t="n"/>
      <c r="T161" s="51" t="n"/>
      <c r="U161" s="51" t="n"/>
      <c r="V161" s="51" t="n"/>
      <c r="W161" s="51" t="n"/>
      <c r="X161" s="51" t="n"/>
      <c r="Y161" s="51" t="n"/>
      <c r="Z161" s="51" t="n"/>
      <c r="AA161" s="51" t="n"/>
      <c r="AB161" s="51" t="n"/>
      <c r="AC161" s="51" t="n"/>
      <c r="AD161" s="51" t="n"/>
      <c r="AE161" s="51" t="n"/>
      <c r="AF161" s="51" t="n"/>
      <c r="AG161" s="51" t="n"/>
      <c r="AH161" s="51" t="n"/>
      <c r="AI161" s="51" t="n"/>
      <c r="AJ161" s="51" t="n"/>
      <c r="AK161" s="51" t="n"/>
      <c r="AL161" s="51" t="n"/>
      <c r="AM161" s="51" t="n"/>
      <c r="AN161" s="51" t="n"/>
      <c r="AO161" s="51" t="n"/>
      <c r="AP161" s="51" t="n"/>
      <c r="AQ161" s="51" t="n"/>
      <c r="AR161" s="51" t="n"/>
      <c r="AS161" s="51" t="n"/>
      <c r="AT161" s="51" t="n"/>
      <c r="AU161" s="51" t="n"/>
      <c r="AV161" s="51" t="n"/>
      <c r="AW161" s="51" t="n"/>
      <c r="AX161" s="51" t="n"/>
      <c r="AY161" s="51" t="n"/>
      <c r="AZ161" s="51" t="n"/>
      <c r="BA161" s="51" t="n"/>
      <c r="BB161" s="51" t="n"/>
      <c r="BC161" s="51" t="n"/>
      <c r="BD161" s="51" t="n"/>
      <c r="BE161" s="51" t="n"/>
      <c r="BF161" s="51" t="n"/>
      <c r="BG161" s="51" t="n"/>
      <c r="BH161" s="51" t="n"/>
      <c r="BI161" s="51" t="n"/>
      <c r="BJ161" s="51" t="n"/>
      <c r="BK161" s="51" t="n"/>
      <c r="BL161" s="51" t="n"/>
      <c r="BM161" s="51" t="n"/>
    </row>
    <row r="162">
      <c r="A162" s="47">
        <f>IF(Mitarbeiter!B162="","",Mitarbeiter!A162)</f>
        <v/>
      </c>
      <c r="B162" s="48">
        <f>IF(Mitarbeiter!B162="","",Mitarbeiter!B162)</f>
        <v/>
      </c>
      <c r="C162" s="37">
        <f>IF(Mitarbeiter!B162="","",N(INDEX($F162:$BM162,1,(Einstellungen!$C$3-2026)*12+1))+N(INDEX($F162:$BM162,1,(Einstellungen!$C$3-2026)*12+2))+N(INDEX($F162:$BM162,1,(Einstellungen!$C$3-2026)*12+3))+N(INDEX($F162:$BM162,1,(Einstellungen!$C$3-2026)*12+4))+N(INDEX($F162:$BM162,1,(Einstellungen!$C$3-2026)*12+5))+N(INDEX($F162:$BM162,1,(Einstellungen!$C$3-2026)*12+6))+N(INDEX($F162:$BM162,1,(Einstellungen!$C$3-2026)*12+7))+N(INDEX($F162:$BM162,1,(Einstellungen!$C$3-2026)*12+8))+N(INDEX($F162:$BM162,1,(Einstellungen!$C$3-2026)*12+9))+N(INDEX($F162:$BM162,1,(Einstellungen!$C$3-2026)*12+10))+N(INDEX($F162:$BM162,1,(Einstellungen!$C$3-2026)*12+11))+N(INDEX($F162:$BM162,1,(Einstellungen!$C$3-2026)*12+12)))</f>
        <v/>
      </c>
      <c r="D162" s="37">
        <f>IF(Mitarbeiter!B162="","",SUM(F162:BM162))</f>
        <v/>
      </c>
      <c r="F162" s="51" t="n"/>
      <c r="G162" s="51" t="n"/>
      <c r="H162" s="51" t="n"/>
      <c r="I162" s="51" t="n"/>
      <c r="J162" s="51" t="n"/>
      <c r="K162" s="51" t="n"/>
      <c r="L162" s="51" t="n"/>
      <c r="M162" s="51" t="n"/>
      <c r="N162" s="51" t="n"/>
      <c r="O162" s="51" t="n"/>
      <c r="P162" s="51" t="n"/>
      <c r="Q162" s="51" t="n"/>
      <c r="R162" s="51" t="n"/>
      <c r="S162" s="51" t="n"/>
      <c r="T162" s="51" t="n"/>
      <c r="U162" s="51" t="n"/>
      <c r="V162" s="51" t="n"/>
      <c r="W162" s="51" t="n"/>
      <c r="X162" s="51" t="n"/>
      <c r="Y162" s="51" t="n"/>
      <c r="Z162" s="51" t="n"/>
      <c r="AA162" s="51" t="n"/>
      <c r="AB162" s="51" t="n"/>
      <c r="AC162" s="51" t="n"/>
      <c r="AD162" s="51" t="n"/>
      <c r="AE162" s="51" t="n"/>
      <c r="AF162" s="51" t="n"/>
      <c r="AG162" s="51" t="n"/>
      <c r="AH162" s="51" t="n"/>
      <c r="AI162" s="51" t="n"/>
      <c r="AJ162" s="51" t="n"/>
      <c r="AK162" s="51" t="n"/>
      <c r="AL162" s="51" t="n"/>
      <c r="AM162" s="51" t="n"/>
      <c r="AN162" s="51" t="n"/>
      <c r="AO162" s="51" t="n"/>
      <c r="AP162" s="51" t="n"/>
      <c r="AQ162" s="51" t="n"/>
      <c r="AR162" s="51" t="n"/>
      <c r="AS162" s="51" t="n"/>
      <c r="AT162" s="51" t="n"/>
      <c r="AU162" s="51" t="n"/>
      <c r="AV162" s="51" t="n"/>
      <c r="AW162" s="51" t="n"/>
      <c r="AX162" s="51" t="n"/>
      <c r="AY162" s="51" t="n"/>
      <c r="AZ162" s="51" t="n"/>
      <c r="BA162" s="51" t="n"/>
      <c r="BB162" s="51" t="n"/>
      <c r="BC162" s="51" t="n"/>
      <c r="BD162" s="51" t="n"/>
      <c r="BE162" s="51" t="n"/>
      <c r="BF162" s="51" t="n"/>
      <c r="BG162" s="51" t="n"/>
      <c r="BH162" s="51" t="n"/>
      <c r="BI162" s="51" t="n"/>
      <c r="BJ162" s="51" t="n"/>
      <c r="BK162" s="51" t="n"/>
      <c r="BL162" s="51" t="n"/>
      <c r="BM162" s="51" t="n"/>
    </row>
    <row r="163">
      <c r="A163" s="47">
        <f>IF(Mitarbeiter!B163="","",Mitarbeiter!A163)</f>
        <v/>
      </c>
      <c r="B163" s="48">
        <f>IF(Mitarbeiter!B163="","",Mitarbeiter!B163)</f>
        <v/>
      </c>
      <c r="C163" s="37">
        <f>IF(Mitarbeiter!B163="","",N(INDEX($F163:$BM163,1,(Einstellungen!$C$3-2026)*12+1))+N(INDEX($F163:$BM163,1,(Einstellungen!$C$3-2026)*12+2))+N(INDEX($F163:$BM163,1,(Einstellungen!$C$3-2026)*12+3))+N(INDEX($F163:$BM163,1,(Einstellungen!$C$3-2026)*12+4))+N(INDEX($F163:$BM163,1,(Einstellungen!$C$3-2026)*12+5))+N(INDEX($F163:$BM163,1,(Einstellungen!$C$3-2026)*12+6))+N(INDEX($F163:$BM163,1,(Einstellungen!$C$3-2026)*12+7))+N(INDEX($F163:$BM163,1,(Einstellungen!$C$3-2026)*12+8))+N(INDEX($F163:$BM163,1,(Einstellungen!$C$3-2026)*12+9))+N(INDEX($F163:$BM163,1,(Einstellungen!$C$3-2026)*12+10))+N(INDEX($F163:$BM163,1,(Einstellungen!$C$3-2026)*12+11))+N(INDEX($F163:$BM163,1,(Einstellungen!$C$3-2026)*12+12)))</f>
        <v/>
      </c>
      <c r="D163" s="37">
        <f>IF(Mitarbeiter!B163="","",SUM(F163:BM163))</f>
        <v/>
      </c>
      <c r="F163" s="51" t="n"/>
      <c r="G163" s="51" t="n"/>
      <c r="H163" s="51" t="n"/>
      <c r="I163" s="51" t="n"/>
      <c r="J163" s="51" t="n"/>
      <c r="K163" s="51" t="n"/>
      <c r="L163" s="51" t="n"/>
      <c r="M163" s="51" t="n"/>
      <c r="N163" s="51" t="n"/>
      <c r="O163" s="51" t="n"/>
      <c r="P163" s="51" t="n"/>
      <c r="Q163" s="51" t="n"/>
      <c r="R163" s="51" t="n"/>
      <c r="S163" s="51" t="n"/>
      <c r="T163" s="51" t="n"/>
      <c r="U163" s="51" t="n"/>
      <c r="V163" s="51" t="n"/>
      <c r="W163" s="51" t="n"/>
      <c r="X163" s="51" t="n"/>
      <c r="Y163" s="51" t="n"/>
      <c r="Z163" s="51" t="n"/>
      <c r="AA163" s="51" t="n"/>
      <c r="AB163" s="51" t="n"/>
      <c r="AC163" s="51" t="n"/>
      <c r="AD163" s="51" t="n"/>
      <c r="AE163" s="51" t="n"/>
      <c r="AF163" s="51" t="n"/>
      <c r="AG163" s="51" t="n"/>
      <c r="AH163" s="51" t="n"/>
      <c r="AI163" s="51" t="n"/>
      <c r="AJ163" s="51" t="n"/>
      <c r="AK163" s="51" t="n"/>
      <c r="AL163" s="51" t="n"/>
      <c r="AM163" s="51" t="n"/>
      <c r="AN163" s="51" t="n"/>
      <c r="AO163" s="51" t="n"/>
      <c r="AP163" s="51" t="n"/>
      <c r="AQ163" s="51" t="n"/>
      <c r="AR163" s="51" t="n"/>
      <c r="AS163" s="51" t="n"/>
      <c r="AT163" s="51" t="n"/>
      <c r="AU163" s="51" t="n"/>
      <c r="AV163" s="51" t="n"/>
      <c r="AW163" s="51" t="n"/>
      <c r="AX163" s="51" t="n"/>
      <c r="AY163" s="51" t="n"/>
      <c r="AZ163" s="51" t="n"/>
      <c r="BA163" s="51" t="n"/>
      <c r="BB163" s="51" t="n"/>
      <c r="BC163" s="51" t="n"/>
      <c r="BD163" s="51" t="n"/>
      <c r="BE163" s="51" t="n"/>
      <c r="BF163" s="51" t="n"/>
      <c r="BG163" s="51" t="n"/>
      <c r="BH163" s="51" t="n"/>
      <c r="BI163" s="51" t="n"/>
      <c r="BJ163" s="51" t="n"/>
      <c r="BK163" s="51" t="n"/>
      <c r="BL163" s="51" t="n"/>
      <c r="BM163" s="51" t="n"/>
    </row>
    <row r="164">
      <c r="A164" s="47">
        <f>IF(Mitarbeiter!B164="","",Mitarbeiter!A164)</f>
        <v/>
      </c>
      <c r="B164" s="48">
        <f>IF(Mitarbeiter!B164="","",Mitarbeiter!B164)</f>
        <v/>
      </c>
      <c r="C164" s="37">
        <f>IF(Mitarbeiter!B164="","",N(INDEX($F164:$BM164,1,(Einstellungen!$C$3-2026)*12+1))+N(INDEX($F164:$BM164,1,(Einstellungen!$C$3-2026)*12+2))+N(INDEX($F164:$BM164,1,(Einstellungen!$C$3-2026)*12+3))+N(INDEX($F164:$BM164,1,(Einstellungen!$C$3-2026)*12+4))+N(INDEX($F164:$BM164,1,(Einstellungen!$C$3-2026)*12+5))+N(INDEX($F164:$BM164,1,(Einstellungen!$C$3-2026)*12+6))+N(INDEX($F164:$BM164,1,(Einstellungen!$C$3-2026)*12+7))+N(INDEX($F164:$BM164,1,(Einstellungen!$C$3-2026)*12+8))+N(INDEX($F164:$BM164,1,(Einstellungen!$C$3-2026)*12+9))+N(INDEX($F164:$BM164,1,(Einstellungen!$C$3-2026)*12+10))+N(INDEX($F164:$BM164,1,(Einstellungen!$C$3-2026)*12+11))+N(INDEX($F164:$BM164,1,(Einstellungen!$C$3-2026)*12+12)))</f>
        <v/>
      </c>
      <c r="D164" s="37">
        <f>IF(Mitarbeiter!B164="","",SUM(F164:BM164))</f>
        <v/>
      </c>
      <c r="F164" s="51" t="n"/>
      <c r="G164" s="51" t="n"/>
      <c r="H164" s="51" t="n"/>
      <c r="I164" s="51" t="n"/>
      <c r="J164" s="51" t="n"/>
      <c r="K164" s="51" t="n"/>
      <c r="L164" s="51" t="n"/>
      <c r="M164" s="51" t="n"/>
      <c r="N164" s="51" t="n"/>
      <c r="O164" s="51" t="n"/>
      <c r="P164" s="51" t="n"/>
      <c r="Q164" s="51" t="n"/>
      <c r="R164" s="51" t="n"/>
      <c r="S164" s="51" t="n"/>
      <c r="T164" s="51" t="n"/>
      <c r="U164" s="51" t="n"/>
      <c r="V164" s="51" t="n"/>
      <c r="W164" s="51" t="n"/>
      <c r="X164" s="51" t="n"/>
      <c r="Y164" s="51" t="n"/>
      <c r="Z164" s="51" t="n"/>
      <c r="AA164" s="51" t="n"/>
      <c r="AB164" s="51" t="n"/>
      <c r="AC164" s="51" t="n"/>
      <c r="AD164" s="51" t="n"/>
      <c r="AE164" s="51" t="n"/>
      <c r="AF164" s="51" t="n"/>
      <c r="AG164" s="51" t="n"/>
      <c r="AH164" s="51" t="n"/>
      <c r="AI164" s="51" t="n"/>
      <c r="AJ164" s="51" t="n"/>
      <c r="AK164" s="51" t="n"/>
      <c r="AL164" s="51" t="n"/>
      <c r="AM164" s="51" t="n"/>
      <c r="AN164" s="51" t="n"/>
      <c r="AO164" s="51" t="n"/>
      <c r="AP164" s="51" t="n"/>
      <c r="AQ164" s="51" t="n"/>
      <c r="AR164" s="51" t="n"/>
      <c r="AS164" s="51" t="n"/>
      <c r="AT164" s="51" t="n"/>
      <c r="AU164" s="51" t="n"/>
      <c r="AV164" s="51" t="n"/>
      <c r="AW164" s="51" t="n"/>
      <c r="AX164" s="51" t="n"/>
      <c r="AY164" s="51" t="n"/>
      <c r="AZ164" s="51" t="n"/>
      <c r="BA164" s="51" t="n"/>
      <c r="BB164" s="51" t="n"/>
      <c r="BC164" s="51" t="n"/>
      <c r="BD164" s="51" t="n"/>
      <c r="BE164" s="51" t="n"/>
      <c r="BF164" s="51" t="n"/>
      <c r="BG164" s="51" t="n"/>
      <c r="BH164" s="51" t="n"/>
      <c r="BI164" s="51" t="n"/>
      <c r="BJ164" s="51" t="n"/>
      <c r="BK164" s="51" t="n"/>
      <c r="BL164" s="51" t="n"/>
      <c r="BM164" s="51" t="n"/>
    </row>
    <row r="165">
      <c r="A165" s="47">
        <f>IF(Mitarbeiter!B165="","",Mitarbeiter!A165)</f>
        <v/>
      </c>
      <c r="B165" s="48">
        <f>IF(Mitarbeiter!B165="","",Mitarbeiter!B165)</f>
        <v/>
      </c>
      <c r="C165" s="37">
        <f>IF(Mitarbeiter!B165="","",N(INDEX($F165:$BM165,1,(Einstellungen!$C$3-2026)*12+1))+N(INDEX($F165:$BM165,1,(Einstellungen!$C$3-2026)*12+2))+N(INDEX($F165:$BM165,1,(Einstellungen!$C$3-2026)*12+3))+N(INDEX($F165:$BM165,1,(Einstellungen!$C$3-2026)*12+4))+N(INDEX($F165:$BM165,1,(Einstellungen!$C$3-2026)*12+5))+N(INDEX($F165:$BM165,1,(Einstellungen!$C$3-2026)*12+6))+N(INDEX($F165:$BM165,1,(Einstellungen!$C$3-2026)*12+7))+N(INDEX($F165:$BM165,1,(Einstellungen!$C$3-2026)*12+8))+N(INDEX($F165:$BM165,1,(Einstellungen!$C$3-2026)*12+9))+N(INDEX($F165:$BM165,1,(Einstellungen!$C$3-2026)*12+10))+N(INDEX($F165:$BM165,1,(Einstellungen!$C$3-2026)*12+11))+N(INDEX($F165:$BM165,1,(Einstellungen!$C$3-2026)*12+12)))</f>
        <v/>
      </c>
      <c r="D165" s="37">
        <f>IF(Mitarbeiter!B165="","",SUM(F165:BM165))</f>
        <v/>
      </c>
      <c r="F165" s="51" t="n"/>
      <c r="G165" s="51" t="n"/>
      <c r="H165" s="51" t="n"/>
      <c r="I165" s="51" t="n"/>
      <c r="J165" s="51" t="n"/>
      <c r="K165" s="51" t="n"/>
      <c r="L165" s="51" t="n"/>
      <c r="M165" s="51" t="n"/>
      <c r="N165" s="51" t="n"/>
      <c r="O165" s="51" t="n"/>
      <c r="P165" s="51" t="n"/>
      <c r="Q165" s="51" t="n"/>
      <c r="R165" s="51" t="n"/>
      <c r="S165" s="51" t="n"/>
      <c r="T165" s="51" t="n"/>
      <c r="U165" s="51" t="n"/>
      <c r="V165" s="51" t="n"/>
      <c r="W165" s="51" t="n"/>
      <c r="X165" s="51" t="n"/>
      <c r="Y165" s="51" t="n"/>
      <c r="Z165" s="51" t="n"/>
      <c r="AA165" s="51" t="n"/>
      <c r="AB165" s="51" t="n"/>
      <c r="AC165" s="51" t="n"/>
      <c r="AD165" s="51" t="n"/>
      <c r="AE165" s="51" t="n"/>
      <c r="AF165" s="51" t="n"/>
      <c r="AG165" s="51" t="n"/>
      <c r="AH165" s="51" t="n"/>
      <c r="AI165" s="51" t="n"/>
      <c r="AJ165" s="51" t="n"/>
      <c r="AK165" s="51" t="n"/>
      <c r="AL165" s="51" t="n"/>
      <c r="AM165" s="51" t="n"/>
      <c r="AN165" s="51" t="n"/>
      <c r="AO165" s="51" t="n"/>
      <c r="AP165" s="51" t="n"/>
      <c r="AQ165" s="51" t="n"/>
      <c r="AR165" s="51" t="n"/>
      <c r="AS165" s="51" t="n"/>
      <c r="AT165" s="51" t="n"/>
      <c r="AU165" s="51" t="n"/>
      <c r="AV165" s="51" t="n"/>
      <c r="AW165" s="51" t="n"/>
      <c r="AX165" s="51" t="n"/>
      <c r="AY165" s="51" t="n"/>
      <c r="AZ165" s="51" t="n"/>
      <c r="BA165" s="51" t="n"/>
      <c r="BB165" s="51" t="n"/>
      <c r="BC165" s="51" t="n"/>
      <c r="BD165" s="51" t="n"/>
      <c r="BE165" s="51" t="n"/>
      <c r="BF165" s="51" t="n"/>
      <c r="BG165" s="51" t="n"/>
      <c r="BH165" s="51" t="n"/>
      <c r="BI165" s="51" t="n"/>
      <c r="BJ165" s="51" t="n"/>
      <c r="BK165" s="51" t="n"/>
      <c r="BL165" s="51" t="n"/>
      <c r="BM165" s="51" t="n"/>
    </row>
    <row r="166">
      <c r="A166" s="47">
        <f>IF(Mitarbeiter!B166="","",Mitarbeiter!A166)</f>
        <v/>
      </c>
      <c r="B166" s="48">
        <f>IF(Mitarbeiter!B166="","",Mitarbeiter!B166)</f>
        <v/>
      </c>
      <c r="C166" s="37">
        <f>IF(Mitarbeiter!B166="","",N(INDEX($F166:$BM166,1,(Einstellungen!$C$3-2026)*12+1))+N(INDEX($F166:$BM166,1,(Einstellungen!$C$3-2026)*12+2))+N(INDEX($F166:$BM166,1,(Einstellungen!$C$3-2026)*12+3))+N(INDEX($F166:$BM166,1,(Einstellungen!$C$3-2026)*12+4))+N(INDEX($F166:$BM166,1,(Einstellungen!$C$3-2026)*12+5))+N(INDEX($F166:$BM166,1,(Einstellungen!$C$3-2026)*12+6))+N(INDEX($F166:$BM166,1,(Einstellungen!$C$3-2026)*12+7))+N(INDEX($F166:$BM166,1,(Einstellungen!$C$3-2026)*12+8))+N(INDEX($F166:$BM166,1,(Einstellungen!$C$3-2026)*12+9))+N(INDEX($F166:$BM166,1,(Einstellungen!$C$3-2026)*12+10))+N(INDEX($F166:$BM166,1,(Einstellungen!$C$3-2026)*12+11))+N(INDEX($F166:$BM166,1,(Einstellungen!$C$3-2026)*12+12)))</f>
        <v/>
      </c>
      <c r="D166" s="37">
        <f>IF(Mitarbeiter!B166="","",SUM(F166:BM166))</f>
        <v/>
      </c>
      <c r="F166" s="51" t="n"/>
      <c r="G166" s="51" t="n"/>
      <c r="H166" s="51" t="n"/>
      <c r="I166" s="51" t="n"/>
      <c r="J166" s="51" t="n"/>
      <c r="K166" s="51" t="n"/>
      <c r="L166" s="51" t="n"/>
      <c r="M166" s="51" t="n"/>
      <c r="N166" s="51" t="n"/>
      <c r="O166" s="51" t="n"/>
      <c r="P166" s="51" t="n"/>
      <c r="Q166" s="51" t="n"/>
      <c r="R166" s="51" t="n"/>
      <c r="S166" s="51" t="n"/>
      <c r="T166" s="51" t="n"/>
      <c r="U166" s="51" t="n"/>
      <c r="V166" s="51" t="n"/>
      <c r="W166" s="51" t="n"/>
      <c r="X166" s="51" t="n"/>
      <c r="Y166" s="51" t="n"/>
      <c r="Z166" s="51" t="n"/>
      <c r="AA166" s="51" t="n"/>
      <c r="AB166" s="51" t="n"/>
      <c r="AC166" s="51" t="n"/>
      <c r="AD166" s="51" t="n"/>
      <c r="AE166" s="51" t="n"/>
      <c r="AF166" s="51" t="n"/>
      <c r="AG166" s="51" t="n"/>
      <c r="AH166" s="51" t="n"/>
      <c r="AI166" s="51" t="n"/>
      <c r="AJ166" s="51" t="n"/>
      <c r="AK166" s="51" t="n"/>
      <c r="AL166" s="51" t="n"/>
      <c r="AM166" s="51" t="n"/>
      <c r="AN166" s="51" t="n"/>
      <c r="AO166" s="51" t="n"/>
      <c r="AP166" s="51" t="n"/>
      <c r="AQ166" s="51" t="n"/>
      <c r="AR166" s="51" t="n"/>
      <c r="AS166" s="51" t="n"/>
      <c r="AT166" s="51" t="n"/>
      <c r="AU166" s="51" t="n"/>
      <c r="AV166" s="51" t="n"/>
      <c r="AW166" s="51" t="n"/>
      <c r="AX166" s="51" t="n"/>
      <c r="AY166" s="51" t="n"/>
      <c r="AZ166" s="51" t="n"/>
      <c r="BA166" s="51" t="n"/>
      <c r="BB166" s="51" t="n"/>
      <c r="BC166" s="51" t="n"/>
      <c r="BD166" s="51" t="n"/>
      <c r="BE166" s="51" t="n"/>
      <c r="BF166" s="51" t="n"/>
      <c r="BG166" s="51" t="n"/>
      <c r="BH166" s="51" t="n"/>
      <c r="BI166" s="51" t="n"/>
      <c r="BJ166" s="51" t="n"/>
      <c r="BK166" s="51" t="n"/>
      <c r="BL166" s="51" t="n"/>
      <c r="BM166" s="51" t="n"/>
    </row>
    <row r="167">
      <c r="A167" s="47">
        <f>IF(Mitarbeiter!B167="","",Mitarbeiter!A167)</f>
        <v/>
      </c>
      <c r="B167" s="48">
        <f>IF(Mitarbeiter!B167="","",Mitarbeiter!B167)</f>
        <v/>
      </c>
      <c r="C167" s="37">
        <f>IF(Mitarbeiter!B167="","",N(INDEX($F167:$BM167,1,(Einstellungen!$C$3-2026)*12+1))+N(INDEX($F167:$BM167,1,(Einstellungen!$C$3-2026)*12+2))+N(INDEX($F167:$BM167,1,(Einstellungen!$C$3-2026)*12+3))+N(INDEX($F167:$BM167,1,(Einstellungen!$C$3-2026)*12+4))+N(INDEX($F167:$BM167,1,(Einstellungen!$C$3-2026)*12+5))+N(INDEX($F167:$BM167,1,(Einstellungen!$C$3-2026)*12+6))+N(INDEX($F167:$BM167,1,(Einstellungen!$C$3-2026)*12+7))+N(INDEX($F167:$BM167,1,(Einstellungen!$C$3-2026)*12+8))+N(INDEX($F167:$BM167,1,(Einstellungen!$C$3-2026)*12+9))+N(INDEX($F167:$BM167,1,(Einstellungen!$C$3-2026)*12+10))+N(INDEX($F167:$BM167,1,(Einstellungen!$C$3-2026)*12+11))+N(INDEX($F167:$BM167,1,(Einstellungen!$C$3-2026)*12+12)))</f>
        <v/>
      </c>
      <c r="D167" s="37">
        <f>IF(Mitarbeiter!B167="","",SUM(F167:BM167))</f>
        <v/>
      </c>
      <c r="F167" s="51" t="n"/>
      <c r="G167" s="51" t="n"/>
      <c r="H167" s="51" t="n"/>
      <c r="I167" s="51" t="n"/>
      <c r="J167" s="51" t="n"/>
      <c r="K167" s="51" t="n"/>
      <c r="L167" s="51" t="n"/>
      <c r="M167" s="51" t="n"/>
      <c r="N167" s="51" t="n"/>
      <c r="O167" s="51" t="n"/>
      <c r="P167" s="51" t="n"/>
      <c r="Q167" s="51" t="n"/>
      <c r="R167" s="51" t="n"/>
      <c r="S167" s="51" t="n"/>
      <c r="T167" s="51" t="n"/>
      <c r="U167" s="51" t="n"/>
      <c r="V167" s="51" t="n"/>
      <c r="W167" s="51" t="n"/>
      <c r="X167" s="51" t="n"/>
      <c r="Y167" s="51" t="n"/>
      <c r="Z167" s="51" t="n"/>
      <c r="AA167" s="51" t="n"/>
      <c r="AB167" s="51" t="n"/>
      <c r="AC167" s="51" t="n"/>
      <c r="AD167" s="51" t="n"/>
      <c r="AE167" s="51" t="n"/>
      <c r="AF167" s="51" t="n"/>
      <c r="AG167" s="51" t="n"/>
      <c r="AH167" s="51" t="n"/>
      <c r="AI167" s="51" t="n"/>
      <c r="AJ167" s="51" t="n"/>
      <c r="AK167" s="51" t="n"/>
      <c r="AL167" s="51" t="n"/>
      <c r="AM167" s="51" t="n"/>
      <c r="AN167" s="51" t="n"/>
      <c r="AO167" s="51" t="n"/>
      <c r="AP167" s="51" t="n"/>
      <c r="AQ167" s="51" t="n"/>
      <c r="AR167" s="51" t="n"/>
      <c r="AS167" s="51" t="n"/>
      <c r="AT167" s="51" t="n"/>
      <c r="AU167" s="51" t="n"/>
      <c r="AV167" s="51" t="n"/>
      <c r="AW167" s="51" t="n"/>
      <c r="AX167" s="51" t="n"/>
      <c r="AY167" s="51" t="n"/>
      <c r="AZ167" s="51" t="n"/>
      <c r="BA167" s="51" t="n"/>
      <c r="BB167" s="51" t="n"/>
      <c r="BC167" s="51" t="n"/>
      <c r="BD167" s="51" t="n"/>
      <c r="BE167" s="51" t="n"/>
      <c r="BF167" s="51" t="n"/>
      <c r="BG167" s="51" t="n"/>
      <c r="BH167" s="51" t="n"/>
      <c r="BI167" s="51" t="n"/>
      <c r="BJ167" s="51" t="n"/>
      <c r="BK167" s="51" t="n"/>
      <c r="BL167" s="51" t="n"/>
      <c r="BM167" s="51" t="n"/>
    </row>
    <row r="168">
      <c r="A168" s="47">
        <f>IF(Mitarbeiter!B168="","",Mitarbeiter!A168)</f>
        <v/>
      </c>
      <c r="B168" s="48">
        <f>IF(Mitarbeiter!B168="","",Mitarbeiter!B168)</f>
        <v/>
      </c>
      <c r="C168" s="37">
        <f>IF(Mitarbeiter!B168="","",N(INDEX($F168:$BM168,1,(Einstellungen!$C$3-2026)*12+1))+N(INDEX($F168:$BM168,1,(Einstellungen!$C$3-2026)*12+2))+N(INDEX($F168:$BM168,1,(Einstellungen!$C$3-2026)*12+3))+N(INDEX($F168:$BM168,1,(Einstellungen!$C$3-2026)*12+4))+N(INDEX($F168:$BM168,1,(Einstellungen!$C$3-2026)*12+5))+N(INDEX($F168:$BM168,1,(Einstellungen!$C$3-2026)*12+6))+N(INDEX($F168:$BM168,1,(Einstellungen!$C$3-2026)*12+7))+N(INDEX($F168:$BM168,1,(Einstellungen!$C$3-2026)*12+8))+N(INDEX($F168:$BM168,1,(Einstellungen!$C$3-2026)*12+9))+N(INDEX($F168:$BM168,1,(Einstellungen!$C$3-2026)*12+10))+N(INDEX($F168:$BM168,1,(Einstellungen!$C$3-2026)*12+11))+N(INDEX($F168:$BM168,1,(Einstellungen!$C$3-2026)*12+12)))</f>
        <v/>
      </c>
      <c r="D168" s="37">
        <f>IF(Mitarbeiter!B168="","",SUM(F168:BM168))</f>
        <v/>
      </c>
      <c r="F168" s="51" t="n"/>
      <c r="G168" s="51" t="n"/>
      <c r="H168" s="51" t="n"/>
      <c r="I168" s="51" t="n"/>
      <c r="J168" s="51" t="n"/>
      <c r="K168" s="51" t="n"/>
      <c r="L168" s="51" t="n"/>
      <c r="M168" s="51" t="n"/>
      <c r="N168" s="51" t="n"/>
      <c r="O168" s="51" t="n"/>
      <c r="P168" s="51" t="n"/>
      <c r="Q168" s="51" t="n"/>
      <c r="R168" s="51" t="n"/>
      <c r="S168" s="51" t="n"/>
      <c r="T168" s="51" t="n"/>
      <c r="U168" s="51" t="n"/>
      <c r="V168" s="51" t="n"/>
      <c r="W168" s="51" t="n"/>
      <c r="X168" s="51" t="n"/>
      <c r="Y168" s="51" t="n"/>
      <c r="Z168" s="51" t="n"/>
      <c r="AA168" s="51" t="n"/>
      <c r="AB168" s="51" t="n"/>
      <c r="AC168" s="51" t="n"/>
      <c r="AD168" s="51" t="n"/>
      <c r="AE168" s="51" t="n"/>
      <c r="AF168" s="51" t="n"/>
      <c r="AG168" s="51" t="n"/>
      <c r="AH168" s="51" t="n"/>
      <c r="AI168" s="51" t="n"/>
      <c r="AJ168" s="51" t="n"/>
      <c r="AK168" s="51" t="n"/>
      <c r="AL168" s="51" t="n"/>
      <c r="AM168" s="51" t="n"/>
      <c r="AN168" s="51" t="n"/>
      <c r="AO168" s="51" t="n"/>
      <c r="AP168" s="51" t="n"/>
      <c r="AQ168" s="51" t="n"/>
      <c r="AR168" s="51" t="n"/>
      <c r="AS168" s="51" t="n"/>
      <c r="AT168" s="51" t="n"/>
      <c r="AU168" s="51" t="n"/>
      <c r="AV168" s="51" t="n"/>
      <c r="AW168" s="51" t="n"/>
      <c r="AX168" s="51" t="n"/>
      <c r="AY168" s="51" t="n"/>
      <c r="AZ168" s="51" t="n"/>
      <c r="BA168" s="51" t="n"/>
      <c r="BB168" s="51" t="n"/>
      <c r="BC168" s="51" t="n"/>
      <c r="BD168" s="51" t="n"/>
      <c r="BE168" s="51" t="n"/>
      <c r="BF168" s="51" t="n"/>
      <c r="BG168" s="51" t="n"/>
      <c r="BH168" s="51" t="n"/>
      <c r="BI168" s="51" t="n"/>
      <c r="BJ168" s="51" t="n"/>
      <c r="BK168" s="51" t="n"/>
      <c r="BL168" s="51" t="n"/>
      <c r="BM168" s="51" t="n"/>
    </row>
    <row r="169">
      <c r="A169" s="47">
        <f>IF(Mitarbeiter!B169="","",Mitarbeiter!A169)</f>
        <v/>
      </c>
      <c r="B169" s="48">
        <f>IF(Mitarbeiter!B169="","",Mitarbeiter!B169)</f>
        <v/>
      </c>
      <c r="C169" s="37">
        <f>IF(Mitarbeiter!B169="","",N(INDEX($F169:$BM169,1,(Einstellungen!$C$3-2026)*12+1))+N(INDEX($F169:$BM169,1,(Einstellungen!$C$3-2026)*12+2))+N(INDEX($F169:$BM169,1,(Einstellungen!$C$3-2026)*12+3))+N(INDEX($F169:$BM169,1,(Einstellungen!$C$3-2026)*12+4))+N(INDEX($F169:$BM169,1,(Einstellungen!$C$3-2026)*12+5))+N(INDEX($F169:$BM169,1,(Einstellungen!$C$3-2026)*12+6))+N(INDEX($F169:$BM169,1,(Einstellungen!$C$3-2026)*12+7))+N(INDEX($F169:$BM169,1,(Einstellungen!$C$3-2026)*12+8))+N(INDEX($F169:$BM169,1,(Einstellungen!$C$3-2026)*12+9))+N(INDEX($F169:$BM169,1,(Einstellungen!$C$3-2026)*12+10))+N(INDEX($F169:$BM169,1,(Einstellungen!$C$3-2026)*12+11))+N(INDEX($F169:$BM169,1,(Einstellungen!$C$3-2026)*12+12)))</f>
        <v/>
      </c>
      <c r="D169" s="37">
        <f>IF(Mitarbeiter!B169="","",SUM(F169:BM169))</f>
        <v/>
      </c>
      <c r="F169" s="51" t="n"/>
      <c r="G169" s="51" t="n"/>
      <c r="H169" s="51" t="n"/>
      <c r="I169" s="51" t="n"/>
      <c r="J169" s="51" t="n"/>
      <c r="K169" s="51" t="n"/>
      <c r="L169" s="51" t="n"/>
      <c r="M169" s="51" t="n"/>
      <c r="N169" s="51" t="n"/>
      <c r="O169" s="51" t="n"/>
      <c r="P169" s="51" t="n"/>
      <c r="Q169" s="51" t="n"/>
      <c r="R169" s="51" t="n"/>
      <c r="S169" s="51" t="n"/>
      <c r="T169" s="51" t="n"/>
      <c r="U169" s="51" t="n"/>
      <c r="V169" s="51" t="n"/>
      <c r="W169" s="51" t="n"/>
      <c r="X169" s="51" t="n"/>
      <c r="Y169" s="51" t="n"/>
      <c r="Z169" s="51" t="n"/>
      <c r="AA169" s="51" t="n"/>
      <c r="AB169" s="51" t="n"/>
      <c r="AC169" s="51" t="n"/>
      <c r="AD169" s="51" t="n"/>
      <c r="AE169" s="51" t="n"/>
      <c r="AF169" s="51" t="n"/>
      <c r="AG169" s="51" t="n"/>
      <c r="AH169" s="51" t="n"/>
      <c r="AI169" s="51" t="n"/>
      <c r="AJ169" s="51" t="n"/>
      <c r="AK169" s="51" t="n"/>
      <c r="AL169" s="51" t="n"/>
      <c r="AM169" s="51" t="n"/>
      <c r="AN169" s="51" t="n"/>
      <c r="AO169" s="51" t="n"/>
      <c r="AP169" s="51" t="n"/>
      <c r="AQ169" s="51" t="n"/>
      <c r="AR169" s="51" t="n"/>
      <c r="AS169" s="51" t="n"/>
      <c r="AT169" s="51" t="n"/>
      <c r="AU169" s="51" t="n"/>
      <c r="AV169" s="51" t="n"/>
      <c r="AW169" s="51" t="n"/>
      <c r="AX169" s="51" t="n"/>
      <c r="AY169" s="51" t="n"/>
      <c r="AZ169" s="51" t="n"/>
      <c r="BA169" s="51" t="n"/>
      <c r="BB169" s="51" t="n"/>
      <c r="BC169" s="51" t="n"/>
      <c r="BD169" s="51" t="n"/>
      <c r="BE169" s="51" t="n"/>
      <c r="BF169" s="51" t="n"/>
      <c r="BG169" s="51" t="n"/>
      <c r="BH169" s="51" t="n"/>
      <c r="BI169" s="51" t="n"/>
      <c r="BJ169" s="51" t="n"/>
      <c r="BK169" s="51" t="n"/>
      <c r="BL169" s="51" t="n"/>
      <c r="BM169" s="51" t="n"/>
    </row>
    <row r="170">
      <c r="A170" s="47">
        <f>IF(Mitarbeiter!B170="","",Mitarbeiter!A170)</f>
        <v/>
      </c>
      <c r="B170" s="48">
        <f>IF(Mitarbeiter!B170="","",Mitarbeiter!B170)</f>
        <v/>
      </c>
      <c r="C170" s="37">
        <f>IF(Mitarbeiter!B170="","",N(INDEX($F170:$BM170,1,(Einstellungen!$C$3-2026)*12+1))+N(INDEX($F170:$BM170,1,(Einstellungen!$C$3-2026)*12+2))+N(INDEX($F170:$BM170,1,(Einstellungen!$C$3-2026)*12+3))+N(INDEX($F170:$BM170,1,(Einstellungen!$C$3-2026)*12+4))+N(INDEX($F170:$BM170,1,(Einstellungen!$C$3-2026)*12+5))+N(INDEX($F170:$BM170,1,(Einstellungen!$C$3-2026)*12+6))+N(INDEX($F170:$BM170,1,(Einstellungen!$C$3-2026)*12+7))+N(INDEX($F170:$BM170,1,(Einstellungen!$C$3-2026)*12+8))+N(INDEX($F170:$BM170,1,(Einstellungen!$C$3-2026)*12+9))+N(INDEX($F170:$BM170,1,(Einstellungen!$C$3-2026)*12+10))+N(INDEX($F170:$BM170,1,(Einstellungen!$C$3-2026)*12+11))+N(INDEX($F170:$BM170,1,(Einstellungen!$C$3-2026)*12+12)))</f>
        <v/>
      </c>
      <c r="D170" s="37">
        <f>IF(Mitarbeiter!B170="","",SUM(F170:BM170))</f>
        <v/>
      </c>
      <c r="F170" s="51" t="n"/>
      <c r="G170" s="51" t="n"/>
      <c r="H170" s="51" t="n"/>
      <c r="I170" s="51" t="n"/>
      <c r="J170" s="51" t="n"/>
      <c r="K170" s="51" t="n"/>
      <c r="L170" s="51" t="n"/>
      <c r="M170" s="51" t="n"/>
      <c r="N170" s="51" t="n"/>
      <c r="O170" s="51" t="n"/>
      <c r="P170" s="51" t="n"/>
      <c r="Q170" s="51" t="n"/>
      <c r="R170" s="51" t="n"/>
      <c r="S170" s="51" t="n"/>
      <c r="T170" s="51" t="n"/>
      <c r="U170" s="51" t="n"/>
      <c r="V170" s="51" t="n"/>
      <c r="W170" s="51" t="n"/>
      <c r="X170" s="51" t="n"/>
      <c r="Y170" s="51" t="n"/>
      <c r="Z170" s="51" t="n"/>
      <c r="AA170" s="51" t="n"/>
      <c r="AB170" s="51" t="n"/>
      <c r="AC170" s="51" t="n"/>
      <c r="AD170" s="51" t="n"/>
      <c r="AE170" s="51" t="n"/>
      <c r="AF170" s="51" t="n"/>
      <c r="AG170" s="51" t="n"/>
      <c r="AH170" s="51" t="n"/>
      <c r="AI170" s="51" t="n"/>
      <c r="AJ170" s="51" t="n"/>
      <c r="AK170" s="51" t="n"/>
      <c r="AL170" s="51" t="n"/>
      <c r="AM170" s="51" t="n"/>
      <c r="AN170" s="51" t="n"/>
      <c r="AO170" s="51" t="n"/>
      <c r="AP170" s="51" t="n"/>
      <c r="AQ170" s="51" t="n"/>
      <c r="AR170" s="51" t="n"/>
      <c r="AS170" s="51" t="n"/>
      <c r="AT170" s="51" t="n"/>
      <c r="AU170" s="51" t="n"/>
      <c r="AV170" s="51" t="n"/>
      <c r="AW170" s="51" t="n"/>
      <c r="AX170" s="51" t="n"/>
      <c r="AY170" s="51" t="n"/>
      <c r="AZ170" s="51" t="n"/>
      <c r="BA170" s="51" t="n"/>
      <c r="BB170" s="51" t="n"/>
      <c r="BC170" s="51" t="n"/>
      <c r="BD170" s="51" t="n"/>
      <c r="BE170" s="51" t="n"/>
      <c r="BF170" s="51" t="n"/>
      <c r="BG170" s="51" t="n"/>
      <c r="BH170" s="51" t="n"/>
      <c r="BI170" s="51" t="n"/>
      <c r="BJ170" s="51" t="n"/>
      <c r="BK170" s="51" t="n"/>
      <c r="BL170" s="51" t="n"/>
      <c r="BM170" s="51" t="n"/>
    </row>
    <row r="171">
      <c r="A171" s="47">
        <f>IF(Mitarbeiter!B171="","",Mitarbeiter!A171)</f>
        <v/>
      </c>
      <c r="B171" s="48">
        <f>IF(Mitarbeiter!B171="","",Mitarbeiter!B171)</f>
        <v/>
      </c>
      <c r="C171" s="37">
        <f>IF(Mitarbeiter!B171="","",N(INDEX($F171:$BM171,1,(Einstellungen!$C$3-2026)*12+1))+N(INDEX($F171:$BM171,1,(Einstellungen!$C$3-2026)*12+2))+N(INDEX($F171:$BM171,1,(Einstellungen!$C$3-2026)*12+3))+N(INDEX($F171:$BM171,1,(Einstellungen!$C$3-2026)*12+4))+N(INDEX($F171:$BM171,1,(Einstellungen!$C$3-2026)*12+5))+N(INDEX($F171:$BM171,1,(Einstellungen!$C$3-2026)*12+6))+N(INDEX($F171:$BM171,1,(Einstellungen!$C$3-2026)*12+7))+N(INDEX($F171:$BM171,1,(Einstellungen!$C$3-2026)*12+8))+N(INDEX($F171:$BM171,1,(Einstellungen!$C$3-2026)*12+9))+N(INDEX($F171:$BM171,1,(Einstellungen!$C$3-2026)*12+10))+N(INDEX($F171:$BM171,1,(Einstellungen!$C$3-2026)*12+11))+N(INDEX($F171:$BM171,1,(Einstellungen!$C$3-2026)*12+12)))</f>
        <v/>
      </c>
      <c r="D171" s="37">
        <f>IF(Mitarbeiter!B171="","",SUM(F171:BM171))</f>
        <v/>
      </c>
      <c r="F171" s="51" t="n"/>
      <c r="G171" s="51" t="n"/>
      <c r="H171" s="51" t="n"/>
      <c r="I171" s="51" t="n"/>
      <c r="J171" s="51" t="n"/>
      <c r="K171" s="51" t="n"/>
      <c r="L171" s="51" t="n"/>
      <c r="M171" s="51" t="n"/>
      <c r="N171" s="51" t="n"/>
      <c r="O171" s="51" t="n"/>
      <c r="P171" s="51" t="n"/>
      <c r="Q171" s="51" t="n"/>
      <c r="R171" s="51" t="n"/>
      <c r="S171" s="51" t="n"/>
      <c r="T171" s="51" t="n"/>
      <c r="U171" s="51" t="n"/>
      <c r="V171" s="51" t="n"/>
      <c r="W171" s="51" t="n"/>
      <c r="X171" s="51" t="n"/>
      <c r="Y171" s="51" t="n"/>
      <c r="Z171" s="51" t="n"/>
      <c r="AA171" s="51" t="n"/>
      <c r="AB171" s="51" t="n"/>
      <c r="AC171" s="51" t="n"/>
      <c r="AD171" s="51" t="n"/>
      <c r="AE171" s="51" t="n"/>
      <c r="AF171" s="51" t="n"/>
      <c r="AG171" s="51" t="n"/>
      <c r="AH171" s="51" t="n"/>
      <c r="AI171" s="51" t="n"/>
      <c r="AJ171" s="51" t="n"/>
      <c r="AK171" s="51" t="n"/>
      <c r="AL171" s="51" t="n"/>
      <c r="AM171" s="51" t="n"/>
      <c r="AN171" s="51" t="n"/>
      <c r="AO171" s="51" t="n"/>
      <c r="AP171" s="51" t="n"/>
      <c r="AQ171" s="51" t="n"/>
      <c r="AR171" s="51" t="n"/>
      <c r="AS171" s="51" t="n"/>
      <c r="AT171" s="51" t="n"/>
      <c r="AU171" s="51" t="n"/>
      <c r="AV171" s="51" t="n"/>
      <c r="AW171" s="51" t="n"/>
      <c r="AX171" s="51" t="n"/>
      <c r="AY171" s="51" t="n"/>
      <c r="AZ171" s="51" t="n"/>
      <c r="BA171" s="51" t="n"/>
      <c r="BB171" s="51" t="n"/>
      <c r="BC171" s="51" t="n"/>
      <c r="BD171" s="51" t="n"/>
      <c r="BE171" s="51" t="n"/>
      <c r="BF171" s="51" t="n"/>
      <c r="BG171" s="51" t="n"/>
      <c r="BH171" s="51" t="n"/>
      <c r="BI171" s="51" t="n"/>
      <c r="BJ171" s="51" t="n"/>
      <c r="BK171" s="51" t="n"/>
      <c r="BL171" s="51" t="n"/>
      <c r="BM171" s="51" t="n"/>
    </row>
    <row r="172">
      <c r="A172" s="47">
        <f>IF(Mitarbeiter!B172="","",Mitarbeiter!A172)</f>
        <v/>
      </c>
      <c r="B172" s="48">
        <f>IF(Mitarbeiter!B172="","",Mitarbeiter!B172)</f>
        <v/>
      </c>
      <c r="C172" s="37">
        <f>IF(Mitarbeiter!B172="","",N(INDEX($F172:$BM172,1,(Einstellungen!$C$3-2026)*12+1))+N(INDEX($F172:$BM172,1,(Einstellungen!$C$3-2026)*12+2))+N(INDEX($F172:$BM172,1,(Einstellungen!$C$3-2026)*12+3))+N(INDEX($F172:$BM172,1,(Einstellungen!$C$3-2026)*12+4))+N(INDEX($F172:$BM172,1,(Einstellungen!$C$3-2026)*12+5))+N(INDEX($F172:$BM172,1,(Einstellungen!$C$3-2026)*12+6))+N(INDEX($F172:$BM172,1,(Einstellungen!$C$3-2026)*12+7))+N(INDEX($F172:$BM172,1,(Einstellungen!$C$3-2026)*12+8))+N(INDEX($F172:$BM172,1,(Einstellungen!$C$3-2026)*12+9))+N(INDEX($F172:$BM172,1,(Einstellungen!$C$3-2026)*12+10))+N(INDEX($F172:$BM172,1,(Einstellungen!$C$3-2026)*12+11))+N(INDEX($F172:$BM172,1,(Einstellungen!$C$3-2026)*12+12)))</f>
        <v/>
      </c>
      <c r="D172" s="37">
        <f>IF(Mitarbeiter!B172="","",SUM(F172:BM172))</f>
        <v/>
      </c>
      <c r="F172" s="51" t="n"/>
      <c r="G172" s="51" t="n"/>
      <c r="H172" s="51" t="n"/>
      <c r="I172" s="51" t="n"/>
      <c r="J172" s="51" t="n"/>
      <c r="K172" s="51" t="n"/>
      <c r="L172" s="51" t="n"/>
      <c r="M172" s="51" t="n"/>
      <c r="N172" s="51" t="n"/>
      <c r="O172" s="51" t="n"/>
      <c r="P172" s="51" t="n"/>
      <c r="Q172" s="51" t="n"/>
      <c r="R172" s="51" t="n"/>
      <c r="S172" s="51" t="n"/>
      <c r="T172" s="51" t="n"/>
      <c r="U172" s="51" t="n"/>
      <c r="V172" s="51" t="n"/>
      <c r="W172" s="51" t="n"/>
      <c r="X172" s="51" t="n"/>
      <c r="Y172" s="51" t="n"/>
      <c r="Z172" s="51" t="n"/>
      <c r="AA172" s="51" t="n"/>
      <c r="AB172" s="51" t="n"/>
      <c r="AC172" s="51" t="n"/>
      <c r="AD172" s="51" t="n"/>
      <c r="AE172" s="51" t="n"/>
      <c r="AF172" s="51" t="n"/>
      <c r="AG172" s="51" t="n"/>
      <c r="AH172" s="51" t="n"/>
      <c r="AI172" s="51" t="n"/>
      <c r="AJ172" s="51" t="n"/>
      <c r="AK172" s="51" t="n"/>
      <c r="AL172" s="51" t="n"/>
      <c r="AM172" s="51" t="n"/>
      <c r="AN172" s="51" t="n"/>
      <c r="AO172" s="51" t="n"/>
      <c r="AP172" s="51" t="n"/>
      <c r="AQ172" s="51" t="n"/>
      <c r="AR172" s="51" t="n"/>
      <c r="AS172" s="51" t="n"/>
      <c r="AT172" s="51" t="n"/>
      <c r="AU172" s="51" t="n"/>
      <c r="AV172" s="51" t="n"/>
      <c r="AW172" s="51" t="n"/>
      <c r="AX172" s="51" t="n"/>
      <c r="AY172" s="51" t="n"/>
      <c r="AZ172" s="51" t="n"/>
      <c r="BA172" s="51" t="n"/>
      <c r="BB172" s="51" t="n"/>
      <c r="BC172" s="51" t="n"/>
      <c r="BD172" s="51" t="n"/>
      <c r="BE172" s="51" t="n"/>
      <c r="BF172" s="51" t="n"/>
      <c r="BG172" s="51" t="n"/>
      <c r="BH172" s="51" t="n"/>
      <c r="BI172" s="51" t="n"/>
      <c r="BJ172" s="51" t="n"/>
      <c r="BK172" s="51" t="n"/>
      <c r="BL172" s="51" t="n"/>
      <c r="BM172" s="51" t="n"/>
    </row>
    <row r="173">
      <c r="A173" s="47">
        <f>IF(Mitarbeiter!B173="","",Mitarbeiter!A173)</f>
        <v/>
      </c>
      <c r="B173" s="48">
        <f>IF(Mitarbeiter!B173="","",Mitarbeiter!B173)</f>
        <v/>
      </c>
      <c r="C173" s="37">
        <f>IF(Mitarbeiter!B173="","",N(INDEX($F173:$BM173,1,(Einstellungen!$C$3-2026)*12+1))+N(INDEX($F173:$BM173,1,(Einstellungen!$C$3-2026)*12+2))+N(INDEX($F173:$BM173,1,(Einstellungen!$C$3-2026)*12+3))+N(INDEX($F173:$BM173,1,(Einstellungen!$C$3-2026)*12+4))+N(INDEX($F173:$BM173,1,(Einstellungen!$C$3-2026)*12+5))+N(INDEX($F173:$BM173,1,(Einstellungen!$C$3-2026)*12+6))+N(INDEX($F173:$BM173,1,(Einstellungen!$C$3-2026)*12+7))+N(INDEX($F173:$BM173,1,(Einstellungen!$C$3-2026)*12+8))+N(INDEX($F173:$BM173,1,(Einstellungen!$C$3-2026)*12+9))+N(INDEX($F173:$BM173,1,(Einstellungen!$C$3-2026)*12+10))+N(INDEX($F173:$BM173,1,(Einstellungen!$C$3-2026)*12+11))+N(INDEX($F173:$BM173,1,(Einstellungen!$C$3-2026)*12+12)))</f>
        <v/>
      </c>
      <c r="D173" s="37">
        <f>IF(Mitarbeiter!B173="","",SUM(F173:BM173))</f>
        <v/>
      </c>
      <c r="F173" s="51" t="n"/>
      <c r="G173" s="51" t="n"/>
      <c r="H173" s="51" t="n"/>
      <c r="I173" s="51" t="n"/>
      <c r="J173" s="51" t="n"/>
      <c r="K173" s="51" t="n"/>
      <c r="L173" s="51" t="n"/>
      <c r="M173" s="51" t="n"/>
      <c r="N173" s="51" t="n"/>
      <c r="O173" s="51" t="n"/>
      <c r="P173" s="51" t="n"/>
      <c r="Q173" s="51" t="n"/>
      <c r="R173" s="51" t="n"/>
      <c r="S173" s="51" t="n"/>
      <c r="T173" s="51" t="n"/>
      <c r="U173" s="51" t="n"/>
      <c r="V173" s="51" t="n"/>
      <c r="W173" s="51" t="n"/>
      <c r="X173" s="51" t="n"/>
      <c r="Y173" s="51" t="n"/>
      <c r="Z173" s="51" t="n"/>
      <c r="AA173" s="51" t="n"/>
      <c r="AB173" s="51" t="n"/>
      <c r="AC173" s="51" t="n"/>
      <c r="AD173" s="51" t="n"/>
      <c r="AE173" s="51" t="n"/>
      <c r="AF173" s="51" t="n"/>
      <c r="AG173" s="51" t="n"/>
      <c r="AH173" s="51" t="n"/>
      <c r="AI173" s="51" t="n"/>
      <c r="AJ173" s="51" t="n"/>
      <c r="AK173" s="51" t="n"/>
      <c r="AL173" s="51" t="n"/>
      <c r="AM173" s="51" t="n"/>
      <c r="AN173" s="51" t="n"/>
      <c r="AO173" s="51" t="n"/>
      <c r="AP173" s="51" t="n"/>
      <c r="AQ173" s="51" t="n"/>
      <c r="AR173" s="51" t="n"/>
      <c r="AS173" s="51" t="n"/>
      <c r="AT173" s="51" t="n"/>
      <c r="AU173" s="51" t="n"/>
      <c r="AV173" s="51" t="n"/>
      <c r="AW173" s="51" t="n"/>
      <c r="AX173" s="51" t="n"/>
      <c r="AY173" s="51" t="n"/>
      <c r="AZ173" s="51" t="n"/>
      <c r="BA173" s="51" t="n"/>
      <c r="BB173" s="51" t="n"/>
      <c r="BC173" s="51" t="n"/>
      <c r="BD173" s="51" t="n"/>
      <c r="BE173" s="51" t="n"/>
      <c r="BF173" s="51" t="n"/>
      <c r="BG173" s="51" t="n"/>
      <c r="BH173" s="51" t="n"/>
      <c r="BI173" s="51" t="n"/>
      <c r="BJ173" s="51" t="n"/>
      <c r="BK173" s="51" t="n"/>
      <c r="BL173" s="51" t="n"/>
      <c r="BM173" s="51" t="n"/>
    </row>
    <row r="174">
      <c r="A174" s="47">
        <f>IF(Mitarbeiter!B174="","",Mitarbeiter!A174)</f>
        <v/>
      </c>
      <c r="B174" s="48">
        <f>IF(Mitarbeiter!B174="","",Mitarbeiter!B174)</f>
        <v/>
      </c>
      <c r="C174" s="37">
        <f>IF(Mitarbeiter!B174="","",N(INDEX($F174:$BM174,1,(Einstellungen!$C$3-2026)*12+1))+N(INDEX($F174:$BM174,1,(Einstellungen!$C$3-2026)*12+2))+N(INDEX($F174:$BM174,1,(Einstellungen!$C$3-2026)*12+3))+N(INDEX($F174:$BM174,1,(Einstellungen!$C$3-2026)*12+4))+N(INDEX($F174:$BM174,1,(Einstellungen!$C$3-2026)*12+5))+N(INDEX($F174:$BM174,1,(Einstellungen!$C$3-2026)*12+6))+N(INDEX($F174:$BM174,1,(Einstellungen!$C$3-2026)*12+7))+N(INDEX($F174:$BM174,1,(Einstellungen!$C$3-2026)*12+8))+N(INDEX($F174:$BM174,1,(Einstellungen!$C$3-2026)*12+9))+N(INDEX($F174:$BM174,1,(Einstellungen!$C$3-2026)*12+10))+N(INDEX($F174:$BM174,1,(Einstellungen!$C$3-2026)*12+11))+N(INDEX($F174:$BM174,1,(Einstellungen!$C$3-2026)*12+12)))</f>
        <v/>
      </c>
      <c r="D174" s="37">
        <f>IF(Mitarbeiter!B174="","",SUM(F174:BM174))</f>
        <v/>
      </c>
      <c r="F174" s="51" t="n"/>
      <c r="G174" s="51" t="n"/>
      <c r="H174" s="51" t="n"/>
      <c r="I174" s="51" t="n"/>
      <c r="J174" s="51" t="n"/>
      <c r="K174" s="51" t="n"/>
      <c r="L174" s="51" t="n"/>
      <c r="M174" s="51" t="n"/>
      <c r="N174" s="51" t="n"/>
      <c r="O174" s="51" t="n"/>
      <c r="P174" s="51" t="n"/>
      <c r="Q174" s="51" t="n"/>
      <c r="R174" s="51" t="n"/>
      <c r="S174" s="51" t="n"/>
      <c r="T174" s="51" t="n"/>
      <c r="U174" s="51" t="n"/>
      <c r="V174" s="51" t="n"/>
      <c r="W174" s="51" t="n"/>
      <c r="X174" s="51" t="n"/>
      <c r="Y174" s="51" t="n"/>
      <c r="Z174" s="51" t="n"/>
      <c r="AA174" s="51" t="n"/>
      <c r="AB174" s="51" t="n"/>
      <c r="AC174" s="51" t="n"/>
      <c r="AD174" s="51" t="n"/>
      <c r="AE174" s="51" t="n"/>
      <c r="AF174" s="51" t="n"/>
      <c r="AG174" s="51" t="n"/>
      <c r="AH174" s="51" t="n"/>
      <c r="AI174" s="51" t="n"/>
      <c r="AJ174" s="51" t="n"/>
      <c r="AK174" s="51" t="n"/>
      <c r="AL174" s="51" t="n"/>
      <c r="AM174" s="51" t="n"/>
      <c r="AN174" s="51" t="n"/>
      <c r="AO174" s="51" t="n"/>
      <c r="AP174" s="51" t="n"/>
      <c r="AQ174" s="51" t="n"/>
      <c r="AR174" s="51" t="n"/>
      <c r="AS174" s="51" t="n"/>
      <c r="AT174" s="51" t="n"/>
      <c r="AU174" s="51" t="n"/>
      <c r="AV174" s="51" t="n"/>
      <c r="AW174" s="51" t="n"/>
      <c r="AX174" s="51" t="n"/>
      <c r="AY174" s="51" t="n"/>
      <c r="AZ174" s="51" t="n"/>
      <c r="BA174" s="51" t="n"/>
      <c r="BB174" s="51" t="n"/>
      <c r="BC174" s="51" t="n"/>
      <c r="BD174" s="51" t="n"/>
      <c r="BE174" s="51" t="n"/>
      <c r="BF174" s="51" t="n"/>
      <c r="BG174" s="51" t="n"/>
      <c r="BH174" s="51" t="n"/>
      <c r="BI174" s="51" t="n"/>
      <c r="BJ174" s="51" t="n"/>
      <c r="BK174" s="51" t="n"/>
      <c r="BL174" s="51" t="n"/>
      <c r="BM174" s="51" t="n"/>
    </row>
    <row r="175">
      <c r="A175" s="47">
        <f>IF(Mitarbeiter!B175="","",Mitarbeiter!A175)</f>
        <v/>
      </c>
      <c r="B175" s="48">
        <f>IF(Mitarbeiter!B175="","",Mitarbeiter!B175)</f>
        <v/>
      </c>
      <c r="C175" s="37">
        <f>IF(Mitarbeiter!B175="","",N(INDEX($F175:$BM175,1,(Einstellungen!$C$3-2026)*12+1))+N(INDEX($F175:$BM175,1,(Einstellungen!$C$3-2026)*12+2))+N(INDEX($F175:$BM175,1,(Einstellungen!$C$3-2026)*12+3))+N(INDEX($F175:$BM175,1,(Einstellungen!$C$3-2026)*12+4))+N(INDEX($F175:$BM175,1,(Einstellungen!$C$3-2026)*12+5))+N(INDEX($F175:$BM175,1,(Einstellungen!$C$3-2026)*12+6))+N(INDEX($F175:$BM175,1,(Einstellungen!$C$3-2026)*12+7))+N(INDEX($F175:$BM175,1,(Einstellungen!$C$3-2026)*12+8))+N(INDEX($F175:$BM175,1,(Einstellungen!$C$3-2026)*12+9))+N(INDEX($F175:$BM175,1,(Einstellungen!$C$3-2026)*12+10))+N(INDEX($F175:$BM175,1,(Einstellungen!$C$3-2026)*12+11))+N(INDEX($F175:$BM175,1,(Einstellungen!$C$3-2026)*12+12)))</f>
        <v/>
      </c>
      <c r="D175" s="37">
        <f>IF(Mitarbeiter!B175="","",SUM(F175:BM175))</f>
        <v/>
      </c>
      <c r="F175" s="51" t="n"/>
      <c r="G175" s="51" t="n"/>
      <c r="H175" s="51" t="n"/>
      <c r="I175" s="51" t="n"/>
      <c r="J175" s="51" t="n"/>
      <c r="K175" s="51" t="n"/>
      <c r="L175" s="51" t="n"/>
      <c r="M175" s="51" t="n"/>
      <c r="N175" s="51" t="n"/>
      <c r="O175" s="51" t="n"/>
      <c r="P175" s="51" t="n"/>
      <c r="Q175" s="51" t="n"/>
      <c r="R175" s="51" t="n"/>
      <c r="S175" s="51" t="n"/>
      <c r="T175" s="51" t="n"/>
      <c r="U175" s="51" t="n"/>
      <c r="V175" s="51" t="n"/>
      <c r="W175" s="51" t="n"/>
      <c r="X175" s="51" t="n"/>
      <c r="Y175" s="51" t="n"/>
      <c r="Z175" s="51" t="n"/>
      <c r="AA175" s="51" t="n"/>
      <c r="AB175" s="51" t="n"/>
      <c r="AC175" s="51" t="n"/>
      <c r="AD175" s="51" t="n"/>
      <c r="AE175" s="51" t="n"/>
      <c r="AF175" s="51" t="n"/>
      <c r="AG175" s="51" t="n"/>
      <c r="AH175" s="51" t="n"/>
      <c r="AI175" s="51" t="n"/>
      <c r="AJ175" s="51" t="n"/>
      <c r="AK175" s="51" t="n"/>
      <c r="AL175" s="51" t="n"/>
      <c r="AM175" s="51" t="n"/>
      <c r="AN175" s="51" t="n"/>
      <c r="AO175" s="51" t="n"/>
      <c r="AP175" s="51" t="n"/>
      <c r="AQ175" s="51" t="n"/>
      <c r="AR175" s="51" t="n"/>
      <c r="AS175" s="51" t="n"/>
      <c r="AT175" s="51" t="n"/>
      <c r="AU175" s="51" t="n"/>
      <c r="AV175" s="51" t="n"/>
      <c r="AW175" s="51" t="n"/>
      <c r="AX175" s="51" t="n"/>
      <c r="AY175" s="51" t="n"/>
      <c r="AZ175" s="51" t="n"/>
      <c r="BA175" s="51" t="n"/>
      <c r="BB175" s="51" t="n"/>
      <c r="BC175" s="51" t="n"/>
      <c r="BD175" s="51" t="n"/>
      <c r="BE175" s="51" t="n"/>
      <c r="BF175" s="51" t="n"/>
      <c r="BG175" s="51" t="n"/>
      <c r="BH175" s="51" t="n"/>
      <c r="BI175" s="51" t="n"/>
      <c r="BJ175" s="51" t="n"/>
      <c r="BK175" s="51" t="n"/>
      <c r="BL175" s="51" t="n"/>
      <c r="BM175" s="51" t="n"/>
    </row>
    <row r="176">
      <c r="A176" s="47">
        <f>IF(Mitarbeiter!B176="","",Mitarbeiter!A176)</f>
        <v/>
      </c>
      <c r="B176" s="48">
        <f>IF(Mitarbeiter!B176="","",Mitarbeiter!B176)</f>
        <v/>
      </c>
      <c r="C176" s="37">
        <f>IF(Mitarbeiter!B176="","",N(INDEX($F176:$BM176,1,(Einstellungen!$C$3-2026)*12+1))+N(INDEX($F176:$BM176,1,(Einstellungen!$C$3-2026)*12+2))+N(INDEX($F176:$BM176,1,(Einstellungen!$C$3-2026)*12+3))+N(INDEX($F176:$BM176,1,(Einstellungen!$C$3-2026)*12+4))+N(INDEX($F176:$BM176,1,(Einstellungen!$C$3-2026)*12+5))+N(INDEX($F176:$BM176,1,(Einstellungen!$C$3-2026)*12+6))+N(INDEX($F176:$BM176,1,(Einstellungen!$C$3-2026)*12+7))+N(INDEX($F176:$BM176,1,(Einstellungen!$C$3-2026)*12+8))+N(INDEX($F176:$BM176,1,(Einstellungen!$C$3-2026)*12+9))+N(INDEX($F176:$BM176,1,(Einstellungen!$C$3-2026)*12+10))+N(INDEX($F176:$BM176,1,(Einstellungen!$C$3-2026)*12+11))+N(INDEX($F176:$BM176,1,(Einstellungen!$C$3-2026)*12+12)))</f>
        <v/>
      </c>
      <c r="D176" s="37">
        <f>IF(Mitarbeiter!B176="","",SUM(F176:BM176))</f>
        <v/>
      </c>
      <c r="F176" s="51" t="n"/>
      <c r="G176" s="51" t="n"/>
      <c r="H176" s="51" t="n"/>
      <c r="I176" s="51" t="n"/>
      <c r="J176" s="51" t="n"/>
      <c r="K176" s="51" t="n"/>
      <c r="L176" s="51" t="n"/>
      <c r="M176" s="51" t="n"/>
      <c r="N176" s="51" t="n"/>
      <c r="O176" s="51" t="n"/>
      <c r="P176" s="51" t="n"/>
      <c r="Q176" s="51" t="n"/>
      <c r="R176" s="51" t="n"/>
      <c r="S176" s="51" t="n"/>
      <c r="T176" s="51" t="n"/>
      <c r="U176" s="51" t="n"/>
      <c r="V176" s="51" t="n"/>
      <c r="W176" s="51" t="n"/>
      <c r="X176" s="51" t="n"/>
      <c r="Y176" s="51" t="n"/>
      <c r="Z176" s="51" t="n"/>
      <c r="AA176" s="51" t="n"/>
      <c r="AB176" s="51" t="n"/>
      <c r="AC176" s="51" t="n"/>
      <c r="AD176" s="51" t="n"/>
      <c r="AE176" s="51" t="n"/>
      <c r="AF176" s="51" t="n"/>
      <c r="AG176" s="51" t="n"/>
      <c r="AH176" s="51" t="n"/>
      <c r="AI176" s="51" t="n"/>
      <c r="AJ176" s="51" t="n"/>
      <c r="AK176" s="51" t="n"/>
      <c r="AL176" s="51" t="n"/>
      <c r="AM176" s="51" t="n"/>
      <c r="AN176" s="51" t="n"/>
      <c r="AO176" s="51" t="n"/>
      <c r="AP176" s="51" t="n"/>
      <c r="AQ176" s="51" t="n"/>
      <c r="AR176" s="51" t="n"/>
      <c r="AS176" s="51" t="n"/>
      <c r="AT176" s="51" t="n"/>
      <c r="AU176" s="51" t="n"/>
      <c r="AV176" s="51" t="n"/>
      <c r="AW176" s="51" t="n"/>
      <c r="AX176" s="51" t="n"/>
      <c r="AY176" s="51" t="n"/>
      <c r="AZ176" s="51" t="n"/>
      <c r="BA176" s="51" t="n"/>
      <c r="BB176" s="51" t="n"/>
      <c r="BC176" s="51" t="n"/>
      <c r="BD176" s="51" t="n"/>
      <c r="BE176" s="51" t="n"/>
      <c r="BF176" s="51" t="n"/>
      <c r="BG176" s="51" t="n"/>
      <c r="BH176" s="51" t="n"/>
      <c r="BI176" s="51" t="n"/>
      <c r="BJ176" s="51" t="n"/>
      <c r="BK176" s="51" t="n"/>
      <c r="BL176" s="51" t="n"/>
      <c r="BM176" s="51" t="n"/>
    </row>
    <row r="177">
      <c r="A177" s="47">
        <f>IF(Mitarbeiter!B177="","",Mitarbeiter!A177)</f>
        <v/>
      </c>
      <c r="B177" s="48">
        <f>IF(Mitarbeiter!B177="","",Mitarbeiter!B177)</f>
        <v/>
      </c>
      <c r="C177" s="37">
        <f>IF(Mitarbeiter!B177="","",N(INDEX($F177:$BM177,1,(Einstellungen!$C$3-2026)*12+1))+N(INDEX($F177:$BM177,1,(Einstellungen!$C$3-2026)*12+2))+N(INDEX($F177:$BM177,1,(Einstellungen!$C$3-2026)*12+3))+N(INDEX($F177:$BM177,1,(Einstellungen!$C$3-2026)*12+4))+N(INDEX($F177:$BM177,1,(Einstellungen!$C$3-2026)*12+5))+N(INDEX($F177:$BM177,1,(Einstellungen!$C$3-2026)*12+6))+N(INDEX($F177:$BM177,1,(Einstellungen!$C$3-2026)*12+7))+N(INDEX($F177:$BM177,1,(Einstellungen!$C$3-2026)*12+8))+N(INDEX($F177:$BM177,1,(Einstellungen!$C$3-2026)*12+9))+N(INDEX($F177:$BM177,1,(Einstellungen!$C$3-2026)*12+10))+N(INDEX($F177:$BM177,1,(Einstellungen!$C$3-2026)*12+11))+N(INDEX($F177:$BM177,1,(Einstellungen!$C$3-2026)*12+12)))</f>
        <v/>
      </c>
      <c r="D177" s="37">
        <f>IF(Mitarbeiter!B177="","",SUM(F177:BM177))</f>
        <v/>
      </c>
      <c r="F177" s="51" t="n"/>
      <c r="G177" s="51" t="n"/>
      <c r="H177" s="51" t="n"/>
      <c r="I177" s="51" t="n"/>
      <c r="J177" s="51" t="n"/>
      <c r="K177" s="51" t="n"/>
      <c r="L177" s="51" t="n"/>
      <c r="M177" s="51" t="n"/>
      <c r="N177" s="51" t="n"/>
      <c r="O177" s="51" t="n"/>
      <c r="P177" s="51" t="n"/>
      <c r="Q177" s="51" t="n"/>
      <c r="R177" s="51" t="n"/>
      <c r="S177" s="51" t="n"/>
      <c r="T177" s="51" t="n"/>
      <c r="U177" s="51" t="n"/>
      <c r="V177" s="51" t="n"/>
      <c r="W177" s="51" t="n"/>
      <c r="X177" s="51" t="n"/>
      <c r="Y177" s="51" t="n"/>
      <c r="Z177" s="51" t="n"/>
      <c r="AA177" s="51" t="n"/>
      <c r="AB177" s="51" t="n"/>
      <c r="AC177" s="51" t="n"/>
      <c r="AD177" s="51" t="n"/>
      <c r="AE177" s="51" t="n"/>
      <c r="AF177" s="51" t="n"/>
      <c r="AG177" s="51" t="n"/>
      <c r="AH177" s="51" t="n"/>
      <c r="AI177" s="51" t="n"/>
      <c r="AJ177" s="51" t="n"/>
      <c r="AK177" s="51" t="n"/>
      <c r="AL177" s="51" t="n"/>
      <c r="AM177" s="51" t="n"/>
      <c r="AN177" s="51" t="n"/>
      <c r="AO177" s="51" t="n"/>
      <c r="AP177" s="51" t="n"/>
      <c r="AQ177" s="51" t="n"/>
      <c r="AR177" s="51" t="n"/>
      <c r="AS177" s="51" t="n"/>
      <c r="AT177" s="51" t="n"/>
      <c r="AU177" s="51" t="n"/>
      <c r="AV177" s="51" t="n"/>
      <c r="AW177" s="51" t="n"/>
      <c r="AX177" s="51" t="n"/>
      <c r="AY177" s="51" t="n"/>
      <c r="AZ177" s="51" t="n"/>
      <c r="BA177" s="51" t="n"/>
      <c r="BB177" s="51" t="n"/>
      <c r="BC177" s="51" t="n"/>
      <c r="BD177" s="51" t="n"/>
      <c r="BE177" s="51" t="n"/>
      <c r="BF177" s="51" t="n"/>
      <c r="BG177" s="51" t="n"/>
      <c r="BH177" s="51" t="n"/>
      <c r="BI177" s="51" t="n"/>
      <c r="BJ177" s="51" t="n"/>
      <c r="BK177" s="51" t="n"/>
      <c r="BL177" s="51" t="n"/>
      <c r="BM177" s="51" t="n"/>
    </row>
    <row r="178">
      <c r="A178" s="47">
        <f>IF(Mitarbeiter!B178="","",Mitarbeiter!A178)</f>
        <v/>
      </c>
      <c r="B178" s="48">
        <f>IF(Mitarbeiter!B178="","",Mitarbeiter!B178)</f>
        <v/>
      </c>
      <c r="C178" s="37">
        <f>IF(Mitarbeiter!B178="","",N(INDEX($F178:$BM178,1,(Einstellungen!$C$3-2026)*12+1))+N(INDEX($F178:$BM178,1,(Einstellungen!$C$3-2026)*12+2))+N(INDEX($F178:$BM178,1,(Einstellungen!$C$3-2026)*12+3))+N(INDEX($F178:$BM178,1,(Einstellungen!$C$3-2026)*12+4))+N(INDEX($F178:$BM178,1,(Einstellungen!$C$3-2026)*12+5))+N(INDEX($F178:$BM178,1,(Einstellungen!$C$3-2026)*12+6))+N(INDEX($F178:$BM178,1,(Einstellungen!$C$3-2026)*12+7))+N(INDEX($F178:$BM178,1,(Einstellungen!$C$3-2026)*12+8))+N(INDEX($F178:$BM178,1,(Einstellungen!$C$3-2026)*12+9))+N(INDEX($F178:$BM178,1,(Einstellungen!$C$3-2026)*12+10))+N(INDEX($F178:$BM178,1,(Einstellungen!$C$3-2026)*12+11))+N(INDEX($F178:$BM178,1,(Einstellungen!$C$3-2026)*12+12)))</f>
        <v/>
      </c>
      <c r="D178" s="37">
        <f>IF(Mitarbeiter!B178="","",SUM(F178:BM178))</f>
        <v/>
      </c>
      <c r="F178" s="51" t="n"/>
      <c r="G178" s="51" t="n"/>
      <c r="H178" s="51" t="n"/>
      <c r="I178" s="51" t="n"/>
      <c r="J178" s="51" t="n"/>
      <c r="K178" s="51" t="n"/>
      <c r="L178" s="51" t="n"/>
      <c r="M178" s="51" t="n"/>
      <c r="N178" s="51" t="n"/>
      <c r="O178" s="51" t="n"/>
      <c r="P178" s="51" t="n"/>
      <c r="Q178" s="51" t="n"/>
      <c r="R178" s="51" t="n"/>
      <c r="S178" s="51" t="n"/>
      <c r="T178" s="51" t="n"/>
      <c r="U178" s="51" t="n"/>
      <c r="V178" s="51" t="n"/>
      <c r="W178" s="51" t="n"/>
      <c r="X178" s="51" t="n"/>
      <c r="Y178" s="51" t="n"/>
      <c r="Z178" s="51" t="n"/>
      <c r="AA178" s="51" t="n"/>
      <c r="AB178" s="51" t="n"/>
      <c r="AC178" s="51" t="n"/>
      <c r="AD178" s="51" t="n"/>
      <c r="AE178" s="51" t="n"/>
      <c r="AF178" s="51" t="n"/>
      <c r="AG178" s="51" t="n"/>
      <c r="AH178" s="51" t="n"/>
      <c r="AI178" s="51" t="n"/>
      <c r="AJ178" s="51" t="n"/>
      <c r="AK178" s="51" t="n"/>
      <c r="AL178" s="51" t="n"/>
      <c r="AM178" s="51" t="n"/>
      <c r="AN178" s="51" t="n"/>
      <c r="AO178" s="51" t="n"/>
      <c r="AP178" s="51" t="n"/>
      <c r="AQ178" s="51" t="n"/>
      <c r="AR178" s="51" t="n"/>
      <c r="AS178" s="51" t="n"/>
      <c r="AT178" s="51" t="n"/>
      <c r="AU178" s="51" t="n"/>
      <c r="AV178" s="51" t="n"/>
      <c r="AW178" s="51" t="n"/>
      <c r="AX178" s="51" t="n"/>
      <c r="AY178" s="51" t="n"/>
      <c r="AZ178" s="51" t="n"/>
      <c r="BA178" s="51" t="n"/>
      <c r="BB178" s="51" t="n"/>
      <c r="BC178" s="51" t="n"/>
      <c r="BD178" s="51" t="n"/>
      <c r="BE178" s="51" t="n"/>
      <c r="BF178" s="51" t="n"/>
      <c r="BG178" s="51" t="n"/>
      <c r="BH178" s="51" t="n"/>
      <c r="BI178" s="51" t="n"/>
      <c r="BJ178" s="51" t="n"/>
      <c r="BK178" s="51" t="n"/>
      <c r="BL178" s="51" t="n"/>
      <c r="BM178" s="51" t="n"/>
    </row>
    <row r="179">
      <c r="A179" s="47">
        <f>IF(Mitarbeiter!B179="","",Mitarbeiter!A179)</f>
        <v/>
      </c>
      <c r="B179" s="48">
        <f>IF(Mitarbeiter!B179="","",Mitarbeiter!B179)</f>
        <v/>
      </c>
      <c r="C179" s="37">
        <f>IF(Mitarbeiter!B179="","",N(INDEX($F179:$BM179,1,(Einstellungen!$C$3-2026)*12+1))+N(INDEX($F179:$BM179,1,(Einstellungen!$C$3-2026)*12+2))+N(INDEX($F179:$BM179,1,(Einstellungen!$C$3-2026)*12+3))+N(INDEX($F179:$BM179,1,(Einstellungen!$C$3-2026)*12+4))+N(INDEX($F179:$BM179,1,(Einstellungen!$C$3-2026)*12+5))+N(INDEX($F179:$BM179,1,(Einstellungen!$C$3-2026)*12+6))+N(INDEX($F179:$BM179,1,(Einstellungen!$C$3-2026)*12+7))+N(INDEX($F179:$BM179,1,(Einstellungen!$C$3-2026)*12+8))+N(INDEX($F179:$BM179,1,(Einstellungen!$C$3-2026)*12+9))+N(INDEX($F179:$BM179,1,(Einstellungen!$C$3-2026)*12+10))+N(INDEX($F179:$BM179,1,(Einstellungen!$C$3-2026)*12+11))+N(INDEX($F179:$BM179,1,(Einstellungen!$C$3-2026)*12+12)))</f>
        <v/>
      </c>
      <c r="D179" s="37">
        <f>IF(Mitarbeiter!B179="","",SUM(F179:BM179))</f>
        <v/>
      </c>
      <c r="F179" s="51" t="n"/>
      <c r="G179" s="51" t="n"/>
      <c r="H179" s="51" t="n"/>
      <c r="I179" s="51" t="n"/>
      <c r="J179" s="51" t="n"/>
      <c r="K179" s="51" t="n"/>
      <c r="L179" s="51" t="n"/>
      <c r="M179" s="51" t="n"/>
      <c r="N179" s="51" t="n"/>
      <c r="O179" s="51" t="n"/>
      <c r="P179" s="51" t="n"/>
      <c r="Q179" s="51" t="n"/>
      <c r="R179" s="51" t="n"/>
      <c r="S179" s="51" t="n"/>
      <c r="T179" s="51" t="n"/>
      <c r="U179" s="51" t="n"/>
      <c r="V179" s="51" t="n"/>
      <c r="W179" s="51" t="n"/>
      <c r="X179" s="51" t="n"/>
      <c r="Y179" s="51" t="n"/>
      <c r="Z179" s="51" t="n"/>
      <c r="AA179" s="51" t="n"/>
      <c r="AB179" s="51" t="n"/>
      <c r="AC179" s="51" t="n"/>
      <c r="AD179" s="51" t="n"/>
      <c r="AE179" s="51" t="n"/>
      <c r="AF179" s="51" t="n"/>
      <c r="AG179" s="51" t="n"/>
      <c r="AH179" s="51" t="n"/>
      <c r="AI179" s="51" t="n"/>
      <c r="AJ179" s="51" t="n"/>
      <c r="AK179" s="51" t="n"/>
      <c r="AL179" s="51" t="n"/>
      <c r="AM179" s="51" t="n"/>
      <c r="AN179" s="51" t="n"/>
      <c r="AO179" s="51" t="n"/>
      <c r="AP179" s="51" t="n"/>
      <c r="AQ179" s="51" t="n"/>
      <c r="AR179" s="51" t="n"/>
      <c r="AS179" s="51" t="n"/>
      <c r="AT179" s="51" t="n"/>
      <c r="AU179" s="51" t="n"/>
      <c r="AV179" s="51" t="n"/>
      <c r="AW179" s="51" t="n"/>
      <c r="AX179" s="51" t="n"/>
      <c r="AY179" s="51" t="n"/>
      <c r="AZ179" s="51" t="n"/>
      <c r="BA179" s="51" t="n"/>
      <c r="BB179" s="51" t="n"/>
      <c r="BC179" s="51" t="n"/>
      <c r="BD179" s="51" t="n"/>
      <c r="BE179" s="51" t="n"/>
      <c r="BF179" s="51" t="n"/>
      <c r="BG179" s="51" t="n"/>
      <c r="BH179" s="51" t="n"/>
      <c r="BI179" s="51" t="n"/>
      <c r="BJ179" s="51" t="n"/>
      <c r="BK179" s="51" t="n"/>
      <c r="BL179" s="51" t="n"/>
      <c r="BM179" s="51" t="n"/>
    </row>
    <row r="180">
      <c r="A180" s="47">
        <f>IF(Mitarbeiter!B180="","",Mitarbeiter!A180)</f>
        <v/>
      </c>
      <c r="B180" s="48">
        <f>IF(Mitarbeiter!B180="","",Mitarbeiter!B180)</f>
        <v/>
      </c>
      <c r="C180" s="37">
        <f>IF(Mitarbeiter!B180="","",N(INDEX($F180:$BM180,1,(Einstellungen!$C$3-2026)*12+1))+N(INDEX($F180:$BM180,1,(Einstellungen!$C$3-2026)*12+2))+N(INDEX($F180:$BM180,1,(Einstellungen!$C$3-2026)*12+3))+N(INDEX($F180:$BM180,1,(Einstellungen!$C$3-2026)*12+4))+N(INDEX($F180:$BM180,1,(Einstellungen!$C$3-2026)*12+5))+N(INDEX($F180:$BM180,1,(Einstellungen!$C$3-2026)*12+6))+N(INDEX($F180:$BM180,1,(Einstellungen!$C$3-2026)*12+7))+N(INDEX($F180:$BM180,1,(Einstellungen!$C$3-2026)*12+8))+N(INDEX($F180:$BM180,1,(Einstellungen!$C$3-2026)*12+9))+N(INDEX($F180:$BM180,1,(Einstellungen!$C$3-2026)*12+10))+N(INDEX($F180:$BM180,1,(Einstellungen!$C$3-2026)*12+11))+N(INDEX($F180:$BM180,1,(Einstellungen!$C$3-2026)*12+12)))</f>
        <v/>
      </c>
      <c r="D180" s="37">
        <f>IF(Mitarbeiter!B180="","",SUM(F180:BM180))</f>
        <v/>
      </c>
      <c r="F180" s="51" t="n"/>
      <c r="G180" s="51" t="n"/>
      <c r="H180" s="51" t="n"/>
      <c r="I180" s="51" t="n"/>
      <c r="J180" s="51" t="n"/>
      <c r="K180" s="51" t="n"/>
      <c r="L180" s="51" t="n"/>
      <c r="M180" s="51" t="n"/>
      <c r="N180" s="51" t="n"/>
      <c r="O180" s="51" t="n"/>
      <c r="P180" s="51" t="n"/>
      <c r="Q180" s="51" t="n"/>
      <c r="R180" s="51" t="n"/>
      <c r="S180" s="51" t="n"/>
      <c r="T180" s="51" t="n"/>
      <c r="U180" s="51" t="n"/>
      <c r="V180" s="51" t="n"/>
      <c r="W180" s="51" t="n"/>
      <c r="X180" s="51" t="n"/>
      <c r="Y180" s="51" t="n"/>
      <c r="Z180" s="51" t="n"/>
      <c r="AA180" s="51" t="n"/>
      <c r="AB180" s="51" t="n"/>
      <c r="AC180" s="51" t="n"/>
      <c r="AD180" s="51" t="n"/>
      <c r="AE180" s="51" t="n"/>
      <c r="AF180" s="51" t="n"/>
      <c r="AG180" s="51" t="n"/>
      <c r="AH180" s="51" t="n"/>
      <c r="AI180" s="51" t="n"/>
      <c r="AJ180" s="51" t="n"/>
      <c r="AK180" s="51" t="n"/>
      <c r="AL180" s="51" t="n"/>
      <c r="AM180" s="51" t="n"/>
      <c r="AN180" s="51" t="n"/>
      <c r="AO180" s="51" t="n"/>
      <c r="AP180" s="51" t="n"/>
      <c r="AQ180" s="51" t="n"/>
      <c r="AR180" s="51" t="n"/>
      <c r="AS180" s="51" t="n"/>
      <c r="AT180" s="51" t="n"/>
      <c r="AU180" s="51" t="n"/>
      <c r="AV180" s="51" t="n"/>
      <c r="AW180" s="51" t="n"/>
      <c r="AX180" s="51" t="n"/>
      <c r="AY180" s="51" t="n"/>
      <c r="AZ180" s="51" t="n"/>
      <c r="BA180" s="51" t="n"/>
      <c r="BB180" s="51" t="n"/>
      <c r="BC180" s="51" t="n"/>
      <c r="BD180" s="51" t="n"/>
      <c r="BE180" s="51" t="n"/>
      <c r="BF180" s="51" t="n"/>
      <c r="BG180" s="51" t="n"/>
      <c r="BH180" s="51" t="n"/>
      <c r="BI180" s="51" t="n"/>
      <c r="BJ180" s="51" t="n"/>
      <c r="BK180" s="51" t="n"/>
      <c r="BL180" s="51" t="n"/>
      <c r="BM180" s="51" t="n"/>
    </row>
    <row r="181">
      <c r="A181" s="47">
        <f>IF(Mitarbeiter!B181="","",Mitarbeiter!A181)</f>
        <v/>
      </c>
      <c r="B181" s="48">
        <f>IF(Mitarbeiter!B181="","",Mitarbeiter!B181)</f>
        <v/>
      </c>
      <c r="C181" s="37">
        <f>IF(Mitarbeiter!B181="","",N(INDEX($F181:$BM181,1,(Einstellungen!$C$3-2026)*12+1))+N(INDEX($F181:$BM181,1,(Einstellungen!$C$3-2026)*12+2))+N(INDEX($F181:$BM181,1,(Einstellungen!$C$3-2026)*12+3))+N(INDEX($F181:$BM181,1,(Einstellungen!$C$3-2026)*12+4))+N(INDEX($F181:$BM181,1,(Einstellungen!$C$3-2026)*12+5))+N(INDEX($F181:$BM181,1,(Einstellungen!$C$3-2026)*12+6))+N(INDEX($F181:$BM181,1,(Einstellungen!$C$3-2026)*12+7))+N(INDEX($F181:$BM181,1,(Einstellungen!$C$3-2026)*12+8))+N(INDEX($F181:$BM181,1,(Einstellungen!$C$3-2026)*12+9))+N(INDEX($F181:$BM181,1,(Einstellungen!$C$3-2026)*12+10))+N(INDEX($F181:$BM181,1,(Einstellungen!$C$3-2026)*12+11))+N(INDEX($F181:$BM181,1,(Einstellungen!$C$3-2026)*12+12)))</f>
        <v/>
      </c>
      <c r="D181" s="37">
        <f>IF(Mitarbeiter!B181="","",SUM(F181:BM181))</f>
        <v/>
      </c>
      <c r="F181" s="51" t="n"/>
      <c r="G181" s="51" t="n"/>
      <c r="H181" s="51" t="n"/>
      <c r="I181" s="51" t="n"/>
      <c r="J181" s="51" t="n"/>
      <c r="K181" s="51" t="n"/>
      <c r="L181" s="51" t="n"/>
      <c r="M181" s="51" t="n"/>
      <c r="N181" s="51" t="n"/>
      <c r="O181" s="51" t="n"/>
      <c r="P181" s="51" t="n"/>
      <c r="Q181" s="51" t="n"/>
      <c r="R181" s="51" t="n"/>
      <c r="S181" s="51" t="n"/>
      <c r="T181" s="51" t="n"/>
      <c r="U181" s="51" t="n"/>
      <c r="V181" s="51" t="n"/>
      <c r="W181" s="51" t="n"/>
      <c r="X181" s="51" t="n"/>
      <c r="Y181" s="51" t="n"/>
      <c r="Z181" s="51" t="n"/>
      <c r="AA181" s="51" t="n"/>
      <c r="AB181" s="51" t="n"/>
      <c r="AC181" s="51" t="n"/>
      <c r="AD181" s="51" t="n"/>
      <c r="AE181" s="51" t="n"/>
      <c r="AF181" s="51" t="n"/>
      <c r="AG181" s="51" t="n"/>
      <c r="AH181" s="51" t="n"/>
      <c r="AI181" s="51" t="n"/>
      <c r="AJ181" s="51" t="n"/>
      <c r="AK181" s="51" t="n"/>
      <c r="AL181" s="51" t="n"/>
      <c r="AM181" s="51" t="n"/>
      <c r="AN181" s="51" t="n"/>
      <c r="AO181" s="51" t="n"/>
      <c r="AP181" s="51" t="n"/>
      <c r="AQ181" s="51" t="n"/>
      <c r="AR181" s="51" t="n"/>
      <c r="AS181" s="51" t="n"/>
      <c r="AT181" s="51" t="n"/>
      <c r="AU181" s="51" t="n"/>
      <c r="AV181" s="51" t="n"/>
      <c r="AW181" s="51" t="n"/>
      <c r="AX181" s="51" t="n"/>
      <c r="AY181" s="51" t="n"/>
      <c r="AZ181" s="51" t="n"/>
      <c r="BA181" s="51" t="n"/>
      <c r="BB181" s="51" t="n"/>
      <c r="BC181" s="51" t="n"/>
      <c r="BD181" s="51" t="n"/>
      <c r="BE181" s="51" t="n"/>
      <c r="BF181" s="51" t="n"/>
      <c r="BG181" s="51" t="n"/>
      <c r="BH181" s="51" t="n"/>
      <c r="BI181" s="51" t="n"/>
      <c r="BJ181" s="51" t="n"/>
      <c r="BK181" s="51" t="n"/>
      <c r="BL181" s="51" t="n"/>
      <c r="BM181" s="51" t="n"/>
    </row>
    <row r="182">
      <c r="A182" s="47">
        <f>IF(Mitarbeiter!B182="","",Mitarbeiter!A182)</f>
        <v/>
      </c>
      <c r="B182" s="48">
        <f>IF(Mitarbeiter!B182="","",Mitarbeiter!B182)</f>
        <v/>
      </c>
      <c r="C182" s="37">
        <f>IF(Mitarbeiter!B182="","",N(INDEX($F182:$BM182,1,(Einstellungen!$C$3-2026)*12+1))+N(INDEX($F182:$BM182,1,(Einstellungen!$C$3-2026)*12+2))+N(INDEX($F182:$BM182,1,(Einstellungen!$C$3-2026)*12+3))+N(INDEX($F182:$BM182,1,(Einstellungen!$C$3-2026)*12+4))+N(INDEX($F182:$BM182,1,(Einstellungen!$C$3-2026)*12+5))+N(INDEX($F182:$BM182,1,(Einstellungen!$C$3-2026)*12+6))+N(INDEX($F182:$BM182,1,(Einstellungen!$C$3-2026)*12+7))+N(INDEX($F182:$BM182,1,(Einstellungen!$C$3-2026)*12+8))+N(INDEX($F182:$BM182,1,(Einstellungen!$C$3-2026)*12+9))+N(INDEX($F182:$BM182,1,(Einstellungen!$C$3-2026)*12+10))+N(INDEX($F182:$BM182,1,(Einstellungen!$C$3-2026)*12+11))+N(INDEX($F182:$BM182,1,(Einstellungen!$C$3-2026)*12+12)))</f>
        <v/>
      </c>
      <c r="D182" s="37">
        <f>IF(Mitarbeiter!B182="","",SUM(F182:BM182))</f>
        <v/>
      </c>
      <c r="F182" s="51" t="n"/>
      <c r="G182" s="51" t="n"/>
      <c r="H182" s="51" t="n"/>
      <c r="I182" s="51" t="n"/>
      <c r="J182" s="51" t="n"/>
      <c r="K182" s="51" t="n"/>
      <c r="L182" s="51" t="n"/>
      <c r="M182" s="51" t="n"/>
      <c r="N182" s="51" t="n"/>
      <c r="O182" s="51" t="n"/>
      <c r="P182" s="51" t="n"/>
      <c r="Q182" s="51" t="n"/>
      <c r="R182" s="51" t="n"/>
      <c r="S182" s="51" t="n"/>
      <c r="T182" s="51" t="n"/>
      <c r="U182" s="51" t="n"/>
      <c r="V182" s="51" t="n"/>
      <c r="W182" s="51" t="n"/>
      <c r="X182" s="51" t="n"/>
      <c r="Y182" s="51" t="n"/>
      <c r="Z182" s="51" t="n"/>
      <c r="AA182" s="51" t="n"/>
      <c r="AB182" s="51" t="n"/>
      <c r="AC182" s="51" t="n"/>
      <c r="AD182" s="51" t="n"/>
      <c r="AE182" s="51" t="n"/>
      <c r="AF182" s="51" t="n"/>
      <c r="AG182" s="51" t="n"/>
      <c r="AH182" s="51" t="n"/>
      <c r="AI182" s="51" t="n"/>
      <c r="AJ182" s="51" t="n"/>
      <c r="AK182" s="51" t="n"/>
      <c r="AL182" s="51" t="n"/>
      <c r="AM182" s="51" t="n"/>
      <c r="AN182" s="51" t="n"/>
      <c r="AO182" s="51" t="n"/>
      <c r="AP182" s="51" t="n"/>
      <c r="AQ182" s="51" t="n"/>
      <c r="AR182" s="51" t="n"/>
      <c r="AS182" s="51" t="n"/>
      <c r="AT182" s="51" t="n"/>
      <c r="AU182" s="51" t="n"/>
      <c r="AV182" s="51" t="n"/>
      <c r="AW182" s="51" t="n"/>
      <c r="AX182" s="51" t="n"/>
      <c r="AY182" s="51" t="n"/>
      <c r="AZ182" s="51" t="n"/>
      <c r="BA182" s="51" t="n"/>
      <c r="BB182" s="51" t="n"/>
      <c r="BC182" s="51" t="n"/>
      <c r="BD182" s="51" t="n"/>
      <c r="BE182" s="51" t="n"/>
      <c r="BF182" s="51" t="n"/>
      <c r="BG182" s="51" t="n"/>
      <c r="BH182" s="51" t="n"/>
      <c r="BI182" s="51" t="n"/>
      <c r="BJ182" s="51" t="n"/>
      <c r="BK182" s="51" t="n"/>
      <c r="BL182" s="51" t="n"/>
      <c r="BM182" s="51" t="n"/>
    </row>
    <row r="183">
      <c r="A183" s="47">
        <f>IF(Mitarbeiter!B183="","",Mitarbeiter!A183)</f>
        <v/>
      </c>
      <c r="B183" s="48">
        <f>IF(Mitarbeiter!B183="","",Mitarbeiter!B183)</f>
        <v/>
      </c>
      <c r="C183" s="37">
        <f>IF(Mitarbeiter!B183="","",N(INDEX($F183:$BM183,1,(Einstellungen!$C$3-2026)*12+1))+N(INDEX($F183:$BM183,1,(Einstellungen!$C$3-2026)*12+2))+N(INDEX($F183:$BM183,1,(Einstellungen!$C$3-2026)*12+3))+N(INDEX($F183:$BM183,1,(Einstellungen!$C$3-2026)*12+4))+N(INDEX($F183:$BM183,1,(Einstellungen!$C$3-2026)*12+5))+N(INDEX($F183:$BM183,1,(Einstellungen!$C$3-2026)*12+6))+N(INDEX($F183:$BM183,1,(Einstellungen!$C$3-2026)*12+7))+N(INDEX($F183:$BM183,1,(Einstellungen!$C$3-2026)*12+8))+N(INDEX($F183:$BM183,1,(Einstellungen!$C$3-2026)*12+9))+N(INDEX($F183:$BM183,1,(Einstellungen!$C$3-2026)*12+10))+N(INDEX($F183:$BM183,1,(Einstellungen!$C$3-2026)*12+11))+N(INDEX($F183:$BM183,1,(Einstellungen!$C$3-2026)*12+12)))</f>
        <v/>
      </c>
      <c r="D183" s="37">
        <f>IF(Mitarbeiter!B183="","",SUM(F183:BM183))</f>
        <v/>
      </c>
      <c r="F183" s="51" t="n"/>
      <c r="G183" s="51" t="n"/>
      <c r="H183" s="51" t="n"/>
      <c r="I183" s="51" t="n"/>
      <c r="J183" s="51" t="n"/>
      <c r="K183" s="51" t="n"/>
      <c r="L183" s="51" t="n"/>
      <c r="M183" s="51" t="n"/>
      <c r="N183" s="51" t="n"/>
      <c r="O183" s="51" t="n"/>
      <c r="P183" s="51" t="n"/>
      <c r="Q183" s="51" t="n"/>
      <c r="R183" s="51" t="n"/>
      <c r="S183" s="51" t="n"/>
      <c r="T183" s="51" t="n"/>
      <c r="U183" s="51" t="n"/>
      <c r="V183" s="51" t="n"/>
      <c r="W183" s="51" t="n"/>
      <c r="X183" s="51" t="n"/>
      <c r="Y183" s="51" t="n"/>
      <c r="Z183" s="51" t="n"/>
      <c r="AA183" s="51" t="n"/>
      <c r="AB183" s="51" t="n"/>
      <c r="AC183" s="51" t="n"/>
      <c r="AD183" s="51" t="n"/>
      <c r="AE183" s="51" t="n"/>
      <c r="AF183" s="51" t="n"/>
      <c r="AG183" s="51" t="n"/>
      <c r="AH183" s="51" t="n"/>
      <c r="AI183" s="51" t="n"/>
      <c r="AJ183" s="51" t="n"/>
      <c r="AK183" s="51" t="n"/>
      <c r="AL183" s="51" t="n"/>
      <c r="AM183" s="51" t="n"/>
      <c r="AN183" s="51" t="n"/>
      <c r="AO183" s="51" t="n"/>
      <c r="AP183" s="51" t="n"/>
      <c r="AQ183" s="51" t="n"/>
      <c r="AR183" s="51" t="n"/>
      <c r="AS183" s="51" t="n"/>
      <c r="AT183" s="51" t="n"/>
      <c r="AU183" s="51" t="n"/>
      <c r="AV183" s="51" t="n"/>
      <c r="AW183" s="51" t="n"/>
      <c r="AX183" s="51" t="n"/>
      <c r="AY183" s="51" t="n"/>
      <c r="AZ183" s="51" t="n"/>
      <c r="BA183" s="51" t="n"/>
      <c r="BB183" s="51" t="n"/>
      <c r="BC183" s="51" t="n"/>
      <c r="BD183" s="51" t="n"/>
      <c r="BE183" s="51" t="n"/>
      <c r="BF183" s="51" t="n"/>
      <c r="BG183" s="51" t="n"/>
      <c r="BH183" s="51" t="n"/>
      <c r="BI183" s="51" t="n"/>
      <c r="BJ183" s="51" t="n"/>
      <c r="BK183" s="51" t="n"/>
      <c r="BL183" s="51" t="n"/>
      <c r="BM183" s="51" t="n"/>
    </row>
    <row r="184">
      <c r="A184" s="47">
        <f>IF(Mitarbeiter!B184="","",Mitarbeiter!A184)</f>
        <v/>
      </c>
      <c r="B184" s="48">
        <f>IF(Mitarbeiter!B184="","",Mitarbeiter!B184)</f>
        <v/>
      </c>
      <c r="C184" s="37">
        <f>IF(Mitarbeiter!B184="","",N(INDEX($F184:$BM184,1,(Einstellungen!$C$3-2026)*12+1))+N(INDEX($F184:$BM184,1,(Einstellungen!$C$3-2026)*12+2))+N(INDEX($F184:$BM184,1,(Einstellungen!$C$3-2026)*12+3))+N(INDEX($F184:$BM184,1,(Einstellungen!$C$3-2026)*12+4))+N(INDEX($F184:$BM184,1,(Einstellungen!$C$3-2026)*12+5))+N(INDEX($F184:$BM184,1,(Einstellungen!$C$3-2026)*12+6))+N(INDEX($F184:$BM184,1,(Einstellungen!$C$3-2026)*12+7))+N(INDEX($F184:$BM184,1,(Einstellungen!$C$3-2026)*12+8))+N(INDEX($F184:$BM184,1,(Einstellungen!$C$3-2026)*12+9))+N(INDEX($F184:$BM184,1,(Einstellungen!$C$3-2026)*12+10))+N(INDEX($F184:$BM184,1,(Einstellungen!$C$3-2026)*12+11))+N(INDEX($F184:$BM184,1,(Einstellungen!$C$3-2026)*12+12)))</f>
        <v/>
      </c>
      <c r="D184" s="37">
        <f>IF(Mitarbeiter!B184="","",SUM(F184:BM184))</f>
        <v/>
      </c>
      <c r="F184" s="51" t="n"/>
      <c r="G184" s="51" t="n"/>
      <c r="H184" s="51" t="n"/>
      <c r="I184" s="51" t="n"/>
      <c r="J184" s="51" t="n"/>
      <c r="K184" s="51" t="n"/>
      <c r="L184" s="51" t="n"/>
      <c r="M184" s="51" t="n"/>
      <c r="N184" s="51" t="n"/>
      <c r="O184" s="51" t="n"/>
      <c r="P184" s="51" t="n"/>
      <c r="Q184" s="51" t="n"/>
      <c r="R184" s="51" t="n"/>
      <c r="S184" s="51" t="n"/>
      <c r="T184" s="51" t="n"/>
      <c r="U184" s="51" t="n"/>
      <c r="V184" s="51" t="n"/>
      <c r="W184" s="51" t="n"/>
      <c r="X184" s="51" t="n"/>
      <c r="Y184" s="51" t="n"/>
      <c r="Z184" s="51" t="n"/>
      <c r="AA184" s="51" t="n"/>
      <c r="AB184" s="51" t="n"/>
      <c r="AC184" s="51" t="n"/>
      <c r="AD184" s="51" t="n"/>
      <c r="AE184" s="51" t="n"/>
      <c r="AF184" s="51" t="n"/>
      <c r="AG184" s="51" t="n"/>
      <c r="AH184" s="51" t="n"/>
      <c r="AI184" s="51" t="n"/>
      <c r="AJ184" s="51" t="n"/>
      <c r="AK184" s="51" t="n"/>
      <c r="AL184" s="51" t="n"/>
      <c r="AM184" s="51" t="n"/>
      <c r="AN184" s="51" t="n"/>
      <c r="AO184" s="51" t="n"/>
      <c r="AP184" s="51" t="n"/>
      <c r="AQ184" s="51" t="n"/>
      <c r="AR184" s="51" t="n"/>
      <c r="AS184" s="51" t="n"/>
      <c r="AT184" s="51" t="n"/>
      <c r="AU184" s="51" t="n"/>
      <c r="AV184" s="51" t="n"/>
      <c r="AW184" s="51" t="n"/>
      <c r="AX184" s="51" t="n"/>
      <c r="AY184" s="51" t="n"/>
      <c r="AZ184" s="51" t="n"/>
      <c r="BA184" s="51" t="n"/>
      <c r="BB184" s="51" t="n"/>
      <c r="BC184" s="51" t="n"/>
      <c r="BD184" s="51" t="n"/>
      <c r="BE184" s="51" t="n"/>
      <c r="BF184" s="51" t="n"/>
      <c r="BG184" s="51" t="n"/>
      <c r="BH184" s="51" t="n"/>
      <c r="BI184" s="51" t="n"/>
      <c r="BJ184" s="51" t="n"/>
      <c r="BK184" s="51" t="n"/>
      <c r="BL184" s="51" t="n"/>
      <c r="BM184" s="51" t="n"/>
    </row>
    <row r="185">
      <c r="A185" s="47">
        <f>IF(Mitarbeiter!B185="","",Mitarbeiter!A185)</f>
        <v/>
      </c>
      <c r="B185" s="48">
        <f>IF(Mitarbeiter!B185="","",Mitarbeiter!B185)</f>
        <v/>
      </c>
      <c r="C185" s="37">
        <f>IF(Mitarbeiter!B185="","",N(INDEX($F185:$BM185,1,(Einstellungen!$C$3-2026)*12+1))+N(INDEX($F185:$BM185,1,(Einstellungen!$C$3-2026)*12+2))+N(INDEX($F185:$BM185,1,(Einstellungen!$C$3-2026)*12+3))+N(INDEX($F185:$BM185,1,(Einstellungen!$C$3-2026)*12+4))+N(INDEX($F185:$BM185,1,(Einstellungen!$C$3-2026)*12+5))+N(INDEX($F185:$BM185,1,(Einstellungen!$C$3-2026)*12+6))+N(INDEX($F185:$BM185,1,(Einstellungen!$C$3-2026)*12+7))+N(INDEX($F185:$BM185,1,(Einstellungen!$C$3-2026)*12+8))+N(INDEX($F185:$BM185,1,(Einstellungen!$C$3-2026)*12+9))+N(INDEX($F185:$BM185,1,(Einstellungen!$C$3-2026)*12+10))+N(INDEX($F185:$BM185,1,(Einstellungen!$C$3-2026)*12+11))+N(INDEX($F185:$BM185,1,(Einstellungen!$C$3-2026)*12+12)))</f>
        <v/>
      </c>
      <c r="D185" s="37">
        <f>IF(Mitarbeiter!B185="","",SUM(F185:BM185))</f>
        <v/>
      </c>
      <c r="F185" s="51" t="n"/>
      <c r="G185" s="51" t="n"/>
      <c r="H185" s="51" t="n"/>
      <c r="I185" s="51" t="n"/>
      <c r="J185" s="51" t="n"/>
      <c r="K185" s="51" t="n"/>
      <c r="L185" s="51" t="n"/>
      <c r="M185" s="51" t="n"/>
      <c r="N185" s="51" t="n"/>
      <c r="O185" s="51" t="n"/>
      <c r="P185" s="51" t="n"/>
      <c r="Q185" s="51" t="n"/>
      <c r="R185" s="51" t="n"/>
      <c r="S185" s="51" t="n"/>
      <c r="T185" s="51" t="n"/>
      <c r="U185" s="51" t="n"/>
      <c r="V185" s="51" t="n"/>
      <c r="W185" s="51" t="n"/>
      <c r="X185" s="51" t="n"/>
      <c r="Y185" s="51" t="n"/>
      <c r="Z185" s="51" t="n"/>
      <c r="AA185" s="51" t="n"/>
      <c r="AB185" s="51" t="n"/>
      <c r="AC185" s="51" t="n"/>
      <c r="AD185" s="51" t="n"/>
      <c r="AE185" s="51" t="n"/>
      <c r="AF185" s="51" t="n"/>
      <c r="AG185" s="51" t="n"/>
      <c r="AH185" s="51" t="n"/>
      <c r="AI185" s="51" t="n"/>
      <c r="AJ185" s="51" t="n"/>
      <c r="AK185" s="51" t="n"/>
      <c r="AL185" s="51" t="n"/>
      <c r="AM185" s="51" t="n"/>
      <c r="AN185" s="51" t="n"/>
      <c r="AO185" s="51" t="n"/>
      <c r="AP185" s="51" t="n"/>
      <c r="AQ185" s="51" t="n"/>
      <c r="AR185" s="51" t="n"/>
      <c r="AS185" s="51" t="n"/>
      <c r="AT185" s="51" t="n"/>
      <c r="AU185" s="51" t="n"/>
      <c r="AV185" s="51" t="n"/>
      <c r="AW185" s="51" t="n"/>
      <c r="AX185" s="51" t="n"/>
      <c r="AY185" s="51" t="n"/>
      <c r="AZ185" s="51" t="n"/>
      <c r="BA185" s="51" t="n"/>
      <c r="BB185" s="51" t="n"/>
      <c r="BC185" s="51" t="n"/>
      <c r="BD185" s="51" t="n"/>
      <c r="BE185" s="51" t="n"/>
      <c r="BF185" s="51" t="n"/>
      <c r="BG185" s="51" t="n"/>
      <c r="BH185" s="51" t="n"/>
      <c r="BI185" s="51" t="n"/>
      <c r="BJ185" s="51" t="n"/>
      <c r="BK185" s="51" t="n"/>
      <c r="BL185" s="51" t="n"/>
      <c r="BM185" s="51" t="n"/>
    </row>
    <row r="186">
      <c r="A186" s="47">
        <f>IF(Mitarbeiter!B186="","",Mitarbeiter!A186)</f>
        <v/>
      </c>
      <c r="B186" s="48">
        <f>IF(Mitarbeiter!B186="","",Mitarbeiter!B186)</f>
        <v/>
      </c>
      <c r="C186" s="37">
        <f>IF(Mitarbeiter!B186="","",N(INDEX($F186:$BM186,1,(Einstellungen!$C$3-2026)*12+1))+N(INDEX($F186:$BM186,1,(Einstellungen!$C$3-2026)*12+2))+N(INDEX($F186:$BM186,1,(Einstellungen!$C$3-2026)*12+3))+N(INDEX($F186:$BM186,1,(Einstellungen!$C$3-2026)*12+4))+N(INDEX($F186:$BM186,1,(Einstellungen!$C$3-2026)*12+5))+N(INDEX($F186:$BM186,1,(Einstellungen!$C$3-2026)*12+6))+N(INDEX($F186:$BM186,1,(Einstellungen!$C$3-2026)*12+7))+N(INDEX($F186:$BM186,1,(Einstellungen!$C$3-2026)*12+8))+N(INDEX($F186:$BM186,1,(Einstellungen!$C$3-2026)*12+9))+N(INDEX($F186:$BM186,1,(Einstellungen!$C$3-2026)*12+10))+N(INDEX($F186:$BM186,1,(Einstellungen!$C$3-2026)*12+11))+N(INDEX($F186:$BM186,1,(Einstellungen!$C$3-2026)*12+12)))</f>
        <v/>
      </c>
      <c r="D186" s="37">
        <f>IF(Mitarbeiter!B186="","",SUM(F186:BM186))</f>
        <v/>
      </c>
      <c r="F186" s="51" t="n"/>
      <c r="G186" s="51" t="n"/>
      <c r="H186" s="51" t="n"/>
      <c r="I186" s="51" t="n"/>
      <c r="J186" s="51" t="n"/>
      <c r="K186" s="51" t="n"/>
      <c r="L186" s="51" t="n"/>
      <c r="M186" s="51" t="n"/>
      <c r="N186" s="51" t="n"/>
      <c r="O186" s="51" t="n"/>
      <c r="P186" s="51" t="n"/>
      <c r="Q186" s="51" t="n"/>
      <c r="R186" s="51" t="n"/>
      <c r="S186" s="51" t="n"/>
      <c r="T186" s="51" t="n"/>
      <c r="U186" s="51" t="n"/>
      <c r="V186" s="51" t="n"/>
      <c r="W186" s="51" t="n"/>
      <c r="X186" s="51" t="n"/>
      <c r="Y186" s="51" t="n"/>
      <c r="Z186" s="51" t="n"/>
      <c r="AA186" s="51" t="n"/>
      <c r="AB186" s="51" t="n"/>
      <c r="AC186" s="51" t="n"/>
      <c r="AD186" s="51" t="n"/>
      <c r="AE186" s="51" t="n"/>
      <c r="AF186" s="51" t="n"/>
      <c r="AG186" s="51" t="n"/>
      <c r="AH186" s="51" t="n"/>
      <c r="AI186" s="51" t="n"/>
      <c r="AJ186" s="51" t="n"/>
      <c r="AK186" s="51" t="n"/>
      <c r="AL186" s="51" t="n"/>
      <c r="AM186" s="51" t="n"/>
      <c r="AN186" s="51" t="n"/>
      <c r="AO186" s="51" t="n"/>
      <c r="AP186" s="51" t="n"/>
      <c r="AQ186" s="51" t="n"/>
      <c r="AR186" s="51" t="n"/>
      <c r="AS186" s="51" t="n"/>
      <c r="AT186" s="51" t="n"/>
      <c r="AU186" s="51" t="n"/>
      <c r="AV186" s="51" t="n"/>
      <c r="AW186" s="51" t="n"/>
      <c r="AX186" s="51" t="n"/>
      <c r="AY186" s="51" t="n"/>
      <c r="AZ186" s="51" t="n"/>
      <c r="BA186" s="51" t="n"/>
      <c r="BB186" s="51" t="n"/>
      <c r="BC186" s="51" t="n"/>
      <c r="BD186" s="51" t="n"/>
      <c r="BE186" s="51" t="n"/>
      <c r="BF186" s="51" t="n"/>
      <c r="BG186" s="51" t="n"/>
      <c r="BH186" s="51" t="n"/>
      <c r="BI186" s="51" t="n"/>
      <c r="BJ186" s="51" t="n"/>
      <c r="BK186" s="51" t="n"/>
      <c r="BL186" s="51" t="n"/>
      <c r="BM186" s="51" t="n"/>
    </row>
    <row r="187">
      <c r="A187" s="47">
        <f>IF(Mitarbeiter!B187="","",Mitarbeiter!A187)</f>
        <v/>
      </c>
      <c r="B187" s="48">
        <f>IF(Mitarbeiter!B187="","",Mitarbeiter!B187)</f>
        <v/>
      </c>
      <c r="C187" s="37">
        <f>IF(Mitarbeiter!B187="","",N(INDEX($F187:$BM187,1,(Einstellungen!$C$3-2026)*12+1))+N(INDEX($F187:$BM187,1,(Einstellungen!$C$3-2026)*12+2))+N(INDEX($F187:$BM187,1,(Einstellungen!$C$3-2026)*12+3))+N(INDEX($F187:$BM187,1,(Einstellungen!$C$3-2026)*12+4))+N(INDEX($F187:$BM187,1,(Einstellungen!$C$3-2026)*12+5))+N(INDEX($F187:$BM187,1,(Einstellungen!$C$3-2026)*12+6))+N(INDEX($F187:$BM187,1,(Einstellungen!$C$3-2026)*12+7))+N(INDEX($F187:$BM187,1,(Einstellungen!$C$3-2026)*12+8))+N(INDEX($F187:$BM187,1,(Einstellungen!$C$3-2026)*12+9))+N(INDEX($F187:$BM187,1,(Einstellungen!$C$3-2026)*12+10))+N(INDEX($F187:$BM187,1,(Einstellungen!$C$3-2026)*12+11))+N(INDEX($F187:$BM187,1,(Einstellungen!$C$3-2026)*12+12)))</f>
        <v/>
      </c>
      <c r="D187" s="37">
        <f>IF(Mitarbeiter!B187="","",SUM(F187:BM187))</f>
        <v/>
      </c>
      <c r="F187" s="51" t="n"/>
      <c r="G187" s="51" t="n"/>
      <c r="H187" s="51" t="n"/>
      <c r="I187" s="51" t="n"/>
      <c r="J187" s="51" t="n"/>
      <c r="K187" s="51" t="n"/>
      <c r="L187" s="51" t="n"/>
      <c r="M187" s="51" t="n"/>
      <c r="N187" s="51" t="n"/>
      <c r="O187" s="51" t="n"/>
      <c r="P187" s="51" t="n"/>
      <c r="Q187" s="51" t="n"/>
      <c r="R187" s="51" t="n"/>
      <c r="S187" s="51" t="n"/>
      <c r="T187" s="51" t="n"/>
      <c r="U187" s="51" t="n"/>
      <c r="V187" s="51" t="n"/>
      <c r="W187" s="51" t="n"/>
      <c r="X187" s="51" t="n"/>
      <c r="Y187" s="51" t="n"/>
      <c r="Z187" s="51" t="n"/>
      <c r="AA187" s="51" t="n"/>
      <c r="AB187" s="51" t="n"/>
      <c r="AC187" s="51" t="n"/>
      <c r="AD187" s="51" t="n"/>
      <c r="AE187" s="51" t="n"/>
      <c r="AF187" s="51" t="n"/>
      <c r="AG187" s="51" t="n"/>
      <c r="AH187" s="51" t="n"/>
      <c r="AI187" s="51" t="n"/>
      <c r="AJ187" s="51" t="n"/>
      <c r="AK187" s="51" t="n"/>
      <c r="AL187" s="51" t="n"/>
      <c r="AM187" s="51" t="n"/>
      <c r="AN187" s="51" t="n"/>
      <c r="AO187" s="51" t="n"/>
      <c r="AP187" s="51" t="n"/>
      <c r="AQ187" s="51" t="n"/>
      <c r="AR187" s="51" t="n"/>
      <c r="AS187" s="51" t="n"/>
      <c r="AT187" s="51" t="n"/>
      <c r="AU187" s="51" t="n"/>
      <c r="AV187" s="51" t="n"/>
      <c r="AW187" s="51" t="n"/>
      <c r="AX187" s="51" t="n"/>
      <c r="AY187" s="51" t="n"/>
      <c r="AZ187" s="51" t="n"/>
      <c r="BA187" s="51" t="n"/>
      <c r="BB187" s="51" t="n"/>
      <c r="BC187" s="51" t="n"/>
      <c r="BD187" s="51" t="n"/>
      <c r="BE187" s="51" t="n"/>
      <c r="BF187" s="51" t="n"/>
      <c r="BG187" s="51" t="n"/>
      <c r="BH187" s="51" t="n"/>
      <c r="BI187" s="51" t="n"/>
      <c r="BJ187" s="51" t="n"/>
      <c r="BK187" s="51" t="n"/>
      <c r="BL187" s="51" t="n"/>
      <c r="BM187" s="51" t="n"/>
    </row>
    <row r="188">
      <c r="A188" s="47">
        <f>IF(Mitarbeiter!B188="","",Mitarbeiter!A188)</f>
        <v/>
      </c>
      <c r="B188" s="48">
        <f>IF(Mitarbeiter!B188="","",Mitarbeiter!B188)</f>
        <v/>
      </c>
      <c r="C188" s="37">
        <f>IF(Mitarbeiter!B188="","",N(INDEX($F188:$BM188,1,(Einstellungen!$C$3-2026)*12+1))+N(INDEX($F188:$BM188,1,(Einstellungen!$C$3-2026)*12+2))+N(INDEX($F188:$BM188,1,(Einstellungen!$C$3-2026)*12+3))+N(INDEX($F188:$BM188,1,(Einstellungen!$C$3-2026)*12+4))+N(INDEX($F188:$BM188,1,(Einstellungen!$C$3-2026)*12+5))+N(INDEX($F188:$BM188,1,(Einstellungen!$C$3-2026)*12+6))+N(INDEX($F188:$BM188,1,(Einstellungen!$C$3-2026)*12+7))+N(INDEX($F188:$BM188,1,(Einstellungen!$C$3-2026)*12+8))+N(INDEX($F188:$BM188,1,(Einstellungen!$C$3-2026)*12+9))+N(INDEX($F188:$BM188,1,(Einstellungen!$C$3-2026)*12+10))+N(INDEX($F188:$BM188,1,(Einstellungen!$C$3-2026)*12+11))+N(INDEX($F188:$BM188,1,(Einstellungen!$C$3-2026)*12+12)))</f>
        <v/>
      </c>
      <c r="D188" s="37">
        <f>IF(Mitarbeiter!B188="","",SUM(F188:BM188))</f>
        <v/>
      </c>
      <c r="F188" s="51" t="n"/>
      <c r="G188" s="51" t="n"/>
      <c r="H188" s="51" t="n"/>
      <c r="I188" s="51" t="n"/>
      <c r="J188" s="51" t="n"/>
      <c r="K188" s="51" t="n"/>
      <c r="L188" s="51" t="n"/>
      <c r="M188" s="51" t="n"/>
      <c r="N188" s="51" t="n"/>
      <c r="O188" s="51" t="n"/>
      <c r="P188" s="51" t="n"/>
      <c r="Q188" s="51" t="n"/>
      <c r="R188" s="51" t="n"/>
      <c r="S188" s="51" t="n"/>
      <c r="T188" s="51" t="n"/>
      <c r="U188" s="51" t="n"/>
      <c r="V188" s="51" t="n"/>
      <c r="W188" s="51" t="n"/>
      <c r="X188" s="51" t="n"/>
      <c r="Y188" s="51" t="n"/>
      <c r="Z188" s="51" t="n"/>
      <c r="AA188" s="51" t="n"/>
      <c r="AB188" s="51" t="n"/>
      <c r="AC188" s="51" t="n"/>
      <c r="AD188" s="51" t="n"/>
      <c r="AE188" s="51" t="n"/>
      <c r="AF188" s="51" t="n"/>
      <c r="AG188" s="51" t="n"/>
      <c r="AH188" s="51" t="n"/>
      <c r="AI188" s="51" t="n"/>
      <c r="AJ188" s="51" t="n"/>
      <c r="AK188" s="51" t="n"/>
      <c r="AL188" s="51" t="n"/>
      <c r="AM188" s="51" t="n"/>
      <c r="AN188" s="51" t="n"/>
      <c r="AO188" s="51" t="n"/>
      <c r="AP188" s="51" t="n"/>
      <c r="AQ188" s="51" t="n"/>
      <c r="AR188" s="51" t="n"/>
      <c r="AS188" s="51" t="n"/>
      <c r="AT188" s="51" t="n"/>
      <c r="AU188" s="51" t="n"/>
      <c r="AV188" s="51" t="n"/>
      <c r="AW188" s="51" t="n"/>
      <c r="AX188" s="51" t="n"/>
      <c r="AY188" s="51" t="n"/>
      <c r="AZ188" s="51" t="n"/>
      <c r="BA188" s="51" t="n"/>
      <c r="BB188" s="51" t="n"/>
      <c r="BC188" s="51" t="n"/>
      <c r="BD188" s="51" t="n"/>
      <c r="BE188" s="51" t="n"/>
      <c r="BF188" s="51" t="n"/>
      <c r="BG188" s="51" t="n"/>
      <c r="BH188" s="51" t="n"/>
      <c r="BI188" s="51" t="n"/>
      <c r="BJ188" s="51" t="n"/>
      <c r="BK188" s="51" t="n"/>
      <c r="BL188" s="51" t="n"/>
      <c r="BM188" s="51" t="n"/>
    </row>
    <row r="189">
      <c r="A189" s="47">
        <f>IF(Mitarbeiter!B189="","",Mitarbeiter!A189)</f>
        <v/>
      </c>
      <c r="B189" s="48">
        <f>IF(Mitarbeiter!B189="","",Mitarbeiter!B189)</f>
        <v/>
      </c>
      <c r="C189" s="37">
        <f>IF(Mitarbeiter!B189="","",N(INDEX($F189:$BM189,1,(Einstellungen!$C$3-2026)*12+1))+N(INDEX($F189:$BM189,1,(Einstellungen!$C$3-2026)*12+2))+N(INDEX($F189:$BM189,1,(Einstellungen!$C$3-2026)*12+3))+N(INDEX($F189:$BM189,1,(Einstellungen!$C$3-2026)*12+4))+N(INDEX($F189:$BM189,1,(Einstellungen!$C$3-2026)*12+5))+N(INDEX($F189:$BM189,1,(Einstellungen!$C$3-2026)*12+6))+N(INDEX($F189:$BM189,1,(Einstellungen!$C$3-2026)*12+7))+N(INDEX($F189:$BM189,1,(Einstellungen!$C$3-2026)*12+8))+N(INDEX($F189:$BM189,1,(Einstellungen!$C$3-2026)*12+9))+N(INDEX($F189:$BM189,1,(Einstellungen!$C$3-2026)*12+10))+N(INDEX($F189:$BM189,1,(Einstellungen!$C$3-2026)*12+11))+N(INDEX($F189:$BM189,1,(Einstellungen!$C$3-2026)*12+12)))</f>
        <v/>
      </c>
      <c r="D189" s="37">
        <f>IF(Mitarbeiter!B189="","",SUM(F189:BM189))</f>
        <v/>
      </c>
      <c r="F189" s="51" t="n"/>
      <c r="G189" s="51" t="n"/>
      <c r="H189" s="51" t="n"/>
      <c r="I189" s="51" t="n"/>
      <c r="J189" s="51" t="n"/>
      <c r="K189" s="51" t="n"/>
      <c r="L189" s="51" t="n"/>
      <c r="M189" s="51" t="n"/>
      <c r="N189" s="51" t="n"/>
      <c r="O189" s="51" t="n"/>
      <c r="P189" s="51" t="n"/>
      <c r="Q189" s="51" t="n"/>
      <c r="R189" s="51" t="n"/>
      <c r="S189" s="51" t="n"/>
      <c r="T189" s="51" t="n"/>
      <c r="U189" s="51" t="n"/>
      <c r="V189" s="51" t="n"/>
      <c r="W189" s="51" t="n"/>
      <c r="X189" s="51" t="n"/>
      <c r="Y189" s="51" t="n"/>
      <c r="Z189" s="51" t="n"/>
      <c r="AA189" s="51" t="n"/>
      <c r="AB189" s="51" t="n"/>
      <c r="AC189" s="51" t="n"/>
      <c r="AD189" s="51" t="n"/>
      <c r="AE189" s="51" t="n"/>
      <c r="AF189" s="51" t="n"/>
      <c r="AG189" s="51" t="n"/>
      <c r="AH189" s="51" t="n"/>
      <c r="AI189" s="51" t="n"/>
      <c r="AJ189" s="51" t="n"/>
      <c r="AK189" s="51" t="n"/>
      <c r="AL189" s="51" t="n"/>
      <c r="AM189" s="51" t="n"/>
      <c r="AN189" s="51" t="n"/>
      <c r="AO189" s="51" t="n"/>
      <c r="AP189" s="51" t="n"/>
      <c r="AQ189" s="51" t="n"/>
      <c r="AR189" s="51" t="n"/>
      <c r="AS189" s="51" t="n"/>
      <c r="AT189" s="51" t="n"/>
      <c r="AU189" s="51" t="n"/>
      <c r="AV189" s="51" t="n"/>
      <c r="AW189" s="51" t="n"/>
      <c r="AX189" s="51" t="n"/>
      <c r="AY189" s="51" t="n"/>
      <c r="AZ189" s="51" t="n"/>
      <c r="BA189" s="51" t="n"/>
      <c r="BB189" s="51" t="n"/>
      <c r="BC189" s="51" t="n"/>
      <c r="BD189" s="51" t="n"/>
      <c r="BE189" s="51" t="n"/>
      <c r="BF189" s="51" t="n"/>
      <c r="BG189" s="51" t="n"/>
      <c r="BH189" s="51" t="n"/>
      <c r="BI189" s="51" t="n"/>
      <c r="BJ189" s="51" t="n"/>
      <c r="BK189" s="51" t="n"/>
      <c r="BL189" s="51" t="n"/>
      <c r="BM189" s="51" t="n"/>
    </row>
    <row r="190">
      <c r="A190" s="47">
        <f>IF(Mitarbeiter!B190="","",Mitarbeiter!A190)</f>
        <v/>
      </c>
      <c r="B190" s="48">
        <f>IF(Mitarbeiter!B190="","",Mitarbeiter!B190)</f>
        <v/>
      </c>
      <c r="C190" s="37">
        <f>IF(Mitarbeiter!B190="","",N(INDEX($F190:$BM190,1,(Einstellungen!$C$3-2026)*12+1))+N(INDEX($F190:$BM190,1,(Einstellungen!$C$3-2026)*12+2))+N(INDEX($F190:$BM190,1,(Einstellungen!$C$3-2026)*12+3))+N(INDEX($F190:$BM190,1,(Einstellungen!$C$3-2026)*12+4))+N(INDEX($F190:$BM190,1,(Einstellungen!$C$3-2026)*12+5))+N(INDEX($F190:$BM190,1,(Einstellungen!$C$3-2026)*12+6))+N(INDEX($F190:$BM190,1,(Einstellungen!$C$3-2026)*12+7))+N(INDEX($F190:$BM190,1,(Einstellungen!$C$3-2026)*12+8))+N(INDEX($F190:$BM190,1,(Einstellungen!$C$3-2026)*12+9))+N(INDEX($F190:$BM190,1,(Einstellungen!$C$3-2026)*12+10))+N(INDEX($F190:$BM190,1,(Einstellungen!$C$3-2026)*12+11))+N(INDEX($F190:$BM190,1,(Einstellungen!$C$3-2026)*12+12)))</f>
        <v/>
      </c>
      <c r="D190" s="37">
        <f>IF(Mitarbeiter!B190="","",SUM(F190:BM190))</f>
        <v/>
      </c>
      <c r="F190" s="51" t="n"/>
      <c r="G190" s="51" t="n"/>
      <c r="H190" s="51" t="n"/>
      <c r="I190" s="51" t="n"/>
      <c r="J190" s="51" t="n"/>
      <c r="K190" s="51" t="n"/>
      <c r="L190" s="51" t="n"/>
      <c r="M190" s="51" t="n"/>
      <c r="N190" s="51" t="n"/>
      <c r="O190" s="51" t="n"/>
      <c r="P190" s="51" t="n"/>
      <c r="Q190" s="51" t="n"/>
      <c r="R190" s="51" t="n"/>
      <c r="S190" s="51" t="n"/>
      <c r="T190" s="51" t="n"/>
      <c r="U190" s="51" t="n"/>
      <c r="V190" s="51" t="n"/>
      <c r="W190" s="51" t="n"/>
      <c r="X190" s="51" t="n"/>
      <c r="Y190" s="51" t="n"/>
      <c r="Z190" s="51" t="n"/>
      <c r="AA190" s="51" t="n"/>
      <c r="AB190" s="51" t="n"/>
      <c r="AC190" s="51" t="n"/>
      <c r="AD190" s="51" t="n"/>
      <c r="AE190" s="51" t="n"/>
      <c r="AF190" s="51" t="n"/>
      <c r="AG190" s="51" t="n"/>
      <c r="AH190" s="51" t="n"/>
      <c r="AI190" s="51" t="n"/>
      <c r="AJ190" s="51" t="n"/>
      <c r="AK190" s="51" t="n"/>
      <c r="AL190" s="51" t="n"/>
      <c r="AM190" s="51" t="n"/>
      <c r="AN190" s="51" t="n"/>
      <c r="AO190" s="51" t="n"/>
      <c r="AP190" s="51" t="n"/>
      <c r="AQ190" s="51" t="n"/>
      <c r="AR190" s="51" t="n"/>
      <c r="AS190" s="51" t="n"/>
      <c r="AT190" s="51" t="n"/>
      <c r="AU190" s="51" t="n"/>
      <c r="AV190" s="51" t="n"/>
      <c r="AW190" s="51" t="n"/>
      <c r="AX190" s="51" t="n"/>
      <c r="AY190" s="51" t="n"/>
      <c r="AZ190" s="51" t="n"/>
      <c r="BA190" s="51" t="n"/>
      <c r="BB190" s="51" t="n"/>
      <c r="BC190" s="51" t="n"/>
      <c r="BD190" s="51" t="n"/>
      <c r="BE190" s="51" t="n"/>
      <c r="BF190" s="51" t="n"/>
      <c r="BG190" s="51" t="n"/>
      <c r="BH190" s="51" t="n"/>
      <c r="BI190" s="51" t="n"/>
      <c r="BJ190" s="51" t="n"/>
      <c r="BK190" s="51" t="n"/>
      <c r="BL190" s="51" t="n"/>
      <c r="BM190" s="51" t="n"/>
    </row>
    <row r="191">
      <c r="A191" s="47">
        <f>IF(Mitarbeiter!B191="","",Mitarbeiter!A191)</f>
        <v/>
      </c>
      <c r="B191" s="48">
        <f>IF(Mitarbeiter!B191="","",Mitarbeiter!B191)</f>
        <v/>
      </c>
      <c r="C191" s="37">
        <f>IF(Mitarbeiter!B191="","",N(INDEX($F191:$BM191,1,(Einstellungen!$C$3-2026)*12+1))+N(INDEX($F191:$BM191,1,(Einstellungen!$C$3-2026)*12+2))+N(INDEX($F191:$BM191,1,(Einstellungen!$C$3-2026)*12+3))+N(INDEX($F191:$BM191,1,(Einstellungen!$C$3-2026)*12+4))+N(INDEX($F191:$BM191,1,(Einstellungen!$C$3-2026)*12+5))+N(INDEX($F191:$BM191,1,(Einstellungen!$C$3-2026)*12+6))+N(INDEX($F191:$BM191,1,(Einstellungen!$C$3-2026)*12+7))+N(INDEX($F191:$BM191,1,(Einstellungen!$C$3-2026)*12+8))+N(INDEX($F191:$BM191,1,(Einstellungen!$C$3-2026)*12+9))+N(INDEX($F191:$BM191,1,(Einstellungen!$C$3-2026)*12+10))+N(INDEX($F191:$BM191,1,(Einstellungen!$C$3-2026)*12+11))+N(INDEX($F191:$BM191,1,(Einstellungen!$C$3-2026)*12+12)))</f>
        <v/>
      </c>
      <c r="D191" s="37">
        <f>IF(Mitarbeiter!B191="","",SUM(F191:BM191))</f>
        <v/>
      </c>
      <c r="F191" s="51" t="n"/>
      <c r="G191" s="51" t="n"/>
      <c r="H191" s="51" t="n"/>
      <c r="I191" s="51" t="n"/>
      <c r="J191" s="51" t="n"/>
      <c r="K191" s="51" t="n"/>
      <c r="L191" s="51" t="n"/>
      <c r="M191" s="51" t="n"/>
      <c r="N191" s="51" t="n"/>
      <c r="O191" s="51" t="n"/>
      <c r="P191" s="51" t="n"/>
      <c r="Q191" s="51" t="n"/>
      <c r="R191" s="51" t="n"/>
      <c r="S191" s="51" t="n"/>
      <c r="T191" s="51" t="n"/>
      <c r="U191" s="51" t="n"/>
      <c r="V191" s="51" t="n"/>
      <c r="W191" s="51" t="n"/>
      <c r="X191" s="51" t="n"/>
      <c r="Y191" s="51" t="n"/>
      <c r="Z191" s="51" t="n"/>
      <c r="AA191" s="51" t="n"/>
      <c r="AB191" s="51" t="n"/>
      <c r="AC191" s="51" t="n"/>
      <c r="AD191" s="51" t="n"/>
      <c r="AE191" s="51" t="n"/>
      <c r="AF191" s="51" t="n"/>
      <c r="AG191" s="51" t="n"/>
      <c r="AH191" s="51" t="n"/>
      <c r="AI191" s="51" t="n"/>
      <c r="AJ191" s="51" t="n"/>
      <c r="AK191" s="51" t="n"/>
      <c r="AL191" s="51" t="n"/>
      <c r="AM191" s="51" t="n"/>
      <c r="AN191" s="51" t="n"/>
      <c r="AO191" s="51" t="n"/>
      <c r="AP191" s="51" t="n"/>
      <c r="AQ191" s="51" t="n"/>
      <c r="AR191" s="51" t="n"/>
      <c r="AS191" s="51" t="n"/>
      <c r="AT191" s="51" t="n"/>
      <c r="AU191" s="51" t="n"/>
      <c r="AV191" s="51" t="n"/>
      <c r="AW191" s="51" t="n"/>
      <c r="AX191" s="51" t="n"/>
      <c r="AY191" s="51" t="n"/>
      <c r="AZ191" s="51" t="n"/>
      <c r="BA191" s="51" t="n"/>
      <c r="BB191" s="51" t="n"/>
      <c r="BC191" s="51" t="n"/>
      <c r="BD191" s="51" t="n"/>
      <c r="BE191" s="51" t="n"/>
      <c r="BF191" s="51" t="n"/>
      <c r="BG191" s="51" t="n"/>
      <c r="BH191" s="51" t="n"/>
      <c r="BI191" s="51" t="n"/>
      <c r="BJ191" s="51" t="n"/>
      <c r="BK191" s="51" t="n"/>
      <c r="BL191" s="51" t="n"/>
      <c r="BM191" s="51" t="n"/>
    </row>
    <row r="192">
      <c r="A192" s="47">
        <f>IF(Mitarbeiter!B192="","",Mitarbeiter!A192)</f>
        <v/>
      </c>
      <c r="B192" s="48">
        <f>IF(Mitarbeiter!B192="","",Mitarbeiter!B192)</f>
        <v/>
      </c>
      <c r="C192" s="37">
        <f>IF(Mitarbeiter!B192="","",N(INDEX($F192:$BM192,1,(Einstellungen!$C$3-2026)*12+1))+N(INDEX($F192:$BM192,1,(Einstellungen!$C$3-2026)*12+2))+N(INDEX($F192:$BM192,1,(Einstellungen!$C$3-2026)*12+3))+N(INDEX($F192:$BM192,1,(Einstellungen!$C$3-2026)*12+4))+N(INDEX($F192:$BM192,1,(Einstellungen!$C$3-2026)*12+5))+N(INDEX($F192:$BM192,1,(Einstellungen!$C$3-2026)*12+6))+N(INDEX($F192:$BM192,1,(Einstellungen!$C$3-2026)*12+7))+N(INDEX($F192:$BM192,1,(Einstellungen!$C$3-2026)*12+8))+N(INDEX($F192:$BM192,1,(Einstellungen!$C$3-2026)*12+9))+N(INDEX($F192:$BM192,1,(Einstellungen!$C$3-2026)*12+10))+N(INDEX($F192:$BM192,1,(Einstellungen!$C$3-2026)*12+11))+N(INDEX($F192:$BM192,1,(Einstellungen!$C$3-2026)*12+12)))</f>
        <v/>
      </c>
      <c r="D192" s="37">
        <f>IF(Mitarbeiter!B192="","",SUM(F192:BM192))</f>
        <v/>
      </c>
      <c r="F192" s="51" t="n"/>
      <c r="G192" s="51" t="n"/>
      <c r="H192" s="51" t="n"/>
      <c r="I192" s="51" t="n"/>
      <c r="J192" s="51" t="n"/>
      <c r="K192" s="51" t="n"/>
      <c r="L192" s="51" t="n"/>
      <c r="M192" s="51" t="n"/>
      <c r="N192" s="51" t="n"/>
      <c r="O192" s="51" t="n"/>
      <c r="P192" s="51" t="n"/>
      <c r="Q192" s="51" t="n"/>
      <c r="R192" s="51" t="n"/>
      <c r="S192" s="51" t="n"/>
      <c r="T192" s="51" t="n"/>
      <c r="U192" s="51" t="n"/>
      <c r="V192" s="51" t="n"/>
      <c r="W192" s="51" t="n"/>
      <c r="X192" s="51" t="n"/>
      <c r="Y192" s="51" t="n"/>
      <c r="Z192" s="51" t="n"/>
      <c r="AA192" s="51" t="n"/>
      <c r="AB192" s="51" t="n"/>
      <c r="AC192" s="51" t="n"/>
      <c r="AD192" s="51" t="n"/>
      <c r="AE192" s="51" t="n"/>
      <c r="AF192" s="51" t="n"/>
      <c r="AG192" s="51" t="n"/>
      <c r="AH192" s="51" t="n"/>
      <c r="AI192" s="51" t="n"/>
      <c r="AJ192" s="51" t="n"/>
      <c r="AK192" s="51" t="n"/>
      <c r="AL192" s="51" t="n"/>
      <c r="AM192" s="51" t="n"/>
      <c r="AN192" s="51" t="n"/>
      <c r="AO192" s="51" t="n"/>
      <c r="AP192" s="51" t="n"/>
      <c r="AQ192" s="51" t="n"/>
      <c r="AR192" s="51" t="n"/>
      <c r="AS192" s="51" t="n"/>
      <c r="AT192" s="51" t="n"/>
      <c r="AU192" s="51" t="n"/>
      <c r="AV192" s="51" t="n"/>
      <c r="AW192" s="51" t="n"/>
      <c r="AX192" s="51" t="n"/>
      <c r="AY192" s="51" t="n"/>
      <c r="AZ192" s="51" t="n"/>
      <c r="BA192" s="51" t="n"/>
      <c r="BB192" s="51" t="n"/>
      <c r="BC192" s="51" t="n"/>
      <c r="BD192" s="51" t="n"/>
      <c r="BE192" s="51" t="n"/>
      <c r="BF192" s="51" t="n"/>
      <c r="BG192" s="51" t="n"/>
      <c r="BH192" s="51" t="n"/>
      <c r="BI192" s="51" t="n"/>
      <c r="BJ192" s="51" t="n"/>
      <c r="BK192" s="51" t="n"/>
      <c r="BL192" s="51" t="n"/>
      <c r="BM192" s="51" t="n"/>
    </row>
    <row r="193">
      <c r="A193" s="47">
        <f>IF(Mitarbeiter!B193="","",Mitarbeiter!A193)</f>
        <v/>
      </c>
      <c r="B193" s="48">
        <f>IF(Mitarbeiter!B193="","",Mitarbeiter!B193)</f>
        <v/>
      </c>
      <c r="C193" s="37">
        <f>IF(Mitarbeiter!B193="","",N(INDEX($F193:$BM193,1,(Einstellungen!$C$3-2026)*12+1))+N(INDEX($F193:$BM193,1,(Einstellungen!$C$3-2026)*12+2))+N(INDEX($F193:$BM193,1,(Einstellungen!$C$3-2026)*12+3))+N(INDEX($F193:$BM193,1,(Einstellungen!$C$3-2026)*12+4))+N(INDEX($F193:$BM193,1,(Einstellungen!$C$3-2026)*12+5))+N(INDEX($F193:$BM193,1,(Einstellungen!$C$3-2026)*12+6))+N(INDEX($F193:$BM193,1,(Einstellungen!$C$3-2026)*12+7))+N(INDEX($F193:$BM193,1,(Einstellungen!$C$3-2026)*12+8))+N(INDEX($F193:$BM193,1,(Einstellungen!$C$3-2026)*12+9))+N(INDEX($F193:$BM193,1,(Einstellungen!$C$3-2026)*12+10))+N(INDEX($F193:$BM193,1,(Einstellungen!$C$3-2026)*12+11))+N(INDEX($F193:$BM193,1,(Einstellungen!$C$3-2026)*12+12)))</f>
        <v/>
      </c>
      <c r="D193" s="37">
        <f>IF(Mitarbeiter!B193="","",SUM(F193:BM193))</f>
        <v/>
      </c>
      <c r="F193" s="51" t="n"/>
      <c r="G193" s="51" t="n"/>
      <c r="H193" s="51" t="n"/>
      <c r="I193" s="51" t="n"/>
      <c r="J193" s="51" t="n"/>
      <c r="K193" s="51" t="n"/>
      <c r="L193" s="51" t="n"/>
      <c r="M193" s="51" t="n"/>
      <c r="N193" s="51" t="n"/>
      <c r="O193" s="51" t="n"/>
      <c r="P193" s="51" t="n"/>
      <c r="Q193" s="51" t="n"/>
      <c r="R193" s="51" t="n"/>
      <c r="S193" s="51" t="n"/>
      <c r="T193" s="51" t="n"/>
      <c r="U193" s="51" t="n"/>
      <c r="V193" s="51" t="n"/>
      <c r="W193" s="51" t="n"/>
      <c r="X193" s="51" t="n"/>
      <c r="Y193" s="51" t="n"/>
      <c r="Z193" s="51" t="n"/>
      <c r="AA193" s="51" t="n"/>
      <c r="AB193" s="51" t="n"/>
      <c r="AC193" s="51" t="n"/>
      <c r="AD193" s="51" t="n"/>
      <c r="AE193" s="51" t="n"/>
      <c r="AF193" s="51" t="n"/>
      <c r="AG193" s="51" t="n"/>
      <c r="AH193" s="51" t="n"/>
      <c r="AI193" s="51" t="n"/>
      <c r="AJ193" s="51" t="n"/>
      <c r="AK193" s="51" t="n"/>
      <c r="AL193" s="51" t="n"/>
      <c r="AM193" s="51" t="n"/>
      <c r="AN193" s="51" t="n"/>
      <c r="AO193" s="51" t="n"/>
      <c r="AP193" s="51" t="n"/>
      <c r="AQ193" s="51" t="n"/>
      <c r="AR193" s="51" t="n"/>
      <c r="AS193" s="51" t="n"/>
      <c r="AT193" s="51" t="n"/>
      <c r="AU193" s="51" t="n"/>
      <c r="AV193" s="51" t="n"/>
      <c r="AW193" s="51" t="n"/>
      <c r="AX193" s="51" t="n"/>
      <c r="AY193" s="51" t="n"/>
      <c r="AZ193" s="51" t="n"/>
      <c r="BA193" s="51" t="n"/>
      <c r="BB193" s="51" t="n"/>
      <c r="BC193" s="51" t="n"/>
      <c r="BD193" s="51" t="n"/>
      <c r="BE193" s="51" t="n"/>
      <c r="BF193" s="51" t="n"/>
      <c r="BG193" s="51" t="n"/>
      <c r="BH193" s="51" t="n"/>
      <c r="BI193" s="51" t="n"/>
      <c r="BJ193" s="51" t="n"/>
      <c r="BK193" s="51" t="n"/>
      <c r="BL193" s="51" t="n"/>
      <c r="BM193" s="51" t="n"/>
    </row>
    <row r="194">
      <c r="A194" s="47">
        <f>IF(Mitarbeiter!B194="","",Mitarbeiter!A194)</f>
        <v/>
      </c>
      <c r="B194" s="48">
        <f>IF(Mitarbeiter!B194="","",Mitarbeiter!B194)</f>
        <v/>
      </c>
      <c r="C194" s="37">
        <f>IF(Mitarbeiter!B194="","",N(INDEX($F194:$BM194,1,(Einstellungen!$C$3-2026)*12+1))+N(INDEX($F194:$BM194,1,(Einstellungen!$C$3-2026)*12+2))+N(INDEX($F194:$BM194,1,(Einstellungen!$C$3-2026)*12+3))+N(INDEX($F194:$BM194,1,(Einstellungen!$C$3-2026)*12+4))+N(INDEX($F194:$BM194,1,(Einstellungen!$C$3-2026)*12+5))+N(INDEX($F194:$BM194,1,(Einstellungen!$C$3-2026)*12+6))+N(INDEX($F194:$BM194,1,(Einstellungen!$C$3-2026)*12+7))+N(INDEX($F194:$BM194,1,(Einstellungen!$C$3-2026)*12+8))+N(INDEX($F194:$BM194,1,(Einstellungen!$C$3-2026)*12+9))+N(INDEX($F194:$BM194,1,(Einstellungen!$C$3-2026)*12+10))+N(INDEX($F194:$BM194,1,(Einstellungen!$C$3-2026)*12+11))+N(INDEX($F194:$BM194,1,(Einstellungen!$C$3-2026)*12+12)))</f>
        <v/>
      </c>
      <c r="D194" s="37">
        <f>IF(Mitarbeiter!B194="","",SUM(F194:BM194))</f>
        <v/>
      </c>
      <c r="F194" s="51" t="n"/>
      <c r="G194" s="51" t="n"/>
      <c r="H194" s="51" t="n"/>
      <c r="I194" s="51" t="n"/>
      <c r="J194" s="51" t="n"/>
      <c r="K194" s="51" t="n"/>
      <c r="L194" s="51" t="n"/>
      <c r="M194" s="51" t="n"/>
      <c r="N194" s="51" t="n"/>
      <c r="O194" s="51" t="n"/>
      <c r="P194" s="51" t="n"/>
      <c r="Q194" s="51" t="n"/>
      <c r="R194" s="51" t="n"/>
      <c r="S194" s="51" t="n"/>
      <c r="T194" s="51" t="n"/>
      <c r="U194" s="51" t="n"/>
      <c r="V194" s="51" t="n"/>
      <c r="W194" s="51" t="n"/>
      <c r="X194" s="51" t="n"/>
      <c r="Y194" s="51" t="n"/>
      <c r="Z194" s="51" t="n"/>
      <c r="AA194" s="51" t="n"/>
      <c r="AB194" s="51" t="n"/>
      <c r="AC194" s="51" t="n"/>
      <c r="AD194" s="51" t="n"/>
      <c r="AE194" s="51" t="n"/>
      <c r="AF194" s="51" t="n"/>
      <c r="AG194" s="51" t="n"/>
      <c r="AH194" s="51" t="n"/>
      <c r="AI194" s="51" t="n"/>
      <c r="AJ194" s="51" t="n"/>
      <c r="AK194" s="51" t="n"/>
      <c r="AL194" s="51" t="n"/>
      <c r="AM194" s="51" t="n"/>
      <c r="AN194" s="51" t="n"/>
      <c r="AO194" s="51" t="n"/>
      <c r="AP194" s="51" t="n"/>
      <c r="AQ194" s="51" t="n"/>
      <c r="AR194" s="51" t="n"/>
      <c r="AS194" s="51" t="n"/>
      <c r="AT194" s="51" t="n"/>
      <c r="AU194" s="51" t="n"/>
      <c r="AV194" s="51" t="n"/>
      <c r="AW194" s="51" t="n"/>
      <c r="AX194" s="51" t="n"/>
      <c r="AY194" s="51" t="n"/>
      <c r="AZ194" s="51" t="n"/>
      <c r="BA194" s="51" t="n"/>
      <c r="BB194" s="51" t="n"/>
      <c r="BC194" s="51" t="n"/>
      <c r="BD194" s="51" t="n"/>
      <c r="BE194" s="51" t="n"/>
      <c r="BF194" s="51" t="n"/>
      <c r="BG194" s="51" t="n"/>
      <c r="BH194" s="51" t="n"/>
      <c r="BI194" s="51" t="n"/>
      <c r="BJ194" s="51" t="n"/>
      <c r="BK194" s="51" t="n"/>
      <c r="BL194" s="51" t="n"/>
      <c r="BM194" s="51" t="n"/>
    </row>
    <row r="195">
      <c r="A195" s="47">
        <f>IF(Mitarbeiter!B195="","",Mitarbeiter!A195)</f>
        <v/>
      </c>
      <c r="B195" s="48">
        <f>IF(Mitarbeiter!B195="","",Mitarbeiter!B195)</f>
        <v/>
      </c>
      <c r="C195" s="37">
        <f>IF(Mitarbeiter!B195="","",N(INDEX($F195:$BM195,1,(Einstellungen!$C$3-2026)*12+1))+N(INDEX($F195:$BM195,1,(Einstellungen!$C$3-2026)*12+2))+N(INDEX($F195:$BM195,1,(Einstellungen!$C$3-2026)*12+3))+N(INDEX($F195:$BM195,1,(Einstellungen!$C$3-2026)*12+4))+N(INDEX($F195:$BM195,1,(Einstellungen!$C$3-2026)*12+5))+N(INDEX($F195:$BM195,1,(Einstellungen!$C$3-2026)*12+6))+N(INDEX($F195:$BM195,1,(Einstellungen!$C$3-2026)*12+7))+N(INDEX($F195:$BM195,1,(Einstellungen!$C$3-2026)*12+8))+N(INDEX($F195:$BM195,1,(Einstellungen!$C$3-2026)*12+9))+N(INDEX($F195:$BM195,1,(Einstellungen!$C$3-2026)*12+10))+N(INDEX($F195:$BM195,1,(Einstellungen!$C$3-2026)*12+11))+N(INDEX($F195:$BM195,1,(Einstellungen!$C$3-2026)*12+12)))</f>
        <v/>
      </c>
      <c r="D195" s="37">
        <f>IF(Mitarbeiter!B195="","",SUM(F195:BM195))</f>
        <v/>
      </c>
      <c r="F195" s="51" t="n"/>
      <c r="G195" s="51" t="n"/>
      <c r="H195" s="51" t="n"/>
      <c r="I195" s="51" t="n"/>
      <c r="J195" s="51" t="n"/>
      <c r="K195" s="51" t="n"/>
      <c r="L195" s="51" t="n"/>
      <c r="M195" s="51" t="n"/>
      <c r="N195" s="51" t="n"/>
      <c r="O195" s="51" t="n"/>
      <c r="P195" s="51" t="n"/>
      <c r="Q195" s="51" t="n"/>
      <c r="R195" s="51" t="n"/>
      <c r="S195" s="51" t="n"/>
      <c r="T195" s="51" t="n"/>
      <c r="U195" s="51" t="n"/>
      <c r="V195" s="51" t="n"/>
      <c r="W195" s="51" t="n"/>
      <c r="X195" s="51" t="n"/>
      <c r="Y195" s="51" t="n"/>
      <c r="Z195" s="51" t="n"/>
      <c r="AA195" s="51" t="n"/>
      <c r="AB195" s="51" t="n"/>
      <c r="AC195" s="51" t="n"/>
      <c r="AD195" s="51" t="n"/>
      <c r="AE195" s="51" t="n"/>
      <c r="AF195" s="51" t="n"/>
      <c r="AG195" s="51" t="n"/>
      <c r="AH195" s="51" t="n"/>
      <c r="AI195" s="51" t="n"/>
      <c r="AJ195" s="51" t="n"/>
      <c r="AK195" s="51" t="n"/>
      <c r="AL195" s="51" t="n"/>
      <c r="AM195" s="51" t="n"/>
      <c r="AN195" s="51" t="n"/>
      <c r="AO195" s="51" t="n"/>
      <c r="AP195" s="51" t="n"/>
      <c r="AQ195" s="51" t="n"/>
      <c r="AR195" s="51" t="n"/>
      <c r="AS195" s="51" t="n"/>
      <c r="AT195" s="51" t="n"/>
      <c r="AU195" s="51" t="n"/>
      <c r="AV195" s="51" t="n"/>
      <c r="AW195" s="51" t="n"/>
      <c r="AX195" s="51" t="n"/>
      <c r="AY195" s="51" t="n"/>
      <c r="AZ195" s="51" t="n"/>
      <c r="BA195" s="51" t="n"/>
      <c r="BB195" s="51" t="n"/>
      <c r="BC195" s="51" t="n"/>
      <c r="BD195" s="51" t="n"/>
      <c r="BE195" s="51" t="n"/>
      <c r="BF195" s="51" t="n"/>
      <c r="BG195" s="51" t="n"/>
      <c r="BH195" s="51" t="n"/>
      <c r="BI195" s="51" t="n"/>
      <c r="BJ195" s="51" t="n"/>
      <c r="BK195" s="51" t="n"/>
      <c r="BL195" s="51" t="n"/>
      <c r="BM195" s="51" t="n"/>
    </row>
    <row r="196">
      <c r="A196" s="47">
        <f>IF(Mitarbeiter!B196="","",Mitarbeiter!A196)</f>
        <v/>
      </c>
      <c r="B196" s="48">
        <f>IF(Mitarbeiter!B196="","",Mitarbeiter!B196)</f>
        <v/>
      </c>
      <c r="C196" s="37">
        <f>IF(Mitarbeiter!B196="","",N(INDEX($F196:$BM196,1,(Einstellungen!$C$3-2026)*12+1))+N(INDEX($F196:$BM196,1,(Einstellungen!$C$3-2026)*12+2))+N(INDEX($F196:$BM196,1,(Einstellungen!$C$3-2026)*12+3))+N(INDEX($F196:$BM196,1,(Einstellungen!$C$3-2026)*12+4))+N(INDEX($F196:$BM196,1,(Einstellungen!$C$3-2026)*12+5))+N(INDEX($F196:$BM196,1,(Einstellungen!$C$3-2026)*12+6))+N(INDEX($F196:$BM196,1,(Einstellungen!$C$3-2026)*12+7))+N(INDEX($F196:$BM196,1,(Einstellungen!$C$3-2026)*12+8))+N(INDEX($F196:$BM196,1,(Einstellungen!$C$3-2026)*12+9))+N(INDEX($F196:$BM196,1,(Einstellungen!$C$3-2026)*12+10))+N(INDEX($F196:$BM196,1,(Einstellungen!$C$3-2026)*12+11))+N(INDEX($F196:$BM196,1,(Einstellungen!$C$3-2026)*12+12)))</f>
        <v/>
      </c>
      <c r="D196" s="37">
        <f>IF(Mitarbeiter!B196="","",SUM(F196:BM196))</f>
        <v/>
      </c>
      <c r="F196" s="51" t="n"/>
      <c r="G196" s="51" t="n"/>
      <c r="H196" s="51" t="n"/>
      <c r="I196" s="51" t="n"/>
      <c r="J196" s="51" t="n"/>
      <c r="K196" s="51" t="n"/>
      <c r="L196" s="51" t="n"/>
      <c r="M196" s="51" t="n"/>
      <c r="N196" s="51" t="n"/>
      <c r="O196" s="51" t="n"/>
      <c r="P196" s="51" t="n"/>
      <c r="Q196" s="51" t="n"/>
      <c r="R196" s="51" t="n"/>
      <c r="S196" s="51" t="n"/>
      <c r="T196" s="51" t="n"/>
      <c r="U196" s="51" t="n"/>
      <c r="V196" s="51" t="n"/>
      <c r="W196" s="51" t="n"/>
      <c r="X196" s="51" t="n"/>
      <c r="Y196" s="51" t="n"/>
      <c r="Z196" s="51" t="n"/>
      <c r="AA196" s="51" t="n"/>
      <c r="AB196" s="51" t="n"/>
      <c r="AC196" s="51" t="n"/>
      <c r="AD196" s="51" t="n"/>
      <c r="AE196" s="51" t="n"/>
      <c r="AF196" s="51" t="n"/>
      <c r="AG196" s="51" t="n"/>
      <c r="AH196" s="51" t="n"/>
      <c r="AI196" s="51" t="n"/>
      <c r="AJ196" s="51" t="n"/>
      <c r="AK196" s="51" t="n"/>
      <c r="AL196" s="51" t="n"/>
      <c r="AM196" s="51" t="n"/>
      <c r="AN196" s="51" t="n"/>
      <c r="AO196" s="51" t="n"/>
      <c r="AP196" s="51" t="n"/>
      <c r="AQ196" s="51" t="n"/>
      <c r="AR196" s="51" t="n"/>
      <c r="AS196" s="51" t="n"/>
      <c r="AT196" s="51" t="n"/>
      <c r="AU196" s="51" t="n"/>
      <c r="AV196" s="51" t="n"/>
      <c r="AW196" s="51" t="n"/>
      <c r="AX196" s="51" t="n"/>
      <c r="AY196" s="51" t="n"/>
      <c r="AZ196" s="51" t="n"/>
      <c r="BA196" s="51" t="n"/>
      <c r="BB196" s="51" t="n"/>
      <c r="BC196" s="51" t="n"/>
      <c r="BD196" s="51" t="n"/>
      <c r="BE196" s="51" t="n"/>
      <c r="BF196" s="51" t="n"/>
      <c r="BG196" s="51" t="n"/>
      <c r="BH196" s="51" t="n"/>
      <c r="BI196" s="51" t="n"/>
      <c r="BJ196" s="51" t="n"/>
      <c r="BK196" s="51" t="n"/>
      <c r="BL196" s="51" t="n"/>
      <c r="BM196" s="51" t="n"/>
    </row>
    <row r="197">
      <c r="A197" s="47">
        <f>IF(Mitarbeiter!B197="","",Mitarbeiter!A197)</f>
        <v/>
      </c>
      <c r="B197" s="48">
        <f>IF(Mitarbeiter!B197="","",Mitarbeiter!B197)</f>
        <v/>
      </c>
      <c r="C197" s="37">
        <f>IF(Mitarbeiter!B197="","",N(INDEX($F197:$BM197,1,(Einstellungen!$C$3-2026)*12+1))+N(INDEX($F197:$BM197,1,(Einstellungen!$C$3-2026)*12+2))+N(INDEX($F197:$BM197,1,(Einstellungen!$C$3-2026)*12+3))+N(INDEX($F197:$BM197,1,(Einstellungen!$C$3-2026)*12+4))+N(INDEX($F197:$BM197,1,(Einstellungen!$C$3-2026)*12+5))+N(INDEX($F197:$BM197,1,(Einstellungen!$C$3-2026)*12+6))+N(INDEX($F197:$BM197,1,(Einstellungen!$C$3-2026)*12+7))+N(INDEX($F197:$BM197,1,(Einstellungen!$C$3-2026)*12+8))+N(INDEX($F197:$BM197,1,(Einstellungen!$C$3-2026)*12+9))+N(INDEX($F197:$BM197,1,(Einstellungen!$C$3-2026)*12+10))+N(INDEX($F197:$BM197,1,(Einstellungen!$C$3-2026)*12+11))+N(INDEX($F197:$BM197,1,(Einstellungen!$C$3-2026)*12+12)))</f>
        <v/>
      </c>
      <c r="D197" s="37">
        <f>IF(Mitarbeiter!B197="","",SUM(F197:BM197))</f>
        <v/>
      </c>
      <c r="F197" s="51" t="n"/>
      <c r="G197" s="51" t="n"/>
      <c r="H197" s="51" t="n"/>
      <c r="I197" s="51" t="n"/>
      <c r="J197" s="51" t="n"/>
      <c r="K197" s="51" t="n"/>
      <c r="L197" s="51" t="n"/>
      <c r="M197" s="51" t="n"/>
      <c r="N197" s="51" t="n"/>
      <c r="O197" s="51" t="n"/>
      <c r="P197" s="51" t="n"/>
      <c r="Q197" s="51" t="n"/>
      <c r="R197" s="51" t="n"/>
      <c r="S197" s="51" t="n"/>
      <c r="T197" s="51" t="n"/>
      <c r="U197" s="51" t="n"/>
      <c r="V197" s="51" t="n"/>
      <c r="W197" s="51" t="n"/>
      <c r="X197" s="51" t="n"/>
      <c r="Y197" s="51" t="n"/>
      <c r="Z197" s="51" t="n"/>
      <c r="AA197" s="51" t="n"/>
      <c r="AB197" s="51" t="n"/>
      <c r="AC197" s="51" t="n"/>
      <c r="AD197" s="51" t="n"/>
      <c r="AE197" s="51" t="n"/>
      <c r="AF197" s="51" t="n"/>
      <c r="AG197" s="51" t="n"/>
      <c r="AH197" s="51" t="n"/>
      <c r="AI197" s="51" t="n"/>
      <c r="AJ197" s="51" t="n"/>
      <c r="AK197" s="51" t="n"/>
      <c r="AL197" s="51" t="n"/>
      <c r="AM197" s="51" t="n"/>
      <c r="AN197" s="51" t="n"/>
      <c r="AO197" s="51" t="n"/>
      <c r="AP197" s="51" t="n"/>
      <c r="AQ197" s="51" t="n"/>
      <c r="AR197" s="51" t="n"/>
      <c r="AS197" s="51" t="n"/>
      <c r="AT197" s="51" t="n"/>
      <c r="AU197" s="51" t="n"/>
      <c r="AV197" s="51" t="n"/>
      <c r="AW197" s="51" t="n"/>
      <c r="AX197" s="51" t="n"/>
      <c r="AY197" s="51" t="n"/>
      <c r="AZ197" s="51" t="n"/>
      <c r="BA197" s="51" t="n"/>
      <c r="BB197" s="51" t="n"/>
      <c r="BC197" s="51" t="n"/>
      <c r="BD197" s="51" t="n"/>
      <c r="BE197" s="51" t="n"/>
      <c r="BF197" s="51" t="n"/>
      <c r="BG197" s="51" t="n"/>
      <c r="BH197" s="51" t="n"/>
      <c r="BI197" s="51" t="n"/>
      <c r="BJ197" s="51" t="n"/>
      <c r="BK197" s="51" t="n"/>
      <c r="BL197" s="51" t="n"/>
      <c r="BM197" s="51" t="n"/>
    </row>
    <row r="198">
      <c r="A198" s="47">
        <f>IF(Mitarbeiter!B198="","",Mitarbeiter!A198)</f>
        <v/>
      </c>
      <c r="B198" s="48">
        <f>IF(Mitarbeiter!B198="","",Mitarbeiter!B198)</f>
        <v/>
      </c>
      <c r="C198" s="37">
        <f>IF(Mitarbeiter!B198="","",N(INDEX($F198:$BM198,1,(Einstellungen!$C$3-2026)*12+1))+N(INDEX($F198:$BM198,1,(Einstellungen!$C$3-2026)*12+2))+N(INDEX($F198:$BM198,1,(Einstellungen!$C$3-2026)*12+3))+N(INDEX($F198:$BM198,1,(Einstellungen!$C$3-2026)*12+4))+N(INDEX($F198:$BM198,1,(Einstellungen!$C$3-2026)*12+5))+N(INDEX($F198:$BM198,1,(Einstellungen!$C$3-2026)*12+6))+N(INDEX($F198:$BM198,1,(Einstellungen!$C$3-2026)*12+7))+N(INDEX($F198:$BM198,1,(Einstellungen!$C$3-2026)*12+8))+N(INDEX($F198:$BM198,1,(Einstellungen!$C$3-2026)*12+9))+N(INDEX($F198:$BM198,1,(Einstellungen!$C$3-2026)*12+10))+N(INDEX($F198:$BM198,1,(Einstellungen!$C$3-2026)*12+11))+N(INDEX($F198:$BM198,1,(Einstellungen!$C$3-2026)*12+12)))</f>
        <v/>
      </c>
      <c r="D198" s="37">
        <f>IF(Mitarbeiter!B198="","",SUM(F198:BM198))</f>
        <v/>
      </c>
      <c r="F198" s="51" t="n"/>
      <c r="G198" s="51" t="n"/>
      <c r="H198" s="51" t="n"/>
      <c r="I198" s="51" t="n"/>
      <c r="J198" s="51" t="n"/>
      <c r="K198" s="51" t="n"/>
      <c r="L198" s="51" t="n"/>
      <c r="M198" s="51" t="n"/>
      <c r="N198" s="51" t="n"/>
      <c r="O198" s="51" t="n"/>
      <c r="P198" s="51" t="n"/>
      <c r="Q198" s="51" t="n"/>
      <c r="R198" s="51" t="n"/>
      <c r="S198" s="51" t="n"/>
      <c r="T198" s="51" t="n"/>
      <c r="U198" s="51" t="n"/>
      <c r="V198" s="51" t="n"/>
      <c r="W198" s="51" t="n"/>
      <c r="X198" s="51" t="n"/>
      <c r="Y198" s="51" t="n"/>
      <c r="Z198" s="51" t="n"/>
      <c r="AA198" s="51" t="n"/>
      <c r="AB198" s="51" t="n"/>
      <c r="AC198" s="51" t="n"/>
      <c r="AD198" s="51" t="n"/>
      <c r="AE198" s="51" t="n"/>
      <c r="AF198" s="51" t="n"/>
      <c r="AG198" s="51" t="n"/>
      <c r="AH198" s="51" t="n"/>
      <c r="AI198" s="51" t="n"/>
      <c r="AJ198" s="51" t="n"/>
      <c r="AK198" s="51" t="n"/>
      <c r="AL198" s="51" t="n"/>
      <c r="AM198" s="51" t="n"/>
      <c r="AN198" s="51" t="n"/>
      <c r="AO198" s="51" t="n"/>
      <c r="AP198" s="51" t="n"/>
      <c r="AQ198" s="51" t="n"/>
      <c r="AR198" s="51" t="n"/>
      <c r="AS198" s="51" t="n"/>
      <c r="AT198" s="51" t="n"/>
      <c r="AU198" s="51" t="n"/>
      <c r="AV198" s="51" t="n"/>
      <c r="AW198" s="51" t="n"/>
      <c r="AX198" s="51" t="n"/>
      <c r="AY198" s="51" t="n"/>
      <c r="AZ198" s="51" t="n"/>
      <c r="BA198" s="51" t="n"/>
      <c r="BB198" s="51" t="n"/>
      <c r="BC198" s="51" t="n"/>
      <c r="BD198" s="51" t="n"/>
      <c r="BE198" s="51" t="n"/>
      <c r="BF198" s="51" t="n"/>
      <c r="BG198" s="51" t="n"/>
      <c r="BH198" s="51" t="n"/>
      <c r="BI198" s="51" t="n"/>
      <c r="BJ198" s="51" t="n"/>
      <c r="BK198" s="51" t="n"/>
      <c r="BL198" s="51" t="n"/>
      <c r="BM198" s="51" t="n"/>
    </row>
    <row r="199">
      <c r="A199" s="47">
        <f>IF(Mitarbeiter!B199="","",Mitarbeiter!A199)</f>
        <v/>
      </c>
      <c r="B199" s="48">
        <f>IF(Mitarbeiter!B199="","",Mitarbeiter!B199)</f>
        <v/>
      </c>
      <c r="C199" s="37">
        <f>IF(Mitarbeiter!B199="","",N(INDEX($F199:$BM199,1,(Einstellungen!$C$3-2026)*12+1))+N(INDEX($F199:$BM199,1,(Einstellungen!$C$3-2026)*12+2))+N(INDEX($F199:$BM199,1,(Einstellungen!$C$3-2026)*12+3))+N(INDEX($F199:$BM199,1,(Einstellungen!$C$3-2026)*12+4))+N(INDEX($F199:$BM199,1,(Einstellungen!$C$3-2026)*12+5))+N(INDEX($F199:$BM199,1,(Einstellungen!$C$3-2026)*12+6))+N(INDEX($F199:$BM199,1,(Einstellungen!$C$3-2026)*12+7))+N(INDEX($F199:$BM199,1,(Einstellungen!$C$3-2026)*12+8))+N(INDEX($F199:$BM199,1,(Einstellungen!$C$3-2026)*12+9))+N(INDEX($F199:$BM199,1,(Einstellungen!$C$3-2026)*12+10))+N(INDEX($F199:$BM199,1,(Einstellungen!$C$3-2026)*12+11))+N(INDEX($F199:$BM199,1,(Einstellungen!$C$3-2026)*12+12)))</f>
        <v/>
      </c>
      <c r="D199" s="37">
        <f>IF(Mitarbeiter!B199="","",SUM(F199:BM199))</f>
        <v/>
      </c>
      <c r="F199" s="51" t="n"/>
      <c r="G199" s="51" t="n"/>
      <c r="H199" s="51" t="n"/>
      <c r="I199" s="51" t="n"/>
      <c r="J199" s="51" t="n"/>
      <c r="K199" s="51" t="n"/>
      <c r="L199" s="51" t="n"/>
      <c r="M199" s="51" t="n"/>
      <c r="N199" s="51" t="n"/>
      <c r="O199" s="51" t="n"/>
      <c r="P199" s="51" t="n"/>
      <c r="Q199" s="51" t="n"/>
      <c r="R199" s="51" t="n"/>
      <c r="S199" s="51" t="n"/>
      <c r="T199" s="51" t="n"/>
      <c r="U199" s="51" t="n"/>
      <c r="V199" s="51" t="n"/>
      <c r="W199" s="51" t="n"/>
      <c r="X199" s="51" t="n"/>
      <c r="Y199" s="51" t="n"/>
      <c r="Z199" s="51" t="n"/>
      <c r="AA199" s="51" t="n"/>
      <c r="AB199" s="51" t="n"/>
      <c r="AC199" s="51" t="n"/>
      <c r="AD199" s="51" t="n"/>
      <c r="AE199" s="51" t="n"/>
      <c r="AF199" s="51" t="n"/>
      <c r="AG199" s="51" t="n"/>
      <c r="AH199" s="51" t="n"/>
      <c r="AI199" s="51" t="n"/>
      <c r="AJ199" s="51" t="n"/>
      <c r="AK199" s="51" t="n"/>
      <c r="AL199" s="51" t="n"/>
      <c r="AM199" s="51" t="n"/>
      <c r="AN199" s="51" t="n"/>
      <c r="AO199" s="51" t="n"/>
      <c r="AP199" s="51" t="n"/>
      <c r="AQ199" s="51" t="n"/>
      <c r="AR199" s="51" t="n"/>
      <c r="AS199" s="51" t="n"/>
      <c r="AT199" s="51" t="n"/>
      <c r="AU199" s="51" t="n"/>
      <c r="AV199" s="51" t="n"/>
      <c r="AW199" s="51" t="n"/>
      <c r="AX199" s="51" t="n"/>
      <c r="AY199" s="51" t="n"/>
      <c r="AZ199" s="51" t="n"/>
      <c r="BA199" s="51" t="n"/>
      <c r="BB199" s="51" t="n"/>
      <c r="BC199" s="51" t="n"/>
      <c r="BD199" s="51" t="n"/>
      <c r="BE199" s="51" t="n"/>
      <c r="BF199" s="51" t="n"/>
      <c r="BG199" s="51" t="n"/>
      <c r="BH199" s="51" t="n"/>
      <c r="BI199" s="51" t="n"/>
      <c r="BJ199" s="51" t="n"/>
      <c r="BK199" s="51" t="n"/>
      <c r="BL199" s="51" t="n"/>
      <c r="BM199" s="51" t="n"/>
    </row>
    <row r="200">
      <c r="A200" s="47">
        <f>IF(Mitarbeiter!B200="","",Mitarbeiter!A200)</f>
        <v/>
      </c>
      <c r="B200" s="48">
        <f>IF(Mitarbeiter!B200="","",Mitarbeiter!B200)</f>
        <v/>
      </c>
      <c r="C200" s="37">
        <f>IF(Mitarbeiter!B200="","",N(INDEX($F200:$BM200,1,(Einstellungen!$C$3-2026)*12+1))+N(INDEX($F200:$BM200,1,(Einstellungen!$C$3-2026)*12+2))+N(INDEX($F200:$BM200,1,(Einstellungen!$C$3-2026)*12+3))+N(INDEX($F200:$BM200,1,(Einstellungen!$C$3-2026)*12+4))+N(INDEX($F200:$BM200,1,(Einstellungen!$C$3-2026)*12+5))+N(INDEX($F200:$BM200,1,(Einstellungen!$C$3-2026)*12+6))+N(INDEX($F200:$BM200,1,(Einstellungen!$C$3-2026)*12+7))+N(INDEX($F200:$BM200,1,(Einstellungen!$C$3-2026)*12+8))+N(INDEX($F200:$BM200,1,(Einstellungen!$C$3-2026)*12+9))+N(INDEX($F200:$BM200,1,(Einstellungen!$C$3-2026)*12+10))+N(INDEX($F200:$BM200,1,(Einstellungen!$C$3-2026)*12+11))+N(INDEX($F200:$BM200,1,(Einstellungen!$C$3-2026)*12+12)))</f>
        <v/>
      </c>
      <c r="D200" s="37">
        <f>IF(Mitarbeiter!B200="","",SUM(F200:BM200))</f>
        <v/>
      </c>
      <c r="F200" s="51" t="n"/>
      <c r="G200" s="51" t="n"/>
      <c r="H200" s="51" t="n"/>
      <c r="I200" s="51" t="n"/>
      <c r="J200" s="51" t="n"/>
      <c r="K200" s="51" t="n"/>
      <c r="L200" s="51" t="n"/>
      <c r="M200" s="51" t="n"/>
      <c r="N200" s="51" t="n"/>
      <c r="O200" s="51" t="n"/>
      <c r="P200" s="51" t="n"/>
      <c r="Q200" s="51" t="n"/>
      <c r="R200" s="51" t="n"/>
      <c r="S200" s="51" t="n"/>
      <c r="T200" s="51" t="n"/>
      <c r="U200" s="51" t="n"/>
      <c r="V200" s="51" t="n"/>
      <c r="W200" s="51" t="n"/>
      <c r="X200" s="51" t="n"/>
      <c r="Y200" s="51" t="n"/>
      <c r="Z200" s="51" t="n"/>
      <c r="AA200" s="51" t="n"/>
      <c r="AB200" s="51" t="n"/>
      <c r="AC200" s="51" t="n"/>
      <c r="AD200" s="51" t="n"/>
      <c r="AE200" s="51" t="n"/>
      <c r="AF200" s="51" t="n"/>
      <c r="AG200" s="51" t="n"/>
      <c r="AH200" s="51" t="n"/>
      <c r="AI200" s="51" t="n"/>
      <c r="AJ200" s="51" t="n"/>
      <c r="AK200" s="51" t="n"/>
      <c r="AL200" s="51" t="n"/>
      <c r="AM200" s="51" t="n"/>
      <c r="AN200" s="51" t="n"/>
      <c r="AO200" s="51" t="n"/>
      <c r="AP200" s="51" t="n"/>
      <c r="AQ200" s="51" t="n"/>
      <c r="AR200" s="51" t="n"/>
      <c r="AS200" s="51" t="n"/>
      <c r="AT200" s="51" t="n"/>
      <c r="AU200" s="51" t="n"/>
      <c r="AV200" s="51" t="n"/>
      <c r="AW200" s="51" t="n"/>
      <c r="AX200" s="51" t="n"/>
      <c r="AY200" s="51" t="n"/>
      <c r="AZ200" s="51" t="n"/>
      <c r="BA200" s="51" t="n"/>
      <c r="BB200" s="51" t="n"/>
      <c r="BC200" s="51" t="n"/>
      <c r="BD200" s="51" t="n"/>
      <c r="BE200" s="51" t="n"/>
      <c r="BF200" s="51" t="n"/>
      <c r="BG200" s="51" t="n"/>
      <c r="BH200" s="51" t="n"/>
      <c r="BI200" s="51" t="n"/>
      <c r="BJ200" s="51" t="n"/>
      <c r="BK200" s="51" t="n"/>
      <c r="BL200" s="51" t="n"/>
      <c r="BM200" s="51" t="n"/>
    </row>
    <row r="201">
      <c r="A201" s="47">
        <f>IF(Mitarbeiter!B201="","",Mitarbeiter!A201)</f>
        <v/>
      </c>
      <c r="B201" s="48">
        <f>IF(Mitarbeiter!B201="","",Mitarbeiter!B201)</f>
        <v/>
      </c>
      <c r="C201" s="37">
        <f>IF(Mitarbeiter!B201="","",N(INDEX($F201:$BM201,1,(Einstellungen!$C$3-2026)*12+1))+N(INDEX($F201:$BM201,1,(Einstellungen!$C$3-2026)*12+2))+N(INDEX($F201:$BM201,1,(Einstellungen!$C$3-2026)*12+3))+N(INDEX($F201:$BM201,1,(Einstellungen!$C$3-2026)*12+4))+N(INDEX($F201:$BM201,1,(Einstellungen!$C$3-2026)*12+5))+N(INDEX($F201:$BM201,1,(Einstellungen!$C$3-2026)*12+6))+N(INDEX($F201:$BM201,1,(Einstellungen!$C$3-2026)*12+7))+N(INDEX($F201:$BM201,1,(Einstellungen!$C$3-2026)*12+8))+N(INDEX($F201:$BM201,1,(Einstellungen!$C$3-2026)*12+9))+N(INDEX($F201:$BM201,1,(Einstellungen!$C$3-2026)*12+10))+N(INDEX($F201:$BM201,1,(Einstellungen!$C$3-2026)*12+11))+N(INDEX($F201:$BM201,1,(Einstellungen!$C$3-2026)*12+12)))</f>
        <v/>
      </c>
      <c r="D201" s="37">
        <f>IF(Mitarbeiter!B201="","",SUM(F201:BM201))</f>
        <v/>
      </c>
      <c r="F201" s="51" t="n"/>
      <c r="G201" s="51" t="n"/>
      <c r="H201" s="51" t="n"/>
      <c r="I201" s="51" t="n"/>
      <c r="J201" s="51" t="n"/>
      <c r="K201" s="51" t="n"/>
      <c r="L201" s="51" t="n"/>
      <c r="M201" s="51" t="n"/>
      <c r="N201" s="51" t="n"/>
      <c r="O201" s="51" t="n"/>
      <c r="P201" s="51" t="n"/>
      <c r="Q201" s="51" t="n"/>
      <c r="R201" s="51" t="n"/>
      <c r="S201" s="51" t="n"/>
      <c r="T201" s="51" t="n"/>
      <c r="U201" s="51" t="n"/>
      <c r="V201" s="51" t="n"/>
      <c r="W201" s="51" t="n"/>
      <c r="X201" s="51" t="n"/>
      <c r="Y201" s="51" t="n"/>
      <c r="Z201" s="51" t="n"/>
      <c r="AA201" s="51" t="n"/>
      <c r="AB201" s="51" t="n"/>
      <c r="AC201" s="51" t="n"/>
      <c r="AD201" s="51" t="n"/>
      <c r="AE201" s="51" t="n"/>
      <c r="AF201" s="51" t="n"/>
      <c r="AG201" s="51" t="n"/>
      <c r="AH201" s="51" t="n"/>
      <c r="AI201" s="51" t="n"/>
      <c r="AJ201" s="51" t="n"/>
      <c r="AK201" s="51" t="n"/>
      <c r="AL201" s="51" t="n"/>
      <c r="AM201" s="51" t="n"/>
      <c r="AN201" s="51" t="n"/>
      <c r="AO201" s="51" t="n"/>
      <c r="AP201" s="51" t="n"/>
      <c r="AQ201" s="51" t="n"/>
      <c r="AR201" s="51" t="n"/>
      <c r="AS201" s="51" t="n"/>
      <c r="AT201" s="51" t="n"/>
      <c r="AU201" s="51" t="n"/>
      <c r="AV201" s="51" t="n"/>
      <c r="AW201" s="51" t="n"/>
      <c r="AX201" s="51" t="n"/>
      <c r="AY201" s="51" t="n"/>
      <c r="AZ201" s="51" t="n"/>
      <c r="BA201" s="51" t="n"/>
      <c r="BB201" s="51" t="n"/>
      <c r="BC201" s="51" t="n"/>
      <c r="BD201" s="51" t="n"/>
      <c r="BE201" s="51" t="n"/>
      <c r="BF201" s="51" t="n"/>
      <c r="BG201" s="51" t="n"/>
      <c r="BH201" s="51" t="n"/>
      <c r="BI201" s="51" t="n"/>
      <c r="BJ201" s="51" t="n"/>
      <c r="BK201" s="51" t="n"/>
      <c r="BL201" s="51" t="n"/>
      <c r="BM201" s="51" t="n"/>
    </row>
    <row r="202">
      <c r="A202" s="47">
        <f>IF(Mitarbeiter!B202="","",Mitarbeiter!A202)</f>
        <v/>
      </c>
      <c r="B202" s="48">
        <f>IF(Mitarbeiter!B202="","",Mitarbeiter!B202)</f>
        <v/>
      </c>
      <c r="C202" s="37">
        <f>IF(Mitarbeiter!B202="","",N(INDEX($F202:$BM202,1,(Einstellungen!$C$3-2026)*12+1))+N(INDEX($F202:$BM202,1,(Einstellungen!$C$3-2026)*12+2))+N(INDEX($F202:$BM202,1,(Einstellungen!$C$3-2026)*12+3))+N(INDEX($F202:$BM202,1,(Einstellungen!$C$3-2026)*12+4))+N(INDEX($F202:$BM202,1,(Einstellungen!$C$3-2026)*12+5))+N(INDEX($F202:$BM202,1,(Einstellungen!$C$3-2026)*12+6))+N(INDEX($F202:$BM202,1,(Einstellungen!$C$3-2026)*12+7))+N(INDEX($F202:$BM202,1,(Einstellungen!$C$3-2026)*12+8))+N(INDEX($F202:$BM202,1,(Einstellungen!$C$3-2026)*12+9))+N(INDEX($F202:$BM202,1,(Einstellungen!$C$3-2026)*12+10))+N(INDEX($F202:$BM202,1,(Einstellungen!$C$3-2026)*12+11))+N(INDEX($F202:$BM202,1,(Einstellungen!$C$3-2026)*12+12)))</f>
        <v/>
      </c>
      <c r="D202" s="37">
        <f>IF(Mitarbeiter!B202="","",SUM(F202:BM202))</f>
        <v/>
      </c>
      <c r="F202" s="51" t="n"/>
      <c r="G202" s="51" t="n"/>
      <c r="H202" s="51" t="n"/>
      <c r="I202" s="51" t="n"/>
      <c r="J202" s="51" t="n"/>
      <c r="K202" s="51" t="n"/>
      <c r="L202" s="51" t="n"/>
      <c r="M202" s="51" t="n"/>
      <c r="N202" s="51" t="n"/>
      <c r="O202" s="51" t="n"/>
      <c r="P202" s="51" t="n"/>
      <c r="Q202" s="51" t="n"/>
      <c r="R202" s="51" t="n"/>
      <c r="S202" s="51" t="n"/>
      <c r="T202" s="51" t="n"/>
      <c r="U202" s="51" t="n"/>
      <c r="V202" s="51" t="n"/>
      <c r="W202" s="51" t="n"/>
      <c r="X202" s="51" t="n"/>
      <c r="Y202" s="51" t="n"/>
      <c r="Z202" s="51" t="n"/>
      <c r="AA202" s="51" t="n"/>
      <c r="AB202" s="51" t="n"/>
      <c r="AC202" s="51" t="n"/>
      <c r="AD202" s="51" t="n"/>
      <c r="AE202" s="51" t="n"/>
      <c r="AF202" s="51" t="n"/>
      <c r="AG202" s="51" t="n"/>
      <c r="AH202" s="51" t="n"/>
      <c r="AI202" s="51" t="n"/>
      <c r="AJ202" s="51" t="n"/>
      <c r="AK202" s="51" t="n"/>
      <c r="AL202" s="51" t="n"/>
      <c r="AM202" s="51" t="n"/>
      <c r="AN202" s="51" t="n"/>
      <c r="AO202" s="51" t="n"/>
      <c r="AP202" s="51" t="n"/>
      <c r="AQ202" s="51" t="n"/>
      <c r="AR202" s="51" t="n"/>
      <c r="AS202" s="51" t="n"/>
      <c r="AT202" s="51" t="n"/>
      <c r="AU202" s="51" t="n"/>
      <c r="AV202" s="51" t="n"/>
      <c r="AW202" s="51" t="n"/>
      <c r="AX202" s="51" t="n"/>
      <c r="AY202" s="51" t="n"/>
      <c r="AZ202" s="51" t="n"/>
      <c r="BA202" s="51" t="n"/>
      <c r="BB202" s="51" t="n"/>
      <c r="BC202" s="51" t="n"/>
      <c r="BD202" s="51" t="n"/>
      <c r="BE202" s="51" t="n"/>
      <c r="BF202" s="51" t="n"/>
      <c r="BG202" s="51" t="n"/>
      <c r="BH202" s="51" t="n"/>
      <c r="BI202" s="51" t="n"/>
      <c r="BJ202" s="51" t="n"/>
      <c r="BK202" s="51" t="n"/>
      <c r="BL202" s="51" t="n"/>
      <c r="BM202" s="51" t="n"/>
    </row>
    <row r="203">
      <c r="A203" s="47">
        <f>IF(Mitarbeiter!B203="","",Mitarbeiter!A203)</f>
        <v/>
      </c>
      <c r="B203" s="48">
        <f>IF(Mitarbeiter!B203="","",Mitarbeiter!B203)</f>
        <v/>
      </c>
      <c r="C203" s="37">
        <f>IF(Mitarbeiter!B203="","",N(INDEX($F203:$BM203,1,(Einstellungen!$C$3-2026)*12+1))+N(INDEX($F203:$BM203,1,(Einstellungen!$C$3-2026)*12+2))+N(INDEX($F203:$BM203,1,(Einstellungen!$C$3-2026)*12+3))+N(INDEX($F203:$BM203,1,(Einstellungen!$C$3-2026)*12+4))+N(INDEX($F203:$BM203,1,(Einstellungen!$C$3-2026)*12+5))+N(INDEX($F203:$BM203,1,(Einstellungen!$C$3-2026)*12+6))+N(INDEX($F203:$BM203,1,(Einstellungen!$C$3-2026)*12+7))+N(INDEX($F203:$BM203,1,(Einstellungen!$C$3-2026)*12+8))+N(INDEX($F203:$BM203,1,(Einstellungen!$C$3-2026)*12+9))+N(INDEX($F203:$BM203,1,(Einstellungen!$C$3-2026)*12+10))+N(INDEX($F203:$BM203,1,(Einstellungen!$C$3-2026)*12+11))+N(INDEX($F203:$BM203,1,(Einstellungen!$C$3-2026)*12+12)))</f>
        <v/>
      </c>
      <c r="D203" s="37">
        <f>IF(Mitarbeiter!B203="","",SUM(F203:BM203))</f>
        <v/>
      </c>
      <c r="F203" s="51" t="n"/>
      <c r="G203" s="51" t="n"/>
      <c r="H203" s="51" t="n"/>
      <c r="I203" s="51" t="n"/>
      <c r="J203" s="51" t="n"/>
      <c r="K203" s="51" t="n"/>
      <c r="L203" s="51" t="n"/>
      <c r="M203" s="51" t="n"/>
      <c r="N203" s="51" t="n"/>
      <c r="O203" s="51" t="n"/>
      <c r="P203" s="51" t="n"/>
      <c r="Q203" s="51" t="n"/>
      <c r="R203" s="51" t="n"/>
      <c r="S203" s="51" t="n"/>
      <c r="T203" s="51" t="n"/>
      <c r="U203" s="51" t="n"/>
      <c r="V203" s="51" t="n"/>
      <c r="W203" s="51" t="n"/>
      <c r="X203" s="51" t="n"/>
      <c r="Y203" s="51" t="n"/>
      <c r="Z203" s="51" t="n"/>
      <c r="AA203" s="51" t="n"/>
      <c r="AB203" s="51" t="n"/>
      <c r="AC203" s="51" t="n"/>
      <c r="AD203" s="51" t="n"/>
      <c r="AE203" s="51" t="n"/>
      <c r="AF203" s="51" t="n"/>
      <c r="AG203" s="51" t="n"/>
      <c r="AH203" s="51" t="n"/>
      <c r="AI203" s="51" t="n"/>
      <c r="AJ203" s="51" t="n"/>
      <c r="AK203" s="51" t="n"/>
      <c r="AL203" s="51" t="n"/>
      <c r="AM203" s="51" t="n"/>
      <c r="AN203" s="51" t="n"/>
      <c r="AO203" s="51" t="n"/>
      <c r="AP203" s="51" t="n"/>
      <c r="AQ203" s="51" t="n"/>
      <c r="AR203" s="51" t="n"/>
      <c r="AS203" s="51" t="n"/>
      <c r="AT203" s="51" t="n"/>
      <c r="AU203" s="51" t="n"/>
      <c r="AV203" s="51" t="n"/>
      <c r="AW203" s="51" t="n"/>
      <c r="AX203" s="51" t="n"/>
      <c r="AY203" s="51" t="n"/>
      <c r="AZ203" s="51" t="n"/>
      <c r="BA203" s="51" t="n"/>
      <c r="BB203" s="51" t="n"/>
      <c r="BC203" s="51" t="n"/>
      <c r="BD203" s="51" t="n"/>
      <c r="BE203" s="51" t="n"/>
      <c r="BF203" s="51" t="n"/>
      <c r="BG203" s="51" t="n"/>
      <c r="BH203" s="51" t="n"/>
      <c r="BI203" s="51" t="n"/>
      <c r="BJ203" s="51" t="n"/>
      <c r="BK203" s="51" t="n"/>
      <c r="BL203" s="51" t="n"/>
      <c r="BM203" s="51" t="n"/>
    </row>
    <row r="204">
      <c r="A204" s="47">
        <f>IF(Mitarbeiter!B204="","",Mitarbeiter!A204)</f>
        <v/>
      </c>
      <c r="B204" s="48">
        <f>IF(Mitarbeiter!B204="","",Mitarbeiter!B204)</f>
        <v/>
      </c>
      <c r="C204" s="37">
        <f>IF(Mitarbeiter!B204="","",N(INDEX($F204:$BM204,1,(Einstellungen!$C$3-2026)*12+1))+N(INDEX($F204:$BM204,1,(Einstellungen!$C$3-2026)*12+2))+N(INDEX($F204:$BM204,1,(Einstellungen!$C$3-2026)*12+3))+N(INDEX($F204:$BM204,1,(Einstellungen!$C$3-2026)*12+4))+N(INDEX($F204:$BM204,1,(Einstellungen!$C$3-2026)*12+5))+N(INDEX($F204:$BM204,1,(Einstellungen!$C$3-2026)*12+6))+N(INDEX($F204:$BM204,1,(Einstellungen!$C$3-2026)*12+7))+N(INDEX($F204:$BM204,1,(Einstellungen!$C$3-2026)*12+8))+N(INDEX($F204:$BM204,1,(Einstellungen!$C$3-2026)*12+9))+N(INDEX($F204:$BM204,1,(Einstellungen!$C$3-2026)*12+10))+N(INDEX($F204:$BM204,1,(Einstellungen!$C$3-2026)*12+11))+N(INDEX($F204:$BM204,1,(Einstellungen!$C$3-2026)*12+12)))</f>
        <v/>
      </c>
      <c r="D204" s="37">
        <f>IF(Mitarbeiter!B204="","",SUM(F204:BM204))</f>
        <v/>
      </c>
      <c r="F204" s="51" t="n"/>
      <c r="G204" s="51" t="n"/>
      <c r="H204" s="51" t="n"/>
      <c r="I204" s="51" t="n"/>
      <c r="J204" s="51" t="n"/>
      <c r="K204" s="51" t="n"/>
      <c r="L204" s="51" t="n"/>
      <c r="M204" s="51" t="n"/>
      <c r="N204" s="51" t="n"/>
      <c r="O204" s="51" t="n"/>
      <c r="P204" s="51" t="n"/>
      <c r="Q204" s="51" t="n"/>
      <c r="R204" s="51" t="n"/>
      <c r="S204" s="51" t="n"/>
      <c r="T204" s="51" t="n"/>
      <c r="U204" s="51" t="n"/>
      <c r="V204" s="51" t="n"/>
      <c r="W204" s="51" t="n"/>
      <c r="X204" s="51" t="n"/>
      <c r="Y204" s="51" t="n"/>
      <c r="Z204" s="51" t="n"/>
      <c r="AA204" s="51" t="n"/>
      <c r="AB204" s="51" t="n"/>
      <c r="AC204" s="51" t="n"/>
      <c r="AD204" s="51" t="n"/>
      <c r="AE204" s="51" t="n"/>
      <c r="AF204" s="51" t="n"/>
      <c r="AG204" s="51" t="n"/>
      <c r="AH204" s="51" t="n"/>
      <c r="AI204" s="51" t="n"/>
      <c r="AJ204" s="51" t="n"/>
      <c r="AK204" s="51" t="n"/>
      <c r="AL204" s="51" t="n"/>
      <c r="AM204" s="51" t="n"/>
      <c r="AN204" s="51" t="n"/>
      <c r="AO204" s="51" t="n"/>
      <c r="AP204" s="51" t="n"/>
      <c r="AQ204" s="51" t="n"/>
      <c r="AR204" s="51" t="n"/>
      <c r="AS204" s="51" t="n"/>
      <c r="AT204" s="51" t="n"/>
      <c r="AU204" s="51" t="n"/>
      <c r="AV204" s="51" t="n"/>
      <c r="AW204" s="51" t="n"/>
      <c r="AX204" s="51" t="n"/>
      <c r="AY204" s="51" t="n"/>
      <c r="AZ204" s="51" t="n"/>
      <c r="BA204" s="51" t="n"/>
      <c r="BB204" s="51" t="n"/>
      <c r="BC204" s="51" t="n"/>
      <c r="BD204" s="51" t="n"/>
      <c r="BE204" s="51" t="n"/>
      <c r="BF204" s="51" t="n"/>
      <c r="BG204" s="51" t="n"/>
      <c r="BH204" s="51" t="n"/>
      <c r="BI204" s="51" t="n"/>
      <c r="BJ204" s="51" t="n"/>
      <c r="BK204" s="51" t="n"/>
      <c r="BL204" s="51" t="n"/>
      <c r="BM204" s="51" t="n"/>
    </row>
    <row r="205">
      <c r="A205" s="47">
        <f>IF(Mitarbeiter!B205="","",Mitarbeiter!A205)</f>
        <v/>
      </c>
      <c r="B205" s="48">
        <f>IF(Mitarbeiter!B205="","",Mitarbeiter!B205)</f>
        <v/>
      </c>
      <c r="C205" s="37">
        <f>IF(Mitarbeiter!B205="","",N(INDEX($F205:$BM205,1,(Einstellungen!$C$3-2026)*12+1))+N(INDEX($F205:$BM205,1,(Einstellungen!$C$3-2026)*12+2))+N(INDEX($F205:$BM205,1,(Einstellungen!$C$3-2026)*12+3))+N(INDEX($F205:$BM205,1,(Einstellungen!$C$3-2026)*12+4))+N(INDEX($F205:$BM205,1,(Einstellungen!$C$3-2026)*12+5))+N(INDEX($F205:$BM205,1,(Einstellungen!$C$3-2026)*12+6))+N(INDEX($F205:$BM205,1,(Einstellungen!$C$3-2026)*12+7))+N(INDEX($F205:$BM205,1,(Einstellungen!$C$3-2026)*12+8))+N(INDEX($F205:$BM205,1,(Einstellungen!$C$3-2026)*12+9))+N(INDEX($F205:$BM205,1,(Einstellungen!$C$3-2026)*12+10))+N(INDEX($F205:$BM205,1,(Einstellungen!$C$3-2026)*12+11))+N(INDEX($F205:$BM205,1,(Einstellungen!$C$3-2026)*12+12)))</f>
        <v/>
      </c>
      <c r="D205" s="37">
        <f>IF(Mitarbeiter!B205="","",SUM(F205:BM205))</f>
        <v/>
      </c>
      <c r="F205" s="51" t="n"/>
      <c r="G205" s="51" t="n"/>
      <c r="H205" s="51" t="n"/>
      <c r="I205" s="51" t="n"/>
      <c r="J205" s="51" t="n"/>
      <c r="K205" s="51" t="n"/>
      <c r="L205" s="51" t="n"/>
      <c r="M205" s="51" t="n"/>
      <c r="N205" s="51" t="n"/>
      <c r="O205" s="51" t="n"/>
      <c r="P205" s="51" t="n"/>
      <c r="Q205" s="51" t="n"/>
      <c r="R205" s="51" t="n"/>
      <c r="S205" s="51" t="n"/>
      <c r="T205" s="51" t="n"/>
      <c r="U205" s="51" t="n"/>
      <c r="V205" s="51" t="n"/>
      <c r="W205" s="51" t="n"/>
      <c r="X205" s="51" t="n"/>
      <c r="Y205" s="51" t="n"/>
      <c r="Z205" s="51" t="n"/>
      <c r="AA205" s="51" t="n"/>
      <c r="AB205" s="51" t="n"/>
      <c r="AC205" s="51" t="n"/>
      <c r="AD205" s="51" t="n"/>
      <c r="AE205" s="51" t="n"/>
      <c r="AF205" s="51" t="n"/>
      <c r="AG205" s="51" t="n"/>
      <c r="AH205" s="51" t="n"/>
      <c r="AI205" s="51" t="n"/>
      <c r="AJ205" s="51" t="n"/>
      <c r="AK205" s="51" t="n"/>
      <c r="AL205" s="51" t="n"/>
      <c r="AM205" s="51" t="n"/>
      <c r="AN205" s="51" t="n"/>
      <c r="AO205" s="51" t="n"/>
      <c r="AP205" s="51" t="n"/>
      <c r="AQ205" s="51" t="n"/>
      <c r="AR205" s="51" t="n"/>
      <c r="AS205" s="51" t="n"/>
      <c r="AT205" s="51" t="n"/>
      <c r="AU205" s="51" t="n"/>
      <c r="AV205" s="51" t="n"/>
      <c r="AW205" s="51" t="n"/>
      <c r="AX205" s="51" t="n"/>
      <c r="AY205" s="51" t="n"/>
      <c r="AZ205" s="51" t="n"/>
      <c r="BA205" s="51" t="n"/>
      <c r="BB205" s="51" t="n"/>
      <c r="BC205" s="51" t="n"/>
      <c r="BD205" s="51" t="n"/>
      <c r="BE205" s="51" t="n"/>
      <c r="BF205" s="51" t="n"/>
      <c r="BG205" s="51" t="n"/>
      <c r="BH205" s="51" t="n"/>
      <c r="BI205" s="51" t="n"/>
      <c r="BJ205" s="51" t="n"/>
      <c r="BK205" s="51" t="n"/>
      <c r="BL205" s="51" t="n"/>
      <c r="BM205" s="51" t="n"/>
    </row>
    <row r="206">
      <c r="A206" s="47">
        <f>IF(Mitarbeiter!B206="","",Mitarbeiter!A206)</f>
        <v/>
      </c>
      <c r="B206" s="48">
        <f>IF(Mitarbeiter!B206="","",Mitarbeiter!B206)</f>
        <v/>
      </c>
      <c r="C206" s="37">
        <f>IF(Mitarbeiter!B206="","",N(INDEX($F206:$BM206,1,(Einstellungen!$C$3-2026)*12+1))+N(INDEX($F206:$BM206,1,(Einstellungen!$C$3-2026)*12+2))+N(INDEX($F206:$BM206,1,(Einstellungen!$C$3-2026)*12+3))+N(INDEX($F206:$BM206,1,(Einstellungen!$C$3-2026)*12+4))+N(INDEX($F206:$BM206,1,(Einstellungen!$C$3-2026)*12+5))+N(INDEX($F206:$BM206,1,(Einstellungen!$C$3-2026)*12+6))+N(INDEX($F206:$BM206,1,(Einstellungen!$C$3-2026)*12+7))+N(INDEX($F206:$BM206,1,(Einstellungen!$C$3-2026)*12+8))+N(INDEX($F206:$BM206,1,(Einstellungen!$C$3-2026)*12+9))+N(INDEX($F206:$BM206,1,(Einstellungen!$C$3-2026)*12+10))+N(INDEX($F206:$BM206,1,(Einstellungen!$C$3-2026)*12+11))+N(INDEX($F206:$BM206,1,(Einstellungen!$C$3-2026)*12+12)))</f>
        <v/>
      </c>
      <c r="D206" s="37">
        <f>IF(Mitarbeiter!B206="","",SUM(F206:BM206))</f>
        <v/>
      </c>
      <c r="F206" s="51" t="n"/>
      <c r="G206" s="51" t="n"/>
      <c r="H206" s="51" t="n"/>
      <c r="I206" s="51" t="n"/>
      <c r="J206" s="51" t="n"/>
      <c r="K206" s="51" t="n"/>
      <c r="L206" s="51" t="n"/>
      <c r="M206" s="51" t="n"/>
      <c r="N206" s="51" t="n"/>
      <c r="O206" s="51" t="n"/>
      <c r="P206" s="51" t="n"/>
      <c r="Q206" s="51" t="n"/>
      <c r="R206" s="51" t="n"/>
      <c r="S206" s="51" t="n"/>
      <c r="T206" s="51" t="n"/>
      <c r="U206" s="51" t="n"/>
      <c r="V206" s="51" t="n"/>
      <c r="W206" s="51" t="n"/>
      <c r="X206" s="51" t="n"/>
      <c r="Y206" s="51" t="n"/>
      <c r="Z206" s="51" t="n"/>
      <c r="AA206" s="51" t="n"/>
      <c r="AB206" s="51" t="n"/>
      <c r="AC206" s="51" t="n"/>
      <c r="AD206" s="51" t="n"/>
      <c r="AE206" s="51" t="n"/>
      <c r="AF206" s="51" t="n"/>
      <c r="AG206" s="51" t="n"/>
      <c r="AH206" s="51" t="n"/>
      <c r="AI206" s="51" t="n"/>
      <c r="AJ206" s="51" t="n"/>
      <c r="AK206" s="51" t="n"/>
      <c r="AL206" s="51" t="n"/>
      <c r="AM206" s="51" t="n"/>
      <c r="AN206" s="51" t="n"/>
      <c r="AO206" s="51" t="n"/>
      <c r="AP206" s="51" t="n"/>
      <c r="AQ206" s="51" t="n"/>
      <c r="AR206" s="51" t="n"/>
      <c r="AS206" s="51" t="n"/>
      <c r="AT206" s="51" t="n"/>
      <c r="AU206" s="51" t="n"/>
      <c r="AV206" s="51" t="n"/>
      <c r="AW206" s="51" t="n"/>
      <c r="AX206" s="51" t="n"/>
      <c r="AY206" s="51" t="n"/>
      <c r="AZ206" s="51" t="n"/>
      <c r="BA206" s="51" t="n"/>
      <c r="BB206" s="51" t="n"/>
      <c r="BC206" s="51" t="n"/>
      <c r="BD206" s="51" t="n"/>
      <c r="BE206" s="51" t="n"/>
      <c r="BF206" s="51" t="n"/>
      <c r="BG206" s="51" t="n"/>
      <c r="BH206" s="51" t="n"/>
      <c r="BI206" s="51" t="n"/>
      <c r="BJ206" s="51" t="n"/>
      <c r="BK206" s="51" t="n"/>
      <c r="BL206" s="51" t="n"/>
      <c r="BM206" s="51" t="n"/>
    </row>
    <row r="207">
      <c r="A207" s="47">
        <f>IF(Mitarbeiter!B207="","",Mitarbeiter!A207)</f>
        <v/>
      </c>
      <c r="B207" s="48">
        <f>IF(Mitarbeiter!B207="","",Mitarbeiter!B207)</f>
        <v/>
      </c>
      <c r="C207" s="37">
        <f>IF(Mitarbeiter!B207="","",N(INDEX($F207:$BM207,1,(Einstellungen!$C$3-2026)*12+1))+N(INDEX($F207:$BM207,1,(Einstellungen!$C$3-2026)*12+2))+N(INDEX($F207:$BM207,1,(Einstellungen!$C$3-2026)*12+3))+N(INDEX($F207:$BM207,1,(Einstellungen!$C$3-2026)*12+4))+N(INDEX($F207:$BM207,1,(Einstellungen!$C$3-2026)*12+5))+N(INDEX($F207:$BM207,1,(Einstellungen!$C$3-2026)*12+6))+N(INDEX($F207:$BM207,1,(Einstellungen!$C$3-2026)*12+7))+N(INDEX($F207:$BM207,1,(Einstellungen!$C$3-2026)*12+8))+N(INDEX($F207:$BM207,1,(Einstellungen!$C$3-2026)*12+9))+N(INDEX($F207:$BM207,1,(Einstellungen!$C$3-2026)*12+10))+N(INDEX($F207:$BM207,1,(Einstellungen!$C$3-2026)*12+11))+N(INDEX($F207:$BM207,1,(Einstellungen!$C$3-2026)*12+12)))</f>
        <v/>
      </c>
      <c r="D207" s="37">
        <f>IF(Mitarbeiter!B207="","",SUM(F207:BM207))</f>
        <v/>
      </c>
      <c r="F207" s="51" t="n"/>
      <c r="G207" s="51" t="n"/>
      <c r="H207" s="51" t="n"/>
      <c r="I207" s="51" t="n"/>
      <c r="J207" s="51" t="n"/>
      <c r="K207" s="51" t="n"/>
      <c r="L207" s="51" t="n"/>
      <c r="M207" s="51" t="n"/>
      <c r="N207" s="51" t="n"/>
      <c r="O207" s="51" t="n"/>
      <c r="P207" s="51" t="n"/>
      <c r="Q207" s="51" t="n"/>
      <c r="R207" s="51" t="n"/>
      <c r="S207" s="51" t="n"/>
      <c r="T207" s="51" t="n"/>
      <c r="U207" s="51" t="n"/>
      <c r="V207" s="51" t="n"/>
      <c r="W207" s="51" t="n"/>
      <c r="X207" s="51" t="n"/>
      <c r="Y207" s="51" t="n"/>
      <c r="Z207" s="51" t="n"/>
      <c r="AA207" s="51" t="n"/>
      <c r="AB207" s="51" t="n"/>
      <c r="AC207" s="51" t="n"/>
      <c r="AD207" s="51" t="n"/>
      <c r="AE207" s="51" t="n"/>
      <c r="AF207" s="51" t="n"/>
      <c r="AG207" s="51" t="n"/>
      <c r="AH207" s="51" t="n"/>
      <c r="AI207" s="51" t="n"/>
      <c r="AJ207" s="51" t="n"/>
      <c r="AK207" s="51" t="n"/>
      <c r="AL207" s="51" t="n"/>
      <c r="AM207" s="51" t="n"/>
      <c r="AN207" s="51" t="n"/>
      <c r="AO207" s="51" t="n"/>
      <c r="AP207" s="51" t="n"/>
      <c r="AQ207" s="51" t="n"/>
      <c r="AR207" s="51" t="n"/>
      <c r="AS207" s="51" t="n"/>
      <c r="AT207" s="51" t="n"/>
      <c r="AU207" s="51" t="n"/>
      <c r="AV207" s="51" t="n"/>
      <c r="AW207" s="51" t="n"/>
      <c r="AX207" s="51" t="n"/>
      <c r="AY207" s="51" t="n"/>
      <c r="AZ207" s="51" t="n"/>
      <c r="BA207" s="51" t="n"/>
      <c r="BB207" s="51" t="n"/>
      <c r="BC207" s="51" t="n"/>
      <c r="BD207" s="51" t="n"/>
      <c r="BE207" s="51" t="n"/>
      <c r="BF207" s="51" t="n"/>
      <c r="BG207" s="51" t="n"/>
      <c r="BH207" s="51" t="n"/>
      <c r="BI207" s="51" t="n"/>
      <c r="BJ207" s="51" t="n"/>
      <c r="BK207" s="51" t="n"/>
      <c r="BL207" s="51" t="n"/>
      <c r="BM207" s="51" t="n"/>
    </row>
    <row r="208">
      <c r="A208" s="47">
        <f>IF(Mitarbeiter!B208="","",Mitarbeiter!A208)</f>
        <v/>
      </c>
      <c r="B208" s="48">
        <f>IF(Mitarbeiter!B208="","",Mitarbeiter!B208)</f>
        <v/>
      </c>
      <c r="C208" s="37">
        <f>IF(Mitarbeiter!B208="","",N(INDEX($F208:$BM208,1,(Einstellungen!$C$3-2026)*12+1))+N(INDEX($F208:$BM208,1,(Einstellungen!$C$3-2026)*12+2))+N(INDEX($F208:$BM208,1,(Einstellungen!$C$3-2026)*12+3))+N(INDEX($F208:$BM208,1,(Einstellungen!$C$3-2026)*12+4))+N(INDEX($F208:$BM208,1,(Einstellungen!$C$3-2026)*12+5))+N(INDEX($F208:$BM208,1,(Einstellungen!$C$3-2026)*12+6))+N(INDEX($F208:$BM208,1,(Einstellungen!$C$3-2026)*12+7))+N(INDEX($F208:$BM208,1,(Einstellungen!$C$3-2026)*12+8))+N(INDEX($F208:$BM208,1,(Einstellungen!$C$3-2026)*12+9))+N(INDEX($F208:$BM208,1,(Einstellungen!$C$3-2026)*12+10))+N(INDEX($F208:$BM208,1,(Einstellungen!$C$3-2026)*12+11))+N(INDEX($F208:$BM208,1,(Einstellungen!$C$3-2026)*12+12)))</f>
        <v/>
      </c>
      <c r="D208" s="37">
        <f>IF(Mitarbeiter!B208="","",SUM(F208:BM208))</f>
        <v/>
      </c>
      <c r="F208" s="51" t="n"/>
      <c r="G208" s="51" t="n"/>
      <c r="H208" s="51" t="n"/>
      <c r="I208" s="51" t="n"/>
      <c r="J208" s="51" t="n"/>
      <c r="K208" s="51" t="n"/>
      <c r="L208" s="51" t="n"/>
      <c r="M208" s="51" t="n"/>
      <c r="N208" s="51" t="n"/>
      <c r="O208" s="51" t="n"/>
      <c r="P208" s="51" t="n"/>
      <c r="Q208" s="51" t="n"/>
      <c r="R208" s="51" t="n"/>
      <c r="S208" s="51" t="n"/>
      <c r="T208" s="51" t="n"/>
      <c r="U208" s="51" t="n"/>
      <c r="V208" s="51" t="n"/>
      <c r="W208" s="51" t="n"/>
      <c r="X208" s="51" t="n"/>
      <c r="Y208" s="51" t="n"/>
      <c r="Z208" s="51" t="n"/>
      <c r="AA208" s="51" t="n"/>
      <c r="AB208" s="51" t="n"/>
      <c r="AC208" s="51" t="n"/>
      <c r="AD208" s="51" t="n"/>
      <c r="AE208" s="51" t="n"/>
      <c r="AF208" s="51" t="n"/>
      <c r="AG208" s="51" t="n"/>
      <c r="AH208" s="51" t="n"/>
      <c r="AI208" s="51" t="n"/>
      <c r="AJ208" s="51" t="n"/>
      <c r="AK208" s="51" t="n"/>
      <c r="AL208" s="51" t="n"/>
      <c r="AM208" s="51" t="n"/>
      <c r="AN208" s="51" t="n"/>
      <c r="AO208" s="51" t="n"/>
      <c r="AP208" s="51" t="n"/>
      <c r="AQ208" s="51" t="n"/>
      <c r="AR208" s="51" t="n"/>
      <c r="AS208" s="51" t="n"/>
      <c r="AT208" s="51" t="n"/>
      <c r="AU208" s="51" t="n"/>
      <c r="AV208" s="51" t="n"/>
      <c r="AW208" s="51" t="n"/>
      <c r="AX208" s="51" t="n"/>
      <c r="AY208" s="51" t="n"/>
      <c r="AZ208" s="51" t="n"/>
      <c r="BA208" s="51" t="n"/>
      <c r="BB208" s="51" t="n"/>
      <c r="BC208" s="51" t="n"/>
      <c r="BD208" s="51" t="n"/>
      <c r="BE208" s="51" t="n"/>
      <c r="BF208" s="51" t="n"/>
      <c r="BG208" s="51" t="n"/>
      <c r="BH208" s="51" t="n"/>
      <c r="BI208" s="51" t="n"/>
      <c r="BJ208" s="51" t="n"/>
      <c r="BK208" s="51" t="n"/>
      <c r="BL208" s="51" t="n"/>
      <c r="BM208" s="51" t="n"/>
    </row>
    <row r="209">
      <c r="A209" s="47">
        <f>IF(Mitarbeiter!B209="","",Mitarbeiter!A209)</f>
        <v/>
      </c>
      <c r="B209" s="48">
        <f>IF(Mitarbeiter!B209="","",Mitarbeiter!B209)</f>
        <v/>
      </c>
      <c r="C209" s="37">
        <f>IF(Mitarbeiter!B209="","",N(INDEX($F209:$BM209,1,(Einstellungen!$C$3-2026)*12+1))+N(INDEX($F209:$BM209,1,(Einstellungen!$C$3-2026)*12+2))+N(INDEX($F209:$BM209,1,(Einstellungen!$C$3-2026)*12+3))+N(INDEX($F209:$BM209,1,(Einstellungen!$C$3-2026)*12+4))+N(INDEX($F209:$BM209,1,(Einstellungen!$C$3-2026)*12+5))+N(INDEX($F209:$BM209,1,(Einstellungen!$C$3-2026)*12+6))+N(INDEX($F209:$BM209,1,(Einstellungen!$C$3-2026)*12+7))+N(INDEX($F209:$BM209,1,(Einstellungen!$C$3-2026)*12+8))+N(INDEX($F209:$BM209,1,(Einstellungen!$C$3-2026)*12+9))+N(INDEX($F209:$BM209,1,(Einstellungen!$C$3-2026)*12+10))+N(INDEX($F209:$BM209,1,(Einstellungen!$C$3-2026)*12+11))+N(INDEX($F209:$BM209,1,(Einstellungen!$C$3-2026)*12+12)))</f>
        <v/>
      </c>
      <c r="D209" s="37">
        <f>IF(Mitarbeiter!B209="","",SUM(F209:BM209))</f>
        <v/>
      </c>
      <c r="F209" s="51" t="n"/>
      <c r="G209" s="51" t="n"/>
      <c r="H209" s="51" t="n"/>
      <c r="I209" s="51" t="n"/>
      <c r="J209" s="51" t="n"/>
      <c r="K209" s="51" t="n"/>
      <c r="L209" s="51" t="n"/>
      <c r="M209" s="51" t="n"/>
      <c r="N209" s="51" t="n"/>
      <c r="O209" s="51" t="n"/>
      <c r="P209" s="51" t="n"/>
      <c r="Q209" s="51" t="n"/>
      <c r="R209" s="51" t="n"/>
      <c r="S209" s="51" t="n"/>
      <c r="T209" s="51" t="n"/>
      <c r="U209" s="51" t="n"/>
      <c r="V209" s="51" t="n"/>
      <c r="W209" s="51" t="n"/>
      <c r="X209" s="51" t="n"/>
      <c r="Y209" s="51" t="n"/>
      <c r="Z209" s="51" t="n"/>
      <c r="AA209" s="51" t="n"/>
      <c r="AB209" s="51" t="n"/>
      <c r="AC209" s="51" t="n"/>
      <c r="AD209" s="51" t="n"/>
      <c r="AE209" s="51" t="n"/>
      <c r="AF209" s="51" t="n"/>
      <c r="AG209" s="51" t="n"/>
      <c r="AH209" s="51" t="n"/>
      <c r="AI209" s="51" t="n"/>
      <c r="AJ209" s="51" t="n"/>
      <c r="AK209" s="51" t="n"/>
      <c r="AL209" s="51" t="n"/>
      <c r="AM209" s="51" t="n"/>
      <c r="AN209" s="51" t="n"/>
      <c r="AO209" s="51" t="n"/>
      <c r="AP209" s="51" t="n"/>
      <c r="AQ209" s="51" t="n"/>
      <c r="AR209" s="51" t="n"/>
      <c r="AS209" s="51" t="n"/>
      <c r="AT209" s="51" t="n"/>
      <c r="AU209" s="51" t="n"/>
      <c r="AV209" s="51" t="n"/>
      <c r="AW209" s="51" t="n"/>
      <c r="AX209" s="51" t="n"/>
      <c r="AY209" s="51" t="n"/>
      <c r="AZ209" s="51" t="n"/>
      <c r="BA209" s="51" t="n"/>
      <c r="BB209" s="51" t="n"/>
      <c r="BC209" s="51" t="n"/>
      <c r="BD209" s="51" t="n"/>
      <c r="BE209" s="51" t="n"/>
      <c r="BF209" s="51" t="n"/>
      <c r="BG209" s="51" t="n"/>
      <c r="BH209" s="51" t="n"/>
      <c r="BI209" s="51" t="n"/>
      <c r="BJ209" s="51" t="n"/>
      <c r="BK209" s="51" t="n"/>
      <c r="BL209" s="51" t="n"/>
      <c r="BM209" s="51" t="n"/>
    </row>
    <row r="210">
      <c r="A210" s="47">
        <f>IF(Mitarbeiter!B210="","",Mitarbeiter!A210)</f>
        <v/>
      </c>
      <c r="B210" s="48">
        <f>IF(Mitarbeiter!B210="","",Mitarbeiter!B210)</f>
        <v/>
      </c>
      <c r="C210" s="37">
        <f>IF(Mitarbeiter!B210="","",N(INDEX($F210:$BM210,1,(Einstellungen!$C$3-2026)*12+1))+N(INDEX($F210:$BM210,1,(Einstellungen!$C$3-2026)*12+2))+N(INDEX($F210:$BM210,1,(Einstellungen!$C$3-2026)*12+3))+N(INDEX($F210:$BM210,1,(Einstellungen!$C$3-2026)*12+4))+N(INDEX($F210:$BM210,1,(Einstellungen!$C$3-2026)*12+5))+N(INDEX($F210:$BM210,1,(Einstellungen!$C$3-2026)*12+6))+N(INDEX($F210:$BM210,1,(Einstellungen!$C$3-2026)*12+7))+N(INDEX($F210:$BM210,1,(Einstellungen!$C$3-2026)*12+8))+N(INDEX($F210:$BM210,1,(Einstellungen!$C$3-2026)*12+9))+N(INDEX($F210:$BM210,1,(Einstellungen!$C$3-2026)*12+10))+N(INDEX($F210:$BM210,1,(Einstellungen!$C$3-2026)*12+11))+N(INDEX($F210:$BM210,1,(Einstellungen!$C$3-2026)*12+12)))</f>
        <v/>
      </c>
      <c r="D210" s="37">
        <f>IF(Mitarbeiter!B210="","",SUM(F210:BM210))</f>
        <v/>
      </c>
      <c r="F210" s="51" t="n"/>
      <c r="G210" s="51" t="n"/>
      <c r="H210" s="51" t="n"/>
      <c r="I210" s="51" t="n"/>
      <c r="J210" s="51" t="n"/>
      <c r="K210" s="51" t="n"/>
      <c r="L210" s="51" t="n"/>
      <c r="M210" s="51" t="n"/>
      <c r="N210" s="51" t="n"/>
      <c r="O210" s="51" t="n"/>
      <c r="P210" s="51" t="n"/>
      <c r="Q210" s="51" t="n"/>
      <c r="R210" s="51" t="n"/>
      <c r="S210" s="51" t="n"/>
      <c r="T210" s="51" t="n"/>
      <c r="U210" s="51" t="n"/>
      <c r="V210" s="51" t="n"/>
      <c r="W210" s="51" t="n"/>
      <c r="X210" s="51" t="n"/>
      <c r="Y210" s="51" t="n"/>
      <c r="Z210" s="51" t="n"/>
      <c r="AA210" s="51" t="n"/>
      <c r="AB210" s="51" t="n"/>
      <c r="AC210" s="51" t="n"/>
      <c r="AD210" s="51" t="n"/>
      <c r="AE210" s="51" t="n"/>
      <c r="AF210" s="51" t="n"/>
      <c r="AG210" s="51" t="n"/>
      <c r="AH210" s="51" t="n"/>
      <c r="AI210" s="51" t="n"/>
      <c r="AJ210" s="51" t="n"/>
      <c r="AK210" s="51" t="n"/>
      <c r="AL210" s="51" t="n"/>
      <c r="AM210" s="51" t="n"/>
      <c r="AN210" s="51" t="n"/>
      <c r="AO210" s="51" t="n"/>
      <c r="AP210" s="51" t="n"/>
      <c r="AQ210" s="51" t="n"/>
      <c r="AR210" s="51" t="n"/>
      <c r="AS210" s="51" t="n"/>
      <c r="AT210" s="51" t="n"/>
      <c r="AU210" s="51" t="n"/>
      <c r="AV210" s="51" t="n"/>
      <c r="AW210" s="51" t="n"/>
      <c r="AX210" s="51" t="n"/>
      <c r="AY210" s="51" t="n"/>
      <c r="AZ210" s="51" t="n"/>
      <c r="BA210" s="51" t="n"/>
      <c r="BB210" s="51" t="n"/>
      <c r="BC210" s="51" t="n"/>
      <c r="BD210" s="51" t="n"/>
      <c r="BE210" s="51" t="n"/>
      <c r="BF210" s="51" t="n"/>
      <c r="BG210" s="51" t="n"/>
      <c r="BH210" s="51" t="n"/>
      <c r="BI210" s="51" t="n"/>
      <c r="BJ210" s="51" t="n"/>
      <c r="BK210" s="51" t="n"/>
      <c r="BL210" s="51" t="n"/>
      <c r="BM210" s="51" t="n"/>
    </row>
    <row r="211">
      <c r="A211" s="47">
        <f>IF(Mitarbeiter!B211="","",Mitarbeiter!A211)</f>
        <v/>
      </c>
      <c r="B211" s="48">
        <f>IF(Mitarbeiter!B211="","",Mitarbeiter!B211)</f>
        <v/>
      </c>
      <c r="C211" s="37">
        <f>IF(Mitarbeiter!B211="","",N(INDEX($F211:$BM211,1,(Einstellungen!$C$3-2026)*12+1))+N(INDEX($F211:$BM211,1,(Einstellungen!$C$3-2026)*12+2))+N(INDEX($F211:$BM211,1,(Einstellungen!$C$3-2026)*12+3))+N(INDEX($F211:$BM211,1,(Einstellungen!$C$3-2026)*12+4))+N(INDEX($F211:$BM211,1,(Einstellungen!$C$3-2026)*12+5))+N(INDEX($F211:$BM211,1,(Einstellungen!$C$3-2026)*12+6))+N(INDEX($F211:$BM211,1,(Einstellungen!$C$3-2026)*12+7))+N(INDEX($F211:$BM211,1,(Einstellungen!$C$3-2026)*12+8))+N(INDEX($F211:$BM211,1,(Einstellungen!$C$3-2026)*12+9))+N(INDEX($F211:$BM211,1,(Einstellungen!$C$3-2026)*12+10))+N(INDEX($F211:$BM211,1,(Einstellungen!$C$3-2026)*12+11))+N(INDEX($F211:$BM211,1,(Einstellungen!$C$3-2026)*12+12)))</f>
        <v/>
      </c>
      <c r="D211" s="37">
        <f>IF(Mitarbeiter!B211="","",SUM(F211:BM211))</f>
        <v/>
      </c>
      <c r="F211" s="51" t="n"/>
      <c r="G211" s="51" t="n"/>
      <c r="H211" s="51" t="n"/>
      <c r="I211" s="51" t="n"/>
      <c r="J211" s="51" t="n"/>
      <c r="K211" s="51" t="n"/>
      <c r="L211" s="51" t="n"/>
      <c r="M211" s="51" t="n"/>
      <c r="N211" s="51" t="n"/>
      <c r="O211" s="51" t="n"/>
      <c r="P211" s="51" t="n"/>
      <c r="Q211" s="51" t="n"/>
      <c r="R211" s="51" t="n"/>
      <c r="S211" s="51" t="n"/>
      <c r="T211" s="51" t="n"/>
      <c r="U211" s="51" t="n"/>
      <c r="V211" s="51" t="n"/>
      <c r="W211" s="51" t="n"/>
      <c r="X211" s="51" t="n"/>
      <c r="Y211" s="51" t="n"/>
      <c r="Z211" s="51" t="n"/>
      <c r="AA211" s="51" t="n"/>
      <c r="AB211" s="51" t="n"/>
      <c r="AC211" s="51" t="n"/>
      <c r="AD211" s="51" t="n"/>
      <c r="AE211" s="51" t="n"/>
      <c r="AF211" s="51" t="n"/>
      <c r="AG211" s="51" t="n"/>
      <c r="AH211" s="51" t="n"/>
      <c r="AI211" s="51" t="n"/>
      <c r="AJ211" s="51" t="n"/>
      <c r="AK211" s="51" t="n"/>
      <c r="AL211" s="51" t="n"/>
      <c r="AM211" s="51" t="n"/>
      <c r="AN211" s="51" t="n"/>
      <c r="AO211" s="51" t="n"/>
      <c r="AP211" s="51" t="n"/>
      <c r="AQ211" s="51" t="n"/>
      <c r="AR211" s="51" t="n"/>
      <c r="AS211" s="51" t="n"/>
      <c r="AT211" s="51" t="n"/>
      <c r="AU211" s="51" t="n"/>
      <c r="AV211" s="51" t="n"/>
      <c r="AW211" s="51" t="n"/>
      <c r="AX211" s="51" t="n"/>
      <c r="AY211" s="51" t="n"/>
      <c r="AZ211" s="51" t="n"/>
      <c r="BA211" s="51" t="n"/>
      <c r="BB211" s="51" t="n"/>
      <c r="BC211" s="51" t="n"/>
      <c r="BD211" s="51" t="n"/>
      <c r="BE211" s="51" t="n"/>
      <c r="BF211" s="51" t="n"/>
      <c r="BG211" s="51" t="n"/>
      <c r="BH211" s="51" t="n"/>
      <c r="BI211" s="51" t="n"/>
      <c r="BJ211" s="51" t="n"/>
      <c r="BK211" s="51" t="n"/>
      <c r="BL211" s="51" t="n"/>
      <c r="BM211" s="51" t="n"/>
    </row>
    <row r="212">
      <c r="A212" s="47">
        <f>IF(Mitarbeiter!B212="","",Mitarbeiter!A212)</f>
        <v/>
      </c>
      <c r="B212" s="48">
        <f>IF(Mitarbeiter!B212="","",Mitarbeiter!B212)</f>
        <v/>
      </c>
      <c r="C212" s="37">
        <f>IF(Mitarbeiter!B212="","",N(INDEX($F212:$BM212,1,(Einstellungen!$C$3-2026)*12+1))+N(INDEX($F212:$BM212,1,(Einstellungen!$C$3-2026)*12+2))+N(INDEX($F212:$BM212,1,(Einstellungen!$C$3-2026)*12+3))+N(INDEX($F212:$BM212,1,(Einstellungen!$C$3-2026)*12+4))+N(INDEX($F212:$BM212,1,(Einstellungen!$C$3-2026)*12+5))+N(INDEX($F212:$BM212,1,(Einstellungen!$C$3-2026)*12+6))+N(INDEX($F212:$BM212,1,(Einstellungen!$C$3-2026)*12+7))+N(INDEX($F212:$BM212,1,(Einstellungen!$C$3-2026)*12+8))+N(INDEX($F212:$BM212,1,(Einstellungen!$C$3-2026)*12+9))+N(INDEX($F212:$BM212,1,(Einstellungen!$C$3-2026)*12+10))+N(INDEX($F212:$BM212,1,(Einstellungen!$C$3-2026)*12+11))+N(INDEX($F212:$BM212,1,(Einstellungen!$C$3-2026)*12+12)))</f>
        <v/>
      </c>
      <c r="D212" s="37">
        <f>IF(Mitarbeiter!B212="","",SUM(F212:BM212))</f>
        <v/>
      </c>
      <c r="F212" s="51" t="n"/>
      <c r="G212" s="51" t="n"/>
      <c r="H212" s="51" t="n"/>
      <c r="I212" s="51" t="n"/>
      <c r="J212" s="51" t="n"/>
      <c r="K212" s="51" t="n"/>
      <c r="L212" s="51" t="n"/>
      <c r="M212" s="51" t="n"/>
      <c r="N212" s="51" t="n"/>
      <c r="O212" s="51" t="n"/>
      <c r="P212" s="51" t="n"/>
      <c r="Q212" s="51" t="n"/>
      <c r="R212" s="51" t="n"/>
      <c r="S212" s="51" t="n"/>
      <c r="T212" s="51" t="n"/>
      <c r="U212" s="51" t="n"/>
      <c r="V212" s="51" t="n"/>
      <c r="W212" s="51" t="n"/>
      <c r="X212" s="51" t="n"/>
      <c r="Y212" s="51" t="n"/>
      <c r="Z212" s="51" t="n"/>
      <c r="AA212" s="51" t="n"/>
      <c r="AB212" s="51" t="n"/>
      <c r="AC212" s="51" t="n"/>
      <c r="AD212" s="51" t="n"/>
      <c r="AE212" s="51" t="n"/>
      <c r="AF212" s="51" t="n"/>
      <c r="AG212" s="51" t="n"/>
      <c r="AH212" s="51" t="n"/>
      <c r="AI212" s="51" t="n"/>
      <c r="AJ212" s="51" t="n"/>
      <c r="AK212" s="51" t="n"/>
      <c r="AL212" s="51" t="n"/>
      <c r="AM212" s="51" t="n"/>
      <c r="AN212" s="51" t="n"/>
      <c r="AO212" s="51" t="n"/>
      <c r="AP212" s="51" t="n"/>
      <c r="AQ212" s="51" t="n"/>
      <c r="AR212" s="51" t="n"/>
      <c r="AS212" s="51" t="n"/>
      <c r="AT212" s="51" t="n"/>
      <c r="AU212" s="51" t="n"/>
      <c r="AV212" s="51" t="n"/>
      <c r="AW212" s="51" t="n"/>
      <c r="AX212" s="51" t="n"/>
      <c r="AY212" s="51" t="n"/>
      <c r="AZ212" s="51" t="n"/>
      <c r="BA212" s="51" t="n"/>
      <c r="BB212" s="51" t="n"/>
      <c r="BC212" s="51" t="n"/>
      <c r="BD212" s="51" t="n"/>
      <c r="BE212" s="51" t="n"/>
      <c r="BF212" s="51" t="n"/>
      <c r="BG212" s="51" t="n"/>
      <c r="BH212" s="51" t="n"/>
      <c r="BI212" s="51" t="n"/>
      <c r="BJ212" s="51" t="n"/>
      <c r="BK212" s="51" t="n"/>
      <c r="BL212" s="51" t="n"/>
      <c r="BM212" s="51" t="n"/>
    </row>
    <row r="213">
      <c r="A213" s="47">
        <f>IF(Mitarbeiter!B213="","",Mitarbeiter!A213)</f>
        <v/>
      </c>
      <c r="B213" s="48">
        <f>IF(Mitarbeiter!B213="","",Mitarbeiter!B213)</f>
        <v/>
      </c>
      <c r="C213" s="37">
        <f>IF(Mitarbeiter!B213="","",N(INDEX($F213:$BM213,1,(Einstellungen!$C$3-2026)*12+1))+N(INDEX($F213:$BM213,1,(Einstellungen!$C$3-2026)*12+2))+N(INDEX($F213:$BM213,1,(Einstellungen!$C$3-2026)*12+3))+N(INDEX($F213:$BM213,1,(Einstellungen!$C$3-2026)*12+4))+N(INDEX($F213:$BM213,1,(Einstellungen!$C$3-2026)*12+5))+N(INDEX($F213:$BM213,1,(Einstellungen!$C$3-2026)*12+6))+N(INDEX($F213:$BM213,1,(Einstellungen!$C$3-2026)*12+7))+N(INDEX($F213:$BM213,1,(Einstellungen!$C$3-2026)*12+8))+N(INDEX($F213:$BM213,1,(Einstellungen!$C$3-2026)*12+9))+N(INDEX($F213:$BM213,1,(Einstellungen!$C$3-2026)*12+10))+N(INDEX($F213:$BM213,1,(Einstellungen!$C$3-2026)*12+11))+N(INDEX($F213:$BM213,1,(Einstellungen!$C$3-2026)*12+12)))</f>
        <v/>
      </c>
      <c r="D213" s="37">
        <f>IF(Mitarbeiter!B213="","",SUM(F213:BM213))</f>
        <v/>
      </c>
      <c r="F213" s="51" t="n"/>
      <c r="G213" s="51" t="n"/>
      <c r="H213" s="51" t="n"/>
      <c r="I213" s="51" t="n"/>
      <c r="J213" s="51" t="n"/>
      <c r="K213" s="51" t="n"/>
      <c r="L213" s="51" t="n"/>
      <c r="M213" s="51" t="n"/>
      <c r="N213" s="51" t="n"/>
      <c r="O213" s="51" t="n"/>
      <c r="P213" s="51" t="n"/>
      <c r="Q213" s="51" t="n"/>
      <c r="R213" s="51" t="n"/>
      <c r="S213" s="51" t="n"/>
      <c r="T213" s="51" t="n"/>
      <c r="U213" s="51" t="n"/>
      <c r="V213" s="51" t="n"/>
      <c r="W213" s="51" t="n"/>
      <c r="X213" s="51" t="n"/>
      <c r="Y213" s="51" t="n"/>
      <c r="Z213" s="51" t="n"/>
      <c r="AA213" s="51" t="n"/>
      <c r="AB213" s="51" t="n"/>
      <c r="AC213" s="51" t="n"/>
      <c r="AD213" s="51" t="n"/>
      <c r="AE213" s="51" t="n"/>
      <c r="AF213" s="51" t="n"/>
      <c r="AG213" s="51" t="n"/>
      <c r="AH213" s="51" t="n"/>
      <c r="AI213" s="51" t="n"/>
      <c r="AJ213" s="51" t="n"/>
      <c r="AK213" s="51" t="n"/>
      <c r="AL213" s="51" t="n"/>
      <c r="AM213" s="51" t="n"/>
      <c r="AN213" s="51" t="n"/>
      <c r="AO213" s="51" t="n"/>
      <c r="AP213" s="51" t="n"/>
      <c r="AQ213" s="51" t="n"/>
      <c r="AR213" s="51" t="n"/>
      <c r="AS213" s="51" t="n"/>
      <c r="AT213" s="51" t="n"/>
      <c r="AU213" s="51" t="n"/>
      <c r="AV213" s="51" t="n"/>
      <c r="AW213" s="51" t="n"/>
      <c r="AX213" s="51" t="n"/>
      <c r="AY213" s="51" t="n"/>
      <c r="AZ213" s="51" t="n"/>
      <c r="BA213" s="51" t="n"/>
      <c r="BB213" s="51" t="n"/>
      <c r="BC213" s="51" t="n"/>
      <c r="BD213" s="51" t="n"/>
      <c r="BE213" s="51" t="n"/>
      <c r="BF213" s="51" t="n"/>
      <c r="BG213" s="51" t="n"/>
      <c r="BH213" s="51" t="n"/>
      <c r="BI213" s="51" t="n"/>
      <c r="BJ213" s="51" t="n"/>
      <c r="BK213" s="51" t="n"/>
      <c r="BL213" s="51" t="n"/>
      <c r="BM213" s="51" t="n"/>
    </row>
    <row r="214">
      <c r="A214" s="47">
        <f>IF(Mitarbeiter!B214="","",Mitarbeiter!A214)</f>
        <v/>
      </c>
      <c r="B214" s="48">
        <f>IF(Mitarbeiter!B214="","",Mitarbeiter!B214)</f>
        <v/>
      </c>
      <c r="C214" s="37">
        <f>IF(Mitarbeiter!B214="","",N(INDEX($F214:$BM214,1,(Einstellungen!$C$3-2026)*12+1))+N(INDEX($F214:$BM214,1,(Einstellungen!$C$3-2026)*12+2))+N(INDEX($F214:$BM214,1,(Einstellungen!$C$3-2026)*12+3))+N(INDEX($F214:$BM214,1,(Einstellungen!$C$3-2026)*12+4))+N(INDEX($F214:$BM214,1,(Einstellungen!$C$3-2026)*12+5))+N(INDEX($F214:$BM214,1,(Einstellungen!$C$3-2026)*12+6))+N(INDEX($F214:$BM214,1,(Einstellungen!$C$3-2026)*12+7))+N(INDEX($F214:$BM214,1,(Einstellungen!$C$3-2026)*12+8))+N(INDEX($F214:$BM214,1,(Einstellungen!$C$3-2026)*12+9))+N(INDEX($F214:$BM214,1,(Einstellungen!$C$3-2026)*12+10))+N(INDEX($F214:$BM214,1,(Einstellungen!$C$3-2026)*12+11))+N(INDEX($F214:$BM214,1,(Einstellungen!$C$3-2026)*12+12)))</f>
        <v/>
      </c>
      <c r="D214" s="37">
        <f>IF(Mitarbeiter!B214="","",SUM(F214:BM214))</f>
        <v/>
      </c>
      <c r="F214" s="51" t="n"/>
      <c r="G214" s="51" t="n"/>
      <c r="H214" s="51" t="n"/>
      <c r="I214" s="51" t="n"/>
      <c r="J214" s="51" t="n"/>
      <c r="K214" s="51" t="n"/>
      <c r="L214" s="51" t="n"/>
      <c r="M214" s="51" t="n"/>
      <c r="N214" s="51" t="n"/>
      <c r="O214" s="51" t="n"/>
      <c r="P214" s="51" t="n"/>
      <c r="Q214" s="51" t="n"/>
      <c r="R214" s="51" t="n"/>
      <c r="S214" s="51" t="n"/>
      <c r="T214" s="51" t="n"/>
      <c r="U214" s="51" t="n"/>
      <c r="V214" s="51" t="n"/>
      <c r="W214" s="51" t="n"/>
      <c r="X214" s="51" t="n"/>
      <c r="Y214" s="51" t="n"/>
      <c r="Z214" s="51" t="n"/>
      <c r="AA214" s="51" t="n"/>
      <c r="AB214" s="51" t="n"/>
      <c r="AC214" s="51" t="n"/>
      <c r="AD214" s="51" t="n"/>
      <c r="AE214" s="51" t="n"/>
      <c r="AF214" s="51" t="n"/>
      <c r="AG214" s="51" t="n"/>
      <c r="AH214" s="51" t="n"/>
      <c r="AI214" s="51" t="n"/>
      <c r="AJ214" s="51" t="n"/>
      <c r="AK214" s="51" t="n"/>
      <c r="AL214" s="51" t="n"/>
      <c r="AM214" s="51" t="n"/>
      <c r="AN214" s="51" t="n"/>
      <c r="AO214" s="51" t="n"/>
      <c r="AP214" s="51" t="n"/>
      <c r="AQ214" s="51" t="n"/>
      <c r="AR214" s="51" t="n"/>
      <c r="AS214" s="51" t="n"/>
      <c r="AT214" s="51" t="n"/>
      <c r="AU214" s="51" t="n"/>
      <c r="AV214" s="51" t="n"/>
      <c r="AW214" s="51" t="n"/>
      <c r="AX214" s="51" t="n"/>
      <c r="AY214" s="51" t="n"/>
      <c r="AZ214" s="51" t="n"/>
      <c r="BA214" s="51" t="n"/>
      <c r="BB214" s="51" t="n"/>
      <c r="BC214" s="51" t="n"/>
      <c r="BD214" s="51" t="n"/>
      <c r="BE214" s="51" t="n"/>
      <c r="BF214" s="51" t="n"/>
      <c r="BG214" s="51" t="n"/>
      <c r="BH214" s="51" t="n"/>
      <c r="BI214" s="51" t="n"/>
      <c r="BJ214" s="51" t="n"/>
      <c r="BK214" s="51" t="n"/>
      <c r="BL214" s="51" t="n"/>
      <c r="BM214" s="51" t="n"/>
    </row>
    <row r="215">
      <c r="A215" s="47">
        <f>IF(Mitarbeiter!B215="","",Mitarbeiter!A215)</f>
        <v/>
      </c>
      <c r="B215" s="48">
        <f>IF(Mitarbeiter!B215="","",Mitarbeiter!B215)</f>
        <v/>
      </c>
      <c r="C215" s="37">
        <f>IF(Mitarbeiter!B215="","",N(INDEX($F215:$BM215,1,(Einstellungen!$C$3-2026)*12+1))+N(INDEX($F215:$BM215,1,(Einstellungen!$C$3-2026)*12+2))+N(INDEX($F215:$BM215,1,(Einstellungen!$C$3-2026)*12+3))+N(INDEX($F215:$BM215,1,(Einstellungen!$C$3-2026)*12+4))+N(INDEX($F215:$BM215,1,(Einstellungen!$C$3-2026)*12+5))+N(INDEX($F215:$BM215,1,(Einstellungen!$C$3-2026)*12+6))+N(INDEX($F215:$BM215,1,(Einstellungen!$C$3-2026)*12+7))+N(INDEX($F215:$BM215,1,(Einstellungen!$C$3-2026)*12+8))+N(INDEX($F215:$BM215,1,(Einstellungen!$C$3-2026)*12+9))+N(INDEX($F215:$BM215,1,(Einstellungen!$C$3-2026)*12+10))+N(INDEX($F215:$BM215,1,(Einstellungen!$C$3-2026)*12+11))+N(INDEX($F215:$BM215,1,(Einstellungen!$C$3-2026)*12+12)))</f>
        <v/>
      </c>
      <c r="D215" s="37">
        <f>IF(Mitarbeiter!B215="","",SUM(F215:BM215))</f>
        <v/>
      </c>
      <c r="F215" s="51" t="n"/>
      <c r="G215" s="51" t="n"/>
      <c r="H215" s="51" t="n"/>
      <c r="I215" s="51" t="n"/>
      <c r="J215" s="51" t="n"/>
      <c r="K215" s="51" t="n"/>
      <c r="L215" s="51" t="n"/>
      <c r="M215" s="51" t="n"/>
      <c r="N215" s="51" t="n"/>
      <c r="O215" s="51" t="n"/>
      <c r="P215" s="51" t="n"/>
      <c r="Q215" s="51" t="n"/>
      <c r="R215" s="51" t="n"/>
      <c r="S215" s="51" t="n"/>
      <c r="T215" s="51" t="n"/>
      <c r="U215" s="51" t="n"/>
      <c r="V215" s="51" t="n"/>
      <c r="W215" s="51" t="n"/>
      <c r="X215" s="51" t="n"/>
      <c r="Y215" s="51" t="n"/>
      <c r="Z215" s="51" t="n"/>
      <c r="AA215" s="51" t="n"/>
      <c r="AB215" s="51" t="n"/>
      <c r="AC215" s="51" t="n"/>
      <c r="AD215" s="51" t="n"/>
      <c r="AE215" s="51" t="n"/>
      <c r="AF215" s="51" t="n"/>
      <c r="AG215" s="51" t="n"/>
      <c r="AH215" s="51" t="n"/>
      <c r="AI215" s="51" t="n"/>
      <c r="AJ215" s="51" t="n"/>
      <c r="AK215" s="51" t="n"/>
      <c r="AL215" s="51" t="n"/>
      <c r="AM215" s="51" t="n"/>
      <c r="AN215" s="51" t="n"/>
      <c r="AO215" s="51" t="n"/>
      <c r="AP215" s="51" t="n"/>
      <c r="AQ215" s="51" t="n"/>
      <c r="AR215" s="51" t="n"/>
      <c r="AS215" s="51" t="n"/>
      <c r="AT215" s="51" t="n"/>
      <c r="AU215" s="51" t="n"/>
      <c r="AV215" s="51" t="n"/>
      <c r="AW215" s="51" t="n"/>
      <c r="AX215" s="51" t="n"/>
      <c r="AY215" s="51" t="n"/>
      <c r="AZ215" s="51" t="n"/>
      <c r="BA215" s="51" t="n"/>
      <c r="BB215" s="51" t="n"/>
      <c r="BC215" s="51" t="n"/>
      <c r="BD215" s="51" t="n"/>
      <c r="BE215" s="51" t="n"/>
      <c r="BF215" s="51" t="n"/>
      <c r="BG215" s="51" t="n"/>
      <c r="BH215" s="51" t="n"/>
      <c r="BI215" s="51" t="n"/>
      <c r="BJ215" s="51" t="n"/>
      <c r="BK215" s="51" t="n"/>
      <c r="BL215" s="51" t="n"/>
      <c r="BM215" s="51" t="n"/>
    </row>
    <row r="216">
      <c r="A216" s="47">
        <f>IF(Mitarbeiter!B216="","",Mitarbeiter!A216)</f>
        <v/>
      </c>
      <c r="B216" s="48">
        <f>IF(Mitarbeiter!B216="","",Mitarbeiter!B216)</f>
        <v/>
      </c>
      <c r="C216" s="37">
        <f>IF(Mitarbeiter!B216="","",N(INDEX($F216:$BM216,1,(Einstellungen!$C$3-2026)*12+1))+N(INDEX($F216:$BM216,1,(Einstellungen!$C$3-2026)*12+2))+N(INDEX($F216:$BM216,1,(Einstellungen!$C$3-2026)*12+3))+N(INDEX($F216:$BM216,1,(Einstellungen!$C$3-2026)*12+4))+N(INDEX($F216:$BM216,1,(Einstellungen!$C$3-2026)*12+5))+N(INDEX($F216:$BM216,1,(Einstellungen!$C$3-2026)*12+6))+N(INDEX($F216:$BM216,1,(Einstellungen!$C$3-2026)*12+7))+N(INDEX($F216:$BM216,1,(Einstellungen!$C$3-2026)*12+8))+N(INDEX($F216:$BM216,1,(Einstellungen!$C$3-2026)*12+9))+N(INDEX($F216:$BM216,1,(Einstellungen!$C$3-2026)*12+10))+N(INDEX($F216:$BM216,1,(Einstellungen!$C$3-2026)*12+11))+N(INDEX($F216:$BM216,1,(Einstellungen!$C$3-2026)*12+12)))</f>
        <v/>
      </c>
      <c r="D216" s="37">
        <f>IF(Mitarbeiter!B216="","",SUM(F216:BM216))</f>
        <v/>
      </c>
      <c r="F216" s="51" t="n"/>
      <c r="G216" s="51" t="n"/>
      <c r="H216" s="51" t="n"/>
      <c r="I216" s="51" t="n"/>
      <c r="J216" s="51" t="n"/>
      <c r="K216" s="51" t="n"/>
      <c r="L216" s="51" t="n"/>
      <c r="M216" s="51" t="n"/>
      <c r="N216" s="51" t="n"/>
      <c r="O216" s="51" t="n"/>
      <c r="P216" s="51" t="n"/>
      <c r="Q216" s="51" t="n"/>
      <c r="R216" s="51" t="n"/>
      <c r="S216" s="51" t="n"/>
      <c r="T216" s="51" t="n"/>
      <c r="U216" s="51" t="n"/>
      <c r="V216" s="51" t="n"/>
      <c r="W216" s="51" t="n"/>
      <c r="X216" s="51" t="n"/>
      <c r="Y216" s="51" t="n"/>
      <c r="Z216" s="51" t="n"/>
      <c r="AA216" s="51" t="n"/>
      <c r="AB216" s="51" t="n"/>
      <c r="AC216" s="51" t="n"/>
      <c r="AD216" s="51" t="n"/>
      <c r="AE216" s="51" t="n"/>
      <c r="AF216" s="51" t="n"/>
      <c r="AG216" s="51" t="n"/>
      <c r="AH216" s="51" t="n"/>
      <c r="AI216" s="51" t="n"/>
      <c r="AJ216" s="51" t="n"/>
      <c r="AK216" s="51" t="n"/>
      <c r="AL216" s="51" t="n"/>
      <c r="AM216" s="51" t="n"/>
      <c r="AN216" s="51" t="n"/>
      <c r="AO216" s="51" t="n"/>
      <c r="AP216" s="51" t="n"/>
      <c r="AQ216" s="51" t="n"/>
      <c r="AR216" s="51" t="n"/>
      <c r="AS216" s="51" t="n"/>
      <c r="AT216" s="51" t="n"/>
      <c r="AU216" s="51" t="n"/>
      <c r="AV216" s="51" t="n"/>
      <c r="AW216" s="51" t="n"/>
      <c r="AX216" s="51" t="n"/>
      <c r="AY216" s="51" t="n"/>
      <c r="AZ216" s="51" t="n"/>
      <c r="BA216" s="51" t="n"/>
      <c r="BB216" s="51" t="n"/>
      <c r="BC216" s="51" t="n"/>
      <c r="BD216" s="51" t="n"/>
      <c r="BE216" s="51" t="n"/>
      <c r="BF216" s="51" t="n"/>
      <c r="BG216" s="51" t="n"/>
      <c r="BH216" s="51" t="n"/>
      <c r="BI216" s="51" t="n"/>
      <c r="BJ216" s="51" t="n"/>
      <c r="BK216" s="51" t="n"/>
      <c r="BL216" s="51" t="n"/>
      <c r="BM216" s="51" t="n"/>
    </row>
    <row r="217">
      <c r="A217" s="47">
        <f>IF(Mitarbeiter!B217="","",Mitarbeiter!A217)</f>
        <v/>
      </c>
      <c r="B217" s="48">
        <f>IF(Mitarbeiter!B217="","",Mitarbeiter!B217)</f>
        <v/>
      </c>
      <c r="C217" s="37">
        <f>IF(Mitarbeiter!B217="","",N(INDEX($F217:$BM217,1,(Einstellungen!$C$3-2026)*12+1))+N(INDEX($F217:$BM217,1,(Einstellungen!$C$3-2026)*12+2))+N(INDEX($F217:$BM217,1,(Einstellungen!$C$3-2026)*12+3))+N(INDEX($F217:$BM217,1,(Einstellungen!$C$3-2026)*12+4))+N(INDEX($F217:$BM217,1,(Einstellungen!$C$3-2026)*12+5))+N(INDEX($F217:$BM217,1,(Einstellungen!$C$3-2026)*12+6))+N(INDEX($F217:$BM217,1,(Einstellungen!$C$3-2026)*12+7))+N(INDEX($F217:$BM217,1,(Einstellungen!$C$3-2026)*12+8))+N(INDEX($F217:$BM217,1,(Einstellungen!$C$3-2026)*12+9))+N(INDEX($F217:$BM217,1,(Einstellungen!$C$3-2026)*12+10))+N(INDEX($F217:$BM217,1,(Einstellungen!$C$3-2026)*12+11))+N(INDEX($F217:$BM217,1,(Einstellungen!$C$3-2026)*12+12)))</f>
        <v/>
      </c>
      <c r="D217" s="37">
        <f>IF(Mitarbeiter!B217="","",SUM(F217:BM217))</f>
        <v/>
      </c>
      <c r="F217" s="51" t="n"/>
      <c r="G217" s="51" t="n"/>
      <c r="H217" s="51" t="n"/>
      <c r="I217" s="51" t="n"/>
      <c r="J217" s="51" t="n"/>
      <c r="K217" s="51" t="n"/>
      <c r="L217" s="51" t="n"/>
      <c r="M217" s="51" t="n"/>
      <c r="N217" s="51" t="n"/>
      <c r="O217" s="51" t="n"/>
      <c r="P217" s="51" t="n"/>
      <c r="Q217" s="51" t="n"/>
      <c r="R217" s="51" t="n"/>
      <c r="S217" s="51" t="n"/>
      <c r="T217" s="51" t="n"/>
      <c r="U217" s="51" t="n"/>
      <c r="V217" s="51" t="n"/>
      <c r="W217" s="51" t="n"/>
      <c r="X217" s="51" t="n"/>
      <c r="Y217" s="51" t="n"/>
      <c r="Z217" s="51" t="n"/>
      <c r="AA217" s="51" t="n"/>
      <c r="AB217" s="51" t="n"/>
      <c r="AC217" s="51" t="n"/>
      <c r="AD217" s="51" t="n"/>
      <c r="AE217" s="51" t="n"/>
      <c r="AF217" s="51" t="n"/>
      <c r="AG217" s="51" t="n"/>
      <c r="AH217" s="51" t="n"/>
      <c r="AI217" s="51" t="n"/>
      <c r="AJ217" s="51" t="n"/>
      <c r="AK217" s="51" t="n"/>
      <c r="AL217" s="51" t="n"/>
      <c r="AM217" s="51" t="n"/>
      <c r="AN217" s="51" t="n"/>
      <c r="AO217" s="51" t="n"/>
      <c r="AP217" s="51" t="n"/>
      <c r="AQ217" s="51" t="n"/>
      <c r="AR217" s="51" t="n"/>
      <c r="AS217" s="51" t="n"/>
      <c r="AT217" s="51" t="n"/>
      <c r="AU217" s="51" t="n"/>
      <c r="AV217" s="51" t="n"/>
      <c r="AW217" s="51" t="n"/>
      <c r="AX217" s="51" t="n"/>
      <c r="AY217" s="51" t="n"/>
      <c r="AZ217" s="51" t="n"/>
      <c r="BA217" s="51" t="n"/>
      <c r="BB217" s="51" t="n"/>
      <c r="BC217" s="51" t="n"/>
      <c r="BD217" s="51" t="n"/>
      <c r="BE217" s="51" t="n"/>
      <c r="BF217" s="51" t="n"/>
      <c r="BG217" s="51" t="n"/>
      <c r="BH217" s="51" t="n"/>
      <c r="BI217" s="51" t="n"/>
      <c r="BJ217" s="51" t="n"/>
      <c r="BK217" s="51" t="n"/>
      <c r="BL217" s="51" t="n"/>
      <c r="BM217" s="51" t="n"/>
    </row>
    <row r="218">
      <c r="A218" s="47">
        <f>IF(Mitarbeiter!B218="","",Mitarbeiter!A218)</f>
        <v/>
      </c>
      <c r="B218" s="48">
        <f>IF(Mitarbeiter!B218="","",Mitarbeiter!B218)</f>
        <v/>
      </c>
      <c r="C218" s="37">
        <f>IF(Mitarbeiter!B218="","",N(INDEX($F218:$BM218,1,(Einstellungen!$C$3-2026)*12+1))+N(INDEX($F218:$BM218,1,(Einstellungen!$C$3-2026)*12+2))+N(INDEX($F218:$BM218,1,(Einstellungen!$C$3-2026)*12+3))+N(INDEX($F218:$BM218,1,(Einstellungen!$C$3-2026)*12+4))+N(INDEX($F218:$BM218,1,(Einstellungen!$C$3-2026)*12+5))+N(INDEX($F218:$BM218,1,(Einstellungen!$C$3-2026)*12+6))+N(INDEX($F218:$BM218,1,(Einstellungen!$C$3-2026)*12+7))+N(INDEX($F218:$BM218,1,(Einstellungen!$C$3-2026)*12+8))+N(INDEX($F218:$BM218,1,(Einstellungen!$C$3-2026)*12+9))+N(INDEX($F218:$BM218,1,(Einstellungen!$C$3-2026)*12+10))+N(INDEX($F218:$BM218,1,(Einstellungen!$C$3-2026)*12+11))+N(INDEX($F218:$BM218,1,(Einstellungen!$C$3-2026)*12+12)))</f>
        <v/>
      </c>
      <c r="D218" s="37">
        <f>IF(Mitarbeiter!B218="","",SUM(F218:BM218))</f>
        <v/>
      </c>
      <c r="F218" s="51" t="n"/>
      <c r="G218" s="51" t="n"/>
      <c r="H218" s="51" t="n"/>
      <c r="I218" s="51" t="n"/>
      <c r="J218" s="51" t="n"/>
      <c r="K218" s="51" t="n"/>
      <c r="L218" s="51" t="n"/>
      <c r="M218" s="51" t="n"/>
      <c r="N218" s="51" t="n"/>
      <c r="O218" s="51" t="n"/>
      <c r="P218" s="51" t="n"/>
      <c r="Q218" s="51" t="n"/>
      <c r="R218" s="51" t="n"/>
      <c r="S218" s="51" t="n"/>
      <c r="T218" s="51" t="n"/>
      <c r="U218" s="51" t="n"/>
      <c r="V218" s="51" t="n"/>
      <c r="W218" s="51" t="n"/>
      <c r="X218" s="51" t="n"/>
      <c r="Y218" s="51" t="n"/>
      <c r="Z218" s="51" t="n"/>
      <c r="AA218" s="51" t="n"/>
      <c r="AB218" s="51" t="n"/>
      <c r="AC218" s="51" t="n"/>
      <c r="AD218" s="51" t="n"/>
      <c r="AE218" s="51" t="n"/>
      <c r="AF218" s="51" t="n"/>
      <c r="AG218" s="51" t="n"/>
      <c r="AH218" s="51" t="n"/>
      <c r="AI218" s="51" t="n"/>
      <c r="AJ218" s="51" t="n"/>
      <c r="AK218" s="51" t="n"/>
      <c r="AL218" s="51" t="n"/>
      <c r="AM218" s="51" t="n"/>
      <c r="AN218" s="51" t="n"/>
      <c r="AO218" s="51" t="n"/>
      <c r="AP218" s="51" t="n"/>
      <c r="AQ218" s="51" t="n"/>
      <c r="AR218" s="51" t="n"/>
      <c r="AS218" s="51" t="n"/>
      <c r="AT218" s="51" t="n"/>
      <c r="AU218" s="51" t="n"/>
      <c r="AV218" s="51" t="n"/>
      <c r="AW218" s="51" t="n"/>
      <c r="AX218" s="51" t="n"/>
      <c r="AY218" s="51" t="n"/>
      <c r="AZ218" s="51" t="n"/>
      <c r="BA218" s="51" t="n"/>
      <c r="BB218" s="51" t="n"/>
      <c r="BC218" s="51" t="n"/>
      <c r="BD218" s="51" t="n"/>
      <c r="BE218" s="51" t="n"/>
      <c r="BF218" s="51" t="n"/>
      <c r="BG218" s="51" t="n"/>
      <c r="BH218" s="51" t="n"/>
      <c r="BI218" s="51" t="n"/>
      <c r="BJ218" s="51" t="n"/>
      <c r="BK218" s="51" t="n"/>
      <c r="BL218" s="51" t="n"/>
      <c r="BM218" s="51" t="n"/>
    </row>
    <row r="219">
      <c r="A219" s="47">
        <f>IF(Mitarbeiter!B219="","",Mitarbeiter!A219)</f>
        <v/>
      </c>
      <c r="B219" s="48">
        <f>IF(Mitarbeiter!B219="","",Mitarbeiter!B219)</f>
        <v/>
      </c>
      <c r="C219" s="37">
        <f>IF(Mitarbeiter!B219="","",N(INDEX($F219:$BM219,1,(Einstellungen!$C$3-2026)*12+1))+N(INDEX($F219:$BM219,1,(Einstellungen!$C$3-2026)*12+2))+N(INDEX($F219:$BM219,1,(Einstellungen!$C$3-2026)*12+3))+N(INDEX($F219:$BM219,1,(Einstellungen!$C$3-2026)*12+4))+N(INDEX($F219:$BM219,1,(Einstellungen!$C$3-2026)*12+5))+N(INDEX($F219:$BM219,1,(Einstellungen!$C$3-2026)*12+6))+N(INDEX($F219:$BM219,1,(Einstellungen!$C$3-2026)*12+7))+N(INDEX($F219:$BM219,1,(Einstellungen!$C$3-2026)*12+8))+N(INDEX($F219:$BM219,1,(Einstellungen!$C$3-2026)*12+9))+N(INDEX($F219:$BM219,1,(Einstellungen!$C$3-2026)*12+10))+N(INDEX($F219:$BM219,1,(Einstellungen!$C$3-2026)*12+11))+N(INDEX($F219:$BM219,1,(Einstellungen!$C$3-2026)*12+12)))</f>
        <v/>
      </c>
      <c r="D219" s="37">
        <f>IF(Mitarbeiter!B219="","",SUM(F219:BM219))</f>
        <v/>
      </c>
      <c r="F219" s="51" t="n"/>
      <c r="G219" s="51" t="n"/>
      <c r="H219" s="51" t="n"/>
      <c r="I219" s="51" t="n"/>
      <c r="J219" s="51" t="n"/>
      <c r="K219" s="51" t="n"/>
      <c r="L219" s="51" t="n"/>
      <c r="M219" s="51" t="n"/>
      <c r="N219" s="51" t="n"/>
      <c r="O219" s="51" t="n"/>
      <c r="P219" s="51" t="n"/>
      <c r="Q219" s="51" t="n"/>
      <c r="R219" s="51" t="n"/>
      <c r="S219" s="51" t="n"/>
      <c r="T219" s="51" t="n"/>
      <c r="U219" s="51" t="n"/>
      <c r="V219" s="51" t="n"/>
      <c r="W219" s="51" t="n"/>
      <c r="X219" s="51" t="n"/>
      <c r="Y219" s="51" t="n"/>
      <c r="Z219" s="51" t="n"/>
      <c r="AA219" s="51" t="n"/>
      <c r="AB219" s="51" t="n"/>
      <c r="AC219" s="51" t="n"/>
      <c r="AD219" s="51" t="n"/>
      <c r="AE219" s="51" t="n"/>
      <c r="AF219" s="51" t="n"/>
      <c r="AG219" s="51" t="n"/>
      <c r="AH219" s="51" t="n"/>
      <c r="AI219" s="51" t="n"/>
      <c r="AJ219" s="51" t="n"/>
      <c r="AK219" s="51" t="n"/>
      <c r="AL219" s="51" t="n"/>
      <c r="AM219" s="51" t="n"/>
      <c r="AN219" s="51" t="n"/>
      <c r="AO219" s="51" t="n"/>
      <c r="AP219" s="51" t="n"/>
      <c r="AQ219" s="51" t="n"/>
      <c r="AR219" s="51" t="n"/>
      <c r="AS219" s="51" t="n"/>
      <c r="AT219" s="51" t="n"/>
      <c r="AU219" s="51" t="n"/>
      <c r="AV219" s="51" t="n"/>
      <c r="AW219" s="51" t="n"/>
      <c r="AX219" s="51" t="n"/>
      <c r="AY219" s="51" t="n"/>
      <c r="AZ219" s="51" t="n"/>
      <c r="BA219" s="51" t="n"/>
      <c r="BB219" s="51" t="n"/>
      <c r="BC219" s="51" t="n"/>
      <c r="BD219" s="51" t="n"/>
      <c r="BE219" s="51" t="n"/>
      <c r="BF219" s="51" t="n"/>
      <c r="BG219" s="51" t="n"/>
      <c r="BH219" s="51" t="n"/>
      <c r="BI219" s="51" t="n"/>
      <c r="BJ219" s="51" t="n"/>
      <c r="BK219" s="51" t="n"/>
      <c r="BL219" s="51" t="n"/>
      <c r="BM219" s="51" t="n"/>
    </row>
    <row r="220">
      <c r="A220" s="47">
        <f>IF(Mitarbeiter!B220="","",Mitarbeiter!A220)</f>
        <v/>
      </c>
      <c r="B220" s="48">
        <f>IF(Mitarbeiter!B220="","",Mitarbeiter!B220)</f>
        <v/>
      </c>
      <c r="C220" s="37">
        <f>IF(Mitarbeiter!B220="","",N(INDEX($F220:$BM220,1,(Einstellungen!$C$3-2026)*12+1))+N(INDEX($F220:$BM220,1,(Einstellungen!$C$3-2026)*12+2))+N(INDEX($F220:$BM220,1,(Einstellungen!$C$3-2026)*12+3))+N(INDEX($F220:$BM220,1,(Einstellungen!$C$3-2026)*12+4))+N(INDEX($F220:$BM220,1,(Einstellungen!$C$3-2026)*12+5))+N(INDEX($F220:$BM220,1,(Einstellungen!$C$3-2026)*12+6))+N(INDEX($F220:$BM220,1,(Einstellungen!$C$3-2026)*12+7))+N(INDEX($F220:$BM220,1,(Einstellungen!$C$3-2026)*12+8))+N(INDEX($F220:$BM220,1,(Einstellungen!$C$3-2026)*12+9))+N(INDEX($F220:$BM220,1,(Einstellungen!$C$3-2026)*12+10))+N(INDEX($F220:$BM220,1,(Einstellungen!$C$3-2026)*12+11))+N(INDEX($F220:$BM220,1,(Einstellungen!$C$3-2026)*12+12)))</f>
        <v/>
      </c>
      <c r="D220" s="37">
        <f>IF(Mitarbeiter!B220="","",SUM(F220:BM220))</f>
        <v/>
      </c>
      <c r="F220" s="51" t="n"/>
      <c r="G220" s="51" t="n"/>
      <c r="H220" s="51" t="n"/>
      <c r="I220" s="51" t="n"/>
      <c r="J220" s="51" t="n"/>
      <c r="K220" s="51" t="n"/>
      <c r="L220" s="51" t="n"/>
      <c r="M220" s="51" t="n"/>
      <c r="N220" s="51" t="n"/>
      <c r="O220" s="51" t="n"/>
      <c r="P220" s="51" t="n"/>
      <c r="Q220" s="51" t="n"/>
      <c r="R220" s="51" t="n"/>
      <c r="S220" s="51" t="n"/>
      <c r="T220" s="51" t="n"/>
      <c r="U220" s="51" t="n"/>
      <c r="V220" s="51" t="n"/>
      <c r="W220" s="51" t="n"/>
      <c r="X220" s="51" t="n"/>
      <c r="Y220" s="51" t="n"/>
      <c r="Z220" s="51" t="n"/>
      <c r="AA220" s="51" t="n"/>
      <c r="AB220" s="51" t="n"/>
      <c r="AC220" s="51" t="n"/>
      <c r="AD220" s="51" t="n"/>
      <c r="AE220" s="51" t="n"/>
      <c r="AF220" s="51" t="n"/>
      <c r="AG220" s="51" t="n"/>
      <c r="AH220" s="51" t="n"/>
      <c r="AI220" s="51" t="n"/>
      <c r="AJ220" s="51" t="n"/>
      <c r="AK220" s="51" t="n"/>
      <c r="AL220" s="51" t="n"/>
      <c r="AM220" s="51" t="n"/>
      <c r="AN220" s="51" t="n"/>
      <c r="AO220" s="51" t="n"/>
      <c r="AP220" s="51" t="n"/>
      <c r="AQ220" s="51" t="n"/>
      <c r="AR220" s="51" t="n"/>
      <c r="AS220" s="51" t="n"/>
      <c r="AT220" s="51" t="n"/>
      <c r="AU220" s="51" t="n"/>
      <c r="AV220" s="51" t="n"/>
      <c r="AW220" s="51" t="n"/>
      <c r="AX220" s="51" t="n"/>
      <c r="AY220" s="51" t="n"/>
      <c r="AZ220" s="51" t="n"/>
      <c r="BA220" s="51" t="n"/>
      <c r="BB220" s="51" t="n"/>
      <c r="BC220" s="51" t="n"/>
      <c r="BD220" s="51" t="n"/>
      <c r="BE220" s="51" t="n"/>
      <c r="BF220" s="51" t="n"/>
      <c r="BG220" s="51" t="n"/>
      <c r="BH220" s="51" t="n"/>
      <c r="BI220" s="51" t="n"/>
      <c r="BJ220" s="51" t="n"/>
      <c r="BK220" s="51" t="n"/>
      <c r="BL220" s="51" t="n"/>
      <c r="BM220" s="51" t="n"/>
    </row>
    <row r="221">
      <c r="A221" s="47">
        <f>IF(Mitarbeiter!B221="","",Mitarbeiter!A221)</f>
        <v/>
      </c>
      <c r="B221" s="48">
        <f>IF(Mitarbeiter!B221="","",Mitarbeiter!B221)</f>
        <v/>
      </c>
      <c r="C221" s="37">
        <f>IF(Mitarbeiter!B221="","",N(INDEX($F221:$BM221,1,(Einstellungen!$C$3-2026)*12+1))+N(INDEX($F221:$BM221,1,(Einstellungen!$C$3-2026)*12+2))+N(INDEX($F221:$BM221,1,(Einstellungen!$C$3-2026)*12+3))+N(INDEX($F221:$BM221,1,(Einstellungen!$C$3-2026)*12+4))+N(INDEX($F221:$BM221,1,(Einstellungen!$C$3-2026)*12+5))+N(INDEX($F221:$BM221,1,(Einstellungen!$C$3-2026)*12+6))+N(INDEX($F221:$BM221,1,(Einstellungen!$C$3-2026)*12+7))+N(INDEX($F221:$BM221,1,(Einstellungen!$C$3-2026)*12+8))+N(INDEX($F221:$BM221,1,(Einstellungen!$C$3-2026)*12+9))+N(INDEX($F221:$BM221,1,(Einstellungen!$C$3-2026)*12+10))+N(INDEX($F221:$BM221,1,(Einstellungen!$C$3-2026)*12+11))+N(INDEX($F221:$BM221,1,(Einstellungen!$C$3-2026)*12+12)))</f>
        <v/>
      </c>
      <c r="D221" s="37">
        <f>IF(Mitarbeiter!B221="","",SUM(F221:BM221))</f>
        <v/>
      </c>
      <c r="F221" s="51" t="n"/>
      <c r="G221" s="51" t="n"/>
      <c r="H221" s="51" t="n"/>
      <c r="I221" s="51" t="n"/>
      <c r="J221" s="51" t="n"/>
      <c r="K221" s="51" t="n"/>
      <c r="L221" s="51" t="n"/>
      <c r="M221" s="51" t="n"/>
      <c r="N221" s="51" t="n"/>
      <c r="O221" s="51" t="n"/>
      <c r="P221" s="51" t="n"/>
      <c r="Q221" s="51" t="n"/>
      <c r="R221" s="51" t="n"/>
      <c r="S221" s="51" t="n"/>
      <c r="T221" s="51" t="n"/>
      <c r="U221" s="51" t="n"/>
      <c r="V221" s="51" t="n"/>
      <c r="W221" s="51" t="n"/>
      <c r="X221" s="51" t="n"/>
      <c r="Y221" s="51" t="n"/>
      <c r="Z221" s="51" t="n"/>
      <c r="AA221" s="51" t="n"/>
      <c r="AB221" s="51" t="n"/>
      <c r="AC221" s="51" t="n"/>
      <c r="AD221" s="51" t="n"/>
      <c r="AE221" s="51" t="n"/>
      <c r="AF221" s="51" t="n"/>
      <c r="AG221" s="51" t="n"/>
      <c r="AH221" s="51" t="n"/>
      <c r="AI221" s="51" t="n"/>
      <c r="AJ221" s="51" t="n"/>
      <c r="AK221" s="51" t="n"/>
      <c r="AL221" s="51" t="n"/>
      <c r="AM221" s="51" t="n"/>
      <c r="AN221" s="51" t="n"/>
      <c r="AO221" s="51" t="n"/>
      <c r="AP221" s="51" t="n"/>
      <c r="AQ221" s="51" t="n"/>
      <c r="AR221" s="51" t="n"/>
      <c r="AS221" s="51" t="n"/>
      <c r="AT221" s="51" t="n"/>
      <c r="AU221" s="51" t="n"/>
      <c r="AV221" s="51" t="n"/>
      <c r="AW221" s="51" t="n"/>
      <c r="AX221" s="51" t="n"/>
      <c r="AY221" s="51" t="n"/>
      <c r="AZ221" s="51" t="n"/>
      <c r="BA221" s="51" t="n"/>
      <c r="BB221" s="51" t="n"/>
      <c r="BC221" s="51" t="n"/>
      <c r="BD221" s="51" t="n"/>
      <c r="BE221" s="51" t="n"/>
      <c r="BF221" s="51" t="n"/>
      <c r="BG221" s="51" t="n"/>
      <c r="BH221" s="51" t="n"/>
      <c r="BI221" s="51" t="n"/>
      <c r="BJ221" s="51" t="n"/>
      <c r="BK221" s="51" t="n"/>
      <c r="BL221" s="51" t="n"/>
      <c r="BM221" s="51" t="n"/>
    </row>
    <row r="222">
      <c r="A222" s="47">
        <f>IF(Mitarbeiter!B222="","",Mitarbeiter!A222)</f>
        <v/>
      </c>
      <c r="B222" s="48">
        <f>IF(Mitarbeiter!B222="","",Mitarbeiter!B222)</f>
        <v/>
      </c>
      <c r="C222" s="37">
        <f>IF(Mitarbeiter!B222="","",N(INDEX($F222:$BM222,1,(Einstellungen!$C$3-2026)*12+1))+N(INDEX($F222:$BM222,1,(Einstellungen!$C$3-2026)*12+2))+N(INDEX($F222:$BM222,1,(Einstellungen!$C$3-2026)*12+3))+N(INDEX($F222:$BM222,1,(Einstellungen!$C$3-2026)*12+4))+N(INDEX($F222:$BM222,1,(Einstellungen!$C$3-2026)*12+5))+N(INDEX($F222:$BM222,1,(Einstellungen!$C$3-2026)*12+6))+N(INDEX($F222:$BM222,1,(Einstellungen!$C$3-2026)*12+7))+N(INDEX($F222:$BM222,1,(Einstellungen!$C$3-2026)*12+8))+N(INDEX($F222:$BM222,1,(Einstellungen!$C$3-2026)*12+9))+N(INDEX($F222:$BM222,1,(Einstellungen!$C$3-2026)*12+10))+N(INDEX($F222:$BM222,1,(Einstellungen!$C$3-2026)*12+11))+N(INDEX($F222:$BM222,1,(Einstellungen!$C$3-2026)*12+12)))</f>
        <v/>
      </c>
      <c r="D222" s="37">
        <f>IF(Mitarbeiter!B222="","",SUM(F222:BM222))</f>
        <v/>
      </c>
      <c r="F222" s="51" t="n"/>
      <c r="G222" s="51" t="n"/>
      <c r="H222" s="51" t="n"/>
      <c r="I222" s="51" t="n"/>
      <c r="J222" s="51" t="n"/>
      <c r="K222" s="51" t="n"/>
      <c r="L222" s="51" t="n"/>
      <c r="M222" s="51" t="n"/>
      <c r="N222" s="51" t="n"/>
      <c r="O222" s="51" t="n"/>
      <c r="P222" s="51" t="n"/>
      <c r="Q222" s="51" t="n"/>
      <c r="R222" s="51" t="n"/>
      <c r="S222" s="51" t="n"/>
      <c r="T222" s="51" t="n"/>
      <c r="U222" s="51" t="n"/>
      <c r="V222" s="51" t="n"/>
      <c r="W222" s="51" t="n"/>
      <c r="X222" s="51" t="n"/>
      <c r="Y222" s="51" t="n"/>
      <c r="Z222" s="51" t="n"/>
      <c r="AA222" s="51" t="n"/>
      <c r="AB222" s="51" t="n"/>
      <c r="AC222" s="51" t="n"/>
      <c r="AD222" s="51" t="n"/>
      <c r="AE222" s="51" t="n"/>
      <c r="AF222" s="51" t="n"/>
      <c r="AG222" s="51" t="n"/>
      <c r="AH222" s="51" t="n"/>
      <c r="AI222" s="51" t="n"/>
      <c r="AJ222" s="51" t="n"/>
      <c r="AK222" s="51" t="n"/>
      <c r="AL222" s="51" t="n"/>
      <c r="AM222" s="51" t="n"/>
      <c r="AN222" s="51" t="n"/>
      <c r="AO222" s="51" t="n"/>
      <c r="AP222" s="51" t="n"/>
      <c r="AQ222" s="51" t="n"/>
      <c r="AR222" s="51" t="n"/>
      <c r="AS222" s="51" t="n"/>
      <c r="AT222" s="51" t="n"/>
      <c r="AU222" s="51" t="n"/>
      <c r="AV222" s="51" t="n"/>
      <c r="AW222" s="51" t="n"/>
      <c r="AX222" s="51" t="n"/>
      <c r="AY222" s="51" t="n"/>
      <c r="AZ222" s="51" t="n"/>
      <c r="BA222" s="51" t="n"/>
      <c r="BB222" s="51" t="n"/>
      <c r="BC222" s="51" t="n"/>
      <c r="BD222" s="51" t="n"/>
      <c r="BE222" s="51" t="n"/>
      <c r="BF222" s="51" t="n"/>
      <c r="BG222" s="51" t="n"/>
      <c r="BH222" s="51" t="n"/>
      <c r="BI222" s="51" t="n"/>
      <c r="BJ222" s="51" t="n"/>
      <c r="BK222" s="51" t="n"/>
      <c r="BL222" s="51" t="n"/>
      <c r="BM222" s="51" t="n"/>
    </row>
    <row r="223">
      <c r="A223" s="47">
        <f>IF(Mitarbeiter!B223="","",Mitarbeiter!A223)</f>
        <v/>
      </c>
      <c r="B223" s="48">
        <f>IF(Mitarbeiter!B223="","",Mitarbeiter!B223)</f>
        <v/>
      </c>
      <c r="C223" s="37">
        <f>IF(Mitarbeiter!B223="","",N(INDEX($F223:$BM223,1,(Einstellungen!$C$3-2026)*12+1))+N(INDEX($F223:$BM223,1,(Einstellungen!$C$3-2026)*12+2))+N(INDEX($F223:$BM223,1,(Einstellungen!$C$3-2026)*12+3))+N(INDEX($F223:$BM223,1,(Einstellungen!$C$3-2026)*12+4))+N(INDEX($F223:$BM223,1,(Einstellungen!$C$3-2026)*12+5))+N(INDEX($F223:$BM223,1,(Einstellungen!$C$3-2026)*12+6))+N(INDEX($F223:$BM223,1,(Einstellungen!$C$3-2026)*12+7))+N(INDEX($F223:$BM223,1,(Einstellungen!$C$3-2026)*12+8))+N(INDEX($F223:$BM223,1,(Einstellungen!$C$3-2026)*12+9))+N(INDEX($F223:$BM223,1,(Einstellungen!$C$3-2026)*12+10))+N(INDEX($F223:$BM223,1,(Einstellungen!$C$3-2026)*12+11))+N(INDEX($F223:$BM223,1,(Einstellungen!$C$3-2026)*12+12)))</f>
        <v/>
      </c>
      <c r="D223" s="37">
        <f>IF(Mitarbeiter!B223="","",SUM(F223:BM223))</f>
        <v/>
      </c>
      <c r="F223" s="51" t="n"/>
      <c r="G223" s="51" t="n"/>
      <c r="H223" s="51" t="n"/>
      <c r="I223" s="51" t="n"/>
      <c r="J223" s="51" t="n"/>
      <c r="K223" s="51" t="n"/>
      <c r="L223" s="51" t="n"/>
      <c r="M223" s="51" t="n"/>
      <c r="N223" s="51" t="n"/>
      <c r="O223" s="51" t="n"/>
      <c r="P223" s="51" t="n"/>
      <c r="Q223" s="51" t="n"/>
      <c r="R223" s="51" t="n"/>
      <c r="S223" s="51" t="n"/>
      <c r="T223" s="51" t="n"/>
      <c r="U223" s="51" t="n"/>
      <c r="V223" s="51" t="n"/>
      <c r="W223" s="51" t="n"/>
      <c r="X223" s="51" t="n"/>
      <c r="Y223" s="51" t="n"/>
      <c r="Z223" s="51" t="n"/>
      <c r="AA223" s="51" t="n"/>
      <c r="AB223" s="51" t="n"/>
      <c r="AC223" s="51" t="n"/>
      <c r="AD223" s="51" t="n"/>
      <c r="AE223" s="51" t="n"/>
      <c r="AF223" s="51" t="n"/>
      <c r="AG223" s="51" t="n"/>
      <c r="AH223" s="51" t="n"/>
      <c r="AI223" s="51" t="n"/>
      <c r="AJ223" s="51" t="n"/>
      <c r="AK223" s="51" t="n"/>
      <c r="AL223" s="51" t="n"/>
      <c r="AM223" s="51" t="n"/>
      <c r="AN223" s="51" t="n"/>
      <c r="AO223" s="51" t="n"/>
      <c r="AP223" s="51" t="n"/>
      <c r="AQ223" s="51" t="n"/>
      <c r="AR223" s="51" t="n"/>
      <c r="AS223" s="51" t="n"/>
      <c r="AT223" s="51" t="n"/>
      <c r="AU223" s="51" t="n"/>
      <c r="AV223" s="51" t="n"/>
      <c r="AW223" s="51" t="n"/>
      <c r="AX223" s="51" t="n"/>
      <c r="AY223" s="51" t="n"/>
      <c r="AZ223" s="51" t="n"/>
      <c r="BA223" s="51" t="n"/>
      <c r="BB223" s="51" t="n"/>
      <c r="BC223" s="51" t="n"/>
      <c r="BD223" s="51" t="n"/>
      <c r="BE223" s="51" t="n"/>
      <c r="BF223" s="51" t="n"/>
      <c r="BG223" s="51" t="n"/>
      <c r="BH223" s="51" t="n"/>
      <c r="BI223" s="51" t="n"/>
      <c r="BJ223" s="51" t="n"/>
      <c r="BK223" s="51" t="n"/>
      <c r="BL223" s="51" t="n"/>
      <c r="BM223" s="51" t="n"/>
    </row>
    <row r="224">
      <c r="A224" s="47">
        <f>IF(Mitarbeiter!B224="","",Mitarbeiter!A224)</f>
        <v/>
      </c>
      <c r="B224" s="48">
        <f>IF(Mitarbeiter!B224="","",Mitarbeiter!B224)</f>
        <v/>
      </c>
      <c r="C224" s="37">
        <f>IF(Mitarbeiter!B224="","",N(INDEX($F224:$BM224,1,(Einstellungen!$C$3-2026)*12+1))+N(INDEX($F224:$BM224,1,(Einstellungen!$C$3-2026)*12+2))+N(INDEX($F224:$BM224,1,(Einstellungen!$C$3-2026)*12+3))+N(INDEX($F224:$BM224,1,(Einstellungen!$C$3-2026)*12+4))+N(INDEX($F224:$BM224,1,(Einstellungen!$C$3-2026)*12+5))+N(INDEX($F224:$BM224,1,(Einstellungen!$C$3-2026)*12+6))+N(INDEX($F224:$BM224,1,(Einstellungen!$C$3-2026)*12+7))+N(INDEX($F224:$BM224,1,(Einstellungen!$C$3-2026)*12+8))+N(INDEX($F224:$BM224,1,(Einstellungen!$C$3-2026)*12+9))+N(INDEX($F224:$BM224,1,(Einstellungen!$C$3-2026)*12+10))+N(INDEX($F224:$BM224,1,(Einstellungen!$C$3-2026)*12+11))+N(INDEX($F224:$BM224,1,(Einstellungen!$C$3-2026)*12+12)))</f>
        <v/>
      </c>
      <c r="D224" s="37">
        <f>IF(Mitarbeiter!B224="","",SUM(F224:BM224))</f>
        <v/>
      </c>
      <c r="F224" s="51" t="n"/>
      <c r="G224" s="51" t="n"/>
      <c r="H224" s="51" t="n"/>
      <c r="I224" s="51" t="n"/>
      <c r="J224" s="51" t="n"/>
      <c r="K224" s="51" t="n"/>
      <c r="L224" s="51" t="n"/>
      <c r="M224" s="51" t="n"/>
      <c r="N224" s="51" t="n"/>
      <c r="O224" s="51" t="n"/>
      <c r="P224" s="51" t="n"/>
      <c r="Q224" s="51" t="n"/>
      <c r="R224" s="51" t="n"/>
      <c r="S224" s="51" t="n"/>
      <c r="T224" s="51" t="n"/>
      <c r="U224" s="51" t="n"/>
      <c r="V224" s="51" t="n"/>
      <c r="W224" s="51" t="n"/>
      <c r="X224" s="51" t="n"/>
      <c r="Y224" s="51" t="n"/>
      <c r="Z224" s="51" t="n"/>
      <c r="AA224" s="51" t="n"/>
      <c r="AB224" s="51" t="n"/>
      <c r="AC224" s="51" t="n"/>
      <c r="AD224" s="51" t="n"/>
      <c r="AE224" s="51" t="n"/>
      <c r="AF224" s="51" t="n"/>
      <c r="AG224" s="51" t="n"/>
      <c r="AH224" s="51" t="n"/>
      <c r="AI224" s="51" t="n"/>
      <c r="AJ224" s="51" t="n"/>
      <c r="AK224" s="51" t="n"/>
      <c r="AL224" s="51" t="n"/>
      <c r="AM224" s="51" t="n"/>
      <c r="AN224" s="51" t="n"/>
      <c r="AO224" s="51" t="n"/>
      <c r="AP224" s="51" t="n"/>
      <c r="AQ224" s="51" t="n"/>
      <c r="AR224" s="51" t="n"/>
      <c r="AS224" s="51" t="n"/>
      <c r="AT224" s="51" t="n"/>
      <c r="AU224" s="51" t="n"/>
      <c r="AV224" s="51" t="n"/>
      <c r="AW224" s="51" t="n"/>
      <c r="AX224" s="51" t="n"/>
      <c r="AY224" s="51" t="n"/>
      <c r="AZ224" s="51" t="n"/>
      <c r="BA224" s="51" t="n"/>
      <c r="BB224" s="51" t="n"/>
      <c r="BC224" s="51" t="n"/>
      <c r="BD224" s="51" t="n"/>
      <c r="BE224" s="51" t="n"/>
      <c r="BF224" s="51" t="n"/>
      <c r="BG224" s="51" t="n"/>
      <c r="BH224" s="51" t="n"/>
      <c r="BI224" s="51" t="n"/>
      <c r="BJ224" s="51" t="n"/>
      <c r="BK224" s="51" t="n"/>
      <c r="BL224" s="51" t="n"/>
      <c r="BM224" s="51" t="n"/>
    </row>
    <row r="225">
      <c r="A225" s="47">
        <f>IF(Mitarbeiter!B225="","",Mitarbeiter!A225)</f>
        <v/>
      </c>
      <c r="B225" s="48">
        <f>IF(Mitarbeiter!B225="","",Mitarbeiter!B225)</f>
        <v/>
      </c>
      <c r="C225" s="37">
        <f>IF(Mitarbeiter!B225="","",N(INDEX($F225:$BM225,1,(Einstellungen!$C$3-2026)*12+1))+N(INDEX($F225:$BM225,1,(Einstellungen!$C$3-2026)*12+2))+N(INDEX($F225:$BM225,1,(Einstellungen!$C$3-2026)*12+3))+N(INDEX($F225:$BM225,1,(Einstellungen!$C$3-2026)*12+4))+N(INDEX($F225:$BM225,1,(Einstellungen!$C$3-2026)*12+5))+N(INDEX($F225:$BM225,1,(Einstellungen!$C$3-2026)*12+6))+N(INDEX($F225:$BM225,1,(Einstellungen!$C$3-2026)*12+7))+N(INDEX($F225:$BM225,1,(Einstellungen!$C$3-2026)*12+8))+N(INDEX($F225:$BM225,1,(Einstellungen!$C$3-2026)*12+9))+N(INDEX($F225:$BM225,1,(Einstellungen!$C$3-2026)*12+10))+N(INDEX($F225:$BM225,1,(Einstellungen!$C$3-2026)*12+11))+N(INDEX($F225:$BM225,1,(Einstellungen!$C$3-2026)*12+12)))</f>
        <v/>
      </c>
      <c r="D225" s="37">
        <f>IF(Mitarbeiter!B225="","",SUM(F225:BM225))</f>
        <v/>
      </c>
      <c r="F225" s="51" t="n"/>
      <c r="G225" s="51" t="n"/>
      <c r="H225" s="51" t="n"/>
      <c r="I225" s="51" t="n"/>
      <c r="J225" s="51" t="n"/>
      <c r="K225" s="51" t="n"/>
      <c r="L225" s="51" t="n"/>
      <c r="M225" s="51" t="n"/>
      <c r="N225" s="51" t="n"/>
      <c r="O225" s="51" t="n"/>
      <c r="P225" s="51" t="n"/>
      <c r="Q225" s="51" t="n"/>
      <c r="R225" s="51" t="n"/>
      <c r="S225" s="51" t="n"/>
      <c r="T225" s="51" t="n"/>
      <c r="U225" s="51" t="n"/>
      <c r="V225" s="51" t="n"/>
      <c r="W225" s="51" t="n"/>
      <c r="X225" s="51" t="n"/>
      <c r="Y225" s="51" t="n"/>
      <c r="Z225" s="51" t="n"/>
      <c r="AA225" s="51" t="n"/>
      <c r="AB225" s="51" t="n"/>
      <c r="AC225" s="51" t="n"/>
      <c r="AD225" s="51" t="n"/>
      <c r="AE225" s="51" t="n"/>
      <c r="AF225" s="51" t="n"/>
      <c r="AG225" s="51" t="n"/>
      <c r="AH225" s="51" t="n"/>
      <c r="AI225" s="51" t="n"/>
      <c r="AJ225" s="51" t="n"/>
      <c r="AK225" s="51" t="n"/>
      <c r="AL225" s="51" t="n"/>
      <c r="AM225" s="51" t="n"/>
      <c r="AN225" s="51" t="n"/>
      <c r="AO225" s="51" t="n"/>
      <c r="AP225" s="51" t="n"/>
      <c r="AQ225" s="51" t="n"/>
      <c r="AR225" s="51" t="n"/>
      <c r="AS225" s="51" t="n"/>
      <c r="AT225" s="51" t="n"/>
      <c r="AU225" s="51" t="n"/>
      <c r="AV225" s="51" t="n"/>
      <c r="AW225" s="51" t="n"/>
      <c r="AX225" s="51" t="n"/>
      <c r="AY225" s="51" t="n"/>
      <c r="AZ225" s="51" t="n"/>
      <c r="BA225" s="51" t="n"/>
      <c r="BB225" s="51" t="n"/>
      <c r="BC225" s="51" t="n"/>
      <c r="BD225" s="51" t="n"/>
      <c r="BE225" s="51" t="n"/>
      <c r="BF225" s="51" t="n"/>
      <c r="BG225" s="51" t="n"/>
      <c r="BH225" s="51" t="n"/>
      <c r="BI225" s="51" t="n"/>
      <c r="BJ225" s="51" t="n"/>
      <c r="BK225" s="51" t="n"/>
      <c r="BL225" s="51" t="n"/>
      <c r="BM225" s="51" t="n"/>
    </row>
    <row r="226">
      <c r="A226" s="47">
        <f>IF(Mitarbeiter!B226="","",Mitarbeiter!A226)</f>
        <v/>
      </c>
      <c r="B226" s="48">
        <f>IF(Mitarbeiter!B226="","",Mitarbeiter!B226)</f>
        <v/>
      </c>
      <c r="C226" s="37">
        <f>IF(Mitarbeiter!B226="","",N(INDEX($F226:$BM226,1,(Einstellungen!$C$3-2026)*12+1))+N(INDEX($F226:$BM226,1,(Einstellungen!$C$3-2026)*12+2))+N(INDEX($F226:$BM226,1,(Einstellungen!$C$3-2026)*12+3))+N(INDEX($F226:$BM226,1,(Einstellungen!$C$3-2026)*12+4))+N(INDEX($F226:$BM226,1,(Einstellungen!$C$3-2026)*12+5))+N(INDEX($F226:$BM226,1,(Einstellungen!$C$3-2026)*12+6))+N(INDEX($F226:$BM226,1,(Einstellungen!$C$3-2026)*12+7))+N(INDEX($F226:$BM226,1,(Einstellungen!$C$3-2026)*12+8))+N(INDEX($F226:$BM226,1,(Einstellungen!$C$3-2026)*12+9))+N(INDEX($F226:$BM226,1,(Einstellungen!$C$3-2026)*12+10))+N(INDEX($F226:$BM226,1,(Einstellungen!$C$3-2026)*12+11))+N(INDEX($F226:$BM226,1,(Einstellungen!$C$3-2026)*12+12)))</f>
        <v/>
      </c>
      <c r="D226" s="37">
        <f>IF(Mitarbeiter!B226="","",SUM(F226:BM226))</f>
        <v/>
      </c>
      <c r="F226" s="51" t="n"/>
      <c r="G226" s="51" t="n"/>
      <c r="H226" s="51" t="n"/>
      <c r="I226" s="51" t="n"/>
      <c r="J226" s="51" t="n"/>
      <c r="K226" s="51" t="n"/>
      <c r="L226" s="51" t="n"/>
      <c r="M226" s="51" t="n"/>
      <c r="N226" s="51" t="n"/>
      <c r="O226" s="51" t="n"/>
      <c r="P226" s="51" t="n"/>
      <c r="Q226" s="51" t="n"/>
      <c r="R226" s="51" t="n"/>
      <c r="S226" s="51" t="n"/>
      <c r="T226" s="51" t="n"/>
      <c r="U226" s="51" t="n"/>
      <c r="V226" s="51" t="n"/>
      <c r="W226" s="51" t="n"/>
      <c r="X226" s="51" t="n"/>
      <c r="Y226" s="51" t="n"/>
      <c r="Z226" s="51" t="n"/>
      <c r="AA226" s="51" t="n"/>
      <c r="AB226" s="51" t="n"/>
      <c r="AC226" s="51" t="n"/>
      <c r="AD226" s="51" t="n"/>
      <c r="AE226" s="51" t="n"/>
      <c r="AF226" s="51" t="n"/>
      <c r="AG226" s="51" t="n"/>
      <c r="AH226" s="51" t="n"/>
      <c r="AI226" s="51" t="n"/>
      <c r="AJ226" s="51" t="n"/>
      <c r="AK226" s="51" t="n"/>
      <c r="AL226" s="51" t="n"/>
      <c r="AM226" s="51" t="n"/>
      <c r="AN226" s="51" t="n"/>
      <c r="AO226" s="51" t="n"/>
      <c r="AP226" s="51" t="n"/>
      <c r="AQ226" s="51" t="n"/>
      <c r="AR226" s="51" t="n"/>
      <c r="AS226" s="51" t="n"/>
      <c r="AT226" s="51" t="n"/>
      <c r="AU226" s="51" t="n"/>
      <c r="AV226" s="51" t="n"/>
      <c r="AW226" s="51" t="n"/>
      <c r="AX226" s="51" t="n"/>
      <c r="AY226" s="51" t="n"/>
      <c r="AZ226" s="51" t="n"/>
      <c r="BA226" s="51" t="n"/>
      <c r="BB226" s="51" t="n"/>
      <c r="BC226" s="51" t="n"/>
      <c r="BD226" s="51" t="n"/>
      <c r="BE226" s="51" t="n"/>
      <c r="BF226" s="51" t="n"/>
      <c r="BG226" s="51" t="n"/>
      <c r="BH226" s="51" t="n"/>
      <c r="BI226" s="51" t="n"/>
      <c r="BJ226" s="51" t="n"/>
      <c r="BK226" s="51" t="n"/>
      <c r="BL226" s="51" t="n"/>
      <c r="BM226" s="51" t="n"/>
    </row>
    <row r="227">
      <c r="A227" s="47">
        <f>IF(Mitarbeiter!B227="","",Mitarbeiter!A227)</f>
        <v/>
      </c>
      <c r="B227" s="48">
        <f>IF(Mitarbeiter!B227="","",Mitarbeiter!B227)</f>
        <v/>
      </c>
      <c r="C227" s="37">
        <f>IF(Mitarbeiter!B227="","",N(INDEX($F227:$BM227,1,(Einstellungen!$C$3-2026)*12+1))+N(INDEX($F227:$BM227,1,(Einstellungen!$C$3-2026)*12+2))+N(INDEX($F227:$BM227,1,(Einstellungen!$C$3-2026)*12+3))+N(INDEX($F227:$BM227,1,(Einstellungen!$C$3-2026)*12+4))+N(INDEX($F227:$BM227,1,(Einstellungen!$C$3-2026)*12+5))+N(INDEX($F227:$BM227,1,(Einstellungen!$C$3-2026)*12+6))+N(INDEX($F227:$BM227,1,(Einstellungen!$C$3-2026)*12+7))+N(INDEX($F227:$BM227,1,(Einstellungen!$C$3-2026)*12+8))+N(INDEX($F227:$BM227,1,(Einstellungen!$C$3-2026)*12+9))+N(INDEX($F227:$BM227,1,(Einstellungen!$C$3-2026)*12+10))+N(INDEX($F227:$BM227,1,(Einstellungen!$C$3-2026)*12+11))+N(INDEX($F227:$BM227,1,(Einstellungen!$C$3-2026)*12+12)))</f>
        <v/>
      </c>
      <c r="D227" s="37">
        <f>IF(Mitarbeiter!B227="","",SUM(F227:BM227))</f>
        <v/>
      </c>
      <c r="F227" s="51" t="n"/>
      <c r="G227" s="51" t="n"/>
      <c r="H227" s="51" t="n"/>
      <c r="I227" s="51" t="n"/>
      <c r="J227" s="51" t="n"/>
      <c r="K227" s="51" t="n"/>
      <c r="L227" s="51" t="n"/>
      <c r="M227" s="51" t="n"/>
      <c r="N227" s="51" t="n"/>
      <c r="O227" s="51" t="n"/>
      <c r="P227" s="51" t="n"/>
      <c r="Q227" s="51" t="n"/>
      <c r="R227" s="51" t="n"/>
      <c r="S227" s="51" t="n"/>
      <c r="T227" s="51" t="n"/>
      <c r="U227" s="51" t="n"/>
      <c r="V227" s="51" t="n"/>
      <c r="W227" s="51" t="n"/>
      <c r="X227" s="51" t="n"/>
      <c r="Y227" s="51" t="n"/>
      <c r="Z227" s="51" t="n"/>
      <c r="AA227" s="51" t="n"/>
      <c r="AB227" s="51" t="n"/>
      <c r="AC227" s="51" t="n"/>
      <c r="AD227" s="51" t="n"/>
      <c r="AE227" s="51" t="n"/>
      <c r="AF227" s="51" t="n"/>
      <c r="AG227" s="51" t="n"/>
      <c r="AH227" s="51" t="n"/>
      <c r="AI227" s="51" t="n"/>
      <c r="AJ227" s="51" t="n"/>
      <c r="AK227" s="51" t="n"/>
      <c r="AL227" s="51" t="n"/>
      <c r="AM227" s="51" t="n"/>
      <c r="AN227" s="51" t="n"/>
      <c r="AO227" s="51" t="n"/>
      <c r="AP227" s="51" t="n"/>
      <c r="AQ227" s="51" t="n"/>
      <c r="AR227" s="51" t="n"/>
      <c r="AS227" s="51" t="n"/>
      <c r="AT227" s="51" t="n"/>
      <c r="AU227" s="51" t="n"/>
      <c r="AV227" s="51" t="n"/>
      <c r="AW227" s="51" t="n"/>
      <c r="AX227" s="51" t="n"/>
      <c r="AY227" s="51" t="n"/>
      <c r="AZ227" s="51" t="n"/>
      <c r="BA227" s="51" t="n"/>
      <c r="BB227" s="51" t="n"/>
      <c r="BC227" s="51" t="n"/>
      <c r="BD227" s="51" t="n"/>
      <c r="BE227" s="51" t="n"/>
      <c r="BF227" s="51" t="n"/>
      <c r="BG227" s="51" t="n"/>
      <c r="BH227" s="51" t="n"/>
      <c r="BI227" s="51" t="n"/>
      <c r="BJ227" s="51" t="n"/>
      <c r="BK227" s="51" t="n"/>
      <c r="BL227" s="51" t="n"/>
      <c r="BM227" s="51" t="n"/>
    </row>
    <row r="228">
      <c r="A228" s="47">
        <f>IF(Mitarbeiter!B228="","",Mitarbeiter!A228)</f>
        <v/>
      </c>
      <c r="B228" s="48">
        <f>IF(Mitarbeiter!B228="","",Mitarbeiter!B228)</f>
        <v/>
      </c>
      <c r="C228" s="37">
        <f>IF(Mitarbeiter!B228="","",N(INDEX($F228:$BM228,1,(Einstellungen!$C$3-2026)*12+1))+N(INDEX($F228:$BM228,1,(Einstellungen!$C$3-2026)*12+2))+N(INDEX($F228:$BM228,1,(Einstellungen!$C$3-2026)*12+3))+N(INDEX($F228:$BM228,1,(Einstellungen!$C$3-2026)*12+4))+N(INDEX($F228:$BM228,1,(Einstellungen!$C$3-2026)*12+5))+N(INDEX($F228:$BM228,1,(Einstellungen!$C$3-2026)*12+6))+N(INDEX($F228:$BM228,1,(Einstellungen!$C$3-2026)*12+7))+N(INDEX($F228:$BM228,1,(Einstellungen!$C$3-2026)*12+8))+N(INDEX($F228:$BM228,1,(Einstellungen!$C$3-2026)*12+9))+N(INDEX($F228:$BM228,1,(Einstellungen!$C$3-2026)*12+10))+N(INDEX($F228:$BM228,1,(Einstellungen!$C$3-2026)*12+11))+N(INDEX($F228:$BM228,1,(Einstellungen!$C$3-2026)*12+12)))</f>
        <v/>
      </c>
      <c r="D228" s="37">
        <f>IF(Mitarbeiter!B228="","",SUM(F228:BM228))</f>
        <v/>
      </c>
      <c r="F228" s="51" t="n"/>
      <c r="G228" s="51" t="n"/>
      <c r="H228" s="51" t="n"/>
      <c r="I228" s="51" t="n"/>
      <c r="J228" s="51" t="n"/>
      <c r="K228" s="51" t="n"/>
      <c r="L228" s="51" t="n"/>
      <c r="M228" s="51" t="n"/>
      <c r="N228" s="51" t="n"/>
      <c r="O228" s="51" t="n"/>
      <c r="P228" s="51" t="n"/>
      <c r="Q228" s="51" t="n"/>
      <c r="R228" s="51" t="n"/>
      <c r="S228" s="51" t="n"/>
      <c r="T228" s="51" t="n"/>
      <c r="U228" s="51" t="n"/>
      <c r="V228" s="51" t="n"/>
      <c r="W228" s="51" t="n"/>
      <c r="X228" s="51" t="n"/>
      <c r="Y228" s="51" t="n"/>
      <c r="Z228" s="51" t="n"/>
      <c r="AA228" s="51" t="n"/>
      <c r="AB228" s="51" t="n"/>
      <c r="AC228" s="51" t="n"/>
      <c r="AD228" s="51" t="n"/>
      <c r="AE228" s="51" t="n"/>
      <c r="AF228" s="51" t="n"/>
      <c r="AG228" s="51" t="n"/>
      <c r="AH228" s="51" t="n"/>
      <c r="AI228" s="51" t="n"/>
      <c r="AJ228" s="51" t="n"/>
      <c r="AK228" s="51" t="n"/>
      <c r="AL228" s="51" t="n"/>
      <c r="AM228" s="51" t="n"/>
      <c r="AN228" s="51" t="n"/>
      <c r="AO228" s="51" t="n"/>
      <c r="AP228" s="51" t="n"/>
      <c r="AQ228" s="51" t="n"/>
      <c r="AR228" s="51" t="n"/>
      <c r="AS228" s="51" t="n"/>
      <c r="AT228" s="51" t="n"/>
      <c r="AU228" s="51" t="n"/>
      <c r="AV228" s="51" t="n"/>
      <c r="AW228" s="51" t="n"/>
      <c r="AX228" s="51" t="n"/>
      <c r="AY228" s="51" t="n"/>
      <c r="AZ228" s="51" t="n"/>
      <c r="BA228" s="51" t="n"/>
      <c r="BB228" s="51" t="n"/>
      <c r="BC228" s="51" t="n"/>
      <c r="BD228" s="51" t="n"/>
      <c r="BE228" s="51" t="n"/>
      <c r="BF228" s="51" t="n"/>
      <c r="BG228" s="51" t="n"/>
      <c r="BH228" s="51" t="n"/>
      <c r="BI228" s="51" t="n"/>
      <c r="BJ228" s="51" t="n"/>
      <c r="BK228" s="51" t="n"/>
      <c r="BL228" s="51" t="n"/>
      <c r="BM228" s="51" t="n"/>
    </row>
    <row r="229">
      <c r="A229" s="47">
        <f>IF(Mitarbeiter!B229="","",Mitarbeiter!A229)</f>
        <v/>
      </c>
      <c r="B229" s="48">
        <f>IF(Mitarbeiter!B229="","",Mitarbeiter!B229)</f>
        <v/>
      </c>
      <c r="C229" s="37">
        <f>IF(Mitarbeiter!B229="","",N(INDEX($F229:$BM229,1,(Einstellungen!$C$3-2026)*12+1))+N(INDEX($F229:$BM229,1,(Einstellungen!$C$3-2026)*12+2))+N(INDEX($F229:$BM229,1,(Einstellungen!$C$3-2026)*12+3))+N(INDEX($F229:$BM229,1,(Einstellungen!$C$3-2026)*12+4))+N(INDEX($F229:$BM229,1,(Einstellungen!$C$3-2026)*12+5))+N(INDEX($F229:$BM229,1,(Einstellungen!$C$3-2026)*12+6))+N(INDEX($F229:$BM229,1,(Einstellungen!$C$3-2026)*12+7))+N(INDEX($F229:$BM229,1,(Einstellungen!$C$3-2026)*12+8))+N(INDEX($F229:$BM229,1,(Einstellungen!$C$3-2026)*12+9))+N(INDEX($F229:$BM229,1,(Einstellungen!$C$3-2026)*12+10))+N(INDEX($F229:$BM229,1,(Einstellungen!$C$3-2026)*12+11))+N(INDEX($F229:$BM229,1,(Einstellungen!$C$3-2026)*12+12)))</f>
        <v/>
      </c>
      <c r="D229" s="37">
        <f>IF(Mitarbeiter!B229="","",SUM(F229:BM229))</f>
        <v/>
      </c>
      <c r="F229" s="51" t="n"/>
      <c r="G229" s="51" t="n"/>
      <c r="H229" s="51" t="n"/>
      <c r="I229" s="51" t="n"/>
      <c r="J229" s="51" t="n"/>
      <c r="K229" s="51" t="n"/>
      <c r="L229" s="51" t="n"/>
      <c r="M229" s="51" t="n"/>
      <c r="N229" s="51" t="n"/>
      <c r="O229" s="51" t="n"/>
      <c r="P229" s="51" t="n"/>
      <c r="Q229" s="51" t="n"/>
      <c r="R229" s="51" t="n"/>
      <c r="S229" s="51" t="n"/>
      <c r="T229" s="51" t="n"/>
      <c r="U229" s="51" t="n"/>
      <c r="V229" s="51" t="n"/>
      <c r="W229" s="51" t="n"/>
      <c r="X229" s="51" t="n"/>
      <c r="Y229" s="51" t="n"/>
      <c r="Z229" s="51" t="n"/>
      <c r="AA229" s="51" t="n"/>
      <c r="AB229" s="51" t="n"/>
      <c r="AC229" s="51" t="n"/>
      <c r="AD229" s="51" t="n"/>
      <c r="AE229" s="51" t="n"/>
      <c r="AF229" s="51" t="n"/>
      <c r="AG229" s="51" t="n"/>
      <c r="AH229" s="51" t="n"/>
      <c r="AI229" s="51" t="n"/>
      <c r="AJ229" s="51" t="n"/>
      <c r="AK229" s="51" t="n"/>
      <c r="AL229" s="51" t="n"/>
      <c r="AM229" s="51" t="n"/>
      <c r="AN229" s="51" t="n"/>
      <c r="AO229" s="51" t="n"/>
      <c r="AP229" s="51" t="n"/>
      <c r="AQ229" s="51" t="n"/>
      <c r="AR229" s="51" t="n"/>
      <c r="AS229" s="51" t="n"/>
      <c r="AT229" s="51" t="n"/>
      <c r="AU229" s="51" t="n"/>
      <c r="AV229" s="51" t="n"/>
      <c r="AW229" s="51" t="n"/>
      <c r="AX229" s="51" t="n"/>
      <c r="AY229" s="51" t="n"/>
      <c r="AZ229" s="51" t="n"/>
      <c r="BA229" s="51" t="n"/>
      <c r="BB229" s="51" t="n"/>
      <c r="BC229" s="51" t="n"/>
      <c r="BD229" s="51" t="n"/>
      <c r="BE229" s="51" t="n"/>
      <c r="BF229" s="51" t="n"/>
      <c r="BG229" s="51" t="n"/>
      <c r="BH229" s="51" t="n"/>
      <c r="BI229" s="51" t="n"/>
      <c r="BJ229" s="51" t="n"/>
      <c r="BK229" s="51" t="n"/>
      <c r="BL229" s="51" t="n"/>
      <c r="BM229" s="51" t="n"/>
    </row>
    <row r="230">
      <c r="A230" s="47">
        <f>IF(Mitarbeiter!B230="","",Mitarbeiter!A230)</f>
        <v/>
      </c>
      <c r="B230" s="48">
        <f>IF(Mitarbeiter!B230="","",Mitarbeiter!B230)</f>
        <v/>
      </c>
      <c r="C230" s="37">
        <f>IF(Mitarbeiter!B230="","",N(INDEX($F230:$BM230,1,(Einstellungen!$C$3-2026)*12+1))+N(INDEX($F230:$BM230,1,(Einstellungen!$C$3-2026)*12+2))+N(INDEX($F230:$BM230,1,(Einstellungen!$C$3-2026)*12+3))+N(INDEX($F230:$BM230,1,(Einstellungen!$C$3-2026)*12+4))+N(INDEX($F230:$BM230,1,(Einstellungen!$C$3-2026)*12+5))+N(INDEX($F230:$BM230,1,(Einstellungen!$C$3-2026)*12+6))+N(INDEX($F230:$BM230,1,(Einstellungen!$C$3-2026)*12+7))+N(INDEX($F230:$BM230,1,(Einstellungen!$C$3-2026)*12+8))+N(INDEX($F230:$BM230,1,(Einstellungen!$C$3-2026)*12+9))+N(INDEX($F230:$BM230,1,(Einstellungen!$C$3-2026)*12+10))+N(INDEX($F230:$BM230,1,(Einstellungen!$C$3-2026)*12+11))+N(INDEX($F230:$BM230,1,(Einstellungen!$C$3-2026)*12+12)))</f>
        <v/>
      </c>
      <c r="D230" s="37">
        <f>IF(Mitarbeiter!B230="","",SUM(F230:BM230))</f>
        <v/>
      </c>
      <c r="F230" s="51" t="n"/>
      <c r="G230" s="51" t="n"/>
      <c r="H230" s="51" t="n"/>
      <c r="I230" s="51" t="n"/>
      <c r="J230" s="51" t="n"/>
      <c r="K230" s="51" t="n"/>
      <c r="L230" s="51" t="n"/>
      <c r="M230" s="51" t="n"/>
      <c r="N230" s="51" t="n"/>
      <c r="O230" s="51" t="n"/>
      <c r="P230" s="51" t="n"/>
      <c r="Q230" s="51" t="n"/>
      <c r="R230" s="51" t="n"/>
      <c r="S230" s="51" t="n"/>
      <c r="T230" s="51" t="n"/>
      <c r="U230" s="51" t="n"/>
      <c r="V230" s="51" t="n"/>
      <c r="W230" s="51" t="n"/>
      <c r="X230" s="51" t="n"/>
      <c r="Y230" s="51" t="n"/>
      <c r="Z230" s="51" t="n"/>
      <c r="AA230" s="51" t="n"/>
      <c r="AB230" s="51" t="n"/>
      <c r="AC230" s="51" t="n"/>
      <c r="AD230" s="51" t="n"/>
      <c r="AE230" s="51" t="n"/>
      <c r="AF230" s="51" t="n"/>
      <c r="AG230" s="51" t="n"/>
      <c r="AH230" s="51" t="n"/>
      <c r="AI230" s="51" t="n"/>
      <c r="AJ230" s="51" t="n"/>
      <c r="AK230" s="51" t="n"/>
      <c r="AL230" s="51" t="n"/>
      <c r="AM230" s="51" t="n"/>
      <c r="AN230" s="51" t="n"/>
      <c r="AO230" s="51" t="n"/>
      <c r="AP230" s="51" t="n"/>
      <c r="AQ230" s="51" t="n"/>
      <c r="AR230" s="51" t="n"/>
      <c r="AS230" s="51" t="n"/>
      <c r="AT230" s="51" t="n"/>
      <c r="AU230" s="51" t="n"/>
      <c r="AV230" s="51" t="n"/>
      <c r="AW230" s="51" t="n"/>
      <c r="AX230" s="51" t="n"/>
      <c r="AY230" s="51" t="n"/>
      <c r="AZ230" s="51" t="n"/>
      <c r="BA230" s="51" t="n"/>
      <c r="BB230" s="51" t="n"/>
      <c r="BC230" s="51" t="n"/>
      <c r="BD230" s="51" t="n"/>
      <c r="BE230" s="51" t="n"/>
      <c r="BF230" s="51" t="n"/>
      <c r="BG230" s="51" t="n"/>
      <c r="BH230" s="51" t="n"/>
      <c r="BI230" s="51" t="n"/>
      <c r="BJ230" s="51" t="n"/>
      <c r="BK230" s="51" t="n"/>
      <c r="BL230" s="51" t="n"/>
      <c r="BM230" s="51" t="n"/>
    </row>
    <row r="231">
      <c r="A231" s="47">
        <f>IF(Mitarbeiter!B231="","",Mitarbeiter!A231)</f>
        <v/>
      </c>
      <c r="B231" s="48">
        <f>IF(Mitarbeiter!B231="","",Mitarbeiter!B231)</f>
        <v/>
      </c>
      <c r="C231" s="37">
        <f>IF(Mitarbeiter!B231="","",N(INDEX($F231:$BM231,1,(Einstellungen!$C$3-2026)*12+1))+N(INDEX($F231:$BM231,1,(Einstellungen!$C$3-2026)*12+2))+N(INDEX($F231:$BM231,1,(Einstellungen!$C$3-2026)*12+3))+N(INDEX($F231:$BM231,1,(Einstellungen!$C$3-2026)*12+4))+N(INDEX($F231:$BM231,1,(Einstellungen!$C$3-2026)*12+5))+N(INDEX($F231:$BM231,1,(Einstellungen!$C$3-2026)*12+6))+N(INDEX($F231:$BM231,1,(Einstellungen!$C$3-2026)*12+7))+N(INDEX($F231:$BM231,1,(Einstellungen!$C$3-2026)*12+8))+N(INDEX($F231:$BM231,1,(Einstellungen!$C$3-2026)*12+9))+N(INDEX($F231:$BM231,1,(Einstellungen!$C$3-2026)*12+10))+N(INDEX($F231:$BM231,1,(Einstellungen!$C$3-2026)*12+11))+N(INDEX($F231:$BM231,1,(Einstellungen!$C$3-2026)*12+12)))</f>
        <v/>
      </c>
      <c r="D231" s="37">
        <f>IF(Mitarbeiter!B231="","",SUM(F231:BM231))</f>
        <v/>
      </c>
      <c r="F231" s="51" t="n"/>
      <c r="G231" s="51" t="n"/>
      <c r="H231" s="51" t="n"/>
      <c r="I231" s="51" t="n"/>
      <c r="J231" s="51" t="n"/>
      <c r="K231" s="51" t="n"/>
      <c r="L231" s="51" t="n"/>
      <c r="M231" s="51" t="n"/>
      <c r="N231" s="51" t="n"/>
      <c r="O231" s="51" t="n"/>
      <c r="P231" s="51" t="n"/>
      <c r="Q231" s="51" t="n"/>
      <c r="R231" s="51" t="n"/>
      <c r="S231" s="51" t="n"/>
      <c r="T231" s="51" t="n"/>
      <c r="U231" s="51" t="n"/>
      <c r="V231" s="51" t="n"/>
      <c r="W231" s="51" t="n"/>
      <c r="X231" s="51" t="n"/>
      <c r="Y231" s="51" t="n"/>
      <c r="Z231" s="51" t="n"/>
      <c r="AA231" s="51" t="n"/>
      <c r="AB231" s="51" t="n"/>
      <c r="AC231" s="51" t="n"/>
      <c r="AD231" s="51" t="n"/>
      <c r="AE231" s="51" t="n"/>
      <c r="AF231" s="51" t="n"/>
      <c r="AG231" s="51" t="n"/>
      <c r="AH231" s="51" t="n"/>
      <c r="AI231" s="51" t="n"/>
      <c r="AJ231" s="51" t="n"/>
      <c r="AK231" s="51" t="n"/>
      <c r="AL231" s="51" t="n"/>
      <c r="AM231" s="51" t="n"/>
      <c r="AN231" s="51" t="n"/>
      <c r="AO231" s="51" t="n"/>
      <c r="AP231" s="51" t="n"/>
      <c r="AQ231" s="51" t="n"/>
      <c r="AR231" s="51" t="n"/>
      <c r="AS231" s="51" t="n"/>
      <c r="AT231" s="51" t="n"/>
      <c r="AU231" s="51" t="n"/>
      <c r="AV231" s="51" t="n"/>
      <c r="AW231" s="51" t="n"/>
      <c r="AX231" s="51" t="n"/>
      <c r="AY231" s="51" t="n"/>
      <c r="AZ231" s="51" t="n"/>
      <c r="BA231" s="51" t="n"/>
      <c r="BB231" s="51" t="n"/>
      <c r="BC231" s="51" t="n"/>
      <c r="BD231" s="51" t="n"/>
      <c r="BE231" s="51" t="n"/>
      <c r="BF231" s="51" t="n"/>
      <c r="BG231" s="51" t="n"/>
      <c r="BH231" s="51" t="n"/>
      <c r="BI231" s="51" t="n"/>
      <c r="BJ231" s="51" t="n"/>
      <c r="BK231" s="51" t="n"/>
      <c r="BL231" s="51" t="n"/>
      <c r="BM231" s="51" t="n"/>
    </row>
    <row r="232">
      <c r="A232" s="47">
        <f>IF(Mitarbeiter!B232="","",Mitarbeiter!A232)</f>
        <v/>
      </c>
      <c r="B232" s="48">
        <f>IF(Mitarbeiter!B232="","",Mitarbeiter!B232)</f>
        <v/>
      </c>
      <c r="C232" s="37">
        <f>IF(Mitarbeiter!B232="","",N(INDEX($F232:$BM232,1,(Einstellungen!$C$3-2026)*12+1))+N(INDEX($F232:$BM232,1,(Einstellungen!$C$3-2026)*12+2))+N(INDEX($F232:$BM232,1,(Einstellungen!$C$3-2026)*12+3))+N(INDEX($F232:$BM232,1,(Einstellungen!$C$3-2026)*12+4))+N(INDEX($F232:$BM232,1,(Einstellungen!$C$3-2026)*12+5))+N(INDEX($F232:$BM232,1,(Einstellungen!$C$3-2026)*12+6))+N(INDEX($F232:$BM232,1,(Einstellungen!$C$3-2026)*12+7))+N(INDEX($F232:$BM232,1,(Einstellungen!$C$3-2026)*12+8))+N(INDEX($F232:$BM232,1,(Einstellungen!$C$3-2026)*12+9))+N(INDEX($F232:$BM232,1,(Einstellungen!$C$3-2026)*12+10))+N(INDEX($F232:$BM232,1,(Einstellungen!$C$3-2026)*12+11))+N(INDEX($F232:$BM232,1,(Einstellungen!$C$3-2026)*12+12)))</f>
        <v/>
      </c>
      <c r="D232" s="37">
        <f>IF(Mitarbeiter!B232="","",SUM(F232:BM232))</f>
        <v/>
      </c>
      <c r="F232" s="51" t="n"/>
      <c r="G232" s="51" t="n"/>
      <c r="H232" s="51" t="n"/>
      <c r="I232" s="51" t="n"/>
      <c r="J232" s="51" t="n"/>
      <c r="K232" s="51" t="n"/>
      <c r="L232" s="51" t="n"/>
      <c r="M232" s="51" t="n"/>
      <c r="N232" s="51" t="n"/>
      <c r="O232" s="51" t="n"/>
      <c r="P232" s="51" t="n"/>
      <c r="Q232" s="51" t="n"/>
      <c r="R232" s="51" t="n"/>
      <c r="S232" s="51" t="n"/>
      <c r="T232" s="51" t="n"/>
      <c r="U232" s="51" t="n"/>
      <c r="V232" s="51" t="n"/>
      <c r="W232" s="51" t="n"/>
      <c r="X232" s="51" t="n"/>
      <c r="Y232" s="51" t="n"/>
      <c r="Z232" s="51" t="n"/>
      <c r="AA232" s="51" t="n"/>
      <c r="AB232" s="51" t="n"/>
      <c r="AC232" s="51" t="n"/>
      <c r="AD232" s="51" t="n"/>
      <c r="AE232" s="51" t="n"/>
      <c r="AF232" s="51" t="n"/>
      <c r="AG232" s="51" t="n"/>
      <c r="AH232" s="51" t="n"/>
      <c r="AI232" s="51" t="n"/>
      <c r="AJ232" s="51" t="n"/>
      <c r="AK232" s="51" t="n"/>
      <c r="AL232" s="51" t="n"/>
      <c r="AM232" s="51" t="n"/>
      <c r="AN232" s="51" t="n"/>
      <c r="AO232" s="51" t="n"/>
      <c r="AP232" s="51" t="n"/>
      <c r="AQ232" s="51" t="n"/>
      <c r="AR232" s="51" t="n"/>
      <c r="AS232" s="51" t="n"/>
      <c r="AT232" s="51" t="n"/>
      <c r="AU232" s="51" t="n"/>
      <c r="AV232" s="51" t="n"/>
      <c r="AW232" s="51" t="n"/>
      <c r="AX232" s="51" t="n"/>
      <c r="AY232" s="51" t="n"/>
      <c r="AZ232" s="51" t="n"/>
      <c r="BA232" s="51" t="n"/>
      <c r="BB232" s="51" t="n"/>
      <c r="BC232" s="51" t="n"/>
      <c r="BD232" s="51" t="n"/>
      <c r="BE232" s="51" t="n"/>
      <c r="BF232" s="51" t="n"/>
      <c r="BG232" s="51" t="n"/>
      <c r="BH232" s="51" t="n"/>
      <c r="BI232" s="51" t="n"/>
      <c r="BJ232" s="51" t="n"/>
      <c r="BK232" s="51" t="n"/>
      <c r="BL232" s="51" t="n"/>
      <c r="BM232" s="51" t="n"/>
    </row>
    <row r="233">
      <c r="A233" s="47">
        <f>IF(Mitarbeiter!B233="","",Mitarbeiter!A233)</f>
        <v/>
      </c>
      <c r="B233" s="48">
        <f>IF(Mitarbeiter!B233="","",Mitarbeiter!B233)</f>
        <v/>
      </c>
      <c r="C233" s="37">
        <f>IF(Mitarbeiter!B233="","",N(INDEX($F233:$BM233,1,(Einstellungen!$C$3-2026)*12+1))+N(INDEX($F233:$BM233,1,(Einstellungen!$C$3-2026)*12+2))+N(INDEX($F233:$BM233,1,(Einstellungen!$C$3-2026)*12+3))+N(INDEX($F233:$BM233,1,(Einstellungen!$C$3-2026)*12+4))+N(INDEX($F233:$BM233,1,(Einstellungen!$C$3-2026)*12+5))+N(INDEX($F233:$BM233,1,(Einstellungen!$C$3-2026)*12+6))+N(INDEX($F233:$BM233,1,(Einstellungen!$C$3-2026)*12+7))+N(INDEX($F233:$BM233,1,(Einstellungen!$C$3-2026)*12+8))+N(INDEX($F233:$BM233,1,(Einstellungen!$C$3-2026)*12+9))+N(INDEX($F233:$BM233,1,(Einstellungen!$C$3-2026)*12+10))+N(INDEX($F233:$BM233,1,(Einstellungen!$C$3-2026)*12+11))+N(INDEX($F233:$BM233,1,(Einstellungen!$C$3-2026)*12+12)))</f>
        <v/>
      </c>
      <c r="D233" s="37">
        <f>IF(Mitarbeiter!B233="","",SUM(F233:BM233))</f>
        <v/>
      </c>
      <c r="F233" s="51" t="n"/>
      <c r="G233" s="51" t="n"/>
      <c r="H233" s="51" t="n"/>
      <c r="I233" s="51" t="n"/>
      <c r="J233" s="51" t="n"/>
      <c r="K233" s="51" t="n"/>
      <c r="L233" s="51" t="n"/>
      <c r="M233" s="51" t="n"/>
      <c r="N233" s="51" t="n"/>
      <c r="O233" s="51" t="n"/>
      <c r="P233" s="51" t="n"/>
      <c r="Q233" s="51" t="n"/>
      <c r="R233" s="51" t="n"/>
      <c r="S233" s="51" t="n"/>
      <c r="T233" s="51" t="n"/>
      <c r="U233" s="51" t="n"/>
      <c r="V233" s="51" t="n"/>
      <c r="W233" s="51" t="n"/>
      <c r="X233" s="51" t="n"/>
      <c r="Y233" s="51" t="n"/>
      <c r="Z233" s="51" t="n"/>
      <c r="AA233" s="51" t="n"/>
      <c r="AB233" s="51" t="n"/>
      <c r="AC233" s="51" t="n"/>
      <c r="AD233" s="51" t="n"/>
      <c r="AE233" s="51" t="n"/>
      <c r="AF233" s="51" t="n"/>
      <c r="AG233" s="51" t="n"/>
      <c r="AH233" s="51" t="n"/>
      <c r="AI233" s="51" t="n"/>
      <c r="AJ233" s="51" t="n"/>
      <c r="AK233" s="51" t="n"/>
      <c r="AL233" s="51" t="n"/>
      <c r="AM233" s="51" t="n"/>
      <c r="AN233" s="51" t="n"/>
      <c r="AO233" s="51" t="n"/>
      <c r="AP233" s="51" t="n"/>
      <c r="AQ233" s="51" t="n"/>
      <c r="AR233" s="51" t="n"/>
      <c r="AS233" s="51" t="n"/>
      <c r="AT233" s="51" t="n"/>
      <c r="AU233" s="51" t="n"/>
      <c r="AV233" s="51" t="n"/>
      <c r="AW233" s="51" t="n"/>
      <c r="AX233" s="51" t="n"/>
      <c r="AY233" s="51" t="n"/>
      <c r="AZ233" s="51" t="n"/>
      <c r="BA233" s="51" t="n"/>
      <c r="BB233" s="51" t="n"/>
      <c r="BC233" s="51" t="n"/>
      <c r="BD233" s="51" t="n"/>
      <c r="BE233" s="51" t="n"/>
      <c r="BF233" s="51" t="n"/>
      <c r="BG233" s="51" t="n"/>
      <c r="BH233" s="51" t="n"/>
      <c r="BI233" s="51" t="n"/>
      <c r="BJ233" s="51" t="n"/>
      <c r="BK233" s="51" t="n"/>
      <c r="BL233" s="51" t="n"/>
      <c r="BM233" s="51" t="n"/>
    </row>
    <row r="234">
      <c r="A234" s="47">
        <f>IF(Mitarbeiter!B234="","",Mitarbeiter!A234)</f>
        <v/>
      </c>
      <c r="B234" s="48">
        <f>IF(Mitarbeiter!B234="","",Mitarbeiter!B234)</f>
        <v/>
      </c>
      <c r="C234" s="37">
        <f>IF(Mitarbeiter!B234="","",N(INDEX($F234:$BM234,1,(Einstellungen!$C$3-2026)*12+1))+N(INDEX($F234:$BM234,1,(Einstellungen!$C$3-2026)*12+2))+N(INDEX($F234:$BM234,1,(Einstellungen!$C$3-2026)*12+3))+N(INDEX($F234:$BM234,1,(Einstellungen!$C$3-2026)*12+4))+N(INDEX($F234:$BM234,1,(Einstellungen!$C$3-2026)*12+5))+N(INDEX($F234:$BM234,1,(Einstellungen!$C$3-2026)*12+6))+N(INDEX($F234:$BM234,1,(Einstellungen!$C$3-2026)*12+7))+N(INDEX($F234:$BM234,1,(Einstellungen!$C$3-2026)*12+8))+N(INDEX($F234:$BM234,1,(Einstellungen!$C$3-2026)*12+9))+N(INDEX($F234:$BM234,1,(Einstellungen!$C$3-2026)*12+10))+N(INDEX($F234:$BM234,1,(Einstellungen!$C$3-2026)*12+11))+N(INDEX($F234:$BM234,1,(Einstellungen!$C$3-2026)*12+12)))</f>
        <v/>
      </c>
      <c r="D234" s="37">
        <f>IF(Mitarbeiter!B234="","",SUM(F234:BM234))</f>
        <v/>
      </c>
      <c r="F234" s="51" t="n"/>
      <c r="G234" s="51" t="n"/>
      <c r="H234" s="51" t="n"/>
      <c r="I234" s="51" t="n"/>
      <c r="J234" s="51" t="n"/>
      <c r="K234" s="51" t="n"/>
      <c r="L234" s="51" t="n"/>
      <c r="M234" s="51" t="n"/>
      <c r="N234" s="51" t="n"/>
      <c r="O234" s="51" t="n"/>
      <c r="P234" s="51" t="n"/>
      <c r="Q234" s="51" t="n"/>
      <c r="R234" s="51" t="n"/>
      <c r="S234" s="51" t="n"/>
      <c r="T234" s="51" t="n"/>
      <c r="U234" s="51" t="n"/>
      <c r="V234" s="51" t="n"/>
      <c r="W234" s="51" t="n"/>
      <c r="X234" s="51" t="n"/>
      <c r="Y234" s="51" t="n"/>
      <c r="Z234" s="51" t="n"/>
      <c r="AA234" s="51" t="n"/>
      <c r="AB234" s="51" t="n"/>
      <c r="AC234" s="51" t="n"/>
      <c r="AD234" s="51" t="n"/>
      <c r="AE234" s="51" t="n"/>
      <c r="AF234" s="51" t="n"/>
      <c r="AG234" s="51" t="n"/>
      <c r="AH234" s="51" t="n"/>
      <c r="AI234" s="51" t="n"/>
      <c r="AJ234" s="51" t="n"/>
      <c r="AK234" s="51" t="n"/>
      <c r="AL234" s="51" t="n"/>
      <c r="AM234" s="51" t="n"/>
      <c r="AN234" s="51" t="n"/>
      <c r="AO234" s="51" t="n"/>
      <c r="AP234" s="51" t="n"/>
      <c r="AQ234" s="51" t="n"/>
      <c r="AR234" s="51" t="n"/>
      <c r="AS234" s="51" t="n"/>
      <c r="AT234" s="51" t="n"/>
      <c r="AU234" s="51" t="n"/>
      <c r="AV234" s="51" t="n"/>
      <c r="AW234" s="51" t="n"/>
      <c r="AX234" s="51" t="n"/>
      <c r="AY234" s="51" t="n"/>
      <c r="AZ234" s="51" t="n"/>
      <c r="BA234" s="51" t="n"/>
      <c r="BB234" s="51" t="n"/>
      <c r="BC234" s="51" t="n"/>
      <c r="BD234" s="51" t="n"/>
      <c r="BE234" s="51" t="n"/>
      <c r="BF234" s="51" t="n"/>
      <c r="BG234" s="51" t="n"/>
      <c r="BH234" s="51" t="n"/>
      <c r="BI234" s="51" t="n"/>
      <c r="BJ234" s="51" t="n"/>
      <c r="BK234" s="51" t="n"/>
      <c r="BL234" s="51" t="n"/>
      <c r="BM234" s="51" t="n"/>
    </row>
    <row r="235">
      <c r="A235" s="47">
        <f>IF(Mitarbeiter!B235="","",Mitarbeiter!A235)</f>
        <v/>
      </c>
      <c r="B235" s="48">
        <f>IF(Mitarbeiter!B235="","",Mitarbeiter!B235)</f>
        <v/>
      </c>
      <c r="C235" s="37">
        <f>IF(Mitarbeiter!B235="","",N(INDEX($F235:$BM235,1,(Einstellungen!$C$3-2026)*12+1))+N(INDEX($F235:$BM235,1,(Einstellungen!$C$3-2026)*12+2))+N(INDEX($F235:$BM235,1,(Einstellungen!$C$3-2026)*12+3))+N(INDEX($F235:$BM235,1,(Einstellungen!$C$3-2026)*12+4))+N(INDEX($F235:$BM235,1,(Einstellungen!$C$3-2026)*12+5))+N(INDEX($F235:$BM235,1,(Einstellungen!$C$3-2026)*12+6))+N(INDEX($F235:$BM235,1,(Einstellungen!$C$3-2026)*12+7))+N(INDEX($F235:$BM235,1,(Einstellungen!$C$3-2026)*12+8))+N(INDEX($F235:$BM235,1,(Einstellungen!$C$3-2026)*12+9))+N(INDEX($F235:$BM235,1,(Einstellungen!$C$3-2026)*12+10))+N(INDEX($F235:$BM235,1,(Einstellungen!$C$3-2026)*12+11))+N(INDEX($F235:$BM235,1,(Einstellungen!$C$3-2026)*12+12)))</f>
        <v/>
      </c>
      <c r="D235" s="37">
        <f>IF(Mitarbeiter!B235="","",SUM(F235:BM235))</f>
        <v/>
      </c>
      <c r="F235" s="51" t="n"/>
      <c r="G235" s="51" t="n"/>
      <c r="H235" s="51" t="n"/>
      <c r="I235" s="51" t="n"/>
      <c r="J235" s="51" t="n"/>
      <c r="K235" s="51" t="n"/>
      <c r="L235" s="51" t="n"/>
      <c r="M235" s="51" t="n"/>
      <c r="N235" s="51" t="n"/>
      <c r="O235" s="51" t="n"/>
      <c r="P235" s="51" t="n"/>
      <c r="Q235" s="51" t="n"/>
      <c r="R235" s="51" t="n"/>
      <c r="S235" s="51" t="n"/>
      <c r="T235" s="51" t="n"/>
      <c r="U235" s="51" t="n"/>
      <c r="V235" s="51" t="n"/>
      <c r="W235" s="51" t="n"/>
      <c r="X235" s="51" t="n"/>
      <c r="Y235" s="51" t="n"/>
      <c r="Z235" s="51" t="n"/>
      <c r="AA235" s="51" t="n"/>
      <c r="AB235" s="51" t="n"/>
      <c r="AC235" s="51" t="n"/>
      <c r="AD235" s="51" t="n"/>
      <c r="AE235" s="51" t="n"/>
      <c r="AF235" s="51" t="n"/>
      <c r="AG235" s="51" t="n"/>
      <c r="AH235" s="51" t="n"/>
      <c r="AI235" s="51" t="n"/>
      <c r="AJ235" s="51" t="n"/>
      <c r="AK235" s="51" t="n"/>
      <c r="AL235" s="51" t="n"/>
      <c r="AM235" s="51" t="n"/>
      <c r="AN235" s="51" t="n"/>
      <c r="AO235" s="51" t="n"/>
      <c r="AP235" s="51" t="n"/>
      <c r="AQ235" s="51" t="n"/>
      <c r="AR235" s="51" t="n"/>
      <c r="AS235" s="51" t="n"/>
      <c r="AT235" s="51" t="n"/>
      <c r="AU235" s="51" t="n"/>
      <c r="AV235" s="51" t="n"/>
      <c r="AW235" s="51" t="n"/>
      <c r="AX235" s="51" t="n"/>
      <c r="AY235" s="51" t="n"/>
      <c r="AZ235" s="51" t="n"/>
      <c r="BA235" s="51" t="n"/>
      <c r="BB235" s="51" t="n"/>
      <c r="BC235" s="51" t="n"/>
      <c r="BD235" s="51" t="n"/>
      <c r="BE235" s="51" t="n"/>
      <c r="BF235" s="51" t="n"/>
      <c r="BG235" s="51" t="n"/>
      <c r="BH235" s="51" t="n"/>
      <c r="BI235" s="51" t="n"/>
      <c r="BJ235" s="51" t="n"/>
      <c r="BK235" s="51" t="n"/>
      <c r="BL235" s="51" t="n"/>
      <c r="BM235" s="51" t="n"/>
    </row>
    <row r="236">
      <c r="A236" s="47">
        <f>IF(Mitarbeiter!B236="","",Mitarbeiter!A236)</f>
        <v/>
      </c>
      <c r="B236" s="48">
        <f>IF(Mitarbeiter!B236="","",Mitarbeiter!B236)</f>
        <v/>
      </c>
      <c r="C236" s="37">
        <f>IF(Mitarbeiter!B236="","",N(INDEX($F236:$BM236,1,(Einstellungen!$C$3-2026)*12+1))+N(INDEX($F236:$BM236,1,(Einstellungen!$C$3-2026)*12+2))+N(INDEX($F236:$BM236,1,(Einstellungen!$C$3-2026)*12+3))+N(INDEX($F236:$BM236,1,(Einstellungen!$C$3-2026)*12+4))+N(INDEX($F236:$BM236,1,(Einstellungen!$C$3-2026)*12+5))+N(INDEX($F236:$BM236,1,(Einstellungen!$C$3-2026)*12+6))+N(INDEX($F236:$BM236,1,(Einstellungen!$C$3-2026)*12+7))+N(INDEX($F236:$BM236,1,(Einstellungen!$C$3-2026)*12+8))+N(INDEX($F236:$BM236,1,(Einstellungen!$C$3-2026)*12+9))+N(INDEX($F236:$BM236,1,(Einstellungen!$C$3-2026)*12+10))+N(INDEX($F236:$BM236,1,(Einstellungen!$C$3-2026)*12+11))+N(INDEX($F236:$BM236,1,(Einstellungen!$C$3-2026)*12+12)))</f>
        <v/>
      </c>
      <c r="D236" s="37">
        <f>IF(Mitarbeiter!B236="","",SUM(F236:BM236))</f>
        <v/>
      </c>
      <c r="F236" s="51" t="n"/>
      <c r="G236" s="51" t="n"/>
      <c r="H236" s="51" t="n"/>
      <c r="I236" s="51" t="n"/>
      <c r="J236" s="51" t="n"/>
      <c r="K236" s="51" t="n"/>
      <c r="L236" s="51" t="n"/>
      <c r="M236" s="51" t="n"/>
      <c r="N236" s="51" t="n"/>
      <c r="O236" s="51" t="n"/>
      <c r="P236" s="51" t="n"/>
      <c r="Q236" s="51" t="n"/>
      <c r="R236" s="51" t="n"/>
      <c r="S236" s="51" t="n"/>
      <c r="T236" s="51" t="n"/>
      <c r="U236" s="51" t="n"/>
      <c r="V236" s="51" t="n"/>
      <c r="W236" s="51" t="n"/>
      <c r="X236" s="51" t="n"/>
      <c r="Y236" s="51" t="n"/>
      <c r="Z236" s="51" t="n"/>
      <c r="AA236" s="51" t="n"/>
      <c r="AB236" s="51" t="n"/>
      <c r="AC236" s="51" t="n"/>
      <c r="AD236" s="51" t="n"/>
      <c r="AE236" s="51" t="n"/>
      <c r="AF236" s="51" t="n"/>
      <c r="AG236" s="51" t="n"/>
      <c r="AH236" s="51" t="n"/>
      <c r="AI236" s="51" t="n"/>
      <c r="AJ236" s="51" t="n"/>
      <c r="AK236" s="51" t="n"/>
      <c r="AL236" s="51" t="n"/>
      <c r="AM236" s="51" t="n"/>
      <c r="AN236" s="51" t="n"/>
      <c r="AO236" s="51" t="n"/>
      <c r="AP236" s="51" t="n"/>
      <c r="AQ236" s="51" t="n"/>
      <c r="AR236" s="51" t="n"/>
      <c r="AS236" s="51" t="n"/>
      <c r="AT236" s="51" t="n"/>
      <c r="AU236" s="51" t="n"/>
      <c r="AV236" s="51" t="n"/>
      <c r="AW236" s="51" t="n"/>
      <c r="AX236" s="51" t="n"/>
      <c r="AY236" s="51" t="n"/>
      <c r="AZ236" s="51" t="n"/>
      <c r="BA236" s="51" t="n"/>
      <c r="BB236" s="51" t="n"/>
      <c r="BC236" s="51" t="n"/>
      <c r="BD236" s="51" t="n"/>
      <c r="BE236" s="51" t="n"/>
      <c r="BF236" s="51" t="n"/>
      <c r="BG236" s="51" t="n"/>
      <c r="BH236" s="51" t="n"/>
      <c r="BI236" s="51" t="n"/>
      <c r="BJ236" s="51" t="n"/>
      <c r="BK236" s="51" t="n"/>
      <c r="BL236" s="51" t="n"/>
      <c r="BM236" s="51" t="n"/>
    </row>
    <row r="237">
      <c r="A237" s="47">
        <f>IF(Mitarbeiter!B237="","",Mitarbeiter!A237)</f>
        <v/>
      </c>
      <c r="B237" s="48">
        <f>IF(Mitarbeiter!B237="","",Mitarbeiter!B237)</f>
        <v/>
      </c>
      <c r="C237" s="37">
        <f>IF(Mitarbeiter!B237="","",N(INDEX($F237:$BM237,1,(Einstellungen!$C$3-2026)*12+1))+N(INDEX($F237:$BM237,1,(Einstellungen!$C$3-2026)*12+2))+N(INDEX($F237:$BM237,1,(Einstellungen!$C$3-2026)*12+3))+N(INDEX($F237:$BM237,1,(Einstellungen!$C$3-2026)*12+4))+N(INDEX($F237:$BM237,1,(Einstellungen!$C$3-2026)*12+5))+N(INDEX($F237:$BM237,1,(Einstellungen!$C$3-2026)*12+6))+N(INDEX($F237:$BM237,1,(Einstellungen!$C$3-2026)*12+7))+N(INDEX($F237:$BM237,1,(Einstellungen!$C$3-2026)*12+8))+N(INDEX($F237:$BM237,1,(Einstellungen!$C$3-2026)*12+9))+N(INDEX($F237:$BM237,1,(Einstellungen!$C$3-2026)*12+10))+N(INDEX($F237:$BM237,1,(Einstellungen!$C$3-2026)*12+11))+N(INDEX($F237:$BM237,1,(Einstellungen!$C$3-2026)*12+12)))</f>
        <v/>
      </c>
      <c r="D237" s="37">
        <f>IF(Mitarbeiter!B237="","",SUM(F237:BM237))</f>
        <v/>
      </c>
      <c r="F237" s="51" t="n"/>
      <c r="G237" s="51" t="n"/>
      <c r="H237" s="51" t="n"/>
      <c r="I237" s="51" t="n"/>
      <c r="J237" s="51" t="n"/>
      <c r="K237" s="51" t="n"/>
      <c r="L237" s="51" t="n"/>
      <c r="M237" s="51" t="n"/>
      <c r="N237" s="51" t="n"/>
      <c r="O237" s="51" t="n"/>
      <c r="P237" s="51" t="n"/>
      <c r="Q237" s="51" t="n"/>
      <c r="R237" s="51" t="n"/>
      <c r="S237" s="51" t="n"/>
      <c r="T237" s="51" t="n"/>
      <c r="U237" s="51" t="n"/>
      <c r="V237" s="51" t="n"/>
      <c r="W237" s="51" t="n"/>
      <c r="X237" s="51" t="n"/>
      <c r="Y237" s="51" t="n"/>
      <c r="Z237" s="51" t="n"/>
      <c r="AA237" s="51" t="n"/>
      <c r="AB237" s="51" t="n"/>
      <c r="AC237" s="51" t="n"/>
      <c r="AD237" s="51" t="n"/>
      <c r="AE237" s="51" t="n"/>
      <c r="AF237" s="51" t="n"/>
      <c r="AG237" s="51" t="n"/>
      <c r="AH237" s="51" t="n"/>
      <c r="AI237" s="51" t="n"/>
      <c r="AJ237" s="51" t="n"/>
      <c r="AK237" s="51" t="n"/>
      <c r="AL237" s="51" t="n"/>
      <c r="AM237" s="51" t="n"/>
      <c r="AN237" s="51" t="n"/>
      <c r="AO237" s="51" t="n"/>
      <c r="AP237" s="51" t="n"/>
      <c r="AQ237" s="51" t="n"/>
      <c r="AR237" s="51" t="n"/>
      <c r="AS237" s="51" t="n"/>
      <c r="AT237" s="51" t="n"/>
      <c r="AU237" s="51" t="n"/>
      <c r="AV237" s="51" t="n"/>
      <c r="AW237" s="51" t="n"/>
      <c r="AX237" s="51" t="n"/>
      <c r="AY237" s="51" t="n"/>
      <c r="AZ237" s="51" t="n"/>
      <c r="BA237" s="51" t="n"/>
      <c r="BB237" s="51" t="n"/>
      <c r="BC237" s="51" t="n"/>
      <c r="BD237" s="51" t="n"/>
      <c r="BE237" s="51" t="n"/>
      <c r="BF237" s="51" t="n"/>
      <c r="BG237" s="51" t="n"/>
      <c r="BH237" s="51" t="n"/>
      <c r="BI237" s="51" t="n"/>
      <c r="BJ237" s="51" t="n"/>
      <c r="BK237" s="51" t="n"/>
      <c r="BL237" s="51" t="n"/>
      <c r="BM237" s="51" t="n"/>
    </row>
    <row r="238">
      <c r="A238" s="47">
        <f>IF(Mitarbeiter!B238="","",Mitarbeiter!A238)</f>
        <v/>
      </c>
      <c r="B238" s="48">
        <f>IF(Mitarbeiter!B238="","",Mitarbeiter!B238)</f>
        <v/>
      </c>
      <c r="C238" s="37">
        <f>IF(Mitarbeiter!B238="","",N(INDEX($F238:$BM238,1,(Einstellungen!$C$3-2026)*12+1))+N(INDEX($F238:$BM238,1,(Einstellungen!$C$3-2026)*12+2))+N(INDEX($F238:$BM238,1,(Einstellungen!$C$3-2026)*12+3))+N(INDEX($F238:$BM238,1,(Einstellungen!$C$3-2026)*12+4))+N(INDEX($F238:$BM238,1,(Einstellungen!$C$3-2026)*12+5))+N(INDEX($F238:$BM238,1,(Einstellungen!$C$3-2026)*12+6))+N(INDEX($F238:$BM238,1,(Einstellungen!$C$3-2026)*12+7))+N(INDEX($F238:$BM238,1,(Einstellungen!$C$3-2026)*12+8))+N(INDEX($F238:$BM238,1,(Einstellungen!$C$3-2026)*12+9))+N(INDEX($F238:$BM238,1,(Einstellungen!$C$3-2026)*12+10))+N(INDEX($F238:$BM238,1,(Einstellungen!$C$3-2026)*12+11))+N(INDEX($F238:$BM238,1,(Einstellungen!$C$3-2026)*12+12)))</f>
        <v/>
      </c>
      <c r="D238" s="37">
        <f>IF(Mitarbeiter!B238="","",SUM(F238:BM238))</f>
        <v/>
      </c>
      <c r="F238" s="51" t="n"/>
      <c r="G238" s="51" t="n"/>
      <c r="H238" s="51" t="n"/>
      <c r="I238" s="51" t="n"/>
      <c r="J238" s="51" t="n"/>
      <c r="K238" s="51" t="n"/>
      <c r="L238" s="51" t="n"/>
      <c r="M238" s="51" t="n"/>
      <c r="N238" s="51" t="n"/>
      <c r="O238" s="51" t="n"/>
      <c r="P238" s="51" t="n"/>
      <c r="Q238" s="51" t="n"/>
      <c r="R238" s="51" t="n"/>
      <c r="S238" s="51" t="n"/>
      <c r="T238" s="51" t="n"/>
      <c r="U238" s="51" t="n"/>
      <c r="V238" s="51" t="n"/>
      <c r="W238" s="51" t="n"/>
      <c r="X238" s="51" t="n"/>
      <c r="Y238" s="51" t="n"/>
      <c r="Z238" s="51" t="n"/>
      <c r="AA238" s="51" t="n"/>
      <c r="AB238" s="51" t="n"/>
      <c r="AC238" s="51" t="n"/>
      <c r="AD238" s="51" t="n"/>
      <c r="AE238" s="51" t="n"/>
      <c r="AF238" s="51" t="n"/>
      <c r="AG238" s="51" t="n"/>
      <c r="AH238" s="51" t="n"/>
      <c r="AI238" s="51" t="n"/>
      <c r="AJ238" s="51" t="n"/>
      <c r="AK238" s="51" t="n"/>
      <c r="AL238" s="51" t="n"/>
      <c r="AM238" s="51" t="n"/>
      <c r="AN238" s="51" t="n"/>
      <c r="AO238" s="51" t="n"/>
      <c r="AP238" s="51" t="n"/>
      <c r="AQ238" s="51" t="n"/>
      <c r="AR238" s="51" t="n"/>
      <c r="AS238" s="51" t="n"/>
      <c r="AT238" s="51" t="n"/>
      <c r="AU238" s="51" t="n"/>
      <c r="AV238" s="51" t="n"/>
      <c r="AW238" s="51" t="n"/>
      <c r="AX238" s="51" t="n"/>
      <c r="AY238" s="51" t="n"/>
      <c r="AZ238" s="51" t="n"/>
      <c r="BA238" s="51" t="n"/>
      <c r="BB238" s="51" t="n"/>
      <c r="BC238" s="51" t="n"/>
      <c r="BD238" s="51" t="n"/>
      <c r="BE238" s="51" t="n"/>
      <c r="BF238" s="51" t="n"/>
      <c r="BG238" s="51" t="n"/>
      <c r="BH238" s="51" t="n"/>
      <c r="BI238" s="51" t="n"/>
      <c r="BJ238" s="51" t="n"/>
      <c r="BK238" s="51" t="n"/>
      <c r="BL238" s="51" t="n"/>
      <c r="BM238" s="51" t="n"/>
    </row>
    <row r="239">
      <c r="A239" s="47">
        <f>IF(Mitarbeiter!B239="","",Mitarbeiter!A239)</f>
        <v/>
      </c>
      <c r="B239" s="48">
        <f>IF(Mitarbeiter!B239="","",Mitarbeiter!B239)</f>
        <v/>
      </c>
      <c r="C239" s="37">
        <f>IF(Mitarbeiter!B239="","",N(INDEX($F239:$BM239,1,(Einstellungen!$C$3-2026)*12+1))+N(INDEX($F239:$BM239,1,(Einstellungen!$C$3-2026)*12+2))+N(INDEX($F239:$BM239,1,(Einstellungen!$C$3-2026)*12+3))+N(INDEX($F239:$BM239,1,(Einstellungen!$C$3-2026)*12+4))+N(INDEX($F239:$BM239,1,(Einstellungen!$C$3-2026)*12+5))+N(INDEX($F239:$BM239,1,(Einstellungen!$C$3-2026)*12+6))+N(INDEX($F239:$BM239,1,(Einstellungen!$C$3-2026)*12+7))+N(INDEX($F239:$BM239,1,(Einstellungen!$C$3-2026)*12+8))+N(INDEX($F239:$BM239,1,(Einstellungen!$C$3-2026)*12+9))+N(INDEX($F239:$BM239,1,(Einstellungen!$C$3-2026)*12+10))+N(INDEX($F239:$BM239,1,(Einstellungen!$C$3-2026)*12+11))+N(INDEX($F239:$BM239,1,(Einstellungen!$C$3-2026)*12+12)))</f>
        <v/>
      </c>
      <c r="D239" s="37">
        <f>IF(Mitarbeiter!B239="","",SUM(F239:BM239))</f>
        <v/>
      </c>
      <c r="F239" s="51" t="n"/>
      <c r="G239" s="51" t="n"/>
      <c r="H239" s="51" t="n"/>
      <c r="I239" s="51" t="n"/>
      <c r="J239" s="51" t="n"/>
      <c r="K239" s="51" t="n"/>
      <c r="L239" s="51" t="n"/>
      <c r="M239" s="51" t="n"/>
      <c r="N239" s="51" t="n"/>
      <c r="O239" s="51" t="n"/>
      <c r="P239" s="51" t="n"/>
      <c r="Q239" s="51" t="n"/>
      <c r="R239" s="51" t="n"/>
      <c r="S239" s="51" t="n"/>
      <c r="T239" s="51" t="n"/>
      <c r="U239" s="51" t="n"/>
      <c r="V239" s="51" t="n"/>
      <c r="W239" s="51" t="n"/>
      <c r="X239" s="51" t="n"/>
      <c r="Y239" s="51" t="n"/>
      <c r="Z239" s="51" t="n"/>
      <c r="AA239" s="51" t="n"/>
      <c r="AB239" s="51" t="n"/>
      <c r="AC239" s="51" t="n"/>
      <c r="AD239" s="51" t="n"/>
      <c r="AE239" s="51" t="n"/>
      <c r="AF239" s="51" t="n"/>
      <c r="AG239" s="51" t="n"/>
      <c r="AH239" s="51" t="n"/>
      <c r="AI239" s="51" t="n"/>
      <c r="AJ239" s="51" t="n"/>
      <c r="AK239" s="51" t="n"/>
      <c r="AL239" s="51" t="n"/>
      <c r="AM239" s="51" t="n"/>
      <c r="AN239" s="51" t="n"/>
      <c r="AO239" s="51" t="n"/>
      <c r="AP239" s="51" t="n"/>
      <c r="AQ239" s="51" t="n"/>
      <c r="AR239" s="51" t="n"/>
      <c r="AS239" s="51" t="n"/>
      <c r="AT239" s="51" t="n"/>
      <c r="AU239" s="51" t="n"/>
      <c r="AV239" s="51" t="n"/>
      <c r="AW239" s="51" t="n"/>
      <c r="AX239" s="51" t="n"/>
      <c r="AY239" s="51" t="n"/>
      <c r="AZ239" s="51" t="n"/>
      <c r="BA239" s="51" t="n"/>
      <c r="BB239" s="51" t="n"/>
      <c r="BC239" s="51" t="n"/>
      <c r="BD239" s="51" t="n"/>
      <c r="BE239" s="51" t="n"/>
      <c r="BF239" s="51" t="n"/>
      <c r="BG239" s="51" t="n"/>
      <c r="BH239" s="51" t="n"/>
      <c r="BI239" s="51" t="n"/>
      <c r="BJ239" s="51" t="n"/>
      <c r="BK239" s="51" t="n"/>
      <c r="BL239" s="51" t="n"/>
      <c r="BM239" s="51" t="n"/>
    </row>
    <row r="240">
      <c r="A240" s="47">
        <f>IF(Mitarbeiter!B240="","",Mitarbeiter!A240)</f>
        <v/>
      </c>
      <c r="B240" s="48">
        <f>IF(Mitarbeiter!B240="","",Mitarbeiter!B240)</f>
        <v/>
      </c>
      <c r="C240" s="37">
        <f>IF(Mitarbeiter!B240="","",N(INDEX($F240:$BM240,1,(Einstellungen!$C$3-2026)*12+1))+N(INDEX($F240:$BM240,1,(Einstellungen!$C$3-2026)*12+2))+N(INDEX($F240:$BM240,1,(Einstellungen!$C$3-2026)*12+3))+N(INDEX($F240:$BM240,1,(Einstellungen!$C$3-2026)*12+4))+N(INDEX($F240:$BM240,1,(Einstellungen!$C$3-2026)*12+5))+N(INDEX($F240:$BM240,1,(Einstellungen!$C$3-2026)*12+6))+N(INDEX($F240:$BM240,1,(Einstellungen!$C$3-2026)*12+7))+N(INDEX($F240:$BM240,1,(Einstellungen!$C$3-2026)*12+8))+N(INDEX($F240:$BM240,1,(Einstellungen!$C$3-2026)*12+9))+N(INDEX($F240:$BM240,1,(Einstellungen!$C$3-2026)*12+10))+N(INDEX($F240:$BM240,1,(Einstellungen!$C$3-2026)*12+11))+N(INDEX($F240:$BM240,1,(Einstellungen!$C$3-2026)*12+12)))</f>
        <v/>
      </c>
      <c r="D240" s="37">
        <f>IF(Mitarbeiter!B240="","",SUM(F240:BM240))</f>
        <v/>
      </c>
      <c r="F240" s="51" t="n"/>
      <c r="G240" s="51" t="n"/>
      <c r="H240" s="51" t="n"/>
      <c r="I240" s="51" t="n"/>
      <c r="J240" s="51" t="n"/>
      <c r="K240" s="51" t="n"/>
      <c r="L240" s="51" t="n"/>
      <c r="M240" s="51" t="n"/>
      <c r="N240" s="51" t="n"/>
      <c r="O240" s="51" t="n"/>
      <c r="P240" s="51" t="n"/>
      <c r="Q240" s="51" t="n"/>
      <c r="R240" s="51" t="n"/>
      <c r="S240" s="51" t="n"/>
      <c r="T240" s="51" t="n"/>
      <c r="U240" s="51" t="n"/>
      <c r="V240" s="51" t="n"/>
      <c r="W240" s="51" t="n"/>
      <c r="X240" s="51" t="n"/>
      <c r="Y240" s="51" t="n"/>
      <c r="Z240" s="51" t="n"/>
      <c r="AA240" s="51" t="n"/>
      <c r="AB240" s="51" t="n"/>
      <c r="AC240" s="51" t="n"/>
      <c r="AD240" s="51" t="n"/>
      <c r="AE240" s="51" t="n"/>
      <c r="AF240" s="51" t="n"/>
      <c r="AG240" s="51" t="n"/>
      <c r="AH240" s="51" t="n"/>
      <c r="AI240" s="51" t="n"/>
      <c r="AJ240" s="51" t="n"/>
      <c r="AK240" s="51" t="n"/>
      <c r="AL240" s="51" t="n"/>
      <c r="AM240" s="51" t="n"/>
      <c r="AN240" s="51" t="n"/>
      <c r="AO240" s="51" t="n"/>
      <c r="AP240" s="51" t="n"/>
      <c r="AQ240" s="51" t="n"/>
      <c r="AR240" s="51" t="n"/>
      <c r="AS240" s="51" t="n"/>
      <c r="AT240" s="51" t="n"/>
      <c r="AU240" s="51" t="n"/>
      <c r="AV240" s="51" t="n"/>
      <c r="AW240" s="51" t="n"/>
      <c r="AX240" s="51" t="n"/>
      <c r="AY240" s="51" t="n"/>
      <c r="AZ240" s="51" t="n"/>
      <c r="BA240" s="51" t="n"/>
      <c r="BB240" s="51" t="n"/>
      <c r="BC240" s="51" t="n"/>
      <c r="BD240" s="51" t="n"/>
      <c r="BE240" s="51" t="n"/>
      <c r="BF240" s="51" t="n"/>
      <c r="BG240" s="51" t="n"/>
      <c r="BH240" s="51" t="n"/>
      <c r="BI240" s="51" t="n"/>
      <c r="BJ240" s="51" t="n"/>
      <c r="BK240" s="51" t="n"/>
      <c r="BL240" s="51" t="n"/>
      <c r="BM240" s="51" t="n"/>
    </row>
    <row r="241">
      <c r="A241" s="47">
        <f>IF(Mitarbeiter!B241="","",Mitarbeiter!A241)</f>
        <v/>
      </c>
      <c r="B241" s="48">
        <f>IF(Mitarbeiter!B241="","",Mitarbeiter!B241)</f>
        <v/>
      </c>
      <c r="C241" s="37">
        <f>IF(Mitarbeiter!B241="","",N(INDEX($F241:$BM241,1,(Einstellungen!$C$3-2026)*12+1))+N(INDEX($F241:$BM241,1,(Einstellungen!$C$3-2026)*12+2))+N(INDEX($F241:$BM241,1,(Einstellungen!$C$3-2026)*12+3))+N(INDEX($F241:$BM241,1,(Einstellungen!$C$3-2026)*12+4))+N(INDEX($F241:$BM241,1,(Einstellungen!$C$3-2026)*12+5))+N(INDEX($F241:$BM241,1,(Einstellungen!$C$3-2026)*12+6))+N(INDEX($F241:$BM241,1,(Einstellungen!$C$3-2026)*12+7))+N(INDEX($F241:$BM241,1,(Einstellungen!$C$3-2026)*12+8))+N(INDEX($F241:$BM241,1,(Einstellungen!$C$3-2026)*12+9))+N(INDEX($F241:$BM241,1,(Einstellungen!$C$3-2026)*12+10))+N(INDEX($F241:$BM241,1,(Einstellungen!$C$3-2026)*12+11))+N(INDEX($F241:$BM241,1,(Einstellungen!$C$3-2026)*12+12)))</f>
        <v/>
      </c>
      <c r="D241" s="37">
        <f>IF(Mitarbeiter!B241="","",SUM(F241:BM241))</f>
        <v/>
      </c>
      <c r="F241" s="51" t="n"/>
      <c r="G241" s="51" t="n"/>
      <c r="H241" s="51" t="n"/>
      <c r="I241" s="51" t="n"/>
      <c r="J241" s="51" t="n"/>
      <c r="K241" s="51" t="n"/>
      <c r="L241" s="51" t="n"/>
      <c r="M241" s="51" t="n"/>
      <c r="N241" s="51" t="n"/>
      <c r="O241" s="51" t="n"/>
      <c r="P241" s="51" t="n"/>
      <c r="Q241" s="51" t="n"/>
      <c r="R241" s="51" t="n"/>
      <c r="S241" s="51" t="n"/>
      <c r="T241" s="51" t="n"/>
      <c r="U241" s="51" t="n"/>
      <c r="V241" s="51" t="n"/>
      <c r="W241" s="51" t="n"/>
      <c r="X241" s="51" t="n"/>
      <c r="Y241" s="51" t="n"/>
      <c r="Z241" s="51" t="n"/>
      <c r="AA241" s="51" t="n"/>
      <c r="AB241" s="51" t="n"/>
      <c r="AC241" s="51" t="n"/>
      <c r="AD241" s="51" t="n"/>
      <c r="AE241" s="51" t="n"/>
      <c r="AF241" s="51" t="n"/>
      <c r="AG241" s="51" t="n"/>
      <c r="AH241" s="51" t="n"/>
      <c r="AI241" s="51" t="n"/>
      <c r="AJ241" s="51" t="n"/>
      <c r="AK241" s="51" t="n"/>
      <c r="AL241" s="51" t="n"/>
      <c r="AM241" s="51" t="n"/>
      <c r="AN241" s="51" t="n"/>
      <c r="AO241" s="51" t="n"/>
      <c r="AP241" s="51" t="n"/>
      <c r="AQ241" s="51" t="n"/>
      <c r="AR241" s="51" t="n"/>
      <c r="AS241" s="51" t="n"/>
      <c r="AT241" s="51" t="n"/>
      <c r="AU241" s="51" t="n"/>
      <c r="AV241" s="51" t="n"/>
      <c r="AW241" s="51" t="n"/>
      <c r="AX241" s="51" t="n"/>
      <c r="AY241" s="51" t="n"/>
      <c r="AZ241" s="51" t="n"/>
      <c r="BA241" s="51" t="n"/>
      <c r="BB241" s="51" t="n"/>
      <c r="BC241" s="51" t="n"/>
      <c r="BD241" s="51" t="n"/>
      <c r="BE241" s="51" t="n"/>
      <c r="BF241" s="51" t="n"/>
      <c r="BG241" s="51" t="n"/>
      <c r="BH241" s="51" t="n"/>
      <c r="BI241" s="51" t="n"/>
      <c r="BJ241" s="51" t="n"/>
      <c r="BK241" s="51" t="n"/>
      <c r="BL241" s="51" t="n"/>
      <c r="BM241" s="51" t="n"/>
    </row>
    <row r="242">
      <c r="A242" s="47">
        <f>IF(Mitarbeiter!B242="","",Mitarbeiter!A242)</f>
        <v/>
      </c>
      <c r="B242" s="48">
        <f>IF(Mitarbeiter!B242="","",Mitarbeiter!B242)</f>
        <v/>
      </c>
      <c r="C242" s="37">
        <f>IF(Mitarbeiter!B242="","",N(INDEX($F242:$BM242,1,(Einstellungen!$C$3-2026)*12+1))+N(INDEX($F242:$BM242,1,(Einstellungen!$C$3-2026)*12+2))+N(INDEX($F242:$BM242,1,(Einstellungen!$C$3-2026)*12+3))+N(INDEX($F242:$BM242,1,(Einstellungen!$C$3-2026)*12+4))+N(INDEX($F242:$BM242,1,(Einstellungen!$C$3-2026)*12+5))+N(INDEX($F242:$BM242,1,(Einstellungen!$C$3-2026)*12+6))+N(INDEX($F242:$BM242,1,(Einstellungen!$C$3-2026)*12+7))+N(INDEX($F242:$BM242,1,(Einstellungen!$C$3-2026)*12+8))+N(INDEX($F242:$BM242,1,(Einstellungen!$C$3-2026)*12+9))+N(INDEX($F242:$BM242,1,(Einstellungen!$C$3-2026)*12+10))+N(INDEX($F242:$BM242,1,(Einstellungen!$C$3-2026)*12+11))+N(INDEX($F242:$BM242,1,(Einstellungen!$C$3-2026)*12+12)))</f>
        <v/>
      </c>
      <c r="D242" s="37">
        <f>IF(Mitarbeiter!B242="","",SUM(F242:BM242))</f>
        <v/>
      </c>
      <c r="F242" s="51" t="n"/>
      <c r="G242" s="51" t="n"/>
      <c r="H242" s="51" t="n"/>
      <c r="I242" s="51" t="n"/>
      <c r="J242" s="51" t="n"/>
      <c r="K242" s="51" t="n"/>
      <c r="L242" s="51" t="n"/>
      <c r="M242" s="51" t="n"/>
      <c r="N242" s="51" t="n"/>
      <c r="O242" s="51" t="n"/>
      <c r="P242" s="51" t="n"/>
      <c r="Q242" s="51" t="n"/>
      <c r="R242" s="51" t="n"/>
      <c r="S242" s="51" t="n"/>
      <c r="T242" s="51" t="n"/>
      <c r="U242" s="51" t="n"/>
      <c r="V242" s="51" t="n"/>
      <c r="W242" s="51" t="n"/>
      <c r="X242" s="51" t="n"/>
      <c r="Y242" s="51" t="n"/>
      <c r="Z242" s="51" t="n"/>
      <c r="AA242" s="51" t="n"/>
      <c r="AB242" s="51" t="n"/>
      <c r="AC242" s="51" t="n"/>
      <c r="AD242" s="51" t="n"/>
      <c r="AE242" s="51" t="n"/>
      <c r="AF242" s="51" t="n"/>
      <c r="AG242" s="51" t="n"/>
      <c r="AH242" s="51" t="n"/>
      <c r="AI242" s="51" t="n"/>
      <c r="AJ242" s="51" t="n"/>
      <c r="AK242" s="51" t="n"/>
      <c r="AL242" s="51" t="n"/>
      <c r="AM242" s="51" t="n"/>
      <c r="AN242" s="51" t="n"/>
      <c r="AO242" s="51" t="n"/>
      <c r="AP242" s="51" t="n"/>
      <c r="AQ242" s="51" t="n"/>
      <c r="AR242" s="51" t="n"/>
      <c r="AS242" s="51" t="n"/>
      <c r="AT242" s="51" t="n"/>
      <c r="AU242" s="51" t="n"/>
      <c r="AV242" s="51" t="n"/>
      <c r="AW242" s="51" t="n"/>
      <c r="AX242" s="51" t="n"/>
      <c r="AY242" s="51" t="n"/>
      <c r="AZ242" s="51" t="n"/>
      <c r="BA242" s="51" t="n"/>
      <c r="BB242" s="51" t="n"/>
      <c r="BC242" s="51" t="n"/>
      <c r="BD242" s="51" t="n"/>
      <c r="BE242" s="51" t="n"/>
      <c r="BF242" s="51" t="n"/>
      <c r="BG242" s="51" t="n"/>
      <c r="BH242" s="51" t="n"/>
      <c r="BI242" s="51" t="n"/>
      <c r="BJ242" s="51" t="n"/>
      <c r="BK242" s="51" t="n"/>
      <c r="BL242" s="51" t="n"/>
      <c r="BM242" s="51" t="n"/>
    </row>
    <row r="243">
      <c r="A243" s="47">
        <f>IF(Mitarbeiter!B243="","",Mitarbeiter!A243)</f>
        <v/>
      </c>
      <c r="B243" s="48">
        <f>IF(Mitarbeiter!B243="","",Mitarbeiter!B243)</f>
        <v/>
      </c>
      <c r="C243" s="37">
        <f>IF(Mitarbeiter!B243="","",N(INDEX($F243:$BM243,1,(Einstellungen!$C$3-2026)*12+1))+N(INDEX($F243:$BM243,1,(Einstellungen!$C$3-2026)*12+2))+N(INDEX($F243:$BM243,1,(Einstellungen!$C$3-2026)*12+3))+N(INDEX($F243:$BM243,1,(Einstellungen!$C$3-2026)*12+4))+N(INDEX($F243:$BM243,1,(Einstellungen!$C$3-2026)*12+5))+N(INDEX($F243:$BM243,1,(Einstellungen!$C$3-2026)*12+6))+N(INDEX($F243:$BM243,1,(Einstellungen!$C$3-2026)*12+7))+N(INDEX($F243:$BM243,1,(Einstellungen!$C$3-2026)*12+8))+N(INDEX($F243:$BM243,1,(Einstellungen!$C$3-2026)*12+9))+N(INDEX($F243:$BM243,1,(Einstellungen!$C$3-2026)*12+10))+N(INDEX($F243:$BM243,1,(Einstellungen!$C$3-2026)*12+11))+N(INDEX($F243:$BM243,1,(Einstellungen!$C$3-2026)*12+12)))</f>
        <v/>
      </c>
      <c r="D243" s="37">
        <f>IF(Mitarbeiter!B243="","",SUM(F243:BM243))</f>
        <v/>
      </c>
      <c r="F243" s="51" t="n"/>
      <c r="G243" s="51" t="n"/>
      <c r="H243" s="51" t="n"/>
      <c r="I243" s="51" t="n"/>
      <c r="J243" s="51" t="n"/>
      <c r="K243" s="51" t="n"/>
      <c r="L243" s="51" t="n"/>
      <c r="M243" s="51" t="n"/>
      <c r="N243" s="51" t="n"/>
      <c r="O243" s="51" t="n"/>
      <c r="P243" s="51" t="n"/>
      <c r="Q243" s="51" t="n"/>
      <c r="R243" s="51" t="n"/>
      <c r="S243" s="51" t="n"/>
      <c r="T243" s="51" t="n"/>
      <c r="U243" s="51" t="n"/>
      <c r="V243" s="51" t="n"/>
      <c r="W243" s="51" t="n"/>
      <c r="X243" s="51" t="n"/>
      <c r="Y243" s="51" t="n"/>
      <c r="Z243" s="51" t="n"/>
      <c r="AA243" s="51" t="n"/>
      <c r="AB243" s="51" t="n"/>
      <c r="AC243" s="51" t="n"/>
      <c r="AD243" s="51" t="n"/>
      <c r="AE243" s="51" t="n"/>
      <c r="AF243" s="51" t="n"/>
      <c r="AG243" s="51" t="n"/>
      <c r="AH243" s="51" t="n"/>
      <c r="AI243" s="51" t="n"/>
      <c r="AJ243" s="51" t="n"/>
      <c r="AK243" s="51" t="n"/>
      <c r="AL243" s="51" t="n"/>
      <c r="AM243" s="51" t="n"/>
      <c r="AN243" s="51" t="n"/>
      <c r="AO243" s="51" t="n"/>
      <c r="AP243" s="51" t="n"/>
      <c r="AQ243" s="51" t="n"/>
      <c r="AR243" s="51" t="n"/>
      <c r="AS243" s="51" t="n"/>
      <c r="AT243" s="51" t="n"/>
      <c r="AU243" s="51" t="n"/>
      <c r="AV243" s="51" t="n"/>
      <c r="AW243" s="51" t="n"/>
      <c r="AX243" s="51" t="n"/>
      <c r="AY243" s="51" t="n"/>
      <c r="AZ243" s="51" t="n"/>
      <c r="BA243" s="51" t="n"/>
      <c r="BB243" s="51" t="n"/>
      <c r="BC243" s="51" t="n"/>
      <c r="BD243" s="51" t="n"/>
      <c r="BE243" s="51" t="n"/>
      <c r="BF243" s="51" t="n"/>
      <c r="BG243" s="51" t="n"/>
      <c r="BH243" s="51" t="n"/>
      <c r="BI243" s="51" t="n"/>
      <c r="BJ243" s="51" t="n"/>
      <c r="BK243" s="51" t="n"/>
      <c r="BL243" s="51" t="n"/>
      <c r="BM243" s="51" t="n"/>
    </row>
    <row r="244">
      <c r="A244" s="47">
        <f>IF(Mitarbeiter!B244="","",Mitarbeiter!A244)</f>
        <v/>
      </c>
      <c r="B244" s="48">
        <f>IF(Mitarbeiter!B244="","",Mitarbeiter!B244)</f>
        <v/>
      </c>
      <c r="C244" s="37">
        <f>IF(Mitarbeiter!B244="","",N(INDEX($F244:$BM244,1,(Einstellungen!$C$3-2026)*12+1))+N(INDEX($F244:$BM244,1,(Einstellungen!$C$3-2026)*12+2))+N(INDEX($F244:$BM244,1,(Einstellungen!$C$3-2026)*12+3))+N(INDEX($F244:$BM244,1,(Einstellungen!$C$3-2026)*12+4))+N(INDEX($F244:$BM244,1,(Einstellungen!$C$3-2026)*12+5))+N(INDEX($F244:$BM244,1,(Einstellungen!$C$3-2026)*12+6))+N(INDEX($F244:$BM244,1,(Einstellungen!$C$3-2026)*12+7))+N(INDEX($F244:$BM244,1,(Einstellungen!$C$3-2026)*12+8))+N(INDEX($F244:$BM244,1,(Einstellungen!$C$3-2026)*12+9))+N(INDEX($F244:$BM244,1,(Einstellungen!$C$3-2026)*12+10))+N(INDEX($F244:$BM244,1,(Einstellungen!$C$3-2026)*12+11))+N(INDEX($F244:$BM244,1,(Einstellungen!$C$3-2026)*12+12)))</f>
        <v/>
      </c>
      <c r="D244" s="37">
        <f>IF(Mitarbeiter!B244="","",SUM(F244:BM244))</f>
        <v/>
      </c>
      <c r="F244" s="51" t="n"/>
      <c r="G244" s="51" t="n"/>
      <c r="H244" s="51" t="n"/>
      <c r="I244" s="51" t="n"/>
      <c r="J244" s="51" t="n"/>
      <c r="K244" s="51" t="n"/>
      <c r="L244" s="51" t="n"/>
      <c r="M244" s="51" t="n"/>
      <c r="N244" s="51" t="n"/>
      <c r="O244" s="51" t="n"/>
      <c r="P244" s="51" t="n"/>
      <c r="Q244" s="51" t="n"/>
      <c r="R244" s="51" t="n"/>
      <c r="S244" s="51" t="n"/>
      <c r="T244" s="51" t="n"/>
      <c r="U244" s="51" t="n"/>
      <c r="V244" s="51" t="n"/>
      <c r="W244" s="51" t="n"/>
      <c r="X244" s="51" t="n"/>
      <c r="Y244" s="51" t="n"/>
      <c r="Z244" s="51" t="n"/>
      <c r="AA244" s="51" t="n"/>
      <c r="AB244" s="51" t="n"/>
      <c r="AC244" s="51" t="n"/>
      <c r="AD244" s="51" t="n"/>
      <c r="AE244" s="51" t="n"/>
      <c r="AF244" s="51" t="n"/>
      <c r="AG244" s="51" t="n"/>
      <c r="AH244" s="51" t="n"/>
      <c r="AI244" s="51" t="n"/>
      <c r="AJ244" s="51" t="n"/>
      <c r="AK244" s="51" t="n"/>
      <c r="AL244" s="51" t="n"/>
      <c r="AM244" s="51" t="n"/>
      <c r="AN244" s="51" t="n"/>
      <c r="AO244" s="51" t="n"/>
      <c r="AP244" s="51" t="n"/>
      <c r="AQ244" s="51" t="n"/>
      <c r="AR244" s="51" t="n"/>
      <c r="AS244" s="51" t="n"/>
      <c r="AT244" s="51" t="n"/>
      <c r="AU244" s="51" t="n"/>
      <c r="AV244" s="51" t="n"/>
      <c r="AW244" s="51" t="n"/>
      <c r="AX244" s="51" t="n"/>
      <c r="AY244" s="51" t="n"/>
      <c r="AZ244" s="51" t="n"/>
      <c r="BA244" s="51" t="n"/>
      <c r="BB244" s="51" t="n"/>
      <c r="BC244" s="51" t="n"/>
      <c r="BD244" s="51" t="n"/>
      <c r="BE244" s="51" t="n"/>
      <c r="BF244" s="51" t="n"/>
      <c r="BG244" s="51" t="n"/>
      <c r="BH244" s="51" t="n"/>
      <c r="BI244" s="51" t="n"/>
      <c r="BJ244" s="51" t="n"/>
      <c r="BK244" s="51" t="n"/>
      <c r="BL244" s="51" t="n"/>
      <c r="BM244" s="51" t="n"/>
    </row>
    <row r="245">
      <c r="A245" s="47">
        <f>IF(Mitarbeiter!B245="","",Mitarbeiter!A245)</f>
        <v/>
      </c>
      <c r="B245" s="48">
        <f>IF(Mitarbeiter!B245="","",Mitarbeiter!B245)</f>
        <v/>
      </c>
      <c r="C245" s="37">
        <f>IF(Mitarbeiter!B245="","",N(INDEX($F245:$BM245,1,(Einstellungen!$C$3-2026)*12+1))+N(INDEX($F245:$BM245,1,(Einstellungen!$C$3-2026)*12+2))+N(INDEX($F245:$BM245,1,(Einstellungen!$C$3-2026)*12+3))+N(INDEX($F245:$BM245,1,(Einstellungen!$C$3-2026)*12+4))+N(INDEX($F245:$BM245,1,(Einstellungen!$C$3-2026)*12+5))+N(INDEX($F245:$BM245,1,(Einstellungen!$C$3-2026)*12+6))+N(INDEX($F245:$BM245,1,(Einstellungen!$C$3-2026)*12+7))+N(INDEX($F245:$BM245,1,(Einstellungen!$C$3-2026)*12+8))+N(INDEX($F245:$BM245,1,(Einstellungen!$C$3-2026)*12+9))+N(INDEX($F245:$BM245,1,(Einstellungen!$C$3-2026)*12+10))+N(INDEX($F245:$BM245,1,(Einstellungen!$C$3-2026)*12+11))+N(INDEX($F245:$BM245,1,(Einstellungen!$C$3-2026)*12+12)))</f>
        <v/>
      </c>
      <c r="D245" s="37">
        <f>IF(Mitarbeiter!B245="","",SUM(F245:BM245))</f>
        <v/>
      </c>
      <c r="F245" s="51" t="n"/>
      <c r="G245" s="51" t="n"/>
      <c r="H245" s="51" t="n"/>
      <c r="I245" s="51" t="n"/>
      <c r="J245" s="51" t="n"/>
      <c r="K245" s="51" t="n"/>
      <c r="L245" s="51" t="n"/>
      <c r="M245" s="51" t="n"/>
      <c r="N245" s="51" t="n"/>
      <c r="O245" s="51" t="n"/>
      <c r="P245" s="51" t="n"/>
      <c r="Q245" s="51" t="n"/>
      <c r="R245" s="51" t="n"/>
      <c r="S245" s="51" t="n"/>
      <c r="T245" s="51" t="n"/>
      <c r="U245" s="51" t="n"/>
      <c r="V245" s="51" t="n"/>
      <c r="W245" s="51" t="n"/>
      <c r="X245" s="51" t="n"/>
      <c r="Y245" s="51" t="n"/>
      <c r="Z245" s="51" t="n"/>
      <c r="AA245" s="51" t="n"/>
      <c r="AB245" s="51" t="n"/>
      <c r="AC245" s="51" t="n"/>
      <c r="AD245" s="51" t="n"/>
      <c r="AE245" s="51" t="n"/>
      <c r="AF245" s="51" t="n"/>
      <c r="AG245" s="51" t="n"/>
      <c r="AH245" s="51" t="n"/>
      <c r="AI245" s="51" t="n"/>
      <c r="AJ245" s="51" t="n"/>
      <c r="AK245" s="51" t="n"/>
      <c r="AL245" s="51" t="n"/>
      <c r="AM245" s="51" t="n"/>
      <c r="AN245" s="51" t="n"/>
      <c r="AO245" s="51" t="n"/>
      <c r="AP245" s="51" t="n"/>
      <c r="AQ245" s="51" t="n"/>
      <c r="AR245" s="51" t="n"/>
      <c r="AS245" s="51" t="n"/>
      <c r="AT245" s="51" t="n"/>
      <c r="AU245" s="51" t="n"/>
      <c r="AV245" s="51" t="n"/>
      <c r="AW245" s="51" t="n"/>
      <c r="AX245" s="51" t="n"/>
      <c r="AY245" s="51" t="n"/>
      <c r="AZ245" s="51" t="n"/>
      <c r="BA245" s="51" t="n"/>
      <c r="BB245" s="51" t="n"/>
      <c r="BC245" s="51" t="n"/>
      <c r="BD245" s="51" t="n"/>
      <c r="BE245" s="51" t="n"/>
      <c r="BF245" s="51" t="n"/>
      <c r="BG245" s="51" t="n"/>
      <c r="BH245" s="51" t="n"/>
      <c r="BI245" s="51" t="n"/>
      <c r="BJ245" s="51" t="n"/>
      <c r="BK245" s="51" t="n"/>
      <c r="BL245" s="51" t="n"/>
      <c r="BM245" s="51" t="n"/>
    </row>
    <row r="246">
      <c r="A246" s="47">
        <f>IF(Mitarbeiter!B246="","",Mitarbeiter!A246)</f>
        <v/>
      </c>
      <c r="B246" s="48">
        <f>IF(Mitarbeiter!B246="","",Mitarbeiter!B246)</f>
        <v/>
      </c>
      <c r="C246" s="37">
        <f>IF(Mitarbeiter!B246="","",N(INDEX($F246:$BM246,1,(Einstellungen!$C$3-2026)*12+1))+N(INDEX($F246:$BM246,1,(Einstellungen!$C$3-2026)*12+2))+N(INDEX($F246:$BM246,1,(Einstellungen!$C$3-2026)*12+3))+N(INDEX($F246:$BM246,1,(Einstellungen!$C$3-2026)*12+4))+N(INDEX($F246:$BM246,1,(Einstellungen!$C$3-2026)*12+5))+N(INDEX($F246:$BM246,1,(Einstellungen!$C$3-2026)*12+6))+N(INDEX($F246:$BM246,1,(Einstellungen!$C$3-2026)*12+7))+N(INDEX($F246:$BM246,1,(Einstellungen!$C$3-2026)*12+8))+N(INDEX($F246:$BM246,1,(Einstellungen!$C$3-2026)*12+9))+N(INDEX($F246:$BM246,1,(Einstellungen!$C$3-2026)*12+10))+N(INDEX($F246:$BM246,1,(Einstellungen!$C$3-2026)*12+11))+N(INDEX($F246:$BM246,1,(Einstellungen!$C$3-2026)*12+12)))</f>
        <v/>
      </c>
      <c r="D246" s="37">
        <f>IF(Mitarbeiter!B246="","",SUM(F246:BM246))</f>
        <v/>
      </c>
      <c r="F246" s="51" t="n"/>
      <c r="G246" s="51" t="n"/>
      <c r="H246" s="51" t="n"/>
      <c r="I246" s="51" t="n"/>
      <c r="J246" s="51" t="n"/>
      <c r="K246" s="51" t="n"/>
      <c r="L246" s="51" t="n"/>
      <c r="M246" s="51" t="n"/>
      <c r="N246" s="51" t="n"/>
      <c r="O246" s="51" t="n"/>
      <c r="P246" s="51" t="n"/>
      <c r="Q246" s="51" t="n"/>
      <c r="R246" s="51" t="n"/>
      <c r="S246" s="51" t="n"/>
      <c r="T246" s="51" t="n"/>
      <c r="U246" s="51" t="n"/>
      <c r="V246" s="51" t="n"/>
      <c r="W246" s="51" t="n"/>
      <c r="X246" s="51" t="n"/>
      <c r="Y246" s="51" t="n"/>
      <c r="Z246" s="51" t="n"/>
      <c r="AA246" s="51" t="n"/>
      <c r="AB246" s="51" t="n"/>
      <c r="AC246" s="51" t="n"/>
      <c r="AD246" s="51" t="n"/>
      <c r="AE246" s="51" t="n"/>
      <c r="AF246" s="51" t="n"/>
      <c r="AG246" s="51" t="n"/>
      <c r="AH246" s="51" t="n"/>
      <c r="AI246" s="51" t="n"/>
      <c r="AJ246" s="51" t="n"/>
      <c r="AK246" s="51" t="n"/>
      <c r="AL246" s="51" t="n"/>
      <c r="AM246" s="51" t="n"/>
      <c r="AN246" s="51" t="n"/>
      <c r="AO246" s="51" t="n"/>
      <c r="AP246" s="51" t="n"/>
      <c r="AQ246" s="51" t="n"/>
      <c r="AR246" s="51" t="n"/>
      <c r="AS246" s="51" t="n"/>
      <c r="AT246" s="51" t="n"/>
      <c r="AU246" s="51" t="n"/>
      <c r="AV246" s="51" t="n"/>
      <c r="AW246" s="51" t="n"/>
      <c r="AX246" s="51" t="n"/>
      <c r="AY246" s="51" t="n"/>
      <c r="AZ246" s="51" t="n"/>
      <c r="BA246" s="51" t="n"/>
      <c r="BB246" s="51" t="n"/>
      <c r="BC246" s="51" t="n"/>
      <c r="BD246" s="51" t="n"/>
      <c r="BE246" s="51" t="n"/>
      <c r="BF246" s="51" t="n"/>
      <c r="BG246" s="51" t="n"/>
      <c r="BH246" s="51" t="n"/>
      <c r="BI246" s="51" t="n"/>
      <c r="BJ246" s="51" t="n"/>
      <c r="BK246" s="51" t="n"/>
      <c r="BL246" s="51" t="n"/>
      <c r="BM246" s="51" t="n"/>
    </row>
    <row r="247">
      <c r="A247" s="47">
        <f>IF(Mitarbeiter!B247="","",Mitarbeiter!A247)</f>
        <v/>
      </c>
      <c r="B247" s="48">
        <f>IF(Mitarbeiter!B247="","",Mitarbeiter!B247)</f>
        <v/>
      </c>
      <c r="C247" s="37">
        <f>IF(Mitarbeiter!B247="","",N(INDEX($F247:$BM247,1,(Einstellungen!$C$3-2026)*12+1))+N(INDEX($F247:$BM247,1,(Einstellungen!$C$3-2026)*12+2))+N(INDEX($F247:$BM247,1,(Einstellungen!$C$3-2026)*12+3))+N(INDEX($F247:$BM247,1,(Einstellungen!$C$3-2026)*12+4))+N(INDEX($F247:$BM247,1,(Einstellungen!$C$3-2026)*12+5))+N(INDEX($F247:$BM247,1,(Einstellungen!$C$3-2026)*12+6))+N(INDEX($F247:$BM247,1,(Einstellungen!$C$3-2026)*12+7))+N(INDEX($F247:$BM247,1,(Einstellungen!$C$3-2026)*12+8))+N(INDEX($F247:$BM247,1,(Einstellungen!$C$3-2026)*12+9))+N(INDEX($F247:$BM247,1,(Einstellungen!$C$3-2026)*12+10))+N(INDEX($F247:$BM247,1,(Einstellungen!$C$3-2026)*12+11))+N(INDEX($F247:$BM247,1,(Einstellungen!$C$3-2026)*12+12)))</f>
        <v/>
      </c>
      <c r="D247" s="37">
        <f>IF(Mitarbeiter!B247="","",SUM(F247:BM247))</f>
        <v/>
      </c>
      <c r="F247" s="51" t="n"/>
      <c r="G247" s="51" t="n"/>
      <c r="H247" s="51" t="n"/>
      <c r="I247" s="51" t="n"/>
      <c r="J247" s="51" t="n"/>
      <c r="K247" s="51" t="n"/>
      <c r="L247" s="51" t="n"/>
      <c r="M247" s="51" t="n"/>
      <c r="N247" s="51" t="n"/>
      <c r="O247" s="51" t="n"/>
      <c r="P247" s="51" t="n"/>
      <c r="Q247" s="51" t="n"/>
      <c r="R247" s="51" t="n"/>
      <c r="S247" s="51" t="n"/>
      <c r="T247" s="51" t="n"/>
      <c r="U247" s="51" t="n"/>
      <c r="V247" s="51" t="n"/>
      <c r="W247" s="51" t="n"/>
      <c r="X247" s="51" t="n"/>
      <c r="Y247" s="51" t="n"/>
      <c r="Z247" s="51" t="n"/>
      <c r="AA247" s="51" t="n"/>
      <c r="AB247" s="51" t="n"/>
      <c r="AC247" s="51" t="n"/>
      <c r="AD247" s="51" t="n"/>
      <c r="AE247" s="51" t="n"/>
      <c r="AF247" s="51" t="n"/>
      <c r="AG247" s="51" t="n"/>
      <c r="AH247" s="51" t="n"/>
      <c r="AI247" s="51" t="n"/>
      <c r="AJ247" s="51" t="n"/>
      <c r="AK247" s="51" t="n"/>
      <c r="AL247" s="51" t="n"/>
      <c r="AM247" s="51" t="n"/>
      <c r="AN247" s="51" t="n"/>
      <c r="AO247" s="51" t="n"/>
      <c r="AP247" s="51" t="n"/>
      <c r="AQ247" s="51" t="n"/>
      <c r="AR247" s="51" t="n"/>
      <c r="AS247" s="51" t="n"/>
      <c r="AT247" s="51" t="n"/>
      <c r="AU247" s="51" t="n"/>
      <c r="AV247" s="51" t="n"/>
      <c r="AW247" s="51" t="n"/>
      <c r="AX247" s="51" t="n"/>
      <c r="AY247" s="51" t="n"/>
      <c r="AZ247" s="51" t="n"/>
      <c r="BA247" s="51" t="n"/>
      <c r="BB247" s="51" t="n"/>
      <c r="BC247" s="51" t="n"/>
      <c r="BD247" s="51" t="n"/>
      <c r="BE247" s="51" t="n"/>
      <c r="BF247" s="51" t="n"/>
      <c r="BG247" s="51" t="n"/>
      <c r="BH247" s="51" t="n"/>
      <c r="BI247" s="51" t="n"/>
      <c r="BJ247" s="51" t="n"/>
      <c r="BK247" s="51" t="n"/>
      <c r="BL247" s="51" t="n"/>
      <c r="BM247" s="51" t="n"/>
    </row>
    <row r="248">
      <c r="A248" s="47">
        <f>IF(Mitarbeiter!B248="","",Mitarbeiter!A248)</f>
        <v/>
      </c>
      <c r="B248" s="48">
        <f>IF(Mitarbeiter!B248="","",Mitarbeiter!B248)</f>
        <v/>
      </c>
      <c r="C248" s="37">
        <f>IF(Mitarbeiter!B248="","",N(INDEX($F248:$BM248,1,(Einstellungen!$C$3-2026)*12+1))+N(INDEX($F248:$BM248,1,(Einstellungen!$C$3-2026)*12+2))+N(INDEX($F248:$BM248,1,(Einstellungen!$C$3-2026)*12+3))+N(INDEX($F248:$BM248,1,(Einstellungen!$C$3-2026)*12+4))+N(INDEX($F248:$BM248,1,(Einstellungen!$C$3-2026)*12+5))+N(INDEX($F248:$BM248,1,(Einstellungen!$C$3-2026)*12+6))+N(INDEX($F248:$BM248,1,(Einstellungen!$C$3-2026)*12+7))+N(INDEX($F248:$BM248,1,(Einstellungen!$C$3-2026)*12+8))+N(INDEX($F248:$BM248,1,(Einstellungen!$C$3-2026)*12+9))+N(INDEX($F248:$BM248,1,(Einstellungen!$C$3-2026)*12+10))+N(INDEX($F248:$BM248,1,(Einstellungen!$C$3-2026)*12+11))+N(INDEX($F248:$BM248,1,(Einstellungen!$C$3-2026)*12+12)))</f>
        <v/>
      </c>
      <c r="D248" s="37">
        <f>IF(Mitarbeiter!B248="","",SUM(F248:BM248))</f>
        <v/>
      </c>
      <c r="F248" s="51" t="n"/>
      <c r="G248" s="51" t="n"/>
      <c r="H248" s="51" t="n"/>
      <c r="I248" s="51" t="n"/>
      <c r="J248" s="51" t="n"/>
      <c r="K248" s="51" t="n"/>
      <c r="L248" s="51" t="n"/>
      <c r="M248" s="51" t="n"/>
      <c r="N248" s="51" t="n"/>
      <c r="O248" s="51" t="n"/>
      <c r="P248" s="51" t="n"/>
      <c r="Q248" s="51" t="n"/>
      <c r="R248" s="51" t="n"/>
      <c r="S248" s="51" t="n"/>
      <c r="T248" s="51" t="n"/>
      <c r="U248" s="51" t="n"/>
      <c r="V248" s="51" t="n"/>
      <c r="W248" s="51" t="n"/>
      <c r="X248" s="51" t="n"/>
      <c r="Y248" s="51" t="n"/>
      <c r="Z248" s="51" t="n"/>
      <c r="AA248" s="51" t="n"/>
      <c r="AB248" s="51" t="n"/>
      <c r="AC248" s="51" t="n"/>
      <c r="AD248" s="51" t="n"/>
      <c r="AE248" s="51" t="n"/>
      <c r="AF248" s="51" t="n"/>
      <c r="AG248" s="51" t="n"/>
      <c r="AH248" s="51" t="n"/>
      <c r="AI248" s="51" t="n"/>
      <c r="AJ248" s="51" t="n"/>
      <c r="AK248" s="51" t="n"/>
      <c r="AL248" s="51" t="n"/>
      <c r="AM248" s="51" t="n"/>
      <c r="AN248" s="51" t="n"/>
      <c r="AO248" s="51" t="n"/>
      <c r="AP248" s="51" t="n"/>
      <c r="AQ248" s="51" t="n"/>
      <c r="AR248" s="51" t="n"/>
      <c r="AS248" s="51" t="n"/>
      <c r="AT248" s="51" t="n"/>
      <c r="AU248" s="51" t="n"/>
      <c r="AV248" s="51" t="n"/>
      <c r="AW248" s="51" t="n"/>
      <c r="AX248" s="51" t="n"/>
      <c r="AY248" s="51" t="n"/>
      <c r="AZ248" s="51" t="n"/>
      <c r="BA248" s="51" t="n"/>
      <c r="BB248" s="51" t="n"/>
      <c r="BC248" s="51" t="n"/>
      <c r="BD248" s="51" t="n"/>
      <c r="BE248" s="51" t="n"/>
      <c r="BF248" s="51" t="n"/>
      <c r="BG248" s="51" t="n"/>
      <c r="BH248" s="51" t="n"/>
      <c r="BI248" s="51" t="n"/>
      <c r="BJ248" s="51" t="n"/>
      <c r="BK248" s="51" t="n"/>
      <c r="BL248" s="51" t="n"/>
      <c r="BM248" s="51" t="n"/>
    </row>
    <row r="249">
      <c r="A249" s="47">
        <f>IF(Mitarbeiter!B249="","",Mitarbeiter!A249)</f>
        <v/>
      </c>
      <c r="B249" s="48">
        <f>IF(Mitarbeiter!B249="","",Mitarbeiter!B249)</f>
        <v/>
      </c>
      <c r="C249" s="37">
        <f>IF(Mitarbeiter!B249="","",N(INDEX($F249:$BM249,1,(Einstellungen!$C$3-2026)*12+1))+N(INDEX($F249:$BM249,1,(Einstellungen!$C$3-2026)*12+2))+N(INDEX($F249:$BM249,1,(Einstellungen!$C$3-2026)*12+3))+N(INDEX($F249:$BM249,1,(Einstellungen!$C$3-2026)*12+4))+N(INDEX($F249:$BM249,1,(Einstellungen!$C$3-2026)*12+5))+N(INDEX($F249:$BM249,1,(Einstellungen!$C$3-2026)*12+6))+N(INDEX($F249:$BM249,1,(Einstellungen!$C$3-2026)*12+7))+N(INDEX($F249:$BM249,1,(Einstellungen!$C$3-2026)*12+8))+N(INDEX($F249:$BM249,1,(Einstellungen!$C$3-2026)*12+9))+N(INDEX($F249:$BM249,1,(Einstellungen!$C$3-2026)*12+10))+N(INDEX($F249:$BM249,1,(Einstellungen!$C$3-2026)*12+11))+N(INDEX($F249:$BM249,1,(Einstellungen!$C$3-2026)*12+12)))</f>
        <v/>
      </c>
      <c r="D249" s="37">
        <f>IF(Mitarbeiter!B249="","",SUM(F249:BM249))</f>
        <v/>
      </c>
      <c r="F249" s="51" t="n"/>
      <c r="G249" s="51" t="n"/>
      <c r="H249" s="51" t="n"/>
      <c r="I249" s="51" t="n"/>
      <c r="J249" s="51" t="n"/>
      <c r="K249" s="51" t="n"/>
      <c r="L249" s="51" t="n"/>
      <c r="M249" s="51" t="n"/>
      <c r="N249" s="51" t="n"/>
      <c r="O249" s="51" t="n"/>
      <c r="P249" s="51" t="n"/>
      <c r="Q249" s="51" t="n"/>
      <c r="R249" s="51" t="n"/>
      <c r="S249" s="51" t="n"/>
      <c r="T249" s="51" t="n"/>
      <c r="U249" s="51" t="n"/>
      <c r="V249" s="51" t="n"/>
      <c r="W249" s="51" t="n"/>
      <c r="X249" s="51" t="n"/>
      <c r="Y249" s="51" t="n"/>
      <c r="Z249" s="51" t="n"/>
      <c r="AA249" s="51" t="n"/>
      <c r="AB249" s="51" t="n"/>
      <c r="AC249" s="51" t="n"/>
      <c r="AD249" s="51" t="n"/>
      <c r="AE249" s="51" t="n"/>
      <c r="AF249" s="51" t="n"/>
      <c r="AG249" s="51" t="n"/>
      <c r="AH249" s="51" t="n"/>
      <c r="AI249" s="51" t="n"/>
      <c r="AJ249" s="51" t="n"/>
      <c r="AK249" s="51" t="n"/>
      <c r="AL249" s="51" t="n"/>
      <c r="AM249" s="51" t="n"/>
      <c r="AN249" s="51" t="n"/>
      <c r="AO249" s="51" t="n"/>
      <c r="AP249" s="51" t="n"/>
      <c r="AQ249" s="51" t="n"/>
      <c r="AR249" s="51" t="n"/>
      <c r="AS249" s="51" t="n"/>
      <c r="AT249" s="51" t="n"/>
      <c r="AU249" s="51" t="n"/>
      <c r="AV249" s="51" t="n"/>
      <c r="AW249" s="51" t="n"/>
      <c r="AX249" s="51" t="n"/>
      <c r="AY249" s="51" t="n"/>
      <c r="AZ249" s="51" t="n"/>
      <c r="BA249" s="51" t="n"/>
      <c r="BB249" s="51" t="n"/>
      <c r="BC249" s="51" t="n"/>
      <c r="BD249" s="51" t="n"/>
      <c r="BE249" s="51" t="n"/>
      <c r="BF249" s="51" t="n"/>
      <c r="BG249" s="51" t="n"/>
      <c r="BH249" s="51" t="n"/>
      <c r="BI249" s="51" t="n"/>
      <c r="BJ249" s="51" t="n"/>
      <c r="BK249" s="51" t="n"/>
      <c r="BL249" s="51" t="n"/>
      <c r="BM249" s="51" t="n"/>
    </row>
    <row r="250">
      <c r="A250" s="47">
        <f>IF(Mitarbeiter!B250="","",Mitarbeiter!A250)</f>
        <v/>
      </c>
      <c r="B250" s="48">
        <f>IF(Mitarbeiter!B250="","",Mitarbeiter!B250)</f>
        <v/>
      </c>
      <c r="C250" s="37">
        <f>IF(Mitarbeiter!B250="","",N(INDEX($F250:$BM250,1,(Einstellungen!$C$3-2026)*12+1))+N(INDEX($F250:$BM250,1,(Einstellungen!$C$3-2026)*12+2))+N(INDEX($F250:$BM250,1,(Einstellungen!$C$3-2026)*12+3))+N(INDEX($F250:$BM250,1,(Einstellungen!$C$3-2026)*12+4))+N(INDEX($F250:$BM250,1,(Einstellungen!$C$3-2026)*12+5))+N(INDEX($F250:$BM250,1,(Einstellungen!$C$3-2026)*12+6))+N(INDEX($F250:$BM250,1,(Einstellungen!$C$3-2026)*12+7))+N(INDEX($F250:$BM250,1,(Einstellungen!$C$3-2026)*12+8))+N(INDEX($F250:$BM250,1,(Einstellungen!$C$3-2026)*12+9))+N(INDEX($F250:$BM250,1,(Einstellungen!$C$3-2026)*12+10))+N(INDEX($F250:$BM250,1,(Einstellungen!$C$3-2026)*12+11))+N(INDEX($F250:$BM250,1,(Einstellungen!$C$3-2026)*12+12)))</f>
        <v/>
      </c>
      <c r="D250" s="37">
        <f>IF(Mitarbeiter!B250="","",SUM(F250:BM250))</f>
        <v/>
      </c>
      <c r="F250" s="51" t="n"/>
      <c r="G250" s="51" t="n"/>
      <c r="H250" s="51" t="n"/>
      <c r="I250" s="51" t="n"/>
      <c r="J250" s="51" t="n"/>
      <c r="K250" s="51" t="n"/>
      <c r="L250" s="51" t="n"/>
      <c r="M250" s="51" t="n"/>
      <c r="N250" s="51" t="n"/>
      <c r="O250" s="51" t="n"/>
      <c r="P250" s="51" t="n"/>
      <c r="Q250" s="51" t="n"/>
      <c r="R250" s="51" t="n"/>
      <c r="S250" s="51" t="n"/>
      <c r="T250" s="51" t="n"/>
      <c r="U250" s="51" t="n"/>
      <c r="V250" s="51" t="n"/>
      <c r="W250" s="51" t="n"/>
      <c r="X250" s="51" t="n"/>
      <c r="Y250" s="51" t="n"/>
      <c r="Z250" s="51" t="n"/>
      <c r="AA250" s="51" t="n"/>
      <c r="AB250" s="51" t="n"/>
      <c r="AC250" s="51" t="n"/>
      <c r="AD250" s="51" t="n"/>
      <c r="AE250" s="51" t="n"/>
      <c r="AF250" s="51" t="n"/>
      <c r="AG250" s="51" t="n"/>
      <c r="AH250" s="51" t="n"/>
      <c r="AI250" s="51" t="n"/>
      <c r="AJ250" s="51" t="n"/>
      <c r="AK250" s="51" t="n"/>
      <c r="AL250" s="51" t="n"/>
      <c r="AM250" s="51" t="n"/>
      <c r="AN250" s="51" t="n"/>
      <c r="AO250" s="51" t="n"/>
      <c r="AP250" s="51" t="n"/>
      <c r="AQ250" s="51" t="n"/>
      <c r="AR250" s="51" t="n"/>
      <c r="AS250" s="51" t="n"/>
      <c r="AT250" s="51" t="n"/>
      <c r="AU250" s="51" t="n"/>
      <c r="AV250" s="51" t="n"/>
      <c r="AW250" s="51" t="n"/>
      <c r="AX250" s="51" t="n"/>
      <c r="AY250" s="51" t="n"/>
      <c r="AZ250" s="51" t="n"/>
      <c r="BA250" s="51" t="n"/>
      <c r="BB250" s="51" t="n"/>
      <c r="BC250" s="51" t="n"/>
      <c r="BD250" s="51" t="n"/>
      <c r="BE250" s="51" t="n"/>
      <c r="BF250" s="51" t="n"/>
      <c r="BG250" s="51" t="n"/>
      <c r="BH250" s="51" t="n"/>
      <c r="BI250" s="51" t="n"/>
      <c r="BJ250" s="51" t="n"/>
      <c r="BK250" s="51" t="n"/>
      <c r="BL250" s="51" t="n"/>
      <c r="BM250" s="51" t="n"/>
    </row>
    <row r="251">
      <c r="A251" s="47">
        <f>IF(Mitarbeiter!B251="","",Mitarbeiter!A251)</f>
        <v/>
      </c>
      <c r="B251" s="48">
        <f>IF(Mitarbeiter!B251="","",Mitarbeiter!B251)</f>
        <v/>
      </c>
      <c r="C251" s="37">
        <f>IF(Mitarbeiter!B251="","",N(INDEX($F251:$BM251,1,(Einstellungen!$C$3-2026)*12+1))+N(INDEX($F251:$BM251,1,(Einstellungen!$C$3-2026)*12+2))+N(INDEX($F251:$BM251,1,(Einstellungen!$C$3-2026)*12+3))+N(INDEX($F251:$BM251,1,(Einstellungen!$C$3-2026)*12+4))+N(INDEX($F251:$BM251,1,(Einstellungen!$C$3-2026)*12+5))+N(INDEX($F251:$BM251,1,(Einstellungen!$C$3-2026)*12+6))+N(INDEX($F251:$BM251,1,(Einstellungen!$C$3-2026)*12+7))+N(INDEX($F251:$BM251,1,(Einstellungen!$C$3-2026)*12+8))+N(INDEX($F251:$BM251,1,(Einstellungen!$C$3-2026)*12+9))+N(INDEX($F251:$BM251,1,(Einstellungen!$C$3-2026)*12+10))+N(INDEX($F251:$BM251,1,(Einstellungen!$C$3-2026)*12+11))+N(INDEX($F251:$BM251,1,(Einstellungen!$C$3-2026)*12+12)))</f>
        <v/>
      </c>
      <c r="D251" s="37">
        <f>IF(Mitarbeiter!B251="","",SUM(F251:BM251))</f>
        <v/>
      </c>
      <c r="F251" s="51" t="n"/>
      <c r="G251" s="51" t="n"/>
      <c r="H251" s="51" t="n"/>
      <c r="I251" s="51" t="n"/>
      <c r="J251" s="51" t="n"/>
      <c r="K251" s="51" t="n"/>
      <c r="L251" s="51" t="n"/>
      <c r="M251" s="51" t="n"/>
      <c r="N251" s="51" t="n"/>
      <c r="O251" s="51" t="n"/>
      <c r="P251" s="51" t="n"/>
      <c r="Q251" s="51" t="n"/>
      <c r="R251" s="51" t="n"/>
      <c r="S251" s="51" t="n"/>
      <c r="T251" s="51" t="n"/>
      <c r="U251" s="51" t="n"/>
      <c r="V251" s="51" t="n"/>
      <c r="W251" s="51" t="n"/>
      <c r="X251" s="51" t="n"/>
      <c r="Y251" s="51" t="n"/>
      <c r="Z251" s="51" t="n"/>
      <c r="AA251" s="51" t="n"/>
      <c r="AB251" s="51" t="n"/>
      <c r="AC251" s="51" t="n"/>
      <c r="AD251" s="51" t="n"/>
      <c r="AE251" s="51" t="n"/>
      <c r="AF251" s="51" t="n"/>
      <c r="AG251" s="51" t="n"/>
      <c r="AH251" s="51" t="n"/>
      <c r="AI251" s="51" t="n"/>
      <c r="AJ251" s="51" t="n"/>
      <c r="AK251" s="51" t="n"/>
      <c r="AL251" s="51" t="n"/>
      <c r="AM251" s="51" t="n"/>
      <c r="AN251" s="51" t="n"/>
      <c r="AO251" s="51" t="n"/>
      <c r="AP251" s="51" t="n"/>
      <c r="AQ251" s="51" t="n"/>
      <c r="AR251" s="51" t="n"/>
      <c r="AS251" s="51" t="n"/>
      <c r="AT251" s="51" t="n"/>
      <c r="AU251" s="51" t="n"/>
      <c r="AV251" s="51" t="n"/>
      <c r="AW251" s="51" t="n"/>
      <c r="AX251" s="51" t="n"/>
      <c r="AY251" s="51" t="n"/>
      <c r="AZ251" s="51" t="n"/>
      <c r="BA251" s="51" t="n"/>
      <c r="BB251" s="51" t="n"/>
      <c r="BC251" s="51" t="n"/>
      <c r="BD251" s="51" t="n"/>
      <c r="BE251" s="51" t="n"/>
      <c r="BF251" s="51" t="n"/>
      <c r="BG251" s="51" t="n"/>
      <c r="BH251" s="51" t="n"/>
      <c r="BI251" s="51" t="n"/>
      <c r="BJ251" s="51" t="n"/>
      <c r="BK251" s="51" t="n"/>
      <c r="BL251" s="51" t="n"/>
      <c r="BM251" s="51" t="n"/>
    </row>
    <row r="252">
      <c r="A252" s="47">
        <f>IF(Mitarbeiter!B252="","",Mitarbeiter!A252)</f>
        <v/>
      </c>
      <c r="B252" s="48">
        <f>IF(Mitarbeiter!B252="","",Mitarbeiter!B252)</f>
        <v/>
      </c>
      <c r="C252" s="37">
        <f>IF(Mitarbeiter!B252="","",N(INDEX($F252:$BM252,1,(Einstellungen!$C$3-2026)*12+1))+N(INDEX($F252:$BM252,1,(Einstellungen!$C$3-2026)*12+2))+N(INDEX($F252:$BM252,1,(Einstellungen!$C$3-2026)*12+3))+N(INDEX($F252:$BM252,1,(Einstellungen!$C$3-2026)*12+4))+N(INDEX($F252:$BM252,1,(Einstellungen!$C$3-2026)*12+5))+N(INDEX($F252:$BM252,1,(Einstellungen!$C$3-2026)*12+6))+N(INDEX($F252:$BM252,1,(Einstellungen!$C$3-2026)*12+7))+N(INDEX($F252:$BM252,1,(Einstellungen!$C$3-2026)*12+8))+N(INDEX($F252:$BM252,1,(Einstellungen!$C$3-2026)*12+9))+N(INDEX($F252:$BM252,1,(Einstellungen!$C$3-2026)*12+10))+N(INDEX($F252:$BM252,1,(Einstellungen!$C$3-2026)*12+11))+N(INDEX($F252:$BM252,1,(Einstellungen!$C$3-2026)*12+12)))</f>
        <v/>
      </c>
      <c r="D252" s="37">
        <f>IF(Mitarbeiter!B252="","",SUM(F252:BM252))</f>
        <v/>
      </c>
      <c r="F252" s="51" t="n"/>
      <c r="G252" s="51" t="n"/>
      <c r="H252" s="51" t="n"/>
      <c r="I252" s="51" t="n"/>
      <c r="J252" s="51" t="n"/>
      <c r="K252" s="51" t="n"/>
      <c r="L252" s="51" t="n"/>
      <c r="M252" s="51" t="n"/>
      <c r="N252" s="51" t="n"/>
      <c r="O252" s="51" t="n"/>
      <c r="P252" s="51" t="n"/>
      <c r="Q252" s="51" t="n"/>
      <c r="R252" s="51" t="n"/>
      <c r="S252" s="51" t="n"/>
      <c r="T252" s="51" t="n"/>
      <c r="U252" s="51" t="n"/>
      <c r="V252" s="51" t="n"/>
      <c r="W252" s="51" t="n"/>
      <c r="X252" s="51" t="n"/>
      <c r="Y252" s="51" t="n"/>
      <c r="Z252" s="51" t="n"/>
      <c r="AA252" s="51" t="n"/>
      <c r="AB252" s="51" t="n"/>
      <c r="AC252" s="51" t="n"/>
      <c r="AD252" s="51" t="n"/>
      <c r="AE252" s="51" t="n"/>
      <c r="AF252" s="51" t="n"/>
      <c r="AG252" s="51" t="n"/>
      <c r="AH252" s="51" t="n"/>
      <c r="AI252" s="51" t="n"/>
      <c r="AJ252" s="51" t="n"/>
      <c r="AK252" s="51" t="n"/>
      <c r="AL252" s="51" t="n"/>
      <c r="AM252" s="51" t="n"/>
      <c r="AN252" s="51" t="n"/>
      <c r="AO252" s="51" t="n"/>
      <c r="AP252" s="51" t="n"/>
      <c r="AQ252" s="51" t="n"/>
      <c r="AR252" s="51" t="n"/>
      <c r="AS252" s="51" t="n"/>
      <c r="AT252" s="51" t="n"/>
      <c r="AU252" s="51" t="n"/>
      <c r="AV252" s="51" t="n"/>
      <c r="AW252" s="51" t="n"/>
      <c r="AX252" s="51" t="n"/>
      <c r="AY252" s="51" t="n"/>
      <c r="AZ252" s="51" t="n"/>
      <c r="BA252" s="51" t="n"/>
      <c r="BB252" s="51" t="n"/>
      <c r="BC252" s="51" t="n"/>
      <c r="BD252" s="51" t="n"/>
      <c r="BE252" s="51" t="n"/>
      <c r="BF252" s="51" t="n"/>
      <c r="BG252" s="51" t="n"/>
      <c r="BH252" s="51" t="n"/>
      <c r="BI252" s="51" t="n"/>
      <c r="BJ252" s="51" t="n"/>
      <c r="BK252" s="51" t="n"/>
      <c r="BL252" s="51" t="n"/>
      <c r="BM252" s="51" t="n"/>
    </row>
    <row r="253">
      <c r="A253" s="47">
        <f>IF(Mitarbeiter!B253="","",Mitarbeiter!A253)</f>
        <v/>
      </c>
      <c r="B253" s="48">
        <f>IF(Mitarbeiter!B253="","",Mitarbeiter!B253)</f>
        <v/>
      </c>
      <c r="C253" s="37">
        <f>IF(Mitarbeiter!B253="","",N(INDEX($F253:$BM253,1,(Einstellungen!$C$3-2026)*12+1))+N(INDEX($F253:$BM253,1,(Einstellungen!$C$3-2026)*12+2))+N(INDEX($F253:$BM253,1,(Einstellungen!$C$3-2026)*12+3))+N(INDEX($F253:$BM253,1,(Einstellungen!$C$3-2026)*12+4))+N(INDEX($F253:$BM253,1,(Einstellungen!$C$3-2026)*12+5))+N(INDEX($F253:$BM253,1,(Einstellungen!$C$3-2026)*12+6))+N(INDEX($F253:$BM253,1,(Einstellungen!$C$3-2026)*12+7))+N(INDEX($F253:$BM253,1,(Einstellungen!$C$3-2026)*12+8))+N(INDEX($F253:$BM253,1,(Einstellungen!$C$3-2026)*12+9))+N(INDEX($F253:$BM253,1,(Einstellungen!$C$3-2026)*12+10))+N(INDEX($F253:$BM253,1,(Einstellungen!$C$3-2026)*12+11))+N(INDEX($F253:$BM253,1,(Einstellungen!$C$3-2026)*12+12)))</f>
        <v/>
      </c>
      <c r="D253" s="37">
        <f>IF(Mitarbeiter!B253="","",SUM(F253:BM253))</f>
        <v/>
      </c>
      <c r="F253" s="51" t="n"/>
      <c r="G253" s="51" t="n"/>
      <c r="H253" s="51" t="n"/>
      <c r="I253" s="51" t="n"/>
      <c r="J253" s="51" t="n"/>
      <c r="K253" s="51" t="n"/>
      <c r="L253" s="51" t="n"/>
      <c r="M253" s="51" t="n"/>
      <c r="N253" s="51" t="n"/>
      <c r="O253" s="51" t="n"/>
      <c r="P253" s="51" t="n"/>
      <c r="Q253" s="51" t="n"/>
      <c r="R253" s="51" t="n"/>
      <c r="S253" s="51" t="n"/>
      <c r="T253" s="51" t="n"/>
      <c r="U253" s="51" t="n"/>
      <c r="V253" s="51" t="n"/>
      <c r="W253" s="51" t="n"/>
      <c r="X253" s="51" t="n"/>
      <c r="Y253" s="51" t="n"/>
      <c r="Z253" s="51" t="n"/>
      <c r="AA253" s="51" t="n"/>
      <c r="AB253" s="51" t="n"/>
      <c r="AC253" s="51" t="n"/>
      <c r="AD253" s="51" t="n"/>
      <c r="AE253" s="51" t="n"/>
      <c r="AF253" s="51" t="n"/>
      <c r="AG253" s="51" t="n"/>
      <c r="AH253" s="51" t="n"/>
      <c r="AI253" s="51" t="n"/>
      <c r="AJ253" s="51" t="n"/>
      <c r="AK253" s="51" t="n"/>
      <c r="AL253" s="51" t="n"/>
      <c r="AM253" s="51" t="n"/>
      <c r="AN253" s="51" t="n"/>
      <c r="AO253" s="51" t="n"/>
      <c r="AP253" s="51" t="n"/>
      <c r="AQ253" s="51" t="n"/>
      <c r="AR253" s="51" t="n"/>
      <c r="AS253" s="51" t="n"/>
      <c r="AT253" s="51" t="n"/>
      <c r="AU253" s="51" t="n"/>
      <c r="AV253" s="51" t="n"/>
      <c r="AW253" s="51" t="n"/>
      <c r="AX253" s="51" t="n"/>
      <c r="AY253" s="51" t="n"/>
      <c r="AZ253" s="51" t="n"/>
      <c r="BA253" s="51" t="n"/>
      <c r="BB253" s="51" t="n"/>
      <c r="BC253" s="51" t="n"/>
      <c r="BD253" s="51" t="n"/>
      <c r="BE253" s="51" t="n"/>
      <c r="BF253" s="51" t="n"/>
      <c r="BG253" s="51" t="n"/>
      <c r="BH253" s="51" t="n"/>
      <c r="BI253" s="51" t="n"/>
      <c r="BJ253" s="51" t="n"/>
      <c r="BK253" s="51" t="n"/>
      <c r="BL253" s="51" t="n"/>
      <c r="BM253" s="51" t="n"/>
    </row>
    <row r="254">
      <c r="A254" s="47">
        <f>IF(Mitarbeiter!B254="","",Mitarbeiter!A254)</f>
        <v/>
      </c>
      <c r="B254" s="48">
        <f>IF(Mitarbeiter!B254="","",Mitarbeiter!B254)</f>
        <v/>
      </c>
      <c r="C254" s="37">
        <f>IF(Mitarbeiter!B254="","",N(INDEX($F254:$BM254,1,(Einstellungen!$C$3-2026)*12+1))+N(INDEX($F254:$BM254,1,(Einstellungen!$C$3-2026)*12+2))+N(INDEX($F254:$BM254,1,(Einstellungen!$C$3-2026)*12+3))+N(INDEX($F254:$BM254,1,(Einstellungen!$C$3-2026)*12+4))+N(INDEX($F254:$BM254,1,(Einstellungen!$C$3-2026)*12+5))+N(INDEX($F254:$BM254,1,(Einstellungen!$C$3-2026)*12+6))+N(INDEX($F254:$BM254,1,(Einstellungen!$C$3-2026)*12+7))+N(INDEX($F254:$BM254,1,(Einstellungen!$C$3-2026)*12+8))+N(INDEX($F254:$BM254,1,(Einstellungen!$C$3-2026)*12+9))+N(INDEX($F254:$BM254,1,(Einstellungen!$C$3-2026)*12+10))+N(INDEX($F254:$BM254,1,(Einstellungen!$C$3-2026)*12+11))+N(INDEX($F254:$BM254,1,(Einstellungen!$C$3-2026)*12+12)))</f>
        <v/>
      </c>
      <c r="D254" s="37">
        <f>IF(Mitarbeiter!B254="","",SUM(F254:BM254))</f>
        <v/>
      </c>
      <c r="F254" s="51" t="n"/>
      <c r="G254" s="51" t="n"/>
      <c r="H254" s="51" t="n"/>
      <c r="I254" s="51" t="n"/>
      <c r="J254" s="51" t="n"/>
      <c r="K254" s="51" t="n"/>
      <c r="L254" s="51" t="n"/>
      <c r="M254" s="51" t="n"/>
      <c r="N254" s="51" t="n"/>
      <c r="O254" s="51" t="n"/>
      <c r="P254" s="51" t="n"/>
      <c r="Q254" s="51" t="n"/>
      <c r="R254" s="51" t="n"/>
      <c r="S254" s="51" t="n"/>
      <c r="T254" s="51" t="n"/>
      <c r="U254" s="51" t="n"/>
      <c r="V254" s="51" t="n"/>
      <c r="W254" s="51" t="n"/>
      <c r="X254" s="51" t="n"/>
      <c r="Y254" s="51" t="n"/>
      <c r="Z254" s="51" t="n"/>
      <c r="AA254" s="51" t="n"/>
      <c r="AB254" s="51" t="n"/>
      <c r="AC254" s="51" t="n"/>
      <c r="AD254" s="51" t="n"/>
      <c r="AE254" s="51" t="n"/>
      <c r="AF254" s="51" t="n"/>
      <c r="AG254" s="51" t="n"/>
      <c r="AH254" s="51" t="n"/>
      <c r="AI254" s="51" t="n"/>
      <c r="AJ254" s="51" t="n"/>
      <c r="AK254" s="51" t="n"/>
      <c r="AL254" s="51" t="n"/>
      <c r="AM254" s="51" t="n"/>
      <c r="AN254" s="51" t="n"/>
      <c r="AO254" s="51" t="n"/>
      <c r="AP254" s="51" t="n"/>
      <c r="AQ254" s="51" t="n"/>
      <c r="AR254" s="51" t="n"/>
      <c r="AS254" s="51" t="n"/>
      <c r="AT254" s="51" t="n"/>
      <c r="AU254" s="51" t="n"/>
      <c r="AV254" s="51" t="n"/>
      <c r="AW254" s="51" t="n"/>
      <c r="AX254" s="51" t="n"/>
      <c r="AY254" s="51" t="n"/>
      <c r="AZ254" s="51" t="n"/>
      <c r="BA254" s="51" t="n"/>
      <c r="BB254" s="51" t="n"/>
      <c r="BC254" s="51" t="n"/>
      <c r="BD254" s="51" t="n"/>
      <c r="BE254" s="51" t="n"/>
      <c r="BF254" s="51" t="n"/>
      <c r="BG254" s="51" t="n"/>
      <c r="BH254" s="51" t="n"/>
      <c r="BI254" s="51" t="n"/>
      <c r="BJ254" s="51" t="n"/>
      <c r="BK254" s="51" t="n"/>
      <c r="BL254" s="51" t="n"/>
      <c r="BM254" s="51" t="n"/>
    </row>
    <row r="255">
      <c r="A255" s="47">
        <f>IF(Mitarbeiter!B255="","",Mitarbeiter!A255)</f>
        <v/>
      </c>
      <c r="B255" s="48">
        <f>IF(Mitarbeiter!B255="","",Mitarbeiter!B255)</f>
        <v/>
      </c>
      <c r="C255" s="37">
        <f>IF(Mitarbeiter!B255="","",N(INDEX($F255:$BM255,1,(Einstellungen!$C$3-2026)*12+1))+N(INDEX($F255:$BM255,1,(Einstellungen!$C$3-2026)*12+2))+N(INDEX($F255:$BM255,1,(Einstellungen!$C$3-2026)*12+3))+N(INDEX($F255:$BM255,1,(Einstellungen!$C$3-2026)*12+4))+N(INDEX($F255:$BM255,1,(Einstellungen!$C$3-2026)*12+5))+N(INDEX($F255:$BM255,1,(Einstellungen!$C$3-2026)*12+6))+N(INDEX($F255:$BM255,1,(Einstellungen!$C$3-2026)*12+7))+N(INDEX($F255:$BM255,1,(Einstellungen!$C$3-2026)*12+8))+N(INDEX($F255:$BM255,1,(Einstellungen!$C$3-2026)*12+9))+N(INDEX($F255:$BM255,1,(Einstellungen!$C$3-2026)*12+10))+N(INDEX($F255:$BM255,1,(Einstellungen!$C$3-2026)*12+11))+N(INDEX($F255:$BM255,1,(Einstellungen!$C$3-2026)*12+12)))</f>
        <v/>
      </c>
      <c r="D255" s="37">
        <f>IF(Mitarbeiter!B255="","",SUM(F255:BM255))</f>
        <v/>
      </c>
      <c r="F255" s="51" t="n"/>
      <c r="G255" s="51" t="n"/>
      <c r="H255" s="51" t="n"/>
      <c r="I255" s="51" t="n"/>
      <c r="J255" s="51" t="n"/>
      <c r="K255" s="51" t="n"/>
      <c r="L255" s="51" t="n"/>
      <c r="M255" s="51" t="n"/>
      <c r="N255" s="51" t="n"/>
      <c r="O255" s="51" t="n"/>
      <c r="P255" s="51" t="n"/>
      <c r="Q255" s="51" t="n"/>
      <c r="R255" s="51" t="n"/>
      <c r="S255" s="51" t="n"/>
      <c r="T255" s="51" t="n"/>
      <c r="U255" s="51" t="n"/>
      <c r="V255" s="51" t="n"/>
      <c r="W255" s="51" t="n"/>
      <c r="X255" s="51" t="n"/>
      <c r="Y255" s="51" t="n"/>
      <c r="Z255" s="51" t="n"/>
      <c r="AA255" s="51" t="n"/>
      <c r="AB255" s="51" t="n"/>
      <c r="AC255" s="51" t="n"/>
      <c r="AD255" s="51" t="n"/>
      <c r="AE255" s="51" t="n"/>
      <c r="AF255" s="51" t="n"/>
      <c r="AG255" s="51" t="n"/>
      <c r="AH255" s="51" t="n"/>
      <c r="AI255" s="51" t="n"/>
      <c r="AJ255" s="51" t="n"/>
      <c r="AK255" s="51" t="n"/>
      <c r="AL255" s="51" t="n"/>
      <c r="AM255" s="51" t="n"/>
      <c r="AN255" s="51" t="n"/>
      <c r="AO255" s="51" t="n"/>
      <c r="AP255" s="51" t="n"/>
      <c r="AQ255" s="51" t="n"/>
      <c r="AR255" s="51" t="n"/>
      <c r="AS255" s="51" t="n"/>
      <c r="AT255" s="51" t="n"/>
      <c r="AU255" s="51" t="n"/>
      <c r="AV255" s="51" t="n"/>
      <c r="AW255" s="51" t="n"/>
      <c r="AX255" s="51" t="n"/>
      <c r="AY255" s="51" t="n"/>
      <c r="AZ255" s="51" t="n"/>
      <c r="BA255" s="51" t="n"/>
      <c r="BB255" s="51" t="n"/>
      <c r="BC255" s="51" t="n"/>
      <c r="BD255" s="51" t="n"/>
      <c r="BE255" s="51" t="n"/>
      <c r="BF255" s="51" t="n"/>
      <c r="BG255" s="51" t="n"/>
      <c r="BH255" s="51" t="n"/>
      <c r="BI255" s="51" t="n"/>
      <c r="BJ255" s="51" t="n"/>
      <c r="BK255" s="51" t="n"/>
      <c r="BL255" s="51" t="n"/>
      <c r="BM255" s="51" t="n"/>
    </row>
    <row r="256">
      <c r="A256" s="47">
        <f>IF(Mitarbeiter!B256="","",Mitarbeiter!A256)</f>
        <v/>
      </c>
      <c r="B256" s="48">
        <f>IF(Mitarbeiter!B256="","",Mitarbeiter!B256)</f>
        <v/>
      </c>
      <c r="C256" s="37">
        <f>IF(Mitarbeiter!B256="","",N(INDEX($F256:$BM256,1,(Einstellungen!$C$3-2026)*12+1))+N(INDEX($F256:$BM256,1,(Einstellungen!$C$3-2026)*12+2))+N(INDEX($F256:$BM256,1,(Einstellungen!$C$3-2026)*12+3))+N(INDEX($F256:$BM256,1,(Einstellungen!$C$3-2026)*12+4))+N(INDEX($F256:$BM256,1,(Einstellungen!$C$3-2026)*12+5))+N(INDEX($F256:$BM256,1,(Einstellungen!$C$3-2026)*12+6))+N(INDEX($F256:$BM256,1,(Einstellungen!$C$3-2026)*12+7))+N(INDEX($F256:$BM256,1,(Einstellungen!$C$3-2026)*12+8))+N(INDEX($F256:$BM256,1,(Einstellungen!$C$3-2026)*12+9))+N(INDEX($F256:$BM256,1,(Einstellungen!$C$3-2026)*12+10))+N(INDEX($F256:$BM256,1,(Einstellungen!$C$3-2026)*12+11))+N(INDEX($F256:$BM256,1,(Einstellungen!$C$3-2026)*12+12)))</f>
        <v/>
      </c>
      <c r="D256" s="37">
        <f>IF(Mitarbeiter!B256="","",SUM(F256:BM256))</f>
        <v/>
      </c>
      <c r="F256" s="51" t="n"/>
      <c r="G256" s="51" t="n"/>
      <c r="H256" s="51" t="n"/>
      <c r="I256" s="51" t="n"/>
      <c r="J256" s="51" t="n"/>
      <c r="K256" s="51" t="n"/>
      <c r="L256" s="51" t="n"/>
      <c r="M256" s="51" t="n"/>
      <c r="N256" s="51" t="n"/>
      <c r="O256" s="51" t="n"/>
      <c r="P256" s="51" t="n"/>
      <c r="Q256" s="51" t="n"/>
      <c r="R256" s="51" t="n"/>
      <c r="S256" s="51" t="n"/>
      <c r="T256" s="51" t="n"/>
      <c r="U256" s="51" t="n"/>
      <c r="V256" s="51" t="n"/>
      <c r="W256" s="51" t="n"/>
      <c r="X256" s="51" t="n"/>
      <c r="Y256" s="51" t="n"/>
      <c r="Z256" s="51" t="n"/>
      <c r="AA256" s="51" t="n"/>
      <c r="AB256" s="51" t="n"/>
      <c r="AC256" s="51" t="n"/>
      <c r="AD256" s="51" t="n"/>
      <c r="AE256" s="51" t="n"/>
      <c r="AF256" s="51" t="n"/>
      <c r="AG256" s="51" t="n"/>
      <c r="AH256" s="51" t="n"/>
      <c r="AI256" s="51" t="n"/>
      <c r="AJ256" s="51" t="n"/>
      <c r="AK256" s="51" t="n"/>
      <c r="AL256" s="51" t="n"/>
      <c r="AM256" s="51" t="n"/>
      <c r="AN256" s="51" t="n"/>
      <c r="AO256" s="51" t="n"/>
      <c r="AP256" s="51" t="n"/>
      <c r="AQ256" s="51" t="n"/>
      <c r="AR256" s="51" t="n"/>
      <c r="AS256" s="51" t="n"/>
      <c r="AT256" s="51" t="n"/>
      <c r="AU256" s="51" t="n"/>
      <c r="AV256" s="51" t="n"/>
      <c r="AW256" s="51" t="n"/>
      <c r="AX256" s="51" t="n"/>
      <c r="AY256" s="51" t="n"/>
      <c r="AZ256" s="51" t="n"/>
      <c r="BA256" s="51" t="n"/>
      <c r="BB256" s="51" t="n"/>
      <c r="BC256" s="51" t="n"/>
      <c r="BD256" s="51" t="n"/>
      <c r="BE256" s="51" t="n"/>
      <c r="BF256" s="51" t="n"/>
      <c r="BG256" s="51" t="n"/>
      <c r="BH256" s="51" t="n"/>
      <c r="BI256" s="51" t="n"/>
      <c r="BJ256" s="51" t="n"/>
      <c r="BK256" s="51" t="n"/>
      <c r="BL256" s="51" t="n"/>
      <c r="BM256" s="51" t="n"/>
    </row>
    <row r="257">
      <c r="A257" s="47">
        <f>IF(Mitarbeiter!B257="","",Mitarbeiter!A257)</f>
        <v/>
      </c>
      <c r="B257" s="48">
        <f>IF(Mitarbeiter!B257="","",Mitarbeiter!B257)</f>
        <v/>
      </c>
      <c r="C257" s="37">
        <f>IF(Mitarbeiter!B257="","",N(INDEX($F257:$BM257,1,(Einstellungen!$C$3-2026)*12+1))+N(INDEX($F257:$BM257,1,(Einstellungen!$C$3-2026)*12+2))+N(INDEX($F257:$BM257,1,(Einstellungen!$C$3-2026)*12+3))+N(INDEX($F257:$BM257,1,(Einstellungen!$C$3-2026)*12+4))+N(INDEX($F257:$BM257,1,(Einstellungen!$C$3-2026)*12+5))+N(INDEX($F257:$BM257,1,(Einstellungen!$C$3-2026)*12+6))+N(INDEX($F257:$BM257,1,(Einstellungen!$C$3-2026)*12+7))+N(INDEX($F257:$BM257,1,(Einstellungen!$C$3-2026)*12+8))+N(INDEX($F257:$BM257,1,(Einstellungen!$C$3-2026)*12+9))+N(INDEX($F257:$BM257,1,(Einstellungen!$C$3-2026)*12+10))+N(INDEX($F257:$BM257,1,(Einstellungen!$C$3-2026)*12+11))+N(INDEX($F257:$BM257,1,(Einstellungen!$C$3-2026)*12+12)))</f>
        <v/>
      </c>
      <c r="D257" s="37">
        <f>IF(Mitarbeiter!B257="","",SUM(F257:BM257))</f>
        <v/>
      </c>
      <c r="F257" s="51" t="n"/>
      <c r="G257" s="51" t="n"/>
      <c r="H257" s="51" t="n"/>
      <c r="I257" s="51" t="n"/>
      <c r="J257" s="51" t="n"/>
      <c r="K257" s="51" t="n"/>
      <c r="L257" s="51" t="n"/>
      <c r="M257" s="51" t="n"/>
      <c r="N257" s="51" t="n"/>
      <c r="O257" s="51" t="n"/>
      <c r="P257" s="51" t="n"/>
      <c r="Q257" s="51" t="n"/>
      <c r="R257" s="51" t="n"/>
      <c r="S257" s="51" t="n"/>
      <c r="T257" s="51" t="n"/>
      <c r="U257" s="51" t="n"/>
      <c r="V257" s="51" t="n"/>
      <c r="W257" s="51" t="n"/>
      <c r="X257" s="51" t="n"/>
      <c r="Y257" s="51" t="n"/>
      <c r="Z257" s="51" t="n"/>
      <c r="AA257" s="51" t="n"/>
      <c r="AB257" s="51" t="n"/>
      <c r="AC257" s="51" t="n"/>
      <c r="AD257" s="51" t="n"/>
      <c r="AE257" s="51" t="n"/>
      <c r="AF257" s="51" t="n"/>
      <c r="AG257" s="51" t="n"/>
      <c r="AH257" s="51" t="n"/>
      <c r="AI257" s="51" t="n"/>
      <c r="AJ257" s="51" t="n"/>
      <c r="AK257" s="51" t="n"/>
      <c r="AL257" s="51" t="n"/>
      <c r="AM257" s="51" t="n"/>
      <c r="AN257" s="51" t="n"/>
      <c r="AO257" s="51" t="n"/>
      <c r="AP257" s="51" t="n"/>
      <c r="AQ257" s="51" t="n"/>
      <c r="AR257" s="51" t="n"/>
      <c r="AS257" s="51" t="n"/>
      <c r="AT257" s="51" t="n"/>
      <c r="AU257" s="51" t="n"/>
      <c r="AV257" s="51" t="n"/>
      <c r="AW257" s="51" t="n"/>
      <c r="AX257" s="51" t="n"/>
      <c r="AY257" s="51" t="n"/>
      <c r="AZ257" s="51" t="n"/>
      <c r="BA257" s="51" t="n"/>
      <c r="BB257" s="51" t="n"/>
      <c r="BC257" s="51" t="n"/>
      <c r="BD257" s="51" t="n"/>
      <c r="BE257" s="51" t="n"/>
      <c r="BF257" s="51" t="n"/>
      <c r="BG257" s="51" t="n"/>
      <c r="BH257" s="51" t="n"/>
      <c r="BI257" s="51" t="n"/>
      <c r="BJ257" s="51" t="n"/>
      <c r="BK257" s="51" t="n"/>
      <c r="BL257" s="51" t="n"/>
      <c r="BM257" s="51" t="n"/>
    </row>
    <row r="258">
      <c r="A258" s="47">
        <f>IF(Mitarbeiter!B258="","",Mitarbeiter!A258)</f>
        <v/>
      </c>
      <c r="B258" s="48">
        <f>IF(Mitarbeiter!B258="","",Mitarbeiter!B258)</f>
        <v/>
      </c>
      <c r="C258" s="37">
        <f>IF(Mitarbeiter!B258="","",N(INDEX($F258:$BM258,1,(Einstellungen!$C$3-2026)*12+1))+N(INDEX($F258:$BM258,1,(Einstellungen!$C$3-2026)*12+2))+N(INDEX($F258:$BM258,1,(Einstellungen!$C$3-2026)*12+3))+N(INDEX($F258:$BM258,1,(Einstellungen!$C$3-2026)*12+4))+N(INDEX($F258:$BM258,1,(Einstellungen!$C$3-2026)*12+5))+N(INDEX($F258:$BM258,1,(Einstellungen!$C$3-2026)*12+6))+N(INDEX($F258:$BM258,1,(Einstellungen!$C$3-2026)*12+7))+N(INDEX($F258:$BM258,1,(Einstellungen!$C$3-2026)*12+8))+N(INDEX($F258:$BM258,1,(Einstellungen!$C$3-2026)*12+9))+N(INDEX($F258:$BM258,1,(Einstellungen!$C$3-2026)*12+10))+N(INDEX($F258:$BM258,1,(Einstellungen!$C$3-2026)*12+11))+N(INDEX($F258:$BM258,1,(Einstellungen!$C$3-2026)*12+12)))</f>
        <v/>
      </c>
      <c r="D258" s="37">
        <f>IF(Mitarbeiter!B258="","",SUM(F258:BM258))</f>
        <v/>
      </c>
      <c r="F258" s="51" t="n"/>
      <c r="G258" s="51" t="n"/>
      <c r="H258" s="51" t="n"/>
      <c r="I258" s="51" t="n"/>
      <c r="J258" s="51" t="n"/>
      <c r="K258" s="51" t="n"/>
      <c r="L258" s="51" t="n"/>
      <c r="M258" s="51" t="n"/>
      <c r="N258" s="51" t="n"/>
      <c r="O258" s="51" t="n"/>
      <c r="P258" s="51" t="n"/>
      <c r="Q258" s="51" t="n"/>
      <c r="R258" s="51" t="n"/>
      <c r="S258" s="51" t="n"/>
      <c r="T258" s="51" t="n"/>
      <c r="U258" s="51" t="n"/>
      <c r="V258" s="51" t="n"/>
      <c r="W258" s="51" t="n"/>
      <c r="X258" s="51" t="n"/>
      <c r="Y258" s="51" t="n"/>
      <c r="Z258" s="51" t="n"/>
      <c r="AA258" s="51" t="n"/>
      <c r="AB258" s="51" t="n"/>
      <c r="AC258" s="51" t="n"/>
      <c r="AD258" s="51" t="n"/>
      <c r="AE258" s="51" t="n"/>
      <c r="AF258" s="51" t="n"/>
      <c r="AG258" s="51" t="n"/>
      <c r="AH258" s="51" t="n"/>
      <c r="AI258" s="51" t="n"/>
      <c r="AJ258" s="51" t="n"/>
      <c r="AK258" s="51" t="n"/>
      <c r="AL258" s="51" t="n"/>
      <c r="AM258" s="51" t="n"/>
      <c r="AN258" s="51" t="n"/>
      <c r="AO258" s="51" t="n"/>
      <c r="AP258" s="51" t="n"/>
      <c r="AQ258" s="51" t="n"/>
      <c r="AR258" s="51" t="n"/>
      <c r="AS258" s="51" t="n"/>
      <c r="AT258" s="51" t="n"/>
      <c r="AU258" s="51" t="n"/>
      <c r="AV258" s="51" t="n"/>
      <c r="AW258" s="51" t="n"/>
      <c r="AX258" s="51" t="n"/>
      <c r="AY258" s="51" t="n"/>
      <c r="AZ258" s="51" t="n"/>
      <c r="BA258" s="51" t="n"/>
      <c r="BB258" s="51" t="n"/>
      <c r="BC258" s="51" t="n"/>
      <c r="BD258" s="51" t="n"/>
      <c r="BE258" s="51" t="n"/>
      <c r="BF258" s="51" t="n"/>
      <c r="BG258" s="51" t="n"/>
      <c r="BH258" s="51" t="n"/>
      <c r="BI258" s="51" t="n"/>
      <c r="BJ258" s="51" t="n"/>
      <c r="BK258" s="51" t="n"/>
      <c r="BL258" s="51" t="n"/>
      <c r="BM258" s="51" t="n"/>
    </row>
    <row r="259">
      <c r="A259" s="47">
        <f>IF(Mitarbeiter!B259="","",Mitarbeiter!A259)</f>
        <v/>
      </c>
      <c r="B259" s="48">
        <f>IF(Mitarbeiter!B259="","",Mitarbeiter!B259)</f>
        <v/>
      </c>
      <c r="C259" s="37">
        <f>IF(Mitarbeiter!B259="","",N(INDEX($F259:$BM259,1,(Einstellungen!$C$3-2026)*12+1))+N(INDEX($F259:$BM259,1,(Einstellungen!$C$3-2026)*12+2))+N(INDEX($F259:$BM259,1,(Einstellungen!$C$3-2026)*12+3))+N(INDEX($F259:$BM259,1,(Einstellungen!$C$3-2026)*12+4))+N(INDEX($F259:$BM259,1,(Einstellungen!$C$3-2026)*12+5))+N(INDEX($F259:$BM259,1,(Einstellungen!$C$3-2026)*12+6))+N(INDEX($F259:$BM259,1,(Einstellungen!$C$3-2026)*12+7))+N(INDEX($F259:$BM259,1,(Einstellungen!$C$3-2026)*12+8))+N(INDEX($F259:$BM259,1,(Einstellungen!$C$3-2026)*12+9))+N(INDEX($F259:$BM259,1,(Einstellungen!$C$3-2026)*12+10))+N(INDEX($F259:$BM259,1,(Einstellungen!$C$3-2026)*12+11))+N(INDEX($F259:$BM259,1,(Einstellungen!$C$3-2026)*12+12)))</f>
        <v/>
      </c>
      <c r="D259" s="37">
        <f>IF(Mitarbeiter!B259="","",SUM(F259:BM259))</f>
        <v/>
      </c>
      <c r="F259" s="51" t="n"/>
      <c r="G259" s="51" t="n"/>
      <c r="H259" s="51" t="n"/>
      <c r="I259" s="51" t="n"/>
      <c r="J259" s="51" t="n"/>
      <c r="K259" s="51" t="n"/>
      <c r="L259" s="51" t="n"/>
      <c r="M259" s="51" t="n"/>
      <c r="N259" s="51" t="n"/>
      <c r="O259" s="51" t="n"/>
      <c r="P259" s="51" t="n"/>
      <c r="Q259" s="51" t="n"/>
      <c r="R259" s="51" t="n"/>
      <c r="S259" s="51" t="n"/>
      <c r="T259" s="51" t="n"/>
      <c r="U259" s="51" t="n"/>
      <c r="V259" s="51" t="n"/>
      <c r="W259" s="51" t="n"/>
      <c r="X259" s="51" t="n"/>
      <c r="Y259" s="51" t="n"/>
      <c r="Z259" s="51" t="n"/>
      <c r="AA259" s="51" t="n"/>
      <c r="AB259" s="51" t="n"/>
      <c r="AC259" s="51" t="n"/>
      <c r="AD259" s="51" t="n"/>
      <c r="AE259" s="51" t="n"/>
      <c r="AF259" s="51" t="n"/>
      <c r="AG259" s="51" t="n"/>
      <c r="AH259" s="51" t="n"/>
      <c r="AI259" s="51" t="n"/>
      <c r="AJ259" s="51" t="n"/>
      <c r="AK259" s="51" t="n"/>
      <c r="AL259" s="51" t="n"/>
      <c r="AM259" s="51" t="n"/>
      <c r="AN259" s="51" t="n"/>
      <c r="AO259" s="51" t="n"/>
      <c r="AP259" s="51" t="n"/>
      <c r="AQ259" s="51" t="n"/>
      <c r="AR259" s="51" t="n"/>
      <c r="AS259" s="51" t="n"/>
      <c r="AT259" s="51" t="n"/>
      <c r="AU259" s="51" t="n"/>
      <c r="AV259" s="51" t="n"/>
      <c r="AW259" s="51" t="n"/>
      <c r="AX259" s="51" t="n"/>
      <c r="AY259" s="51" t="n"/>
      <c r="AZ259" s="51" t="n"/>
      <c r="BA259" s="51" t="n"/>
      <c r="BB259" s="51" t="n"/>
      <c r="BC259" s="51" t="n"/>
      <c r="BD259" s="51" t="n"/>
      <c r="BE259" s="51" t="n"/>
      <c r="BF259" s="51" t="n"/>
      <c r="BG259" s="51" t="n"/>
      <c r="BH259" s="51" t="n"/>
      <c r="BI259" s="51" t="n"/>
      <c r="BJ259" s="51" t="n"/>
      <c r="BK259" s="51" t="n"/>
      <c r="BL259" s="51" t="n"/>
      <c r="BM259" s="51" t="n"/>
    </row>
    <row r="260">
      <c r="A260" s="47">
        <f>IF(Mitarbeiter!B260="","",Mitarbeiter!A260)</f>
        <v/>
      </c>
      <c r="B260" s="48">
        <f>IF(Mitarbeiter!B260="","",Mitarbeiter!B260)</f>
        <v/>
      </c>
      <c r="C260" s="37">
        <f>IF(Mitarbeiter!B260="","",N(INDEX($F260:$BM260,1,(Einstellungen!$C$3-2026)*12+1))+N(INDEX($F260:$BM260,1,(Einstellungen!$C$3-2026)*12+2))+N(INDEX($F260:$BM260,1,(Einstellungen!$C$3-2026)*12+3))+N(INDEX($F260:$BM260,1,(Einstellungen!$C$3-2026)*12+4))+N(INDEX($F260:$BM260,1,(Einstellungen!$C$3-2026)*12+5))+N(INDEX($F260:$BM260,1,(Einstellungen!$C$3-2026)*12+6))+N(INDEX($F260:$BM260,1,(Einstellungen!$C$3-2026)*12+7))+N(INDEX($F260:$BM260,1,(Einstellungen!$C$3-2026)*12+8))+N(INDEX($F260:$BM260,1,(Einstellungen!$C$3-2026)*12+9))+N(INDEX($F260:$BM260,1,(Einstellungen!$C$3-2026)*12+10))+N(INDEX($F260:$BM260,1,(Einstellungen!$C$3-2026)*12+11))+N(INDEX($F260:$BM260,1,(Einstellungen!$C$3-2026)*12+12)))</f>
        <v/>
      </c>
      <c r="D260" s="37">
        <f>IF(Mitarbeiter!B260="","",SUM(F260:BM260))</f>
        <v/>
      </c>
      <c r="F260" s="51" t="n"/>
      <c r="G260" s="51" t="n"/>
      <c r="H260" s="51" t="n"/>
      <c r="I260" s="51" t="n"/>
      <c r="J260" s="51" t="n"/>
      <c r="K260" s="51" t="n"/>
      <c r="L260" s="51" t="n"/>
      <c r="M260" s="51" t="n"/>
      <c r="N260" s="51" t="n"/>
      <c r="O260" s="51" t="n"/>
      <c r="P260" s="51" t="n"/>
      <c r="Q260" s="51" t="n"/>
      <c r="R260" s="51" t="n"/>
      <c r="S260" s="51" t="n"/>
      <c r="T260" s="51" t="n"/>
      <c r="U260" s="51" t="n"/>
      <c r="V260" s="51" t="n"/>
      <c r="W260" s="51" t="n"/>
      <c r="X260" s="51" t="n"/>
      <c r="Y260" s="51" t="n"/>
      <c r="Z260" s="51" t="n"/>
      <c r="AA260" s="51" t="n"/>
      <c r="AB260" s="51" t="n"/>
      <c r="AC260" s="51" t="n"/>
      <c r="AD260" s="51" t="n"/>
      <c r="AE260" s="51" t="n"/>
      <c r="AF260" s="51" t="n"/>
      <c r="AG260" s="51" t="n"/>
      <c r="AH260" s="51" t="n"/>
      <c r="AI260" s="51" t="n"/>
      <c r="AJ260" s="51" t="n"/>
      <c r="AK260" s="51" t="n"/>
      <c r="AL260" s="51" t="n"/>
      <c r="AM260" s="51" t="n"/>
      <c r="AN260" s="51" t="n"/>
      <c r="AO260" s="51" t="n"/>
      <c r="AP260" s="51" t="n"/>
      <c r="AQ260" s="51" t="n"/>
      <c r="AR260" s="51" t="n"/>
      <c r="AS260" s="51" t="n"/>
      <c r="AT260" s="51" t="n"/>
      <c r="AU260" s="51" t="n"/>
      <c r="AV260" s="51" t="n"/>
      <c r="AW260" s="51" t="n"/>
      <c r="AX260" s="51" t="n"/>
      <c r="AY260" s="51" t="n"/>
      <c r="AZ260" s="51" t="n"/>
      <c r="BA260" s="51" t="n"/>
      <c r="BB260" s="51" t="n"/>
      <c r="BC260" s="51" t="n"/>
      <c r="BD260" s="51" t="n"/>
      <c r="BE260" s="51" t="n"/>
      <c r="BF260" s="51" t="n"/>
      <c r="BG260" s="51" t="n"/>
      <c r="BH260" s="51" t="n"/>
      <c r="BI260" s="51" t="n"/>
      <c r="BJ260" s="51" t="n"/>
      <c r="BK260" s="51" t="n"/>
      <c r="BL260" s="51" t="n"/>
      <c r="BM260" s="51" t="n"/>
    </row>
    <row r="261">
      <c r="A261" s="47">
        <f>IF(Mitarbeiter!B261="","",Mitarbeiter!A261)</f>
        <v/>
      </c>
      <c r="B261" s="48">
        <f>IF(Mitarbeiter!B261="","",Mitarbeiter!B261)</f>
        <v/>
      </c>
      <c r="C261" s="37">
        <f>IF(Mitarbeiter!B261="","",N(INDEX($F261:$BM261,1,(Einstellungen!$C$3-2026)*12+1))+N(INDEX($F261:$BM261,1,(Einstellungen!$C$3-2026)*12+2))+N(INDEX($F261:$BM261,1,(Einstellungen!$C$3-2026)*12+3))+N(INDEX($F261:$BM261,1,(Einstellungen!$C$3-2026)*12+4))+N(INDEX($F261:$BM261,1,(Einstellungen!$C$3-2026)*12+5))+N(INDEX($F261:$BM261,1,(Einstellungen!$C$3-2026)*12+6))+N(INDEX($F261:$BM261,1,(Einstellungen!$C$3-2026)*12+7))+N(INDEX($F261:$BM261,1,(Einstellungen!$C$3-2026)*12+8))+N(INDEX($F261:$BM261,1,(Einstellungen!$C$3-2026)*12+9))+N(INDEX($F261:$BM261,1,(Einstellungen!$C$3-2026)*12+10))+N(INDEX($F261:$BM261,1,(Einstellungen!$C$3-2026)*12+11))+N(INDEX($F261:$BM261,1,(Einstellungen!$C$3-2026)*12+12)))</f>
        <v/>
      </c>
      <c r="D261" s="37">
        <f>IF(Mitarbeiter!B261="","",SUM(F261:BM261))</f>
        <v/>
      </c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  <c r="S261" s="51" t="n"/>
      <c r="T261" s="51" t="n"/>
      <c r="U261" s="51" t="n"/>
      <c r="V261" s="51" t="n"/>
      <c r="W261" s="51" t="n"/>
      <c r="X261" s="51" t="n"/>
      <c r="Y261" s="51" t="n"/>
      <c r="Z261" s="51" t="n"/>
      <c r="AA261" s="51" t="n"/>
      <c r="AB261" s="51" t="n"/>
      <c r="AC261" s="51" t="n"/>
      <c r="AD261" s="51" t="n"/>
      <c r="AE261" s="51" t="n"/>
      <c r="AF261" s="51" t="n"/>
      <c r="AG261" s="51" t="n"/>
      <c r="AH261" s="51" t="n"/>
      <c r="AI261" s="51" t="n"/>
      <c r="AJ261" s="51" t="n"/>
      <c r="AK261" s="51" t="n"/>
      <c r="AL261" s="51" t="n"/>
      <c r="AM261" s="51" t="n"/>
      <c r="AN261" s="51" t="n"/>
      <c r="AO261" s="51" t="n"/>
      <c r="AP261" s="51" t="n"/>
      <c r="AQ261" s="51" t="n"/>
      <c r="AR261" s="51" t="n"/>
      <c r="AS261" s="51" t="n"/>
      <c r="AT261" s="51" t="n"/>
      <c r="AU261" s="51" t="n"/>
      <c r="AV261" s="51" t="n"/>
      <c r="AW261" s="51" t="n"/>
      <c r="AX261" s="51" t="n"/>
      <c r="AY261" s="51" t="n"/>
      <c r="AZ261" s="51" t="n"/>
      <c r="BA261" s="51" t="n"/>
      <c r="BB261" s="51" t="n"/>
      <c r="BC261" s="51" t="n"/>
      <c r="BD261" s="51" t="n"/>
      <c r="BE261" s="51" t="n"/>
      <c r="BF261" s="51" t="n"/>
      <c r="BG261" s="51" t="n"/>
      <c r="BH261" s="51" t="n"/>
      <c r="BI261" s="51" t="n"/>
      <c r="BJ261" s="51" t="n"/>
      <c r="BK261" s="51" t="n"/>
      <c r="BL261" s="51" t="n"/>
      <c r="BM261" s="51" t="n"/>
    </row>
    <row r="262">
      <c r="A262" s="47">
        <f>IF(Mitarbeiter!B262="","",Mitarbeiter!A262)</f>
        <v/>
      </c>
      <c r="B262" s="48">
        <f>IF(Mitarbeiter!B262="","",Mitarbeiter!B262)</f>
        <v/>
      </c>
      <c r="C262" s="37">
        <f>IF(Mitarbeiter!B262="","",N(INDEX($F262:$BM262,1,(Einstellungen!$C$3-2026)*12+1))+N(INDEX($F262:$BM262,1,(Einstellungen!$C$3-2026)*12+2))+N(INDEX($F262:$BM262,1,(Einstellungen!$C$3-2026)*12+3))+N(INDEX($F262:$BM262,1,(Einstellungen!$C$3-2026)*12+4))+N(INDEX($F262:$BM262,1,(Einstellungen!$C$3-2026)*12+5))+N(INDEX($F262:$BM262,1,(Einstellungen!$C$3-2026)*12+6))+N(INDEX($F262:$BM262,1,(Einstellungen!$C$3-2026)*12+7))+N(INDEX($F262:$BM262,1,(Einstellungen!$C$3-2026)*12+8))+N(INDEX($F262:$BM262,1,(Einstellungen!$C$3-2026)*12+9))+N(INDEX($F262:$BM262,1,(Einstellungen!$C$3-2026)*12+10))+N(INDEX($F262:$BM262,1,(Einstellungen!$C$3-2026)*12+11))+N(INDEX($F262:$BM262,1,(Einstellungen!$C$3-2026)*12+12)))</f>
        <v/>
      </c>
      <c r="D262" s="37">
        <f>IF(Mitarbeiter!B262="","",SUM(F262:BM262))</f>
        <v/>
      </c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  <c r="S262" s="51" t="n"/>
      <c r="T262" s="51" t="n"/>
      <c r="U262" s="51" t="n"/>
      <c r="V262" s="51" t="n"/>
      <c r="W262" s="51" t="n"/>
      <c r="X262" s="51" t="n"/>
      <c r="Y262" s="51" t="n"/>
      <c r="Z262" s="51" t="n"/>
      <c r="AA262" s="51" t="n"/>
      <c r="AB262" s="51" t="n"/>
      <c r="AC262" s="51" t="n"/>
      <c r="AD262" s="51" t="n"/>
      <c r="AE262" s="51" t="n"/>
      <c r="AF262" s="51" t="n"/>
      <c r="AG262" s="51" t="n"/>
      <c r="AH262" s="51" t="n"/>
      <c r="AI262" s="51" t="n"/>
      <c r="AJ262" s="51" t="n"/>
      <c r="AK262" s="51" t="n"/>
      <c r="AL262" s="51" t="n"/>
      <c r="AM262" s="51" t="n"/>
      <c r="AN262" s="51" t="n"/>
      <c r="AO262" s="51" t="n"/>
      <c r="AP262" s="51" t="n"/>
      <c r="AQ262" s="51" t="n"/>
      <c r="AR262" s="51" t="n"/>
      <c r="AS262" s="51" t="n"/>
      <c r="AT262" s="51" t="n"/>
      <c r="AU262" s="51" t="n"/>
      <c r="AV262" s="51" t="n"/>
      <c r="AW262" s="51" t="n"/>
      <c r="AX262" s="51" t="n"/>
      <c r="AY262" s="51" t="n"/>
      <c r="AZ262" s="51" t="n"/>
      <c r="BA262" s="51" t="n"/>
      <c r="BB262" s="51" t="n"/>
      <c r="BC262" s="51" t="n"/>
      <c r="BD262" s="51" t="n"/>
      <c r="BE262" s="51" t="n"/>
      <c r="BF262" s="51" t="n"/>
      <c r="BG262" s="51" t="n"/>
      <c r="BH262" s="51" t="n"/>
      <c r="BI262" s="51" t="n"/>
      <c r="BJ262" s="51" t="n"/>
      <c r="BK262" s="51" t="n"/>
      <c r="BL262" s="51" t="n"/>
      <c r="BM262" s="51" t="n"/>
    </row>
    <row r="263">
      <c r="A263" s="47">
        <f>IF(Mitarbeiter!B263="","",Mitarbeiter!A263)</f>
        <v/>
      </c>
      <c r="B263" s="48">
        <f>IF(Mitarbeiter!B263="","",Mitarbeiter!B263)</f>
        <v/>
      </c>
      <c r="C263" s="37">
        <f>IF(Mitarbeiter!B263="","",N(INDEX($F263:$BM263,1,(Einstellungen!$C$3-2026)*12+1))+N(INDEX($F263:$BM263,1,(Einstellungen!$C$3-2026)*12+2))+N(INDEX($F263:$BM263,1,(Einstellungen!$C$3-2026)*12+3))+N(INDEX($F263:$BM263,1,(Einstellungen!$C$3-2026)*12+4))+N(INDEX($F263:$BM263,1,(Einstellungen!$C$3-2026)*12+5))+N(INDEX($F263:$BM263,1,(Einstellungen!$C$3-2026)*12+6))+N(INDEX($F263:$BM263,1,(Einstellungen!$C$3-2026)*12+7))+N(INDEX($F263:$BM263,1,(Einstellungen!$C$3-2026)*12+8))+N(INDEX($F263:$BM263,1,(Einstellungen!$C$3-2026)*12+9))+N(INDEX($F263:$BM263,1,(Einstellungen!$C$3-2026)*12+10))+N(INDEX($F263:$BM263,1,(Einstellungen!$C$3-2026)*12+11))+N(INDEX($F263:$BM263,1,(Einstellungen!$C$3-2026)*12+12)))</f>
        <v/>
      </c>
      <c r="D263" s="37">
        <f>IF(Mitarbeiter!B263="","",SUM(F263:BM263))</f>
        <v/>
      </c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  <c r="S263" s="51" t="n"/>
      <c r="T263" s="51" t="n"/>
      <c r="U263" s="51" t="n"/>
      <c r="V263" s="51" t="n"/>
      <c r="W263" s="51" t="n"/>
      <c r="X263" s="51" t="n"/>
      <c r="Y263" s="51" t="n"/>
      <c r="Z263" s="51" t="n"/>
      <c r="AA263" s="51" t="n"/>
      <c r="AB263" s="51" t="n"/>
      <c r="AC263" s="51" t="n"/>
      <c r="AD263" s="51" t="n"/>
      <c r="AE263" s="51" t="n"/>
      <c r="AF263" s="51" t="n"/>
      <c r="AG263" s="51" t="n"/>
      <c r="AH263" s="51" t="n"/>
      <c r="AI263" s="51" t="n"/>
      <c r="AJ263" s="51" t="n"/>
      <c r="AK263" s="51" t="n"/>
      <c r="AL263" s="51" t="n"/>
      <c r="AM263" s="51" t="n"/>
      <c r="AN263" s="51" t="n"/>
      <c r="AO263" s="51" t="n"/>
      <c r="AP263" s="51" t="n"/>
      <c r="AQ263" s="51" t="n"/>
      <c r="AR263" s="51" t="n"/>
      <c r="AS263" s="51" t="n"/>
      <c r="AT263" s="51" t="n"/>
      <c r="AU263" s="51" t="n"/>
      <c r="AV263" s="51" t="n"/>
      <c r="AW263" s="51" t="n"/>
      <c r="AX263" s="51" t="n"/>
      <c r="AY263" s="51" t="n"/>
      <c r="AZ263" s="51" t="n"/>
      <c r="BA263" s="51" t="n"/>
      <c r="BB263" s="51" t="n"/>
      <c r="BC263" s="51" t="n"/>
      <c r="BD263" s="51" t="n"/>
      <c r="BE263" s="51" t="n"/>
      <c r="BF263" s="51" t="n"/>
      <c r="BG263" s="51" t="n"/>
      <c r="BH263" s="51" t="n"/>
      <c r="BI263" s="51" t="n"/>
      <c r="BJ263" s="51" t="n"/>
      <c r="BK263" s="51" t="n"/>
      <c r="BL263" s="51" t="n"/>
      <c r="BM263" s="51" t="n"/>
    </row>
    <row r="264">
      <c r="A264" s="47">
        <f>IF(Mitarbeiter!B264="","",Mitarbeiter!A264)</f>
        <v/>
      </c>
      <c r="B264" s="48">
        <f>IF(Mitarbeiter!B264="","",Mitarbeiter!B264)</f>
        <v/>
      </c>
      <c r="C264" s="37">
        <f>IF(Mitarbeiter!B264="","",N(INDEX($F264:$BM264,1,(Einstellungen!$C$3-2026)*12+1))+N(INDEX($F264:$BM264,1,(Einstellungen!$C$3-2026)*12+2))+N(INDEX($F264:$BM264,1,(Einstellungen!$C$3-2026)*12+3))+N(INDEX($F264:$BM264,1,(Einstellungen!$C$3-2026)*12+4))+N(INDEX($F264:$BM264,1,(Einstellungen!$C$3-2026)*12+5))+N(INDEX($F264:$BM264,1,(Einstellungen!$C$3-2026)*12+6))+N(INDEX($F264:$BM264,1,(Einstellungen!$C$3-2026)*12+7))+N(INDEX($F264:$BM264,1,(Einstellungen!$C$3-2026)*12+8))+N(INDEX($F264:$BM264,1,(Einstellungen!$C$3-2026)*12+9))+N(INDEX($F264:$BM264,1,(Einstellungen!$C$3-2026)*12+10))+N(INDEX($F264:$BM264,1,(Einstellungen!$C$3-2026)*12+11))+N(INDEX($F264:$BM264,1,(Einstellungen!$C$3-2026)*12+12)))</f>
        <v/>
      </c>
      <c r="D264" s="37">
        <f>IF(Mitarbeiter!B264="","",SUM(F264:BM264))</f>
        <v/>
      </c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  <c r="S264" s="51" t="n"/>
      <c r="T264" s="51" t="n"/>
      <c r="U264" s="51" t="n"/>
      <c r="V264" s="51" t="n"/>
      <c r="W264" s="51" t="n"/>
      <c r="X264" s="51" t="n"/>
      <c r="Y264" s="51" t="n"/>
      <c r="Z264" s="51" t="n"/>
      <c r="AA264" s="51" t="n"/>
      <c r="AB264" s="51" t="n"/>
      <c r="AC264" s="51" t="n"/>
      <c r="AD264" s="51" t="n"/>
      <c r="AE264" s="51" t="n"/>
      <c r="AF264" s="51" t="n"/>
      <c r="AG264" s="51" t="n"/>
      <c r="AH264" s="51" t="n"/>
      <c r="AI264" s="51" t="n"/>
      <c r="AJ264" s="51" t="n"/>
      <c r="AK264" s="51" t="n"/>
      <c r="AL264" s="51" t="n"/>
      <c r="AM264" s="51" t="n"/>
      <c r="AN264" s="51" t="n"/>
      <c r="AO264" s="51" t="n"/>
      <c r="AP264" s="51" t="n"/>
      <c r="AQ264" s="51" t="n"/>
      <c r="AR264" s="51" t="n"/>
      <c r="AS264" s="51" t="n"/>
      <c r="AT264" s="51" t="n"/>
      <c r="AU264" s="51" t="n"/>
      <c r="AV264" s="51" t="n"/>
      <c r="AW264" s="51" t="n"/>
      <c r="AX264" s="51" t="n"/>
      <c r="AY264" s="51" t="n"/>
      <c r="AZ264" s="51" t="n"/>
      <c r="BA264" s="51" t="n"/>
      <c r="BB264" s="51" t="n"/>
      <c r="BC264" s="51" t="n"/>
      <c r="BD264" s="51" t="n"/>
      <c r="BE264" s="51" t="n"/>
      <c r="BF264" s="51" t="n"/>
      <c r="BG264" s="51" t="n"/>
      <c r="BH264" s="51" t="n"/>
      <c r="BI264" s="51" t="n"/>
      <c r="BJ264" s="51" t="n"/>
      <c r="BK264" s="51" t="n"/>
      <c r="BL264" s="51" t="n"/>
      <c r="BM264" s="51" t="n"/>
    </row>
    <row r="265">
      <c r="A265" s="47">
        <f>IF(Mitarbeiter!B265="","",Mitarbeiter!A265)</f>
        <v/>
      </c>
      <c r="B265" s="48">
        <f>IF(Mitarbeiter!B265="","",Mitarbeiter!B265)</f>
        <v/>
      </c>
      <c r="C265" s="37">
        <f>IF(Mitarbeiter!B265="","",N(INDEX($F265:$BM265,1,(Einstellungen!$C$3-2026)*12+1))+N(INDEX($F265:$BM265,1,(Einstellungen!$C$3-2026)*12+2))+N(INDEX($F265:$BM265,1,(Einstellungen!$C$3-2026)*12+3))+N(INDEX($F265:$BM265,1,(Einstellungen!$C$3-2026)*12+4))+N(INDEX($F265:$BM265,1,(Einstellungen!$C$3-2026)*12+5))+N(INDEX($F265:$BM265,1,(Einstellungen!$C$3-2026)*12+6))+N(INDEX($F265:$BM265,1,(Einstellungen!$C$3-2026)*12+7))+N(INDEX($F265:$BM265,1,(Einstellungen!$C$3-2026)*12+8))+N(INDEX($F265:$BM265,1,(Einstellungen!$C$3-2026)*12+9))+N(INDEX($F265:$BM265,1,(Einstellungen!$C$3-2026)*12+10))+N(INDEX($F265:$BM265,1,(Einstellungen!$C$3-2026)*12+11))+N(INDEX($F265:$BM265,1,(Einstellungen!$C$3-2026)*12+12)))</f>
        <v/>
      </c>
      <c r="D265" s="37">
        <f>IF(Mitarbeiter!B265="","",SUM(F265:BM265))</f>
        <v/>
      </c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  <c r="S265" s="51" t="n"/>
      <c r="T265" s="51" t="n"/>
      <c r="U265" s="51" t="n"/>
      <c r="V265" s="51" t="n"/>
      <c r="W265" s="51" t="n"/>
      <c r="X265" s="51" t="n"/>
      <c r="Y265" s="51" t="n"/>
      <c r="Z265" s="51" t="n"/>
      <c r="AA265" s="51" t="n"/>
      <c r="AB265" s="51" t="n"/>
      <c r="AC265" s="51" t="n"/>
      <c r="AD265" s="51" t="n"/>
      <c r="AE265" s="51" t="n"/>
      <c r="AF265" s="51" t="n"/>
      <c r="AG265" s="51" t="n"/>
      <c r="AH265" s="51" t="n"/>
      <c r="AI265" s="51" t="n"/>
      <c r="AJ265" s="51" t="n"/>
      <c r="AK265" s="51" t="n"/>
      <c r="AL265" s="51" t="n"/>
      <c r="AM265" s="51" t="n"/>
      <c r="AN265" s="51" t="n"/>
      <c r="AO265" s="51" t="n"/>
      <c r="AP265" s="51" t="n"/>
      <c r="AQ265" s="51" t="n"/>
      <c r="AR265" s="51" t="n"/>
      <c r="AS265" s="51" t="n"/>
      <c r="AT265" s="51" t="n"/>
      <c r="AU265" s="51" t="n"/>
      <c r="AV265" s="51" t="n"/>
      <c r="AW265" s="51" t="n"/>
      <c r="AX265" s="51" t="n"/>
      <c r="AY265" s="51" t="n"/>
      <c r="AZ265" s="51" t="n"/>
      <c r="BA265" s="51" t="n"/>
      <c r="BB265" s="51" t="n"/>
      <c r="BC265" s="51" t="n"/>
      <c r="BD265" s="51" t="n"/>
      <c r="BE265" s="51" t="n"/>
      <c r="BF265" s="51" t="n"/>
      <c r="BG265" s="51" t="n"/>
      <c r="BH265" s="51" t="n"/>
      <c r="BI265" s="51" t="n"/>
      <c r="BJ265" s="51" t="n"/>
      <c r="BK265" s="51" t="n"/>
      <c r="BL265" s="51" t="n"/>
      <c r="BM265" s="51" t="n"/>
    </row>
    <row r="266">
      <c r="A266" s="47">
        <f>IF(Mitarbeiter!B266="","",Mitarbeiter!A266)</f>
        <v/>
      </c>
      <c r="B266" s="48">
        <f>IF(Mitarbeiter!B266="","",Mitarbeiter!B266)</f>
        <v/>
      </c>
      <c r="C266" s="37">
        <f>IF(Mitarbeiter!B266="","",N(INDEX($F266:$BM266,1,(Einstellungen!$C$3-2026)*12+1))+N(INDEX($F266:$BM266,1,(Einstellungen!$C$3-2026)*12+2))+N(INDEX($F266:$BM266,1,(Einstellungen!$C$3-2026)*12+3))+N(INDEX($F266:$BM266,1,(Einstellungen!$C$3-2026)*12+4))+N(INDEX($F266:$BM266,1,(Einstellungen!$C$3-2026)*12+5))+N(INDEX($F266:$BM266,1,(Einstellungen!$C$3-2026)*12+6))+N(INDEX($F266:$BM266,1,(Einstellungen!$C$3-2026)*12+7))+N(INDEX($F266:$BM266,1,(Einstellungen!$C$3-2026)*12+8))+N(INDEX($F266:$BM266,1,(Einstellungen!$C$3-2026)*12+9))+N(INDEX($F266:$BM266,1,(Einstellungen!$C$3-2026)*12+10))+N(INDEX($F266:$BM266,1,(Einstellungen!$C$3-2026)*12+11))+N(INDEX($F266:$BM266,1,(Einstellungen!$C$3-2026)*12+12)))</f>
        <v/>
      </c>
      <c r="D266" s="37">
        <f>IF(Mitarbeiter!B266="","",SUM(F266:BM266))</f>
        <v/>
      </c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  <c r="S266" s="51" t="n"/>
      <c r="T266" s="51" t="n"/>
      <c r="U266" s="51" t="n"/>
      <c r="V266" s="51" t="n"/>
      <c r="W266" s="51" t="n"/>
      <c r="X266" s="51" t="n"/>
      <c r="Y266" s="51" t="n"/>
      <c r="Z266" s="51" t="n"/>
      <c r="AA266" s="51" t="n"/>
      <c r="AB266" s="51" t="n"/>
      <c r="AC266" s="51" t="n"/>
      <c r="AD266" s="51" t="n"/>
      <c r="AE266" s="51" t="n"/>
      <c r="AF266" s="51" t="n"/>
      <c r="AG266" s="51" t="n"/>
      <c r="AH266" s="51" t="n"/>
      <c r="AI266" s="51" t="n"/>
      <c r="AJ266" s="51" t="n"/>
      <c r="AK266" s="51" t="n"/>
      <c r="AL266" s="51" t="n"/>
      <c r="AM266" s="51" t="n"/>
      <c r="AN266" s="51" t="n"/>
      <c r="AO266" s="51" t="n"/>
      <c r="AP266" s="51" t="n"/>
      <c r="AQ266" s="51" t="n"/>
      <c r="AR266" s="51" t="n"/>
      <c r="AS266" s="51" t="n"/>
      <c r="AT266" s="51" t="n"/>
      <c r="AU266" s="51" t="n"/>
      <c r="AV266" s="51" t="n"/>
      <c r="AW266" s="51" t="n"/>
      <c r="AX266" s="51" t="n"/>
      <c r="AY266" s="51" t="n"/>
      <c r="AZ266" s="51" t="n"/>
      <c r="BA266" s="51" t="n"/>
      <c r="BB266" s="51" t="n"/>
      <c r="BC266" s="51" t="n"/>
      <c r="BD266" s="51" t="n"/>
      <c r="BE266" s="51" t="n"/>
      <c r="BF266" s="51" t="n"/>
      <c r="BG266" s="51" t="n"/>
      <c r="BH266" s="51" t="n"/>
      <c r="BI266" s="51" t="n"/>
      <c r="BJ266" s="51" t="n"/>
      <c r="BK266" s="51" t="n"/>
      <c r="BL266" s="51" t="n"/>
      <c r="BM266" s="51" t="n"/>
    </row>
    <row r="267">
      <c r="A267" s="47">
        <f>IF(Mitarbeiter!B267="","",Mitarbeiter!A267)</f>
        <v/>
      </c>
      <c r="B267" s="48">
        <f>IF(Mitarbeiter!B267="","",Mitarbeiter!B267)</f>
        <v/>
      </c>
      <c r="C267" s="37">
        <f>IF(Mitarbeiter!B267="","",N(INDEX($F267:$BM267,1,(Einstellungen!$C$3-2026)*12+1))+N(INDEX($F267:$BM267,1,(Einstellungen!$C$3-2026)*12+2))+N(INDEX($F267:$BM267,1,(Einstellungen!$C$3-2026)*12+3))+N(INDEX($F267:$BM267,1,(Einstellungen!$C$3-2026)*12+4))+N(INDEX($F267:$BM267,1,(Einstellungen!$C$3-2026)*12+5))+N(INDEX($F267:$BM267,1,(Einstellungen!$C$3-2026)*12+6))+N(INDEX($F267:$BM267,1,(Einstellungen!$C$3-2026)*12+7))+N(INDEX($F267:$BM267,1,(Einstellungen!$C$3-2026)*12+8))+N(INDEX($F267:$BM267,1,(Einstellungen!$C$3-2026)*12+9))+N(INDEX($F267:$BM267,1,(Einstellungen!$C$3-2026)*12+10))+N(INDEX($F267:$BM267,1,(Einstellungen!$C$3-2026)*12+11))+N(INDEX($F267:$BM267,1,(Einstellungen!$C$3-2026)*12+12)))</f>
        <v/>
      </c>
      <c r="D267" s="37">
        <f>IF(Mitarbeiter!B267="","",SUM(F267:BM267))</f>
        <v/>
      </c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  <c r="S267" s="51" t="n"/>
      <c r="T267" s="51" t="n"/>
      <c r="U267" s="51" t="n"/>
      <c r="V267" s="51" t="n"/>
      <c r="W267" s="51" t="n"/>
      <c r="X267" s="51" t="n"/>
      <c r="Y267" s="51" t="n"/>
      <c r="Z267" s="51" t="n"/>
      <c r="AA267" s="51" t="n"/>
      <c r="AB267" s="51" t="n"/>
      <c r="AC267" s="51" t="n"/>
      <c r="AD267" s="51" t="n"/>
      <c r="AE267" s="51" t="n"/>
      <c r="AF267" s="51" t="n"/>
      <c r="AG267" s="51" t="n"/>
      <c r="AH267" s="51" t="n"/>
      <c r="AI267" s="51" t="n"/>
      <c r="AJ267" s="51" t="n"/>
      <c r="AK267" s="51" t="n"/>
      <c r="AL267" s="51" t="n"/>
      <c r="AM267" s="51" t="n"/>
      <c r="AN267" s="51" t="n"/>
      <c r="AO267" s="51" t="n"/>
      <c r="AP267" s="51" t="n"/>
      <c r="AQ267" s="51" t="n"/>
      <c r="AR267" s="51" t="n"/>
      <c r="AS267" s="51" t="n"/>
      <c r="AT267" s="51" t="n"/>
      <c r="AU267" s="51" t="n"/>
      <c r="AV267" s="51" t="n"/>
      <c r="AW267" s="51" t="n"/>
      <c r="AX267" s="51" t="n"/>
      <c r="AY267" s="51" t="n"/>
      <c r="AZ267" s="51" t="n"/>
      <c r="BA267" s="51" t="n"/>
      <c r="BB267" s="51" t="n"/>
      <c r="BC267" s="51" t="n"/>
      <c r="BD267" s="51" t="n"/>
      <c r="BE267" s="51" t="n"/>
      <c r="BF267" s="51" t="n"/>
      <c r="BG267" s="51" t="n"/>
      <c r="BH267" s="51" t="n"/>
      <c r="BI267" s="51" t="n"/>
      <c r="BJ267" s="51" t="n"/>
      <c r="BK267" s="51" t="n"/>
      <c r="BL267" s="51" t="n"/>
      <c r="BM267" s="51" t="n"/>
    </row>
    <row r="268">
      <c r="A268" s="47">
        <f>IF(Mitarbeiter!B268="","",Mitarbeiter!A268)</f>
        <v/>
      </c>
      <c r="B268" s="48">
        <f>IF(Mitarbeiter!B268="","",Mitarbeiter!B268)</f>
        <v/>
      </c>
      <c r="C268" s="37">
        <f>IF(Mitarbeiter!B268="","",N(INDEX($F268:$BM268,1,(Einstellungen!$C$3-2026)*12+1))+N(INDEX($F268:$BM268,1,(Einstellungen!$C$3-2026)*12+2))+N(INDEX($F268:$BM268,1,(Einstellungen!$C$3-2026)*12+3))+N(INDEX($F268:$BM268,1,(Einstellungen!$C$3-2026)*12+4))+N(INDEX($F268:$BM268,1,(Einstellungen!$C$3-2026)*12+5))+N(INDEX($F268:$BM268,1,(Einstellungen!$C$3-2026)*12+6))+N(INDEX($F268:$BM268,1,(Einstellungen!$C$3-2026)*12+7))+N(INDEX($F268:$BM268,1,(Einstellungen!$C$3-2026)*12+8))+N(INDEX($F268:$BM268,1,(Einstellungen!$C$3-2026)*12+9))+N(INDEX($F268:$BM268,1,(Einstellungen!$C$3-2026)*12+10))+N(INDEX($F268:$BM268,1,(Einstellungen!$C$3-2026)*12+11))+N(INDEX($F268:$BM268,1,(Einstellungen!$C$3-2026)*12+12)))</f>
        <v/>
      </c>
      <c r="D268" s="37">
        <f>IF(Mitarbeiter!B268="","",SUM(F268:BM268))</f>
        <v/>
      </c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  <c r="S268" s="51" t="n"/>
      <c r="T268" s="51" t="n"/>
      <c r="U268" s="51" t="n"/>
      <c r="V268" s="51" t="n"/>
      <c r="W268" s="51" t="n"/>
      <c r="X268" s="51" t="n"/>
      <c r="Y268" s="51" t="n"/>
      <c r="Z268" s="51" t="n"/>
      <c r="AA268" s="51" t="n"/>
      <c r="AB268" s="51" t="n"/>
      <c r="AC268" s="51" t="n"/>
      <c r="AD268" s="51" t="n"/>
      <c r="AE268" s="51" t="n"/>
      <c r="AF268" s="51" t="n"/>
      <c r="AG268" s="51" t="n"/>
      <c r="AH268" s="51" t="n"/>
      <c r="AI268" s="51" t="n"/>
      <c r="AJ268" s="51" t="n"/>
      <c r="AK268" s="51" t="n"/>
      <c r="AL268" s="51" t="n"/>
      <c r="AM268" s="51" t="n"/>
      <c r="AN268" s="51" t="n"/>
      <c r="AO268" s="51" t="n"/>
      <c r="AP268" s="51" t="n"/>
      <c r="AQ268" s="51" t="n"/>
      <c r="AR268" s="51" t="n"/>
      <c r="AS268" s="51" t="n"/>
      <c r="AT268" s="51" t="n"/>
      <c r="AU268" s="51" t="n"/>
      <c r="AV268" s="51" t="n"/>
      <c r="AW268" s="51" t="n"/>
      <c r="AX268" s="51" t="n"/>
      <c r="AY268" s="51" t="n"/>
      <c r="AZ268" s="51" t="n"/>
      <c r="BA268" s="51" t="n"/>
      <c r="BB268" s="51" t="n"/>
      <c r="BC268" s="51" t="n"/>
      <c r="BD268" s="51" t="n"/>
      <c r="BE268" s="51" t="n"/>
      <c r="BF268" s="51" t="n"/>
      <c r="BG268" s="51" t="n"/>
      <c r="BH268" s="51" t="n"/>
      <c r="BI268" s="51" t="n"/>
      <c r="BJ268" s="51" t="n"/>
      <c r="BK268" s="51" t="n"/>
      <c r="BL268" s="51" t="n"/>
      <c r="BM268" s="51" t="n"/>
    </row>
    <row r="269">
      <c r="A269" s="47">
        <f>IF(Mitarbeiter!B269="","",Mitarbeiter!A269)</f>
        <v/>
      </c>
      <c r="B269" s="48">
        <f>IF(Mitarbeiter!B269="","",Mitarbeiter!B269)</f>
        <v/>
      </c>
      <c r="C269" s="37">
        <f>IF(Mitarbeiter!B269="","",N(INDEX($F269:$BM269,1,(Einstellungen!$C$3-2026)*12+1))+N(INDEX($F269:$BM269,1,(Einstellungen!$C$3-2026)*12+2))+N(INDEX($F269:$BM269,1,(Einstellungen!$C$3-2026)*12+3))+N(INDEX($F269:$BM269,1,(Einstellungen!$C$3-2026)*12+4))+N(INDEX($F269:$BM269,1,(Einstellungen!$C$3-2026)*12+5))+N(INDEX($F269:$BM269,1,(Einstellungen!$C$3-2026)*12+6))+N(INDEX($F269:$BM269,1,(Einstellungen!$C$3-2026)*12+7))+N(INDEX($F269:$BM269,1,(Einstellungen!$C$3-2026)*12+8))+N(INDEX($F269:$BM269,1,(Einstellungen!$C$3-2026)*12+9))+N(INDEX($F269:$BM269,1,(Einstellungen!$C$3-2026)*12+10))+N(INDEX($F269:$BM269,1,(Einstellungen!$C$3-2026)*12+11))+N(INDEX($F269:$BM269,1,(Einstellungen!$C$3-2026)*12+12)))</f>
        <v/>
      </c>
      <c r="D269" s="37">
        <f>IF(Mitarbeiter!B269="","",SUM(F269:BM269))</f>
        <v/>
      </c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  <c r="S269" s="51" t="n"/>
      <c r="T269" s="51" t="n"/>
      <c r="U269" s="51" t="n"/>
      <c r="V269" s="51" t="n"/>
      <c r="W269" s="51" t="n"/>
      <c r="X269" s="51" t="n"/>
      <c r="Y269" s="51" t="n"/>
      <c r="Z269" s="51" t="n"/>
      <c r="AA269" s="51" t="n"/>
      <c r="AB269" s="51" t="n"/>
      <c r="AC269" s="51" t="n"/>
      <c r="AD269" s="51" t="n"/>
      <c r="AE269" s="51" t="n"/>
      <c r="AF269" s="51" t="n"/>
      <c r="AG269" s="51" t="n"/>
      <c r="AH269" s="51" t="n"/>
      <c r="AI269" s="51" t="n"/>
      <c r="AJ269" s="51" t="n"/>
      <c r="AK269" s="51" t="n"/>
      <c r="AL269" s="51" t="n"/>
      <c r="AM269" s="51" t="n"/>
      <c r="AN269" s="51" t="n"/>
      <c r="AO269" s="51" t="n"/>
      <c r="AP269" s="51" t="n"/>
      <c r="AQ269" s="51" t="n"/>
      <c r="AR269" s="51" t="n"/>
      <c r="AS269" s="51" t="n"/>
      <c r="AT269" s="51" t="n"/>
      <c r="AU269" s="51" t="n"/>
      <c r="AV269" s="51" t="n"/>
      <c r="AW269" s="51" t="n"/>
      <c r="AX269" s="51" t="n"/>
      <c r="AY269" s="51" t="n"/>
      <c r="AZ269" s="51" t="n"/>
      <c r="BA269" s="51" t="n"/>
      <c r="BB269" s="51" t="n"/>
      <c r="BC269" s="51" t="n"/>
      <c r="BD269" s="51" t="n"/>
      <c r="BE269" s="51" t="n"/>
      <c r="BF269" s="51" t="n"/>
      <c r="BG269" s="51" t="n"/>
      <c r="BH269" s="51" t="n"/>
      <c r="BI269" s="51" t="n"/>
      <c r="BJ269" s="51" t="n"/>
      <c r="BK269" s="51" t="n"/>
      <c r="BL269" s="51" t="n"/>
      <c r="BM269" s="51" t="n"/>
    </row>
    <row r="270">
      <c r="A270" s="47">
        <f>IF(Mitarbeiter!B270="","",Mitarbeiter!A270)</f>
        <v/>
      </c>
      <c r="B270" s="48">
        <f>IF(Mitarbeiter!B270="","",Mitarbeiter!B270)</f>
        <v/>
      </c>
      <c r="C270" s="37">
        <f>IF(Mitarbeiter!B270="","",N(INDEX($F270:$BM270,1,(Einstellungen!$C$3-2026)*12+1))+N(INDEX($F270:$BM270,1,(Einstellungen!$C$3-2026)*12+2))+N(INDEX($F270:$BM270,1,(Einstellungen!$C$3-2026)*12+3))+N(INDEX($F270:$BM270,1,(Einstellungen!$C$3-2026)*12+4))+N(INDEX($F270:$BM270,1,(Einstellungen!$C$3-2026)*12+5))+N(INDEX($F270:$BM270,1,(Einstellungen!$C$3-2026)*12+6))+N(INDEX($F270:$BM270,1,(Einstellungen!$C$3-2026)*12+7))+N(INDEX($F270:$BM270,1,(Einstellungen!$C$3-2026)*12+8))+N(INDEX($F270:$BM270,1,(Einstellungen!$C$3-2026)*12+9))+N(INDEX($F270:$BM270,1,(Einstellungen!$C$3-2026)*12+10))+N(INDEX($F270:$BM270,1,(Einstellungen!$C$3-2026)*12+11))+N(INDEX($F270:$BM270,1,(Einstellungen!$C$3-2026)*12+12)))</f>
        <v/>
      </c>
      <c r="D270" s="37">
        <f>IF(Mitarbeiter!B270="","",SUM(F270:BM270))</f>
        <v/>
      </c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  <c r="S270" s="51" t="n"/>
      <c r="T270" s="51" t="n"/>
      <c r="U270" s="51" t="n"/>
      <c r="V270" s="51" t="n"/>
      <c r="W270" s="51" t="n"/>
      <c r="X270" s="51" t="n"/>
      <c r="Y270" s="51" t="n"/>
      <c r="Z270" s="51" t="n"/>
      <c r="AA270" s="51" t="n"/>
      <c r="AB270" s="51" t="n"/>
      <c r="AC270" s="51" t="n"/>
      <c r="AD270" s="51" t="n"/>
      <c r="AE270" s="51" t="n"/>
      <c r="AF270" s="51" t="n"/>
      <c r="AG270" s="51" t="n"/>
      <c r="AH270" s="51" t="n"/>
      <c r="AI270" s="51" t="n"/>
      <c r="AJ270" s="51" t="n"/>
      <c r="AK270" s="51" t="n"/>
      <c r="AL270" s="51" t="n"/>
      <c r="AM270" s="51" t="n"/>
      <c r="AN270" s="51" t="n"/>
      <c r="AO270" s="51" t="n"/>
      <c r="AP270" s="51" t="n"/>
      <c r="AQ270" s="51" t="n"/>
      <c r="AR270" s="51" t="n"/>
      <c r="AS270" s="51" t="n"/>
      <c r="AT270" s="51" t="n"/>
      <c r="AU270" s="51" t="n"/>
      <c r="AV270" s="51" t="n"/>
      <c r="AW270" s="51" t="n"/>
      <c r="AX270" s="51" t="n"/>
      <c r="AY270" s="51" t="n"/>
      <c r="AZ270" s="51" t="n"/>
      <c r="BA270" s="51" t="n"/>
      <c r="BB270" s="51" t="n"/>
      <c r="BC270" s="51" t="n"/>
      <c r="BD270" s="51" t="n"/>
      <c r="BE270" s="51" t="n"/>
      <c r="BF270" s="51" t="n"/>
      <c r="BG270" s="51" t="n"/>
      <c r="BH270" s="51" t="n"/>
      <c r="BI270" s="51" t="n"/>
      <c r="BJ270" s="51" t="n"/>
      <c r="BK270" s="51" t="n"/>
      <c r="BL270" s="51" t="n"/>
      <c r="BM270" s="51" t="n"/>
    </row>
    <row r="271">
      <c r="A271" s="47">
        <f>IF(Mitarbeiter!B271="","",Mitarbeiter!A271)</f>
        <v/>
      </c>
      <c r="B271" s="48">
        <f>IF(Mitarbeiter!B271="","",Mitarbeiter!B271)</f>
        <v/>
      </c>
      <c r="C271" s="37">
        <f>IF(Mitarbeiter!B271="","",N(INDEX($F271:$BM271,1,(Einstellungen!$C$3-2026)*12+1))+N(INDEX($F271:$BM271,1,(Einstellungen!$C$3-2026)*12+2))+N(INDEX($F271:$BM271,1,(Einstellungen!$C$3-2026)*12+3))+N(INDEX($F271:$BM271,1,(Einstellungen!$C$3-2026)*12+4))+N(INDEX($F271:$BM271,1,(Einstellungen!$C$3-2026)*12+5))+N(INDEX($F271:$BM271,1,(Einstellungen!$C$3-2026)*12+6))+N(INDEX($F271:$BM271,1,(Einstellungen!$C$3-2026)*12+7))+N(INDEX($F271:$BM271,1,(Einstellungen!$C$3-2026)*12+8))+N(INDEX($F271:$BM271,1,(Einstellungen!$C$3-2026)*12+9))+N(INDEX($F271:$BM271,1,(Einstellungen!$C$3-2026)*12+10))+N(INDEX($F271:$BM271,1,(Einstellungen!$C$3-2026)*12+11))+N(INDEX($F271:$BM271,1,(Einstellungen!$C$3-2026)*12+12)))</f>
        <v/>
      </c>
      <c r="D271" s="37">
        <f>IF(Mitarbeiter!B271="","",SUM(F271:BM271))</f>
        <v/>
      </c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  <c r="S271" s="51" t="n"/>
      <c r="T271" s="51" t="n"/>
      <c r="U271" s="51" t="n"/>
      <c r="V271" s="51" t="n"/>
      <c r="W271" s="51" t="n"/>
      <c r="X271" s="51" t="n"/>
      <c r="Y271" s="51" t="n"/>
      <c r="Z271" s="51" t="n"/>
      <c r="AA271" s="51" t="n"/>
      <c r="AB271" s="51" t="n"/>
      <c r="AC271" s="51" t="n"/>
      <c r="AD271" s="51" t="n"/>
      <c r="AE271" s="51" t="n"/>
      <c r="AF271" s="51" t="n"/>
      <c r="AG271" s="51" t="n"/>
      <c r="AH271" s="51" t="n"/>
      <c r="AI271" s="51" t="n"/>
      <c r="AJ271" s="51" t="n"/>
      <c r="AK271" s="51" t="n"/>
      <c r="AL271" s="51" t="n"/>
      <c r="AM271" s="51" t="n"/>
      <c r="AN271" s="51" t="n"/>
      <c r="AO271" s="51" t="n"/>
      <c r="AP271" s="51" t="n"/>
      <c r="AQ271" s="51" t="n"/>
      <c r="AR271" s="51" t="n"/>
      <c r="AS271" s="51" t="n"/>
      <c r="AT271" s="51" t="n"/>
      <c r="AU271" s="51" t="n"/>
      <c r="AV271" s="51" t="n"/>
      <c r="AW271" s="51" t="n"/>
      <c r="AX271" s="51" t="n"/>
      <c r="AY271" s="51" t="n"/>
      <c r="AZ271" s="51" t="n"/>
      <c r="BA271" s="51" t="n"/>
      <c r="BB271" s="51" t="n"/>
      <c r="BC271" s="51" t="n"/>
      <c r="BD271" s="51" t="n"/>
      <c r="BE271" s="51" t="n"/>
      <c r="BF271" s="51" t="n"/>
      <c r="BG271" s="51" t="n"/>
      <c r="BH271" s="51" t="n"/>
      <c r="BI271" s="51" t="n"/>
      <c r="BJ271" s="51" t="n"/>
      <c r="BK271" s="51" t="n"/>
      <c r="BL271" s="51" t="n"/>
      <c r="BM271" s="51" t="n"/>
    </row>
    <row r="272">
      <c r="A272" s="47">
        <f>IF(Mitarbeiter!B272="","",Mitarbeiter!A272)</f>
        <v/>
      </c>
      <c r="B272" s="48">
        <f>IF(Mitarbeiter!B272="","",Mitarbeiter!B272)</f>
        <v/>
      </c>
      <c r="C272" s="37">
        <f>IF(Mitarbeiter!B272="","",N(INDEX($F272:$BM272,1,(Einstellungen!$C$3-2026)*12+1))+N(INDEX($F272:$BM272,1,(Einstellungen!$C$3-2026)*12+2))+N(INDEX($F272:$BM272,1,(Einstellungen!$C$3-2026)*12+3))+N(INDEX($F272:$BM272,1,(Einstellungen!$C$3-2026)*12+4))+N(INDEX($F272:$BM272,1,(Einstellungen!$C$3-2026)*12+5))+N(INDEX($F272:$BM272,1,(Einstellungen!$C$3-2026)*12+6))+N(INDEX($F272:$BM272,1,(Einstellungen!$C$3-2026)*12+7))+N(INDEX($F272:$BM272,1,(Einstellungen!$C$3-2026)*12+8))+N(INDEX($F272:$BM272,1,(Einstellungen!$C$3-2026)*12+9))+N(INDEX($F272:$BM272,1,(Einstellungen!$C$3-2026)*12+10))+N(INDEX($F272:$BM272,1,(Einstellungen!$C$3-2026)*12+11))+N(INDEX($F272:$BM272,1,(Einstellungen!$C$3-2026)*12+12)))</f>
        <v/>
      </c>
      <c r="D272" s="37">
        <f>IF(Mitarbeiter!B272="","",SUM(F272:BM272))</f>
        <v/>
      </c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  <c r="S272" s="51" t="n"/>
      <c r="T272" s="51" t="n"/>
      <c r="U272" s="51" t="n"/>
      <c r="V272" s="51" t="n"/>
      <c r="W272" s="51" t="n"/>
      <c r="X272" s="51" t="n"/>
      <c r="Y272" s="51" t="n"/>
      <c r="Z272" s="51" t="n"/>
      <c r="AA272" s="51" t="n"/>
      <c r="AB272" s="51" t="n"/>
      <c r="AC272" s="51" t="n"/>
      <c r="AD272" s="51" t="n"/>
      <c r="AE272" s="51" t="n"/>
      <c r="AF272" s="51" t="n"/>
      <c r="AG272" s="51" t="n"/>
      <c r="AH272" s="51" t="n"/>
      <c r="AI272" s="51" t="n"/>
      <c r="AJ272" s="51" t="n"/>
      <c r="AK272" s="51" t="n"/>
      <c r="AL272" s="51" t="n"/>
      <c r="AM272" s="51" t="n"/>
      <c r="AN272" s="51" t="n"/>
      <c r="AO272" s="51" t="n"/>
      <c r="AP272" s="51" t="n"/>
      <c r="AQ272" s="51" t="n"/>
      <c r="AR272" s="51" t="n"/>
      <c r="AS272" s="51" t="n"/>
      <c r="AT272" s="51" t="n"/>
      <c r="AU272" s="51" t="n"/>
      <c r="AV272" s="51" t="n"/>
      <c r="AW272" s="51" t="n"/>
      <c r="AX272" s="51" t="n"/>
      <c r="AY272" s="51" t="n"/>
      <c r="AZ272" s="51" t="n"/>
      <c r="BA272" s="51" t="n"/>
      <c r="BB272" s="51" t="n"/>
      <c r="BC272" s="51" t="n"/>
      <c r="BD272" s="51" t="n"/>
      <c r="BE272" s="51" t="n"/>
      <c r="BF272" s="51" t="n"/>
      <c r="BG272" s="51" t="n"/>
      <c r="BH272" s="51" t="n"/>
      <c r="BI272" s="51" t="n"/>
      <c r="BJ272" s="51" t="n"/>
      <c r="BK272" s="51" t="n"/>
      <c r="BL272" s="51" t="n"/>
      <c r="BM272" s="51" t="n"/>
    </row>
    <row r="273">
      <c r="A273" s="47">
        <f>IF(Mitarbeiter!B273="","",Mitarbeiter!A273)</f>
        <v/>
      </c>
      <c r="B273" s="48">
        <f>IF(Mitarbeiter!B273="","",Mitarbeiter!B273)</f>
        <v/>
      </c>
      <c r="C273" s="37">
        <f>IF(Mitarbeiter!B273="","",N(INDEX($F273:$BM273,1,(Einstellungen!$C$3-2026)*12+1))+N(INDEX($F273:$BM273,1,(Einstellungen!$C$3-2026)*12+2))+N(INDEX($F273:$BM273,1,(Einstellungen!$C$3-2026)*12+3))+N(INDEX($F273:$BM273,1,(Einstellungen!$C$3-2026)*12+4))+N(INDEX($F273:$BM273,1,(Einstellungen!$C$3-2026)*12+5))+N(INDEX($F273:$BM273,1,(Einstellungen!$C$3-2026)*12+6))+N(INDEX($F273:$BM273,1,(Einstellungen!$C$3-2026)*12+7))+N(INDEX($F273:$BM273,1,(Einstellungen!$C$3-2026)*12+8))+N(INDEX($F273:$BM273,1,(Einstellungen!$C$3-2026)*12+9))+N(INDEX($F273:$BM273,1,(Einstellungen!$C$3-2026)*12+10))+N(INDEX($F273:$BM273,1,(Einstellungen!$C$3-2026)*12+11))+N(INDEX($F273:$BM273,1,(Einstellungen!$C$3-2026)*12+12)))</f>
        <v/>
      </c>
      <c r="D273" s="37">
        <f>IF(Mitarbeiter!B273="","",SUM(F273:BM273))</f>
        <v/>
      </c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  <c r="S273" s="51" t="n"/>
      <c r="T273" s="51" t="n"/>
      <c r="U273" s="51" t="n"/>
      <c r="V273" s="51" t="n"/>
      <c r="W273" s="51" t="n"/>
      <c r="X273" s="51" t="n"/>
      <c r="Y273" s="51" t="n"/>
      <c r="Z273" s="51" t="n"/>
      <c r="AA273" s="51" t="n"/>
      <c r="AB273" s="51" t="n"/>
      <c r="AC273" s="51" t="n"/>
      <c r="AD273" s="51" t="n"/>
      <c r="AE273" s="51" t="n"/>
      <c r="AF273" s="51" t="n"/>
      <c r="AG273" s="51" t="n"/>
      <c r="AH273" s="51" t="n"/>
      <c r="AI273" s="51" t="n"/>
      <c r="AJ273" s="51" t="n"/>
      <c r="AK273" s="51" t="n"/>
      <c r="AL273" s="51" t="n"/>
      <c r="AM273" s="51" t="n"/>
      <c r="AN273" s="51" t="n"/>
      <c r="AO273" s="51" t="n"/>
      <c r="AP273" s="51" t="n"/>
      <c r="AQ273" s="51" t="n"/>
      <c r="AR273" s="51" t="n"/>
      <c r="AS273" s="51" t="n"/>
      <c r="AT273" s="51" t="n"/>
      <c r="AU273" s="51" t="n"/>
      <c r="AV273" s="51" t="n"/>
      <c r="AW273" s="51" t="n"/>
      <c r="AX273" s="51" t="n"/>
      <c r="AY273" s="51" t="n"/>
      <c r="AZ273" s="51" t="n"/>
      <c r="BA273" s="51" t="n"/>
      <c r="BB273" s="51" t="n"/>
      <c r="BC273" s="51" t="n"/>
      <c r="BD273" s="51" t="n"/>
      <c r="BE273" s="51" t="n"/>
      <c r="BF273" s="51" t="n"/>
      <c r="BG273" s="51" t="n"/>
      <c r="BH273" s="51" t="n"/>
      <c r="BI273" s="51" t="n"/>
      <c r="BJ273" s="51" t="n"/>
      <c r="BK273" s="51" t="n"/>
      <c r="BL273" s="51" t="n"/>
      <c r="BM273" s="51" t="n"/>
    </row>
    <row r="274">
      <c r="A274" s="47">
        <f>IF(Mitarbeiter!B274="","",Mitarbeiter!A274)</f>
        <v/>
      </c>
      <c r="B274" s="48">
        <f>IF(Mitarbeiter!B274="","",Mitarbeiter!B274)</f>
        <v/>
      </c>
      <c r="C274" s="37">
        <f>IF(Mitarbeiter!B274="","",N(INDEX($F274:$BM274,1,(Einstellungen!$C$3-2026)*12+1))+N(INDEX($F274:$BM274,1,(Einstellungen!$C$3-2026)*12+2))+N(INDEX($F274:$BM274,1,(Einstellungen!$C$3-2026)*12+3))+N(INDEX($F274:$BM274,1,(Einstellungen!$C$3-2026)*12+4))+N(INDEX($F274:$BM274,1,(Einstellungen!$C$3-2026)*12+5))+N(INDEX($F274:$BM274,1,(Einstellungen!$C$3-2026)*12+6))+N(INDEX($F274:$BM274,1,(Einstellungen!$C$3-2026)*12+7))+N(INDEX($F274:$BM274,1,(Einstellungen!$C$3-2026)*12+8))+N(INDEX($F274:$BM274,1,(Einstellungen!$C$3-2026)*12+9))+N(INDEX($F274:$BM274,1,(Einstellungen!$C$3-2026)*12+10))+N(INDEX($F274:$BM274,1,(Einstellungen!$C$3-2026)*12+11))+N(INDEX($F274:$BM274,1,(Einstellungen!$C$3-2026)*12+12)))</f>
        <v/>
      </c>
      <c r="D274" s="37">
        <f>IF(Mitarbeiter!B274="","",SUM(F274:BM274))</f>
        <v/>
      </c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  <c r="S274" s="51" t="n"/>
      <c r="T274" s="51" t="n"/>
      <c r="U274" s="51" t="n"/>
      <c r="V274" s="51" t="n"/>
      <c r="W274" s="51" t="n"/>
      <c r="X274" s="51" t="n"/>
      <c r="Y274" s="51" t="n"/>
      <c r="Z274" s="51" t="n"/>
      <c r="AA274" s="51" t="n"/>
      <c r="AB274" s="51" t="n"/>
      <c r="AC274" s="51" t="n"/>
      <c r="AD274" s="51" t="n"/>
      <c r="AE274" s="51" t="n"/>
      <c r="AF274" s="51" t="n"/>
      <c r="AG274" s="51" t="n"/>
      <c r="AH274" s="51" t="n"/>
      <c r="AI274" s="51" t="n"/>
      <c r="AJ274" s="51" t="n"/>
      <c r="AK274" s="51" t="n"/>
      <c r="AL274" s="51" t="n"/>
      <c r="AM274" s="51" t="n"/>
      <c r="AN274" s="51" t="n"/>
      <c r="AO274" s="51" t="n"/>
      <c r="AP274" s="51" t="n"/>
      <c r="AQ274" s="51" t="n"/>
      <c r="AR274" s="51" t="n"/>
      <c r="AS274" s="51" t="n"/>
      <c r="AT274" s="51" t="n"/>
      <c r="AU274" s="51" t="n"/>
      <c r="AV274" s="51" t="n"/>
      <c r="AW274" s="51" t="n"/>
      <c r="AX274" s="51" t="n"/>
      <c r="AY274" s="51" t="n"/>
      <c r="AZ274" s="51" t="n"/>
      <c r="BA274" s="51" t="n"/>
      <c r="BB274" s="51" t="n"/>
      <c r="BC274" s="51" t="n"/>
      <c r="BD274" s="51" t="n"/>
      <c r="BE274" s="51" t="n"/>
      <c r="BF274" s="51" t="n"/>
      <c r="BG274" s="51" t="n"/>
      <c r="BH274" s="51" t="n"/>
      <c r="BI274" s="51" t="n"/>
      <c r="BJ274" s="51" t="n"/>
      <c r="BK274" s="51" t="n"/>
      <c r="BL274" s="51" t="n"/>
      <c r="BM274" s="51" t="n"/>
    </row>
    <row r="275">
      <c r="A275" s="47">
        <f>IF(Mitarbeiter!B275="","",Mitarbeiter!A275)</f>
        <v/>
      </c>
      <c r="B275" s="48">
        <f>IF(Mitarbeiter!B275="","",Mitarbeiter!B275)</f>
        <v/>
      </c>
      <c r="C275" s="37">
        <f>IF(Mitarbeiter!B275="","",N(INDEX($F275:$BM275,1,(Einstellungen!$C$3-2026)*12+1))+N(INDEX($F275:$BM275,1,(Einstellungen!$C$3-2026)*12+2))+N(INDEX($F275:$BM275,1,(Einstellungen!$C$3-2026)*12+3))+N(INDEX($F275:$BM275,1,(Einstellungen!$C$3-2026)*12+4))+N(INDEX($F275:$BM275,1,(Einstellungen!$C$3-2026)*12+5))+N(INDEX($F275:$BM275,1,(Einstellungen!$C$3-2026)*12+6))+N(INDEX($F275:$BM275,1,(Einstellungen!$C$3-2026)*12+7))+N(INDEX($F275:$BM275,1,(Einstellungen!$C$3-2026)*12+8))+N(INDEX($F275:$BM275,1,(Einstellungen!$C$3-2026)*12+9))+N(INDEX($F275:$BM275,1,(Einstellungen!$C$3-2026)*12+10))+N(INDEX($F275:$BM275,1,(Einstellungen!$C$3-2026)*12+11))+N(INDEX($F275:$BM275,1,(Einstellungen!$C$3-2026)*12+12)))</f>
        <v/>
      </c>
      <c r="D275" s="37">
        <f>IF(Mitarbeiter!B275="","",SUM(F275:BM275))</f>
        <v/>
      </c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  <c r="S275" s="51" t="n"/>
      <c r="T275" s="51" t="n"/>
      <c r="U275" s="51" t="n"/>
      <c r="V275" s="51" t="n"/>
      <c r="W275" s="51" t="n"/>
      <c r="X275" s="51" t="n"/>
      <c r="Y275" s="51" t="n"/>
      <c r="Z275" s="51" t="n"/>
      <c r="AA275" s="51" t="n"/>
      <c r="AB275" s="51" t="n"/>
      <c r="AC275" s="51" t="n"/>
      <c r="AD275" s="51" t="n"/>
      <c r="AE275" s="51" t="n"/>
      <c r="AF275" s="51" t="n"/>
      <c r="AG275" s="51" t="n"/>
      <c r="AH275" s="51" t="n"/>
      <c r="AI275" s="51" t="n"/>
      <c r="AJ275" s="51" t="n"/>
      <c r="AK275" s="51" t="n"/>
      <c r="AL275" s="51" t="n"/>
      <c r="AM275" s="51" t="n"/>
      <c r="AN275" s="51" t="n"/>
      <c r="AO275" s="51" t="n"/>
      <c r="AP275" s="51" t="n"/>
      <c r="AQ275" s="51" t="n"/>
      <c r="AR275" s="51" t="n"/>
      <c r="AS275" s="51" t="n"/>
      <c r="AT275" s="51" t="n"/>
      <c r="AU275" s="51" t="n"/>
      <c r="AV275" s="51" t="n"/>
      <c r="AW275" s="51" t="n"/>
      <c r="AX275" s="51" t="n"/>
      <c r="AY275" s="51" t="n"/>
      <c r="AZ275" s="51" t="n"/>
      <c r="BA275" s="51" t="n"/>
      <c r="BB275" s="51" t="n"/>
      <c r="BC275" s="51" t="n"/>
      <c r="BD275" s="51" t="n"/>
      <c r="BE275" s="51" t="n"/>
      <c r="BF275" s="51" t="n"/>
      <c r="BG275" s="51" t="n"/>
      <c r="BH275" s="51" t="n"/>
      <c r="BI275" s="51" t="n"/>
      <c r="BJ275" s="51" t="n"/>
      <c r="BK275" s="51" t="n"/>
      <c r="BL275" s="51" t="n"/>
      <c r="BM275" s="51" t="n"/>
    </row>
    <row r="276">
      <c r="A276" s="47">
        <f>IF(Mitarbeiter!B276="","",Mitarbeiter!A276)</f>
        <v/>
      </c>
      <c r="B276" s="48">
        <f>IF(Mitarbeiter!B276="","",Mitarbeiter!B276)</f>
        <v/>
      </c>
      <c r="C276" s="37">
        <f>IF(Mitarbeiter!B276="","",N(INDEX($F276:$BM276,1,(Einstellungen!$C$3-2026)*12+1))+N(INDEX($F276:$BM276,1,(Einstellungen!$C$3-2026)*12+2))+N(INDEX($F276:$BM276,1,(Einstellungen!$C$3-2026)*12+3))+N(INDEX($F276:$BM276,1,(Einstellungen!$C$3-2026)*12+4))+N(INDEX($F276:$BM276,1,(Einstellungen!$C$3-2026)*12+5))+N(INDEX($F276:$BM276,1,(Einstellungen!$C$3-2026)*12+6))+N(INDEX($F276:$BM276,1,(Einstellungen!$C$3-2026)*12+7))+N(INDEX($F276:$BM276,1,(Einstellungen!$C$3-2026)*12+8))+N(INDEX($F276:$BM276,1,(Einstellungen!$C$3-2026)*12+9))+N(INDEX($F276:$BM276,1,(Einstellungen!$C$3-2026)*12+10))+N(INDEX($F276:$BM276,1,(Einstellungen!$C$3-2026)*12+11))+N(INDEX($F276:$BM276,1,(Einstellungen!$C$3-2026)*12+12)))</f>
        <v/>
      </c>
      <c r="D276" s="37">
        <f>IF(Mitarbeiter!B276="","",SUM(F276:BM276))</f>
        <v/>
      </c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  <c r="S276" s="51" t="n"/>
      <c r="T276" s="51" t="n"/>
      <c r="U276" s="51" t="n"/>
      <c r="V276" s="51" t="n"/>
      <c r="W276" s="51" t="n"/>
      <c r="X276" s="51" t="n"/>
      <c r="Y276" s="51" t="n"/>
      <c r="Z276" s="51" t="n"/>
      <c r="AA276" s="51" t="n"/>
      <c r="AB276" s="51" t="n"/>
      <c r="AC276" s="51" t="n"/>
      <c r="AD276" s="51" t="n"/>
      <c r="AE276" s="51" t="n"/>
      <c r="AF276" s="51" t="n"/>
      <c r="AG276" s="51" t="n"/>
      <c r="AH276" s="51" t="n"/>
      <c r="AI276" s="51" t="n"/>
      <c r="AJ276" s="51" t="n"/>
      <c r="AK276" s="51" t="n"/>
      <c r="AL276" s="51" t="n"/>
      <c r="AM276" s="51" t="n"/>
      <c r="AN276" s="51" t="n"/>
      <c r="AO276" s="51" t="n"/>
      <c r="AP276" s="51" t="n"/>
      <c r="AQ276" s="51" t="n"/>
      <c r="AR276" s="51" t="n"/>
      <c r="AS276" s="51" t="n"/>
      <c r="AT276" s="51" t="n"/>
      <c r="AU276" s="51" t="n"/>
      <c r="AV276" s="51" t="n"/>
      <c r="AW276" s="51" t="n"/>
      <c r="AX276" s="51" t="n"/>
      <c r="AY276" s="51" t="n"/>
      <c r="AZ276" s="51" t="n"/>
      <c r="BA276" s="51" t="n"/>
      <c r="BB276" s="51" t="n"/>
      <c r="BC276" s="51" t="n"/>
      <c r="BD276" s="51" t="n"/>
      <c r="BE276" s="51" t="n"/>
      <c r="BF276" s="51" t="n"/>
      <c r="BG276" s="51" t="n"/>
      <c r="BH276" s="51" t="n"/>
      <c r="BI276" s="51" t="n"/>
      <c r="BJ276" s="51" t="n"/>
      <c r="BK276" s="51" t="n"/>
      <c r="BL276" s="51" t="n"/>
      <c r="BM276" s="51" t="n"/>
    </row>
    <row r="277">
      <c r="A277" s="47">
        <f>IF(Mitarbeiter!B277="","",Mitarbeiter!A277)</f>
        <v/>
      </c>
      <c r="B277" s="48">
        <f>IF(Mitarbeiter!B277="","",Mitarbeiter!B277)</f>
        <v/>
      </c>
      <c r="C277" s="37">
        <f>IF(Mitarbeiter!B277="","",N(INDEX($F277:$BM277,1,(Einstellungen!$C$3-2026)*12+1))+N(INDEX($F277:$BM277,1,(Einstellungen!$C$3-2026)*12+2))+N(INDEX($F277:$BM277,1,(Einstellungen!$C$3-2026)*12+3))+N(INDEX($F277:$BM277,1,(Einstellungen!$C$3-2026)*12+4))+N(INDEX($F277:$BM277,1,(Einstellungen!$C$3-2026)*12+5))+N(INDEX($F277:$BM277,1,(Einstellungen!$C$3-2026)*12+6))+N(INDEX($F277:$BM277,1,(Einstellungen!$C$3-2026)*12+7))+N(INDEX($F277:$BM277,1,(Einstellungen!$C$3-2026)*12+8))+N(INDEX($F277:$BM277,1,(Einstellungen!$C$3-2026)*12+9))+N(INDEX($F277:$BM277,1,(Einstellungen!$C$3-2026)*12+10))+N(INDEX($F277:$BM277,1,(Einstellungen!$C$3-2026)*12+11))+N(INDEX($F277:$BM277,1,(Einstellungen!$C$3-2026)*12+12)))</f>
        <v/>
      </c>
      <c r="D277" s="37">
        <f>IF(Mitarbeiter!B277="","",SUM(F277:BM277))</f>
        <v/>
      </c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  <c r="S277" s="51" t="n"/>
      <c r="T277" s="51" t="n"/>
      <c r="U277" s="51" t="n"/>
      <c r="V277" s="51" t="n"/>
      <c r="W277" s="51" t="n"/>
      <c r="X277" s="51" t="n"/>
      <c r="Y277" s="51" t="n"/>
      <c r="Z277" s="51" t="n"/>
      <c r="AA277" s="51" t="n"/>
      <c r="AB277" s="51" t="n"/>
      <c r="AC277" s="51" t="n"/>
      <c r="AD277" s="51" t="n"/>
      <c r="AE277" s="51" t="n"/>
      <c r="AF277" s="51" t="n"/>
      <c r="AG277" s="51" t="n"/>
      <c r="AH277" s="51" t="n"/>
      <c r="AI277" s="51" t="n"/>
      <c r="AJ277" s="51" t="n"/>
      <c r="AK277" s="51" t="n"/>
      <c r="AL277" s="51" t="n"/>
      <c r="AM277" s="51" t="n"/>
      <c r="AN277" s="51" t="n"/>
      <c r="AO277" s="51" t="n"/>
      <c r="AP277" s="51" t="n"/>
      <c r="AQ277" s="51" t="n"/>
      <c r="AR277" s="51" t="n"/>
      <c r="AS277" s="51" t="n"/>
      <c r="AT277" s="51" t="n"/>
      <c r="AU277" s="51" t="n"/>
      <c r="AV277" s="51" t="n"/>
      <c r="AW277" s="51" t="n"/>
      <c r="AX277" s="51" t="n"/>
      <c r="AY277" s="51" t="n"/>
      <c r="AZ277" s="51" t="n"/>
      <c r="BA277" s="51" t="n"/>
      <c r="BB277" s="51" t="n"/>
      <c r="BC277" s="51" t="n"/>
      <c r="BD277" s="51" t="n"/>
      <c r="BE277" s="51" t="n"/>
      <c r="BF277" s="51" t="n"/>
      <c r="BG277" s="51" t="n"/>
      <c r="BH277" s="51" t="n"/>
      <c r="BI277" s="51" t="n"/>
      <c r="BJ277" s="51" t="n"/>
      <c r="BK277" s="51" t="n"/>
      <c r="BL277" s="51" t="n"/>
      <c r="BM277" s="51" t="n"/>
    </row>
    <row r="278">
      <c r="A278" s="47">
        <f>IF(Mitarbeiter!B278="","",Mitarbeiter!A278)</f>
        <v/>
      </c>
      <c r="B278" s="48">
        <f>IF(Mitarbeiter!B278="","",Mitarbeiter!B278)</f>
        <v/>
      </c>
      <c r="C278" s="37">
        <f>IF(Mitarbeiter!B278="","",N(INDEX($F278:$BM278,1,(Einstellungen!$C$3-2026)*12+1))+N(INDEX($F278:$BM278,1,(Einstellungen!$C$3-2026)*12+2))+N(INDEX($F278:$BM278,1,(Einstellungen!$C$3-2026)*12+3))+N(INDEX($F278:$BM278,1,(Einstellungen!$C$3-2026)*12+4))+N(INDEX($F278:$BM278,1,(Einstellungen!$C$3-2026)*12+5))+N(INDEX($F278:$BM278,1,(Einstellungen!$C$3-2026)*12+6))+N(INDEX($F278:$BM278,1,(Einstellungen!$C$3-2026)*12+7))+N(INDEX($F278:$BM278,1,(Einstellungen!$C$3-2026)*12+8))+N(INDEX($F278:$BM278,1,(Einstellungen!$C$3-2026)*12+9))+N(INDEX($F278:$BM278,1,(Einstellungen!$C$3-2026)*12+10))+N(INDEX($F278:$BM278,1,(Einstellungen!$C$3-2026)*12+11))+N(INDEX($F278:$BM278,1,(Einstellungen!$C$3-2026)*12+12)))</f>
        <v/>
      </c>
      <c r="D278" s="37">
        <f>IF(Mitarbeiter!B278="","",SUM(F278:BM278))</f>
        <v/>
      </c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  <c r="S278" s="51" t="n"/>
      <c r="T278" s="51" t="n"/>
      <c r="U278" s="51" t="n"/>
      <c r="V278" s="51" t="n"/>
      <c r="W278" s="51" t="n"/>
      <c r="X278" s="51" t="n"/>
      <c r="Y278" s="51" t="n"/>
      <c r="Z278" s="51" t="n"/>
      <c r="AA278" s="51" t="n"/>
      <c r="AB278" s="51" t="n"/>
      <c r="AC278" s="51" t="n"/>
      <c r="AD278" s="51" t="n"/>
      <c r="AE278" s="51" t="n"/>
      <c r="AF278" s="51" t="n"/>
      <c r="AG278" s="51" t="n"/>
      <c r="AH278" s="51" t="n"/>
      <c r="AI278" s="51" t="n"/>
      <c r="AJ278" s="51" t="n"/>
      <c r="AK278" s="51" t="n"/>
      <c r="AL278" s="51" t="n"/>
      <c r="AM278" s="51" t="n"/>
      <c r="AN278" s="51" t="n"/>
      <c r="AO278" s="51" t="n"/>
      <c r="AP278" s="51" t="n"/>
      <c r="AQ278" s="51" t="n"/>
      <c r="AR278" s="51" t="n"/>
      <c r="AS278" s="51" t="n"/>
      <c r="AT278" s="51" t="n"/>
      <c r="AU278" s="51" t="n"/>
      <c r="AV278" s="51" t="n"/>
      <c r="AW278" s="51" t="n"/>
      <c r="AX278" s="51" t="n"/>
      <c r="AY278" s="51" t="n"/>
      <c r="AZ278" s="51" t="n"/>
      <c r="BA278" s="51" t="n"/>
      <c r="BB278" s="51" t="n"/>
      <c r="BC278" s="51" t="n"/>
      <c r="BD278" s="51" t="n"/>
      <c r="BE278" s="51" t="n"/>
      <c r="BF278" s="51" t="n"/>
      <c r="BG278" s="51" t="n"/>
      <c r="BH278" s="51" t="n"/>
      <c r="BI278" s="51" t="n"/>
      <c r="BJ278" s="51" t="n"/>
      <c r="BK278" s="51" t="n"/>
      <c r="BL278" s="51" t="n"/>
      <c r="BM278" s="51" t="n"/>
    </row>
    <row r="279">
      <c r="A279" s="47">
        <f>IF(Mitarbeiter!B279="","",Mitarbeiter!A279)</f>
        <v/>
      </c>
      <c r="B279" s="48">
        <f>IF(Mitarbeiter!B279="","",Mitarbeiter!B279)</f>
        <v/>
      </c>
      <c r="C279" s="37">
        <f>IF(Mitarbeiter!B279="","",N(INDEX($F279:$BM279,1,(Einstellungen!$C$3-2026)*12+1))+N(INDEX($F279:$BM279,1,(Einstellungen!$C$3-2026)*12+2))+N(INDEX($F279:$BM279,1,(Einstellungen!$C$3-2026)*12+3))+N(INDEX($F279:$BM279,1,(Einstellungen!$C$3-2026)*12+4))+N(INDEX($F279:$BM279,1,(Einstellungen!$C$3-2026)*12+5))+N(INDEX($F279:$BM279,1,(Einstellungen!$C$3-2026)*12+6))+N(INDEX($F279:$BM279,1,(Einstellungen!$C$3-2026)*12+7))+N(INDEX($F279:$BM279,1,(Einstellungen!$C$3-2026)*12+8))+N(INDEX($F279:$BM279,1,(Einstellungen!$C$3-2026)*12+9))+N(INDEX($F279:$BM279,1,(Einstellungen!$C$3-2026)*12+10))+N(INDEX($F279:$BM279,1,(Einstellungen!$C$3-2026)*12+11))+N(INDEX($F279:$BM279,1,(Einstellungen!$C$3-2026)*12+12)))</f>
        <v/>
      </c>
      <c r="D279" s="37">
        <f>IF(Mitarbeiter!B279="","",SUM(F279:BM279))</f>
        <v/>
      </c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  <c r="S279" s="51" t="n"/>
      <c r="T279" s="51" t="n"/>
      <c r="U279" s="51" t="n"/>
      <c r="V279" s="51" t="n"/>
      <c r="W279" s="51" t="n"/>
      <c r="X279" s="51" t="n"/>
      <c r="Y279" s="51" t="n"/>
      <c r="Z279" s="51" t="n"/>
      <c r="AA279" s="51" t="n"/>
      <c r="AB279" s="51" t="n"/>
      <c r="AC279" s="51" t="n"/>
      <c r="AD279" s="51" t="n"/>
      <c r="AE279" s="51" t="n"/>
      <c r="AF279" s="51" t="n"/>
      <c r="AG279" s="51" t="n"/>
      <c r="AH279" s="51" t="n"/>
      <c r="AI279" s="51" t="n"/>
      <c r="AJ279" s="51" t="n"/>
      <c r="AK279" s="51" t="n"/>
      <c r="AL279" s="51" t="n"/>
      <c r="AM279" s="51" t="n"/>
      <c r="AN279" s="51" t="n"/>
      <c r="AO279" s="51" t="n"/>
      <c r="AP279" s="51" t="n"/>
      <c r="AQ279" s="51" t="n"/>
      <c r="AR279" s="51" t="n"/>
      <c r="AS279" s="51" t="n"/>
      <c r="AT279" s="51" t="n"/>
      <c r="AU279" s="51" t="n"/>
      <c r="AV279" s="51" t="n"/>
      <c r="AW279" s="51" t="n"/>
      <c r="AX279" s="51" t="n"/>
      <c r="AY279" s="51" t="n"/>
      <c r="AZ279" s="51" t="n"/>
      <c r="BA279" s="51" t="n"/>
      <c r="BB279" s="51" t="n"/>
      <c r="BC279" s="51" t="n"/>
      <c r="BD279" s="51" t="n"/>
      <c r="BE279" s="51" t="n"/>
      <c r="BF279" s="51" t="n"/>
      <c r="BG279" s="51" t="n"/>
      <c r="BH279" s="51" t="n"/>
      <c r="BI279" s="51" t="n"/>
      <c r="BJ279" s="51" t="n"/>
      <c r="BK279" s="51" t="n"/>
      <c r="BL279" s="51" t="n"/>
      <c r="BM279" s="51" t="n"/>
    </row>
    <row r="280">
      <c r="A280" s="47">
        <f>IF(Mitarbeiter!B280="","",Mitarbeiter!A280)</f>
        <v/>
      </c>
      <c r="B280" s="48">
        <f>IF(Mitarbeiter!B280="","",Mitarbeiter!B280)</f>
        <v/>
      </c>
      <c r="C280" s="37">
        <f>IF(Mitarbeiter!B280="","",N(INDEX($F280:$BM280,1,(Einstellungen!$C$3-2026)*12+1))+N(INDEX($F280:$BM280,1,(Einstellungen!$C$3-2026)*12+2))+N(INDEX($F280:$BM280,1,(Einstellungen!$C$3-2026)*12+3))+N(INDEX($F280:$BM280,1,(Einstellungen!$C$3-2026)*12+4))+N(INDEX($F280:$BM280,1,(Einstellungen!$C$3-2026)*12+5))+N(INDEX($F280:$BM280,1,(Einstellungen!$C$3-2026)*12+6))+N(INDEX($F280:$BM280,1,(Einstellungen!$C$3-2026)*12+7))+N(INDEX($F280:$BM280,1,(Einstellungen!$C$3-2026)*12+8))+N(INDEX($F280:$BM280,1,(Einstellungen!$C$3-2026)*12+9))+N(INDEX($F280:$BM280,1,(Einstellungen!$C$3-2026)*12+10))+N(INDEX($F280:$BM280,1,(Einstellungen!$C$3-2026)*12+11))+N(INDEX($F280:$BM280,1,(Einstellungen!$C$3-2026)*12+12)))</f>
        <v/>
      </c>
      <c r="D280" s="37">
        <f>IF(Mitarbeiter!B280="","",SUM(F280:BM280))</f>
        <v/>
      </c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  <c r="S280" s="51" t="n"/>
      <c r="T280" s="51" t="n"/>
      <c r="U280" s="51" t="n"/>
      <c r="V280" s="51" t="n"/>
      <c r="W280" s="51" t="n"/>
      <c r="X280" s="51" t="n"/>
      <c r="Y280" s="51" t="n"/>
      <c r="Z280" s="51" t="n"/>
      <c r="AA280" s="51" t="n"/>
      <c r="AB280" s="51" t="n"/>
      <c r="AC280" s="51" t="n"/>
      <c r="AD280" s="51" t="n"/>
      <c r="AE280" s="51" t="n"/>
      <c r="AF280" s="51" t="n"/>
      <c r="AG280" s="51" t="n"/>
      <c r="AH280" s="51" t="n"/>
      <c r="AI280" s="51" t="n"/>
      <c r="AJ280" s="51" t="n"/>
      <c r="AK280" s="51" t="n"/>
      <c r="AL280" s="51" t="n"/>
      <c r="AM280" s="51" t="n"/>
      <c r="AN280" s="51" t="n"/>
      <c r="AO280" s="51" t="n"/>
      <c r="AP280" s="51" t="n"/>
      <c r="AQ280" s="51" t="n"/>
      <c r="AR280" s="51" t="n"/>
      <c r="AS280" s="51" t="n"/>
      <c r="AT280" s="51" t="n"/>
      <c r="AU280" s="51" t="n"/>
      <c r="AV280" s="51" t="n"/>
      <c r="AW280" s="51" t="n"/>
      <c r="AX280" s="51" t="n"/>
      <c r="AY280" s="51" t="n"/>
      <c r="AZ280" s="51" t="n"/>
      <c r="BA280" s="51" t="n"/>
      <c r="BB280" s="51" t="n"/>
      <c r="BC280" s="51" t="n"/>
      <c r="BD280" s="51" t="n"/>
      <c r="BE280" s="51" t="n"/>
      <c r="BF280" s="51" t="n"/>
      <c r="BG280" s="51" t="n"/>
      <c r="BH280" s="51" t="n"/>
      <c r="BI280" s="51" t="n"/>
      <c r="BJ280" s="51" t="n"/>
      <c r="BK280" s="51" t="n"/>
      <c r="BL280" s="51" t="n"/>
      <c r="BM280" s="51" t="n"/>
    </row>
    <row r="281">
      <c r="A281" s="47">
        <f>IF(Mitarbeiter!B281="","",Mitarbeiter!A281)</f>
        <v/>
      </c>
      <c r="B281" s="48">
        <f>IF(Mitarbeiter!B281="","",Mitarbeiter!B281)</f>
        <v/>
      </c>
      <c r="C281" s="37">
        <f>IF(Mitarbeiter!B281="","",N(INDEX($F281:$BM281,1,(Einstellungen!$C$3-2026)*12+1))+N(INDEX($F281:$BM281,1,(Einstellungen!$C$3-2026)*12+2))+N(INDEX($F281:$BM281,1,(Einstellungen!$C$3-2026)*12+3))+N(INDEX($F281:$BM281,1,(Einstellungen!$C$3-2026)*12+4))+N(INDEX($F281:$BM281,1,(Einstellungen!$C$3-2026)*12+5))+N(INDEX($F281:$BM281,1,(Einstellungen!$C$3-2026)*12+6))+N(INDEX($F281:$BM281,1,(Einstellungen!$C$3-2026)*12+7))+N(INDEX($F281:$BM281,1,(Einstellungen!$C$3-2026)*12+8))+N(INDEX($F281:$BM281,1,(Einstellungen!$C$3-2026)*12+9))+N(INDEX($F281:$BM281,1,(Einstellungen!$C$3-2026)*12+10))+N(INDEX($F281:$BM281,1,(Einstellungen!$C$3-2026)*12+11))+N(INDEX($F281:$BM281,1,(Einstellungen!$C$3-2026)*12+12)))</f>
        <v/>
      </c>
      <c r="D281" s="37">
        <f>IF(Mitarbeiter!B281="","",SUM(F281:BM281))</f>
        <v/>
      </c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  <c r="S281" s="51" t="n"/>
      <c r="T281" s="51" t="n"/>
      <c r="U281" s="51" t="n"/>
      <c r="V281" s="51" t="n"/>
      <c r="W281" s="51" t="n"/>
      <c r="X281" s="51" t="n"/>
      <c r="Y281" s="51" t="n"/>
      <c r="Z281" s="51" t="n"/>
      <c r="AA281" s="51" t="n"/>
      <c r="AB281" s="51" t="n"/>
      <c r="AC281" s="51" t="n"/>
      <c r="AD281" s="51" t="n"/>
      <c r="AE281" s="51" t="n"/>
      <c r="AF281" s="51" t="n"/>
      <c r="AG281" s="51" t="n"/>
      <c r="AH281" s="51" t="n"/>
      <c r="AI281" s="51" t="n"/>
      <c r="AJ281" s="51" t="n"/>
      <c r="AK281" s="51" t="n"/>
      <c r="AL281" s="51" t="n"/>
      <c r="AM281" s="51" t="n"/>
      <c r="AN281" s="51" t="n"/>
      <c r="AO281" s="51" t="n"/>
      <c r="AP281" s="51" t="n"/>
      <c r="AQ281" s="51" t="n"/>
      <c r="AR281" s="51" t="n"/>
      <c r="AS281" s="51" t="n"/>
      <c r="AT281" s="51" t="n"/>
      <c r="AU281" s="51" t="n"/>
      <c r="AV281" s="51" t="n"/>
      <c r="AW281" s="51" t="n"/>
      <c r="AX281" s="51" t="n"/>
      <c r="AY281" s="51" t="n"/>
      <c r="AZ281" s="51" t="n"/>
      <c r="BA281" s="51" t="n"/>
      <c r="BB281" s="51" t="n"/>
      <c r="BC281" s="51" t="n"/>
      <c r="BD281" s="51" t="n"/>
      <c r="BE281" s="51" t="n"/>
      <c r="BF281" s="51" t="n"/>
      <c r="BG281" s="51" t="n"/>
      <c r="BH281" s="51" t="n"/>
      <c r="BI281" s="51" t="n"/>
      <c r="BJ281" s="51" t="n"/>
      <c r="BK281" s="51" t="n"/>
      <c r="BL281" s="51" t="n"/>
      <c r="BM281" s="51" t="n"/>
    </row>
    <row r="282">
      <c r="A282" s="47">
        <f>IF(Mitarbeiter!B282="","",Mitarbeiter!A282)</f>
        <v/>
      </c>
      <c r="B282" s="48">
        <f>IF(Mitarbeiter!B282="","",Mitarbeiter!B282)</f>
        <v/>
      </c>
      <c r="C282" s="37">
        <f>IF(Mitarbeiter!B282="","",N(INDEX($F282:$BM282,1,(Einstellungen!$C$3-2026)*12+1))+N(INDEX($F282:$BM282,1,(Einstellungen!$C$3-2026)*12+2))+N(INDEX($F282:$BM282,1,(Einstellungen!$C$3-2026)*12+3))+N(INDEX($F282:$BM282,1,(Einstellungen!$C$3-2026)*12+4))+N(INDEX($F282:$BM282,1,(Einstellungen!$C$3-2026)*12+5))+N(INDEX($F282:$BM282,1,(Einstellungen!$C$3-2026)*12+6))+N(INDEX($F282:$BM282,1,(Einstellungen!$C$3-2026)*12+7))+N(INDEX($F282:$BM282,1,(Einstellungen!$C$3-2026)*12+8))+N(INDEX($F282:$BM282,1,(Einstellungen!$C$3-2026)*12+9))+N(INDEX($F282:$BM282,1,(Einstellungen!$C$3-2026)*12+10))+N(INDEX($F282:$BM282,1,(Einstellungen!$C$3-2026)*12+11))+N(INDEX($F282:$BM282,1,(Einstellungen!$C$3-2026)*12+12)))</f>
        <v/>
      </c>
      <c r="D282" s="37">
        <f>IF(Mitarbeiter!B282="","",SUM(F282:BM282))</f>
        <v/>
      </c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  <c r="S282" s="51" t="n"/>
      <c r="T282" s="51" t="n"/>
      <c r="U282" s="51" t="n"/>
      <c r="V282" s="51" t="n"/>
      <c r="W282" s="51" t="n"/>
      <c r="X282" s="51" t="n"/>
      <c r="Y282" s="51" t="n"/>
      <c r="Z282" s="51" t="n"/>
      <c r="AA282" s="51" t="n"/>
      <c r="AB282" s="51" t="n"/>
      <c r="AC282" s="51" t="n"/>
      <c r="AD282" s="51" t="n"/>
      <c r="AE282" s="51" t="n"/>
      <c r="AF282" s="51" t="n"/>
      <c r="AG282" s="51" t="n"/>
      <c r="AH282" s="51" t="n"/>
      <c r="AI282" s="51" t="n"/>
      <c r="AJ282" s="51" t="n"/>
      <c r="AK282" s="51" t="n"/>
      <c r="AL282" s="51" t="n"/>
      <c r="AM282" s="51" t="n"/>
      <c r="AN282" s="51" t="n"/>
      <c r="AO282" s="51" t="n"/>
      <c r="AP282" s="51" t="n"/>
      <c r="AQ282" s="51" t="n"/>
      <c r="AR282" s="51" t="n"/>
      <c r="AS282" s="51" t="n"/>
      <c r="AT282" s="51" t="n"/>
      <c r="AU282" s="51" t="n"/>
      <c r="AV282" s="51" t="n"/>
      <c r="AW282" s="51" t="n"/>
      <c r="AX282" s="51" t="n"/>
      <c r="AY282" s="51" t="n"/>
      <c r="AZ282" s="51" t="n"/>
      <c r="BA282" s="51" t="n"/>
      <c r="BB282" s="51" t="n"/>
      <c r="BC282" s="51" t="n"/>
      <c r="BD282" s="51" t="n"/>
      <c r="BE282" s="51" t="n"/>
      <c r="BF282" s="51" t="n"/>
      <c r="BG282" s="51" t="n"/>
      <c r="BH282" s="51" t="n"/>
      <c r="BI282" s="51" t="n"/>
      <c r="BJ282" s="51" t="n"/>
      <c r="BK282" s="51" t="n"/>
      <c r="BL282" s="51" t="n"/>
      <c r="BM282" s="51" t="n"/>
    </row>
    <row r="283">
      <c r="A283" s="47">
        <f>IF(Mitarbeiter!B283="","",Mitarbeiter!A283)</f>
        <v/>
      </c>
      <c r="B283" s="48">
        <f>IF(Mitarbeiter!B283="","",Mitarbeiter!B283)</f>
        <v/>
      </c>
      <c r="C283" s="37">
        <f>IF(Mitarbeiter!B283="","",N(INDEX($F283:$BM283,1,(Einstellungen!$C$3-2026)*12+1))+N(INDEX($F283:$BM283,1,(Einstellungen!$C$3-2026)*12+2))+N(INDEX($F283:$BM283,1,(Einstellungen!$C$3-2026)*12+3))+N(INDEX($F283:$BM283,1,(Einstellungen!$C$3-2026)*12+4))+N(INDEX($F283:$BM283,1,(Einstellungen!$C$3-2026)*12+5))+N(INDEX($F283:$BM283,1,(Einstellungen!$C$3-2026)*12+6))+N(INDEX($F283:$BM283,1,(Einstellungen!$C$3-2026)*12+7))+N(INDEX($F283:$BM283,1,(Einstellungen!$C$3-2026)*12+8))+N(INDEX($F283:$BM283,1,(Einstellungen!$C$3-2026)*12+9))+N(INDEX($F283:$BM283,1,(Einstellungen!$C$3-2026)*12+10))+N(INDEX($F283:$BM283,1,(Einstellungen!$C$3-2026)*12+11))+N(INDEX($F283:$BM283,1,(Einstellungen!$C$3-2026)*12+12)))</f>
        <v/>
      </c>
      <c r="D283" s="37">
        <f>IF(Mitarbeiter!B283="","",SUM(F283:BM283))</f>
        <v/>
      </c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  <c r="S283" s="51" t="n"/>
      <c r="T283" s="51" t="n"/>
      <c r="U283" s="51" t="n"/>
      <c r="V283" s="51" t="n"/>
      <c r="W283" s="51" t="n"/>
      <c r="X283" s="51" t="n"/>
      <c r="Y283" s="51" t="n"/>
      <c r="Z283" s="51" t="n"/>
      <c r="AA283" s="51" t="n"/>
      <c r="AB283" s="51" t="n"/>
      <c r="AC283" s="51" t="n"/>
      <c r="AD283" s="51" t="n"/>
      <c r="AE283" s="51" t="n"/>
      <c r="AF283" s="51" t="n"/>
      <c r="AG283" s="51" t="n"/>
      <c r="AH283" s="51" t="n"/>
      <c r="AI283" s="51" t="n"/>
      <c r="AJ283" s="51" t="n"/>
      <c r="AK283" s="51" t="n"/>
      <c r="AL283" s="51" t="n"/>
      <c r="AM283" s="51" t="n"/>
      <c r="AN283" s="51" t="n"/>
      <c r="AO283" s="51" t="n"/>
      <c r="AP283" s="51" t="n"/>
      <c r="AQ283" s="51" t="n"/>
      <c r="AR283" s="51" t="n"/>
      <c r="AS283" s="51" t="n"/>
      <c r="AT283" s="51" t="n"/>
      <c r="AU283" s="51" t="n"/>
      <c r="AV283" s="51" t="n"/>
      <c r="AW283" s="51" t="n"/>
      <c r="AX283" s="51" t="n"/>
      <c r="AY283" s="51" t="n"/>
      <c r="AZ283" s="51" t="n"/>
      <c r="BA283" s="51" t="n"/>
      <c r="BB283" s="51" t="n"/>
      <c r="BC283" s="51" t="n"/>
      <c r="BD283" s="51" t="n"/>
      <c r="BE283" s="51" t="n"/>
      <c r="BF283" s="51" t="n"/>
      <c r="BG283" s="51" t="n"/>
      <c r="BH283" s="51" t="n"/>
      <c r="BI283" s="51" t="n"/>
      <c r="BJ283" s="51" t="n"/>
      <c r="BK283" s="51" t="n"/>
      <c r="BL283" s="51" t="n"/>
      <c r="BM283" s="51" t="n"/>
    </row>
    <row r="284">
      <c r="A284" s="47">
        <f>IF(Mitarbeiter!B284="","",Mitarbeiter!A284)</f>
        <v/>
      </c>
      <c r="B284" s="48">
        <f>IF(Mitarbeiter!B284="","",Mitarbeiter!B284)</f>
        <v/>
      </c>
      <c r="C284" s="37">
        <f>IF(Mitarbeiter!B284="","",N(INDEX($F284:$BM284,1,(Einstellungen!$C$3-2026)*12+1))+N(INDEX($F284:$BM284,1,(Einstellungen!$C$3-2026)*12+2))+N(INDEX($F284:$BM284,1,(Einstellungen!$C$3-2026)*12+3))+N(INDEX($F284:$BM284,1,(Einstellungen!$C$3-2026)*12+4))+N(INDEX($F284:$BM284,1,(Einstellungen!$C$3-2026)*12+5))+N(INDEX($F284:$BM284,1,(Einstellungen!$C$3-2026)*12+6))+N(INDEX($F284:$BM284,1,(Einstellungen!$C$3-2026)*12+7))+N(INDEX($F284:$BM284,1,(Einstellungen!$C$3-2026)*12+8))+N(INDEX($F284:$BM284,1,(Einstellungen!$C$3-2026)*12+9))+N(INDEX($F284:$BM284,1,(Einstellungen!$C$3-2026)*12+10))+N(INDEX($F284:$BM284,1,(Einstellungen!$C$3-2026)*12+11))+N(INDEX($F284:$BM284,1,(Einstellungen!$C$3-2026)*12+12)))</f>
        <v/>
      </c>
      <c r="D284" s="37">
        <f>IF(Mitarbeiter!B284="","",SUM(F284:BM284))</f>
        <v/>
      </c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  <c r="S284" s="51" t="n"/>
      <c r="T284" s="51" t="n"/>
      <c r="U284" s="51" t="n"/>
      <c r="V284" s="51" t="n"/>
      <c r="W284" s="51" t="n"/>
      <c r="X284" s="51" t="n"/>
      <c r="Y284" s="51" t="n"/>
      <c r="Z284" s="51" t="n"/>
      <c r="AA284" s="51" t="n"/>
      <c r="AB284" s="51" t="n"/>
      <c r="AC284" s="51" t="n"/>
      <c r="AD284" s="51" t="n"/>
      <c r="AE284" s="51" t="n"/>
      <c r="AF284" s="51" t="n"/>
      <c r="AG284" s="51" t="n"/>
      <c r="AH284" s="51" t="n"/>
      <c r="AI284" s="51" t="n"/>
      <c r="AJ284" s="51" t="n"/>
      <c r="AK284" s="51" t="n"/>
      <c r="AL284" s="51" t="n"/>
      <c r="AM284" s="51" t="n"/>
      <c r="AN284" s="51" t="n"/>
      <c r="AO284" s="51" t="n"/>
      <c r="AP284" s="51" t="n"/>
      <c r="AQ284" s="51" t="n"/>
      <c r="AR284" s="51" t="n"/>
      <c r="AS284" s="51" t="n"/>
      <c r="AT284" s="51" t="n"/>
      <c r="AU284" s="51" t="n"/>
      <c r="AV284" s="51" t="n"/>
      <c r="AW284" s="51" t="n"/>
      <c r="AX284" s="51" t="n"/>
      <c r="AY284" s="51" t="n"/>
      <c r="AZ284" s="51" t="n"/>
      <c r="BA284" s="51" t="n"/>
      <c r="BB284" s="51" t="n"/>
      <c r="BC284" s="51" t="n"/>
      <c r="BD284" s="51" t="n"/>
      <c r="BE284" s="51" t="n"/>
      <c r="BF284" s="51" t="n"/>
      <c r="BG284" s="51" t="n"/>
      <c r="BH284" s="51" t="n"/>
      <c r="BI284" s="51" t="n"/>
      <c r="BJ284" s="51" t="n"/>
      <c r="BK284" s="51" t="n"/>
      <c r="BL284" s="51" t="n"/>
      <c r="BM284" s="51" t="n"/>
    </row>
    <row r="285">
      <c r="A285" s="47">
        <f>IF(Mitarbeiter!B285="","",Mitarbeiter!A285)</f>
        <v/>
      </c>
      <c r="B285" s="48">
        <f>IF(Mitarbeiter!B285="","",Mitarbeiter!B285)</f>
        <v/>
      </c>
      <c r="C285" s="37">
        <f>IF(Mitarbeiter!B285="","",N(INDEX($F285:$BM285,1,(Einstellungen!$C$3-2026)*12+1))+N(INDEX($F285:$BM285,1,(Einstellungen!$C$3-2026)*12+2))+N(INDEX($F285:$BM285,1,(Einstellungen!$C$3-2026)*12+3))+N(INDEX($F285:$BM285,1,(Einstellungen!$C$3-2026)*12+4))+N(INDEX($F285:$BM285,1,(Einstellungen!$C$3-2026)*12+5))+N(INDEX($F285:$BM285,1,(Einstellungen!$C$3-2026)*12+6))+N(INDEX($F285:$BM285,1,(Einstellungen!$C$3-2026)*12+7))+N(INDEX($F285:$BM285,1,(Einstellungen!$C$3-2026)*12+8))+N(INDEX($F285:$BM285,1,(Einstellungen!$C$3-2026)*12+9))+N(INDEX($F285:$BM285,1,(Einstellungen!$C$3-2026)*12+10))+N(INDEX($F285:$BM285,1,(Einstellungen!$C$3-2026)*12+11))+N(INDEX($F285:$BM285,1,(Einstellungen!$C$3-2026)*12+12)))</f>
        <v/>
      </c>
      <c r="D285" s="37">
        <f>IF(Mitarbeiter!B285="","",SUM(F285:BM285))</f>
        <v/>
      </c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  <c r="S285" s="51" t="n"/>
      <c r="T285" s="51" t="n"/>
      <c r="U285" s="51" t="n"/>
      <c r="V285" s="51" t="n"/>
      <c r="W285" s="51" t="n"/>
      <c r="X285" s="51" t="n"/>
      <c r="Y285" s="51" t="n"/>
      <c r="Z285" s="51" t="n"/>
      <c r="AA285" s="51" t="n"/>
      <c r="AB285" s="51" t="n"/>
      <c r="AC285" s="51" t="n"/>
      <c r="AD285" s="51" t="n"/>
      <c r="AE285" s="51" t="n"/>
      <c r="AF285" s="51" t="n"/>
      <c r="AG285" s="51" t="n"/>
      <c r="AH285" s="51" t="n"/>
      <c r="AI285" s="51" t="n"/>
      <c r="AJ285" s="51" t="n"/>
      <c r="AK285" s="51" t="n"/>
      <c r="AL285" s="51" t="n"/>
      <c r="AM285" s="51" t="n"/>
      <c r="AN285" s="51" t="n"/>
      <c r="AO285" s="51" t="n"/>
      <c r="AP285" s="51" t="n"/>
      <c r="AQ285" s="51" t="n"/>
      <c r="AR285" s="51" t="n"/>
      <c r="AS285" s="51" t="n"/>
      <c r="AT285" s="51" t="n"/>
      <c r="AU285" s="51" t="n"/>
      <c r="AV285" s="51" t="n"/>
      <c r="AW285" s="51" t="n"/>
      <c r="AX285" s="51" t="n"/>
      <c r="AY285" s="51" t="n"/>
      <c r="AZ285" s="51" t="n"/>
      <c r="BA285" s="51" t="n"/>
      <c r="BB285" s="51" t="n"/>
      <c r="BC285" s="51" t="n"/>
      <c r="BD285" s="51" t="n"/>
      <c r="BE285" s="51" t="n"/>
      <c r="BF285" s="51" t="n"/>
      <c r="BG285" s="51" t="n"/>
      <c r="BH285" s="51" t="n"/>
      <c r="BI285" s="51" t="n"/>
      <c r="BJ285" s="51" t="n"/>
      <c r="BK285" s="51" t="n"/>
      <c r="BL285" s="51" t="n"/>
      <c r="BM285" s="51" t="n"/>
    </row>
    <row r="286">
      <c r="A286" s="47">
        <f>IF(Mitarbeiter!B286="","",Mitarbeiter!A286)</f>
        <v/>
      </c>
      <c r="B286" s="48">
        <f>IF(Mitarbeiter!B286="","",Mitarbeiter!B286)</f>
        <v/>
      </c>
      <c r="C286" s="37">
        <f>IF(Mitarbeiter!B286="","",N(INDEX($F286:$BM286,1,(Einstellungen!$C$3-2026)*12+1))+N(INDEX($F286:$BM286,1,(Einstellungen!$C$3-2026)*12+2))+N(INDEX($F286:$BM286,1,(Einstellungen!$C$3-2026)*12+3))+N(INDEX($F286:$BM286,1,(Einstellungen!$C$3-2026)*12+4))+N(INDEX($F286:$BM286,1,(Einstellungen!$C$3-2026)*12+5))+N(INDEX($F286:$BM286,1,(Einstellungen!$C$3-2026)*12+6))+N(INDEX($F286:$BM286,1,(Einstellungen!$C$3-2026)*12+7))+N(INDEX($F286:$BM286,1,(Einstellungen!$C$3-2026)*12+8))+N(INDEX($F286:$BM286,1,(Einstellungen!$C$3-2026)*12+9))+N(INDEX($F286:$BM286,1,(Einstellungen!$C$3-2026)*12+10))+N(INDEX($F286:$BM286,1,(Einstellungen!$C$3-2026)*12+11))+N(INDEX($F286:$BM286,1,(Einstellungen!$C$3-2026)*12+12)))</f>
        <v/>
      </c>
      <c r="D286" s="37">
        <f>IF(Mitarbeiter!B286="","",SUM(F286:BM286))</f>
        <v/>
      </c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  <c r="S286" s="51" t="n"/>
      <c r="T286" s="51" t="n"/>
      <c r="U286" s="51" t="n"/>
      <c r="V286" s="51" t="n"/>
      <c r="W286" s="51" t="n"/>
      <c r="X286" s="51" t="n"/>
      <c r="Y286" s="51" t="n"/>
      <c r="Z286" s="51" t="n"/>
      <c r="AA286" s="51" t="n"/>
      <c r="AB286" s="51" t="n"/>
      <c r="AC286" s="51" t="n"/>
      <c r="AD286" s="51" t="n"/>
      <c r="AE286" s="51" t="n"/>
      <c r="AF286" s="51" t="n"/>
      <c r="AG286" s="51" t="n"/>
      <c r="AH286" s="51" t="n"/>
      <c r="AI286" s="51" t="n"/>
      <c r="AJ286" s="51" t="n"/>
      <c r="AK286" s="51" t="n"/>
      <c r="AL286" s="51" t="n"/>
      <c r="AM286" s="51" t="n"/>
      <c r="AN286" s="51" t="n"/>
      <c r="AO286" s="51" t="n"/>
      <c r="AP286" s="51" t="n"/>
      <c r="AQ286" s="51" t="n"/>
      <c r="AR286" s="51" t="n"/>
      <c r="AS286" s="51" t="n"/>
      <c r="AT286" s="51" t="n"/>
      <c r="AU286" s="51" t="n"/>
      <c r="AV286" s="51" t="n"/>
      <c r="AW286" s="51" t="n"/>
      <c r="AX286" s="51" t="n"/>
      <c r="AY286" s="51" t="n"/>
      <c r="AZ286" s="51" t="n"/>
      <c r="BA286" s="51" t="n"/>
      <c r="BB286" s="51" t="n"/>
      <c r="BC286" s="51" t="n"/>
      <c r="BD286" s="51" t="n"/>
      <c r="BE286" s="51" t="n"/>
      <c r="BF286" s="51" t="n"/>
      <c r="BG286" s="51" t="n"/>
      <c r="BH286" s="51" t="n"/>
      <c r="BI286" s="51" t="n"/>
      <c r="BJ286" s="51" t="n"/>
      <c r="BK286" s="51" t="n"/>
      <c r="BL286" s="51" t="n"/>
      <c r="BM286" s="51" t="n"/>
    </row>
    <row r="287">
      <c r="A287" s="47">
        <f>IF(Mitarbeiter!B287="","",Mitarbeiter!A287)</f>
        <v/>
      </c>
      <c r="B287" s="48">
        <f>IF(Mitarbeiter!B287="","",Mitarbeiter!B287)</f>
        <v/>
      </c>
      <c r="C287" s="37">
        <f>IF(Mitarbeiter!B287="","",N(INDEX($F287:$BM287,1,(Einstellungen!$C$3-2026)*12+1))+N(INDEX($F287:$BM287,1,(Einstellungen!$C$3-2026)*12+2))+N(INDEX($F287:$BM287,1,(Einstellungen!$C$3-2026)*12+3))+N(INDEX($F287:$BM287,1,(Einstellungen!$C$3-2026)*12+4))+N(INDEX($F287:$BM287,1,(Einstellungen!$C$3-2026)*12+5))+N(INDEX($F287:$BM287,1,(Einstellungen!$C$3-2026)*12+6))+N(INDEX($F287:$BM287,1,(Einstellungen!$C$3-2026)*12+7))+N(INDEX($F287:$BM287,1,(Einstellungen!$C$3-2026)*12+8))+N(INDEX($F287:$BM287,1,(Einstellungen!$C$3-2026)*12+9))+N(INDEX($F287:$BM287,1,(Einstellungen!$C$3-2026)*12+10))+N(INDEX($F287:$BM287,1,(Einstellungen!$C$3-2026)*12+11))+N(INDEX($F287:$BM287,1,(Einstellungen!$C$3-2026)*12+12)))</f>
        <v/>
      </c>
      <c r="D287" s="37">
        <f>IF(Mitarbeiter!B287="","",SUM(F287:BM287))</f>
        <v/>
      </c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  <c r="S287" s="51" t="n"/>
      <c r="T287" s="51" t="n"/>
      <c r="U287" s="51" t="n"/>
      <c r="V287" s="51" t="n"/>
      <c r="W287" s="51" t="n"/>
      <c r="X287" s="51" t="n"/>
      <c r="Y287" s="51" t="n"/>
      <c r="Z287" s="51" t="n"/>
      <c r="AA287" s="51" t="n"/>
      <c r="AB287" s="51" t="n"/>
      <c r="AC287" s="51" t="n"/>
      <c r="AD287" s="51" t="n"/>
      <c r="AE287" s="51" t="n"/>
      <c r="AF287" s="51" t="n"/>
      <c r="AG287" s="51" t="n"/>
      <c r="AH287" s="51" t="n"/>
      <c r="AI287" s="51" t="n"/>
      <c r="AJ287" s="51" t="n"/>
      <c r="AK287" s="51" t="n"/>
      <c r="AL287" s="51" t="n"/>
      <c r="AM287" s="51" t="n"/>
      <c r="AN287" s="51" t="n"/>
      <c r="AO287" s="51" t="n"/>
      <c r="AP287" s="51" t="n"/>
      <c r="AQ287" s="51" t="n"/>
      <c r="AR287" s="51" t="n"/>
      <c r="AS287" s="51" t="n"/>
      <c r="AT287" s="51" t="n"/>
      <c r="AU287" s="51" t="n"/>
      <c r="AV287" s="51" t="n"/>
      <c r="AW287" s="51" t="n"/>
      <c r="AX287" s="51" t="n"/>
      <c r="AY287" s="51" t="n"/>
      <c r="AZ287" s="51" t="n"/>
      <c r="BA287" s="51" t="n"/>
      <c r="BB287" s="51" t="n"/>
      <c r="BC287" s="51" t="n"/>
      <c r="BD287" s="51" t="n"/>
      <c r="BE287" s="51" t="n"/>
      <c r="BF287" s="51" t="n"/>
      <c r="BG287" s="51" t="n"/>
      <c r="BH287" s="51" t="n"/>
      <c r="BI287" s="51" t="n"/>
      <c r="BJ287" s="51" t="n"/>
      <c r="BK287" s="51" t="n"/>
      <c r="BL287" s="51" t="n"/>
      <c r="BM287" s="51" t="n"/>
    </row>
    <row r="288">
      <c r="A288" s="47">
        <f>IF(Mitarbeiter!B288="","",Mitarbeiter!A288)</f>
        <v/>
      </c>
      <c r="B288" s="48">
        <f>IF(Mitarbeiter!B288="","",Mitarbeiter!B288)</f>
        <v/>
      </c>
      <c r="C288" s="37">
        <f>IF(Mitarbeiter!B288="","",N(INDEX($F288:$BM288,1,(Einstellungen!$C$3-2026)*12+1))+N(INDEX($F288:$BM288,1,(Einstellungen!$C$3-2026)*12+2))+N(INDEX($F288:$BM288,1,(Einstellungen!$C$3-2026)*12+3))+N(INDEX($F288:$BM288,1,(Einstellungen!$C$3-2026)*12+4))+N(INDEX($F288:$BM288,1,(Einstellungen!$C$3-2026)*12+5))+N(INDEX($F288:$BM288,1,(Einstellungen!$C$3-2026)*12+6))+N(INDEX($F288:$BM288,1,(Einstellungen!$C$3-2026)*12+7))+N(INDEX($F288:$BM288,1,(Einstellungen!$C$3-2026)*12+8))+N(INDEX($F288:$BM288,1,(Einstellungen!$C$3-2026)*12+9))+N(INDEX($F288:$BM288,1,(Einstellungen!$C$3-2026)*12+10))+N(INDEX($F288:$BM288,1,(Einstellungen!$C$3-2026)*12+11))+N(INDEX($F288:$BM288,1,(Einstellungen!$C$3-2026)*12+12)))</f>
        <v/>
      </c>
      <c r="D288" s="37">
        <f>IF(Mitarbeiter!B288="","",SUM(F288:BM288))</f>
        <v/>
      </c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  <c r="S288" s="51" t="n"/>
      <c r="T288" s="51" t="n"/>
      <c r="U288" s="51" t="n"/>
      <c r="V288" s="51" t="n"/>
      <c r="W288" s="51" t="n"/>
      <c r="X288" s="51" t="n"/>
      <c r="Y288" s="51" t="n"/>
      <c r="Z288" s="51" t="n"/>
      <c r="AA288" s="51" t="n"/>
      <c r="AB288" s="51" t="n"/>
      <c r="AC288" s="51" t="n"/>
      <c r="AD288" s="51" t="n"/>
      <c r="AE288" s="51" t="n"/>
      <c r="AF288" s="51" t="n"/>
      <c r="AG288" s="51" t="n"/>
      <c r="AH288" s="51" t="n"/>
      <c r="AI288" s="51" t="n"/>
      <c r="AJ288" s="51" t="n"/>
      <c r="AK288" s="51" t="n"/>
      <c r="AL288" s="51" t="n"/>
      <c r="AM288" s="51" t="n"/>
      <c r="AN288" s="51" t="n"/>
      <c r="AO288" s="51" t="n"/>
      <c r="AP288" s="51" t="n"/>
      <c r="AQ288" s="51" t="n"/>
      <c r="AR288" s="51" t="n"/>
      <c r="AS288" s="51" t="n"/>
      <c r="AT288" s="51" t="n"/>
      <c r="AU288" s="51" t="n"/>
      <c r="AV288" s="51" t="n"/>
      <c r="AW288" s="51" t="n"/>
      <c r="AX288" s="51" t="n"/>
      <c r="AY288" s="51" t="n"/>
      <c r="AZ288" s="51" t="n"/>
      <c r="BA288" s="51" t="n"/>
      <c r="BB288" s="51" t="n"/>
      <c r="BC288" s="51" t="n"/>
      <c r="BD288" s="51" t="n"/>
      <c r="BE288" s="51" t="n"/>
      <c r="BF288" s="51" t="n"/>
      <c r="BG288" s="51" t="n"/>
      <c r="BH288" s="51" t="n"/>
      <c r="BI288" s="51" t="n"/>
      <c r="BJ288" s="51" t="n"/>
      <c r="BK288" s="51" t="n"/>
      <c r="BL288" s="51" t="n"/>
      <c r="BM288" s="51" t="n"/>
    </row>
    <row r="289">
      <c r="A289" s="47">
        <f>IF(Mitarbeiter!B289="","",Mitarbeiter!A289)</f>
        <v/>
      </c>
      <c r="B289" s="48">
        <f>IF(Mitarbeiter!B289="","",Mitarbeiter!B289)</f>
        <v/>
      </c>
      <c r="C289" s="37">
        <f>IF(Mitarbeiter!B289="","",N(INDEX($F289:$BM289,1,(Einstellungen!$C$3-2026)*12+1))+N(INDEX($F289:$BM289,1,(Einstellungen!$C$3-2026)*12+2))+N(INDEX($F289:$BM289,1,(Einstellungen!$C$3-2026)*12+3))+N(INDEX($F289:$BM289,1,(Einstellungen!$C$3-2026)*12+4))+N(INDEX($F289:$BM289,1,(Einstellungen!$C$3-2026)*12+5))+N(INDEX($F289:$BM289,1,(Einstellungen!$C$3-2026)*12+6))+N(INDEX($F289:$BM289,1,(Einstellungen!$C$3-2026)*12+7))+N(INDEX($F289:$BM289,1,(Einstellungen!$C$3-2026)*12+8))+N(INDEX($F289:$BM289,1,(Einstellungen!$C$3-2026)*12+9))+N(INDEX($F289:$BM289,1,(Einstellungen!$C$3-2026)*12+10))+N(INDEX($F289:$BM289,1,(Einstellungen!$C$3-2026)*12+11))+N(INDEX($F289:$BM289,1,(Einstellungen!$C$3-2026)*12+12)))</f>
        <v/>
      </c>
      <c r="D289" s="37">
        <f>IF(Mitarbeiter!B289="","",SUM(F289:BM289))</f>
        <v/>
      </c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  <c r="S289" s="51" t="n"/>
      <c r="T289" s="51" t="n"/>
      <c r="U289" s="51" t="n"/>
      <c r="V289" s="51" t="n"/>
      <c r="W289" s="51" t="n"/>
      <c r="X289" s="51" t="n"/>
      <c r="Y289" s="51" t="n"/>
      <c r="Z289" s="51" t="n"/>
      <c r="AA289" s="51" t="n"/>
      <c r="AB289" s="51" t="n"/>
      <c r="AC289" s="51" t="n"/>
      <c r="AD289" s="51" t="n"/>
      <c r="AE289" s="51" t="n"/>
      <c r="AF289" s="51" t="n"/>
      <c r="AG289" s="51" t="n"/>
      <c r="AH289" s="51" t="n"/>
      <c r="AI289" s="51" t="n"/>
      <c r="AJ289" s="51" t="n"/>
      <c r="AK289" s="51" t="n"/>
      <c r="AL289" s="51" t="n"/>
      <c r="AM289" s="51" t="n"/>
      <c r="AN289" s="51" t="n"/>
      <c r="AO289" s="51" t="n"/>
      <c r="AP289" s="51" t="n"/>
      <c r="AQ289" s="51" t="n"/>
      <c r="AR289" s="51" t="n"/>
      <c r="AS289" s="51" t="n"/>
      <c r="AT289" s="51" t="n"/>
      <c r="AU289" s="51" t="n"/>
      <c r="AV289" s="51" t="n"/>
      <c r="AW289" s="51" t="n"/>
      <c r="AX289" s="51" t="n"/>
      <c r="AY289" s="51" t="n"/>
      <c r="AZ289" s="51" t="n"/>
      <c r="BA289" s="51" t="n"/>
      <c r="BB289" s="51" t="n"/>
      <c r="BC289" s="51" t="n"/>
      <c r="BD289" s="51" t="n"/>
      <c r="BE289" s="51" t="n"/>
      <c r="BF289" s="51" t="n"/>
      <c r="BG289" s="51" t="n"/>
      <c r="BH289" s="51" t="n"/>
      <c r="BI289" s="51" t="n"/>
      <c r="BJ289" s="51" t="n"/>
      <c r="BK289" s="51" t="n"/>
      <c r="BL289" s="51" t="n"/>
      <c r="BM289" s="51" t="n"/>
    </row>
    <row r="290">
      <c r="A290" s="47">
        <f>IF(Mitarbeiter!B290="","",Mitarbeiter!A290)</f>
        <v/>
      </c>
      <c r="B290" s="48">
        <f>IF(Mitarbeiter!B290="","",Mitarbeiter!B290)</f>
        <v/>
      </c>
      <c r="C290" s="37">
        <f>IF(Mitarbeiter!B290="","",N(INDEX($F290:$BM290,1,(Einstellungen!$C$3-2026)*12+1))+N(INDEX($F290:$BM290,1,(Einstellungen!$C$3-2026)*12+2))+N(INDEX($F290:$BM290,1,(Einstellungen!$C$3-2026)*12+3))+N(INDEX($F290:$BM290,1,(Einstellungen!$C$3-2026)*12+4))+N(INDEX($F290:$BM290,1,(Einstellungen!$C$3-2026)*12+5))+N(INDEX($F290:$BM290,1,(Einstellungen!$C$3-2026)*12+6))+N(INDEX($F290:$BM290,1,(Einstellungen!$C$3-2026)*12+7))+N(INDEX($F290:$BM290,1,(Einstellungen!$C$3-2026)*12+8))+N(INDEX($F290:$BM290,1,(Einstellungen!$C$3-2026)*12+9))+N(INDEX($F290:$BM290,1,(Einstellungen!$C$3-2026)*12+10))+N(INDEX($F290:$BM290,1,(Einstellungen!$C$3-2026)*12+11))+N(INDEX($F290:$BM290,1,(Einstellungen!$C$3-2026)*12+12)))</f>
        <v/>
      </c>
      <c r="D290" s="37">
        <f>IF(Mitarbeiter!B290="","",SUM(F290:BM290))</f>
        <v/>
      </c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  <c r="S290" s="51" t="n"/>
      <c r="T290" s="51" t="n"/>
      <c r="U290" s="51" t="n"/>
      <c r="V290" s="51" t="n"/>
      <c r="W290" s="51" t="n"/>
      <c r="X290" s="51" t="n"/>
      <c r="Y290" s="51" t="n"/>
      <c r="Z290" s="51" t="n"/>
      <c r="AA290" s="51" t="n"/>
      <c r="AB290" s="51" t="n"/>
      <c r="AC290" s="51" t="n"/>
      <c r="AD290" s="51" t="n"/>
      <c r="AE290" s="51" t="n"/>
      <c r="AF290" s="51" t="n"/>
      <c r="AG290" s="51" t="n"/>
      <c r="AH290" s="51" t="n"/>
      <c r="AI290" s="51" t="n"/>
      <c r="AJ290" s="51" t="n"/>
      <c r="AK290" s="51" t="n"/>
      <c r="AL290" s="51" t="n"/>
      <c r="AM290" s="51" t="n"/>
      <c r="AN290" s="51" t="n"/>
      <c r="AO290" s="51" t="n"/>
      <c r="AP290" s="51" t="n"/>
      <c r="AQ290" s="51" t="n"/>
      <c r="AR290" s="51" t="n"/>
      <c r="AS290" s="51" t="n"/>
      <c r="AT290" s="51" t="n"/>
      <c r="AU290" s="51" t="n"/>
      <c r="AV290" s="51" t="n"/>
      <c r="AW290" s="51" t="n"/>
      <c r="AX290" s="51" t="n"/>
      <c r="AY290" s="51" t="n"/>
      <c r="AZ290" s="51" t="n"/>
      <c r="BA290" s="51" t="n"/>
      <c r="BB290" s="51" t="n"/>
      <c r="BC290" s="51" t="n"/>
      <c r="BD290" s="51" t="n"/>
      <c r="BE290" s="51" t="n"/>
      <c r="BF290" s="51" t="n"/>
      <c r="BG290" s="51" t="n"/>
      <c r="BH290" s="51" t="n"/>
      <c r="BI290" s="51" t="n"/>
      <c r="BJ290" s="51" t="n"/>
      <c r="BK290" s="51" t="n"/>
      <c r="BL290" s="51" t="n"/>
      <c r="BM290" s="51" t="n"/>
    </row>
    <row r="291">
      <c r="A291" s="47">
        <f>IF(Mitarbeiter!B291="","",Mitarbeiter!A291)</f>
        <v/>
      </c>
      <c r="B291" s="48">
        <f>IF(Mitarbeiter!B291="","",Mitarbeiter!B291)</f>
        <v/>
      </c>
      <c r="C291" s="37">
        <f>IF(Mitarbeiter!B291="","",N(INDEX($F291:$BM291,1,(Einstellungen!$C$3-2026)*12+1))+N(INDEX($F291:$BM291,1,(Einstellungen!$C$3-2026)*12+2))+N(INDEX($F291:$BM291,1,(Einstellungen!$C$3-2026)*12+3))+N(INDEX($F291:$BM291,1,(Einstellungen!$C$3-2026)*12+4))+N(INDEX($F291:$BM291,1,(Einstellungen!$C$3-2026)*12+5))+N(INDEX($F291:$BM291,1,(Einstellungen!$C$3-2026)*12+6))+N(INDEX($F291:$BM291,1,(Einstellungen!$C$3-2026)*12+7))+N(INDEX($F291:$BM291,1,(Einstellungen!$C$3-2026)*12+8))+N(INDEX($F291:$BM291,1,(Einstellungen!$C$3-2026)*12+9))+N(INDEX($F291:$BM291,1,(Einstellungen!$C$3-2026)*12+10))+N(INDEX($F291:$BM291,1,(Einstellungen!$C$3-2026)*12+11))+N(INDEX($F291:$BM291,1,(Einstellungen!$C$3-2026)*12+12)))</f>
        <v/>
      </c>
      <c r="D291" s="37">
        <f>IF(Mitarbeiter!B291="","",SUM(F291:BM291))</f>
        <v/>
      </c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  <c r="S291" s="51" t="n"/>
      <c r="T291" s="51" t="n"/>
      <c r="U291" s="51" t="n"/>
      <c r="V291" s="51" t="n"/>
      <c r="W291" s="51" t="n"/>
      <c r="X291" s="51" t="n"/>
      <c r="Y291" s="51" t="n"/>
      <c r="Z291" s="51" t="n"/>
      <c r="AA291" s="51" t="n"/>
      <c r="AB291" s="51" t="n"/>
      <c r="AC291" s="51" t="n"/>
      <c r="AD291" s="51" t="n"/>
      <c r="AE291" s="51" t="n"/>
      <c r="AF291" s="51" t="n"/>
      <c r="AG291" s="51" t="n"/>
      <c r="AH291" s="51" t="n"/>
      <c r="AI291" s="51" t="n"/>
      <c r="AJ291" s="51" t="n"/>
      <c r="AK291" s="51" t="n"/>
      <c r="AL291" s="51" t="n"/>
      <c r="AM291" s="51" t="n"/>
      <c r="AN291" s="51" t="n"/>
      <c r="AO291" s="51" t="n"/>
      <c r="AP291" s="51" t="n"/>
      <c r="AQ291" s="51" t="n"/>
      <c r="AR291" s="51" t="n"/>
      <c r="AS291" s="51" t="n"/>
      <c r="AT291" s="51" t="n"/>
      <c r="AU291" s="51" t="n"/>
      <c r="AV291" s="51" t="n"/>
      <c r="AW291" s="51" t="n"/>
      <c r="AX291" s="51" t="n"/>
      <c r="AY291" s="51" t="n"/>
      <c r="AZ291" s="51" t="n"/>
      <c r="BA291" s="51" t="n"/>
      <c r="BB291" s="51" t="n"/>
      <c r="BC291" s="51" t="n"/>
      <c r="BD291" s="51" t="n"/>
      <c r="BE291" s="51" t="n"/>
      <c r="BF291" s="51" t="n"/>
      <c r="BG291" s="51" t="n"/>
      <c r="BH291" s="51" t="n"/>
      <c r="BI291" s="51" t="n"/>
      <c r="BJ291" s="51" t="n"/>
      <c r="BK291" s="51" t="n"/>
      <c r="BL291" s="51" t="n"/>
      <c r="BM291" s="51" t="n"/>
    </row>
    <row r="292">
      <c r="A292" s="47">
        <f>IF(Mitarbeiter!B292="","",Mitarbeiter!A292)</f>
        <v/>
      </c>
      <c r="B292" s="48">
        <f>IF(Mitarbeiter!B292="","",Mitarbeiter!B292)</f>
        <v/>
      </c>
      <c r="C292" s="37">
        <f>IF(Mitarbeiter!B292="","",N(INDEX($F292:$BM292,1,(Einstellungen!$C$3-2026)*12+1))+N(INDEX($F292:$BM292,1,(Einstellungen!$C$3-2026)*12+2))+N(INDEX($F292:$BM292,1,(Einstellungen!$C$3-2026)*12+3))+N(INDEX($F292:$BM292,1,(Einstellungen!$C$3-2026)*12+4))+N(INDEX($F292:$BM292,1,(Einstellungen!$C$3-2026)*12+5))+N(INDEX($F292:$BM292,1,(Einstellungen!$C$3-2026)*12+6))+N(INDEX($F292:$BM292,1,(Einstellungen!$C$3-2026)*12+7))+N(INDEX($F292:$BM292,1,(Einstellungen!$C$3-2026)*12+8))+N(INDEX($F292:$BM292,1,(Einstellungen!$C$3-2026)*12+9))+N(INDEX($F292:$BM292,1,(Einstellungen!$C$3-2026)*12+10))+N(INDEX($F292:$BM292,1,(Einstellungen!$C$3-2026)*12+11))+N(INDEX($F292:$BM292,1,(Einstellungen!$C$3-2026)*12+12)))</f>
        <v/>
      </c>
      <c r="D292" s="37">
        <f>IF(Mitarbeiter!B292="","",SUM(F292:BM292))</f>
        <v/>
      </c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  <c r="S292" s="51" t="n"/>
      <c r="T292" s="51" t="n"/>
      <c r="U292" s="51" t="n"/>
      <c r="V292" s="51" t="n"/>
      <c r="W292" s="51" t="n"/>
      <c r="X292" s="51" t="n"/>
      <c r="Y292" s="51" t="n"/>
      <c r="Z292" s="51" t="n"/>
      <c r="AA292" s="51" t="n"/>
      <c r="AB292" s="51" t="n"/>
      <c r="AC292" s="51" t="n"/>
      <c r="AD292" s="51" t="n"/>
      <c r="AE292" s="51" t="n"/>
      <c r="AF292" s="51" t="n"/>
      <c r="AG292" s="51" t="n"/>
      <c r="AH292" s="51" t="n"/>
      <c r="AI292" s="51" t="n"/>
      <c r="AJ292" s="51" t="n"/>
      <c r="AK292" s="51" t="n"/>
      <c r="AL292" s="51" t="n"/>
      <c r="AM292" s="51" t="n"/>
      <c r="AN292" s="51" t="n"/>
      <c r="AO292" s="51" t="n"/>
      <c r="AP292" s="51" t="n"/>
      <c r="AQ292" s="51" t="n"/>
      <c r="AR292" s="51" t="n"/>
      <c r="AS292" s="51" t="n"/>
      <c r="AT292" s="51" t="n"/>
      <c r="AU292" s="51" t="n"/>
      <c r="AV292" s="51" t="n"/>
      <c r="AW292" s="51" t="n"/>
      <c r="AX292" s="51" t="n"/>
      <c r="AY292" s="51" t="n"/>
      <c r="AZ292" s="51" t="n"/>
      <c r="BA292" s="51" t="n"/>
      <c r="BB292" s="51" t="n"/>
      <c r="BC292" s="51" t="n"/>
      <c r="BD292" s="51" t="n"/>
      <c r="BE292" s="51" t="n"/>
      <c r="BF292" s="51" t="n"/>
      <c r="BG292" s="51" t="n"/>
      <c r="BH292" s="51" t="n"/>
      <c r="BI292" s="51" t="n"/>
      <c r="BJ292" s="51" t="n"/>
      <c r="BK292" s="51" t="n"/>
      <c r="BL292" s="51" t="n"/>
      <c r="BM292" s="51" t="n"/>
    </row>
    <row r="293">
      <c r="A293" s="47">
        <f>IF(Mitarbeiter!B293="","",Mitarbeiter!A293)</f>
        <v/>
      </c>
      <c r="B293" s="48">
        <f>IF(Mitarbeiter!B293="","",Mitarbeiter!B293)</f>
        <v/>
      </c>
      <c r="C293" s="37">
        <f>IF(Mitarbeiter!B293="","",N(INDEX($F293:$BM293,1,(Einstellungen!$C$3-2026)*12+1))+N(INDEX($F293:$BM293,1,(Einstellungen!$C$3-2026)*12+2))+N(INDEX($F293:$BM293,1,(Einstellungen!$C$3-2026)*12+3))+N(INDEX($F293:$BM293,1,(Einstellungen!$C$3-2026)*12+4))+N(INDEX($F293:$BM293,1,(Einstellungen!$C$3-2026)*12+5))+N(INDEX($F293:$BM293,1,(Einstellungen!$C$3-2026)*12+6))+N(INDEX($F293:$BM293,1,(Einstellungen!$C$3-2026)*12+7))+N(INDEX($F293:$BM293,1,(Einstellungen!$C$3-2026)*12+8))+N(INDEX($F293:$BM293,1,(Einstellungen!$C$3-2026)*12+9))+N(INDEX($F293:$BM293,1,(Einstellungen!$C$3-2026)*12+10))+N(INDEX($F293:$BM293,1,(Einstellungen!$C$3-2026)*12+11))+N(INDEX($F293:$BM293,1,(Einstellungen!$C$3-2026)*12+12)))</f>
        <v/>
      </c>
      <c r="D293" s="37">
        <f>IF(Mitarbeiter!B293="","",SUM(F293:BM293))</f>
        <v/>
      </c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  <c r="S293" s="51" t="n"/>
      <c r="T293" s="51" t="n"/>
      <c r="U293" s="51" t="n"/>
      <c r="V293" s="51" t="n"/>
      <c r="W293" s="51" t="n"/>
      <c r="X293" s="51" t="n"/>
      <c r="Y293" s="51" t="n"/>
      <c r="Z293" s="51" t="n"/>
      <c r="AA293" s="51" t="n"/>
      <c r="AB293" s="51" t="n"/>
      <c r="AC293" s="51" t="n"/>
      <c r="AD293" s="51" t="n"/>
      <c r="AE293" s="51" t="n"/>
      <c r="AF293" s="51" t="n"/>
      <c r="AG293" s="51" t="n"/>
      <c r="AH293" s="51" t="n"/>
      <c r="AI293" s="51" t="n"/>
      <c r="AJ293" s="51" t="n"/>
      <c r="AK293" s="51" t="n"/>
      <c r="AL293" s="51" t="n"/>
      <c r="AM293" s="51" t="n"/>
      <c r="AN293" s="51" t="n"/>
      <c r="AO293" s="51" t="n"/>
      <c r="AP293" s="51" t="n"/>
      <c r="AQ293" s="51" t="n"/>
      <c r="AR293" s="51" t="n"/>
      <c r="AS293" s="51" t="n"/>
      <c r="AT293" s="51" t="n"/>
      <c r="AU293" s="51" t="n"/>
      <c r="AV293" s="51" t="n"/>
      <c r="AW293" s="51" t="n"/>
      <c r="AX293" s="51" t="n"/>
      <c r="AY293" s="51" t="n"/>
      <c r="AZ293" s="51" t="n"/>
      <c r="BA293" s="51" t="n"/>
      <c r="BB293" s="51" t="n"/>
      <c r="BC293" s="51" t="n"/>
      <c r="BD293" s="51" t="n"/>
      <c r="BE293" s="51" t="n"/>
      <c r="BF293" s="51" t="n"/>
      <c r="BG293" s="51" t="n"/>
      <c r="BH293" s="51" t="n"/>
      <c r="BI293" s="51" t="n"/>
      <c r="BJ293" s="51" t="n"/>
      <c r="BK293" s="51" t="n"/>
      <c r="BL293" s="51" t="n"/>
      <c r="BM293" s="51" t="n"/>
    </row>
    <row r="294">
      <c r="A294" s="47">
        <f>IF(Mitarbeiter!B294="","",Mitarbeiter!A294)</f>
        <v/>
      </c>
      <c r="B294" s="48">
        <f>IF(Mitarbeiter!B294="","",Mitarbeiter!B294)</f>
        <v/>
      </c>
      <c r="C294" s="37">
        <f>IF(Mitarbeiter!B294="","",N(INDEX($F294:$BM294,1,(Einstellungen!$C$3-2026)*12+1))+N(INDEX($F294:$BM294,1,(Einstellungen!$C$3-2026)*12+2))+N(INDEX($F294:$BM294,1,(Einstellungen!$C$3-2026)*12+3))+N(INDEX($F294:$BM294,1,(Einstellungen!$C$3-2026)*12+4))+N(INDEX($F294:$BM294,1,(Einstellungen!$C$3-2026)*12+5))+N(INDEX($F294:$BM294,1,(Einstellungen!$C$3-2026)*12+6))+N(INDEX($F294:$BM294,1,(Einstellungen!$C$3-2026)*12+7))+N(INDEX($F294:$BM294,1,(Einstellungen!$C$3-2026)*12+8))+N(INDEX($F294:$BM294,1,(Einstellungen!$C$3-2026)*12+9))+N(INDEX($F294:$BM294,1,(Einstellungen!$C$3-2026)*12+10))+N(INDEX($F294:$BM294,1,(Einstellungen!$C$3-2026)*12+11))+N(INDEX($F294:$BM294,1,(Einstellungen!$C$3-2026)*12+12)))</f>
        <v/>
      </c>
      <c r="D294" s="37">
        <f>IF(Mitarbeiter!B294="","",SUM(F294:BM294))</f>
        <v/>
      </c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  <c r="S294" s="51" t="n"/>
      <c r="T294" s="51" t="n"/>
      <c r="U294" s="51" t="n"/>
      <c r="V294" s="51" t="n"/>
      <c r="W294" s="51" t="n"/>
      <c r="X294" s="51" t="n"/>
      <c r="Y294" s="51" t="n"/>
      <c r="Z294" s="51" t="n"/>
      <c r="AA294" s="51" t="n"/>
      <c r="AB294" s="51" t="n"/>
      <c r="AC294" s="51" t="n"/>
      <c r="AD294" s="51" t="n"/>
      <c r="AE294" s="51" t="n"/>
      <c r="AF294" s="51" t="n"/>
      <c r="AG294" s="51" t="n"/>
      <c r="AH294" s="51" t="n"/>
      <c r="AI294" s="51" t="n"/>
      <c r="AJ294" s="51" t="n"/>
      <c r="AK294" s="51" t="n"/>
      <c r="AL294" s="51" t="n"/>
      <c r="AM294" s="51" t="n"/>
      <c r="AN294" s="51" t="n"/>
      <c r="AO294" s="51" t="n"/>
      <c r="AP294" s="51" t="n"/>
      <c r="AQ294" s="51" t="n"/>
      <c r="AR294" s="51" t="n"/>
      <c r="AS294" s="51" t="n"/>
      <c r="AT294" s="51" t="n"/>
      <c r="AU294" s="51" t="n"/>
      <c r="AV294" s="51" t="n"/>
      <c r="AW294" s="51" t="n"/>
      <c r="AX294" s="51" t="n"/>
      <c r="AY294" s="51" t="n"/>
      <c r="AZ294" s="51" t="n"/>
      <c r="BA294" s="51" t="n"/>
      <c r="BB294" s="51" t="n"/>
      <c r="BC294" s="51" t="n"/>
      <c r="BD294" s="51" t="n"/>
      <c r="BE294" s="51" t="n"/>
      <c r="BF294" s="51" t="n"/>
      <c r="BG294" s="51" t="n"/>
      <c r="BH294" s="51" t="n"/>
      <c r="BI294" s="51" t="n"/>
      <c r="BJ294" s="51" t="n"/>
      <c r="BK294" s="51" t="n"/>
      <c r="BL294" s="51" t="n"/>
      <c r="BM294" s="51" t="n"/>
    </row>
    <row r="295">
      <c r="A295" s="47">
        <f>IF(Mitarbeiter!B295="","",Mitarbeiter!A295)</f>
        <v/>
      </c>
      <c r="B295" s="48">
        <f>IF(Mitarbeiter!B295="","",Mitarbeiter!B295)</f>
        <v/>
      </c>
      <c r="C295" s="37">
        <f>IF(Mitarbeiter!B295="","",N(INDEX($F295:$BM295,1,(Einstellungen!$C$3-2026)*12+1))+N(INDEX($F295:$BM295,1,(Einstellungen!$C$3-2026)*12+2))+N(INDEX($F295:$BM295,1,(Einstellungen!$C$3-2026)*12+3))+N(INDEX($F295:$BM295,1,(Einstellungen!$C$3-2026)*12+4))+N(INDEX($F295:$BM295,1,(Einstellungen!$C$3-2026)*12+5))+N(INDEX($F295:$BM295,1,(Einstellungen!$C$3-2026)*12+6))+N(INDEX($F295:$BM295,1,(Einstellungen!$C$3-2026)*12+7))+N(INDEX($F295:$BM295,1,(Einstellungen!$C$3-2026)*12+8))+N(INDEX($F295:$BM295,1,(Einstellungen!$C$3-2026)*12+9))+N(INDEX($F295:$BM295,1,(Einstellungen!$C$3-2026)*12+10))+N(INDEX($F295:$BM295,1,(Einstellungen!$C$3-2026)*12+11))+N(INDEX($F295:$BM295,1,(Einstellungen!$C$3-2026)*12+12)))</f>
        <v/>
      </c>
      <c r="D295" s="37">
        <f>IF(Mitarbeiter!B295="","",SUM(F295:BM295))</f>
        <v/>
      </c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  <c r="S295" s="51" t="n"/>
      <c r="T295" s="51" t="n"/>
      <c r="U295" s="51" t="n"/>
      <c r="V295" s="51" t="n"/>
      <c r="W295" s="51" t="n"/>
      <c r="X295" s="51" t="n"/>
      <c r="Y295" s="51" t="n"/>
      <c r="Z295" s="51" t="n"/>
      <c r="AA295" s="51" t="n"/>
      <c r="AB295" s="51" t="n"/>
      <c r="AC295" s="51" t="n"/>
      <c r="AD295" s="51" t="n"/>
      <c r="AE295" s="51" t="n"/>
      <c r="AF295" s="51" t="n"/>
      <c r="AG295" s="51" t="n"/>
      <c r="AH295" s="51" t="n"/>
      <c r="AI295" s="51" t="n"/>
      <c r="AJ295" s="51" t="n"/>
      <c r="AK295" s="51" t="n"/>
      <c r="AL295" s="51" t="n"/>
      <c r="AM295" s="51" t="n"/>
      <c r="AN295" s="51" t="n"/>
      <c r="AO295" s="51" t="n"/>
      <c r="AP295" s="51" t="n"/>
      <c r="AQ295" s="51" t="n"/>
      <c r="AR295" s="51" t="n"/>
      <c r="AS295" s="51" t="n"/>
      <c r="AT295" s="51" t="n"/>
      <c r="AU295" s="51" t="n"/>
      <c r="AV295" s="51" t="n"/>
      <c r="AW295" s="51" t="n"/>
      <c r="AX295" s="51" t="n"/>
      <c r="AY295" s="51" t="n"/>
      <c r="AZ295" s="51" t="n"/>
      <c r="BA295" s="51" t="n"/>
      <c r="BB295" s="51" t="n"/>
      <c r="BC295" s="51" t="n"/>
      <c r="BD295" s="51" t="n"/>
      <c r="BE295" s="51" t="n"/>
      <c r="BF295" s="51" t="n"/>
      <c r="BG295" s="51" t="n"/>
      <c r="BH295" s="51" t="n"/>
      <c r="BI295" s="51" t="n"/>
      <c r="BJ295" s="51" t="n"/>
      <c r="BK295" s="51" t="n"/>
      <c r="BL295" s="51" t="n"/>
      <c r="BM295" s="51" t="n"/>
    </row>
    <row r="296">
      <c r="A296" s="47">
        <f>IF(Mitarbeiter!B296="","",Mitarbeiter!A296)</f>
        <v/>
      </c>
      <c r="B296" s="48">
        <f>IF(Mitarbeiter!B296="","",Mitarbeiter!B296)</f>
        <v/>
      </c>
      <c r="C296" s="37">
        <f>IF(Mitarbeiter!B296="","",N(INDEX($F296:$BM296,1,(Einstellungen!$C$3-2026)*12+1))+N(INDEX($F296:$BM296,1,(Einstellungen!$C$3-2026)*12+2))+N(INDEX($F296:$BM296,1,(Einstellungen!$C$3-2026)*12+3))+N(INDEX($F296:$BM296,1,(Einstellungen!$C$3-2026)*12+4))+N(INDEX($F296:$BM296,1,(Einstellungen!$C$3-2026)*12+5))+N(INDEX($F296:$BM296,1,(Einstellungen!$C$3-2026)*12+6))+N(INDEX($F296:$BM296,1,(Einstellungen!$C$3-2026)*12+7))+N(INDEX($F296:$BM296,1,(Einstellungen!$C$3-2026)*12+8))+N(INDEX($F296:$BM296,1,(Einstellungen!$C$3-2026)*12+9))+N(INDEX($F296:$BM296,1,(Einstellungen!$C$3-2026)*12+10))+N(INDEX($F296:$BM296,1,(Einstellungen!$C$3-2026)*12+11))+N(INDEX($F296:$BM296,1,(Einstellungen!$C$3-2026)*12+12)))</f>
        <v/>
      </c>
      <c r="D296" s="37">
        <f>IF(Mitarbeiter!B296="","",SUM(F296:BM296))</f>
        <v/>
      </c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  <c r="S296" s="51" t="n"/>
      <c r="T296" s="51" t="n"/>
      <c r="U296" s="51" t="n"/>
      <c r="V296" s="51" t="n"/>
      <c r="W296" s="51" t="n"/>
      <c r="X296" s="51" t="n"/>
      <c r="Y296" s="51" t="n"/>
      <c r="Z296" s="51" t="n"/>
      <c r="AA296" s="51" t="n"/>
      <c r="AB296" s="51" t="n"/>
      <c r="AC296" s="51" t="n"/>
      <c r="AD296" s="51" t="n"/>
      <c r="AE296" s="51" t="n"/>
      <c r="AF296" s="51" t="n"/>
      <c r="AG296" s="51" t="n"/>
      <c r="AH296" s="51" t="n"/>
      <c r="AI296" s="51" t="n"/>
      <c r="AJ296" s="51" t="n"/>
      <c r="AK296" s="51" t="n"/>
      <c r="AL296" s="51" t="n"/>
      <c r="AM296" s="51" t="n"/>
      <c r="AN296" s="51" t="n"/>
      <c r="AO296" s="51" t="n"/>
      <c r="AP296" s="51" t="n"/>
      <c r="AQ296" s="51" t="n"/>
      <c r="AR296" s="51" t="n"/>
      <c r="AS296" s="51" t="n"/>
      <c r="AT296" s="51" t="n"/>
      <c r="AU296" s="51" t="n"/>
      <c r="AV296" s="51" t="n"/>
      <c r="AW296" s="51" t="n"/>
      <c r="AX296" s="51" t="n"/>
      <c r="AY296" s="51" t="n"/>
      <c r="AZ296" s="51" t="n"/>
      <c r="BA296" s="51" t="n"/>
      <c r="BB296" s="51" t="n"/>
      <c r="BC296" s="51" t="n"/>
      <c r="BD296" s="51" t="n"/>
      <c r="BE296" s="51" t="n"/>
      <c r="BF296" s="51" t="n"/>
      <c r="BG296" s="51" t="n"/>
      <c r="BH296" s="51" t="n"/>
      <c r="BI296" s="51" t="n"/>
      <c r="BJ296" s="51" t="n"/>
      <c r="BK296" s="51" t="n"/>
      <c r="BL296" s="51" t="n"/>
      <c r="BM296" s="51" t="n"/>
    </row>
    <row r="297">
      <c r="A297" s="47">
        <f>IF(Mitarbeiter!B297="","",Mitarbeiter!A297)</f>
        <v/>
      </c>
      <c r="B297" s="48">
        <f>IF(Mitarbeiter!B297="","",Mitarbeiter!B297)</f>
        <v/>
      </c>
      <c r="C297" s="37">
        <f>IF(Mitarbeiter!B297="","",N(INDEX($F297:$BM297,1,(Einstellungen!$C$3-2026)*12+1))+N(INDEX($F297:$BM297,1,(Einstellungen!$C$3-2026)*12+2))+N(INDEX($F297:$BM297,1,(Einstellungen!$C$3-2026)*12+3))+N(INDEX($F297:$BM297,1,(Einstellungen!$C$3-2026)*12+4))+N(INDEX($F297:$BM297,1,(Einstellungen!$C$3-2026)*12+5))+N(INDEX($F297:$BM297,1,(Einstellungen!$C$3-2026)*12+6))+N(INDEX($F297:$BM297,1,(Einstellungen!$C$3-2026)*12+7))+N(INDEX($F297:$BM297,1,(Einstellungen!$C$3-2026)*12+8))+N(INDEX($F297:$BM297,1,(Einstellungen!$C$3-2026)*12+9))+N(INDEX($F297:$BM297,1,(Einstellungen!$C$3-2026)*12+10))+N(INDEX($F297:$BM297,1,(Einstellungen!$C$3-2026)*12+11))+N(INDEX($F297:$BM297,1,(Einstellungen!$C$3-2026)*12+12)))</f>
        <v/>
      </c>
      <c r="D297" s="37">
        <f>IF(Mitarbeiter!B297="","",SUM(F297:BM297))</f>
        <v/>
      </c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  <c r="S297" s="51" t="n"/>
      <c r="T297" s="51" t="n"/>
      <c r="U297" s="51" t="n"/>
      <c r="V297" s="51" t="n"/>
      <c r="W297" s="51" t="n"/>
      <c r="X297" s="51" t="n"/>
      <c r="Y297" s="51" t="n"/>
      <c r="Z297" s="51" t="n"/>
      <c r="AA297" s="51" t="n"/>
      <c r="AB297" s="51" t="n"/>
      <c r="AC297" s="51" t="n"/>
      <c r="AD297" s="51" t="n"/>
      <c r="AE297" s="51" t="n"/>
      <c r="AF297" s="51" t="n"/>
      <c r="AG297" s="51" t="n"/>
      <c r="AH297" s="51" t="n"/>
      <c r="AI297" s="51" t="n"/>
      <c r="AJ297" s="51" t="n"/>
      <c r="AK297" s="51" t="n"/>
      <c r="AL297" s="51" t="n"/>
      <c r="AM297" s="51" t="n"/>
      <c r="AN297" s="51" t="n"/>
      <c r="AO297" s="51" t="n"/>
      <c r="AP297" s="51" t="n"/>
      <c r="AQ297" s="51" t="n"/>
      <c r="AR297" s="51" t="n"/>
      <c r="AS297" s="51" t="n"/>
      <c r="AT297" s="51" t="n"/>
      <c r="AU297" s="51" t="n"/>
      <c r="AV297" s="51" t="n"/>
      <c r="AW297" s="51" t="n"/>
      <c r="AX297" s="51" t="n"/>
      <c r="AY297" s="51" t="n"/>
      <c r="AZ297" s="51" t="n"/>
      <c r="BA297" s="51" t="n"/>
      <c r="BB297" s="51" t="n"/>
      <c r="BC297" s="51" t="n"/>
      <c r="BD297" s="51" t="n"/>
      <c r="BE297" s="51" t="n"/>
      <c r="BF297" s="51" t="n"/>
      <c r="BG297" s="51" t="n"/>
      <c r="BH297" s="51" t="n"/>
      <c r="BI297" s="51" t="n"/>
      <c r="BJ297" s="51" t="n"/>
      <c r="BK297" s="51" t="n"/>
      <c r="BL297" s="51" t="n"/>
      <c r="BM297" s="51" t="n"/>
    </row>
    <row r="298">
      <c r="A298" s="47">
        <f>IF(Mitarbeiter!B298="","",Mitarbeiter!A298)</f>
        <v/>
      </c>
      <c r="B298" s="48">
        <f>IF(Mitarbeiter!B298="","",Mitarbeiter!B298)</f>
        <v/>
      </c>
      <c r="C298" s="37">
        <f>IF(Mitarbeiter!B298="","",N(INDEX($F298:$BM298,1,(Einstellungen!$C$3-2026)*12+1))+N(INDEX($F298:$BM298,1,(Einstellungen!$C$3-2026)*12+2))+N(INDEX($F298:$BM298,1,(Einstellungen!$C$3-2026)*12+3))+N(INDEX($F298:$BM298,1,(Einstellungen!$C$3-2026)*12+4))+N(INDEX($F298:$BM298,1,(Einstellungen!$C$3-2026)*12+5))+N(INDEX($F298:$BM298,1,(Einstellungen!$C$3-2026)*12+6))+N(INDEX($F298:$BM298,1,(Einstellungen!$C$3-2026)*12+7))+N(INDEX($F298:$BM298,1,(Einstellungen!$C$3-2026)*12+8))+N(INDEX($F298:$BM298,1,(Einstellungen!$C$3-2026)*12+9))+N(INDEX($F298:$BM298,1,(Einstellungen!$C$3-2026)*12+10))+N(INDEX($F298:$BM298,1,(Einstellungen!$C$3-2026)*12+11))+N(INDEX($F298:$BM298,1,(Einstellungen!$C$3-2026)*12+12)))</f>
        <v/>
      </c>
      <c r="D298" s="37">
        <f>IF(Mitarbeiter!B298="","",SUM(F298:BM298))</f>
        <v/>
      </c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  <c r="S298" s="51" t="n"/>
      <c r="T298" s="51" t="n"/>
      <c r="U298" s="51" t="n"/>
      <c r="V298" s="51" t="n"/>
      <c r="W298" s="51" t="n"/>
      <c r="X298" s="51" t="n"/>
      <c r="Y298" s="51" t="n"/>
      <c r="Z298" s="51" t="n"/>
      <c r="AA298" s="51" t="n"/>
      <c r="AB298" s="51" t="n"/>
      <c r="AC298" s="51" t="n"/>
      <c r="AD298" s="51" t="n"/>
      <c r="AE298" s="51" t="n"/>
      <c r="AF298" s="51" t="n"/>
      <c r="AG298" s="51" t="n"/>
      <c r="AH298" s="51" t="n"/>
      <c r="AI298" s="51" t="n"/>
      <c r="AJ298" s="51" t="n"/>
      <c r="AK298" s="51" t="n"/>
      <c r="AL298" s="51" t="n"/>
      <c r="AM298" s="51" t="n"/>
      <c r="AN298" s="51" t="n"/>
      <c r="AO298" s="51" t="n"/>
      <c r="AP298" s="51" t="n"/>
      <c r="AQ298" s="51" t="n"/>
      <c r="AR298" s="51" t="n"/>
      <c r="AS298" s="51" t="n"/>
      <c r="AT298" s="51" t="n"/>
      <c r="AU298" s="51" t="n"/>
      <c r="AV298" s="51" t="n"/>
      <c r="AW298" s="51" t="n"/>
      <c r="AX298" s="51" t="n"/>
      <c r="AY298" s="51" t="n"/>
      <c r="AZ298" s="51" t="n"/>
      <c r="BA298" s="51" t="n"/>
      <c r="BB298" s="51" t="n"/>
      <c r="BC298" s="51" t="n"/>
      <c r="BD298" s="51" t="n"/>
      <c r="BE298" s="51" t="n"/>
      <c r="BF298" s="51" t="n"/>
      <c r="BG298" s="51" t="n"/>
      <c r="BH298" s="51" t="n"/>
      <c r="BI298" s="51" t="n"/>
      <c r="BJ298" s="51" t="n"/>
      <c r="BK298" s="51" t="n"/>
      <c r="BL298" s="51" t="n"/>
      <c r="BM298" s="51" t="n"/>
    </row>
    <row r="299">
      <c r="A299" s="47">
        <f>IF(Mitarbeiter!B299="","",Mitarbeiter!A299)</f>
        <v/>
      </c>
      <c r="B299" s="48">
        <f>IF(Mitarbeiter!B299="","",Mitarbeiter!B299)</f>
        <v/>
      </c>
      <c r="C299" s="37">
        <f>IF(Mitarbeiter!B299="","",N(INDEX($F299:$BM299,1,(Einstellungen!$C$3-2026)*12+1))+N(INDEX($F299:$BM299,1,(Einstellungen!$C$3-2026)*12+2))+N(INDEX($F299:$BM299,1,(Einstellungen!$C$3-2026)*12+3))+N(INDEX($F299:$BM299,1,(Einstellungen!$C$3-2026)*12+4))+N(INDEX($F299:$BM299,1,(Einstellungen!$C$3-2026)*12+5))+N(INDEX($F299:$BM299,1,(Einstellungen!$C$3-2026)*12+6))+N(INDEX($F299:$BM299,1,(Einstellungen!$C$3-2026)*12+7))+N(INDEX($F299:$BM299,1,(Einstellungen!$C$3-2026)*12+8))+N(INDEX($F299:$BM299,1,(Einstellungen!$C$3-2026)*12+9))+N(INDEX($F299:$BM299,1,(Einstellungen!$C$3-2026)*12+10))+N(INDEX($F299:$BM299,1,(Einstellungen!$C$3-2026)*12+11))+N(INDEX($F299:$BM299,1,(Einstellungen!$C$3-2026)*12+12)))</f>
        <v/>
      </c>
      <c r="D299" s="37">
        <f>IF(Mitarbeiter!B299="","",SUM(F299:BM299))</f>
        <v/>
      </c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  <c r="S299" s="51" t="n"/>
      <c r="T299" s="51" t="n"/>
      <c r="U299" s="51" t="n"/>
      <c r="V299" s="51" t="n"/>
      <c r="W299" s="51" t="n"/>
      <c r="X299" s="51" t="n"/>
      <c r="Y299" s="51" t="n"/>
      <c r="Z299" s="51" t="n"/>
      <c r="AA299" s="51" t="n"/>
      <c r="AB299" s="51" t="n"/>
      <c r="AC299" s="51" t="n"/>
      <c r="AD299" s="51" t="n"/>
      <c r="AE299" s="51" t="n"/>
      <c r="AF299" s="51" t="n"/>
      <c r="AG299" s="51" t="n"/>
      <c r="AH299" s="51" t="n"/>
      <c r="AI299" s="51" t="n"/>
      <c r="AJ299" s="51" t="n"/>
      <c r="AK299" s="51" t="n"/>
      <c r="AL299" s="51" t="n"/>
      <c r="AM299" s="51" t="n"/>
      <c r="AN299" s="51" t="n"/>
      <c r="AO299" s="51" t="n"/>
      <c r="AP299" s="51" t="n"/>
      <c r="AQ299" s="51" t="n"/>
      <c r="AR299" s="51" t="n"/>
      <c r="AS299" s="51" t="n"/>
      <c r="AT299" s="51" t="n"/>
      <c r="AU299" s="51" t="n"/>
      <c r="AV299" s="51" t="n"/>
      <c r="AW299" s="51" t="n"/>
      <c r="AX299" s="51" t="n"/>
      <c r="AY299" s="51" t="n"/>
      <c r="AZ299" s="51" t="n"/>
      <c r="BA299" s="51" t="n"/>
      <c r="BB299" s="51" t="n"/>
      <c r="BC299" s="51" t="n"/>
      <c r="BD299" s="51" t="n"/>
      <c r="BE299" s="51" t="n"/>
      <c r="BF299" s="51" t="n"/>
      <c r="BG299" s="51" t="n"/>
      <c r="BH299" s="51" t="n"/>
      <c r="BI299" s="51" t="n"/>
      <c r="BJ299" s="51" t="n"/>
      <c r="BK299" s="51" t="n"/>
      <c r="BL299" s="51" t="n"/>
      <c r="BM299" s="51" t="n"/>
    </row>
    <row r="300">
      <c r="A300" s="47">
        <f>IF(Mitarbeiter!B300="","",Mitarbeiter!A300)</f>
        <v/>
      </c>
      <c r="B300" s="48">
        <f>IF(Mitarbeiter!B300="","",Mitarbeiter!B300)</f>
        <v/>
      </c>
      <c r="C300" s="37">
        <f>IF(Mitarbeiter!B300="","",N(INDEX($F300:$BM300,1,(Einstellungen!$C$3-2026)*12+1))+N(INDEX($F300:$BM300,1,(Einstellungen!$C$3-2026)*12+2))+N(INDEX($F300:$BM300,1,(Einstellungen!$C$3-2026)*12+3))+N(INDEX($F300:$BM300,1,(Einstellungen!$C$3-2026)*12+4))+N(INDEX($F300:$BM300,1,(Einstellungen!$C$3-2026)*12+5))+N(INDEX($F300:$BM300,1,(Einstellungen!$C$3-2026)*12+6))+N(INDEX($F300:$BM300,1,(Einstellungen!$C$3-2026)*12+7))+N(INDEX($F300:$BM300,1,(Einstellungen!$C$3-2026)*12+8))+N(INDEX($F300:$BM300,1,(Einstellungen!$C$3-2026)*12+9))+N(INDEX($F300:$BM300,1,(Einstellungen!$C$3-2026)*12+10))+N(INDEX($F300:$BM300,1,(Einstellungen!$C$3-2026)*12+11))+N(INDEX($F300:$BM300,1,(Einstellungen!$C$3-2026)*12+12)))</f>
        <v/>
      </c>
      <c r="D300" s="37">
        <f>IF(Mitarbeiter!B300="","",SUM(F300:BM300))</f>
        <v/>
      </c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  <c r="S300" s="51" t="n"/>
      <c r="T300" s="51" t="n"/>
      <c r="U300" s="51" t="n"/>
      <c r="V300" s="51" t="n"/>
      <c r="W300" s="51" t="n"/>
      <c r="X300" s="51" t="n"/>
      <c r="Y300" s="51" t="n"/>
      <c r="Z300" s="51" t="n"/>
      <c r="AA300" s="51" t="n"/>
      <c r="AB300" s="51" t="n"/>
      <c r="AC300" s="51" t="n"/>
      <c r="AD300" s="51" t="n"/>
      <c r="AE300" s="51" t="n"/>
      <c r="AF300" s="51" t="n"/>
      <c r="AG300" s="51" t="n"/>
      <c r="AH300" s="51" t="n"/>
      <c r="AI300" s="51" t="n"/>
      <c r="AJ300" s="51" t="n"/>
      <c r="AK300" s="51" t="n"/>
      <c r="AL300" s="51" t="n"/>
      <c r="AM300" s="51" t="n"/>
      <c r="AN300" s="51" t="n"/>
      <c r="AO300" s="51" t="n"/>
      <c r="AP300" s="51" t="n"/>
      <c r="AQ300" s="51" t="n"/>
      <c r="AR300" s="51" t="n"/>
      <c r="AS300" s="51" t="n"/>
      <c r="AT300" s="51" t="n"/>
      <c r="AU300" s="51" t="n"/>
      <c r="AV300" s="51" t="n"/>
      <c r="AW300" s="51" t="n"/>
      <c r="AX300" s="51" t="n"/>
      <c r="AY300" s="51" t="n"/>
      <c r="AZ300" s="51" t="n"/>
      <c r="BA300" s="51" t="n"/>
      <c r="BB300" s="51" t="n"/>
      <c r="BC300" s="51" t="n"/>
      <c r="BD300" s="51" t="n"/>
      <c r="BE300" s="51" t="n"/>
      <c r="BF300" s="51" t="n"/>
      <c r="BG300" s="51" t="n"/>
      <c r="BH300" s="51" t="n"/>
      <c r="BI300" s="51" t="n"/>
      <c r="BJ300" s="51" t="n"/>
      <c r="BK300" s="51" t="n"/>
      <c r="BL300" s="51" t="n"/>
      <c r="BM300" s="51" t="n"/>
    </row>
    <row r="301">
      <c r="A301" s="47">
        <f>IF(Mitarbeiter!B301="","",Mitarbeiter!A301)</f>
        <v/>
      </c>
      <c r="B301" s="48">
        <f>IF(Mitarbeiter!B301="","",Mitarbeiter!B301)</f>
        <v/>
      </c>
      <c r="C301" s="37">
        <f>IF(Mitarbeiter!B301="","",N(INDEX($F301:$BM301,1,(Einstellungen!$C$3-2026)*12+1))+N(INDEX($F301:$BM301,1,(Einstellungen!$C$3-2026)*12+2))+N(INDEX($F301:$BM301,1,(Einstellungen!$C$3-2026)*12+3))+N(INDEX($F301:$BM301,1,(Einstellungen!$C$3-2026)*12+4))+N(INDEX($F301:$BM301,1,(Einstellungen!$C$3-2026)*12+5))+N(INDEX($F301:$BM301,1,(Einstellungen!$C$3-2026)*12+6))+N(INDEX($F301:$BM301,1,(Einstellungen!$C$3-2026)*12+7))+N(INDEX($F301:$BM301,1,(Einstellungen!$C$3-2026)*12+8))+N(INDEX($F301:$BM301,1,(Einstellungen!$C$3-2026)*12+9))+N(INDEX($F301:$BM301,1,(Einstellungen!$C$3-2026)*12+10))+N(INDEX($F301:$BM301,1,(Einstellungen!$C$3-2026)*12+11))+N(INDEX($F301:$BM301,1,(Einstellungen!$C$3-2026)*12+12)))</f>
        <v/>
      </c>
      <c r="D301" s="37">
        <f>IF(Mitarbeiter!B301="","",SUM(F301:BM301))</f>
        <v/>
      </c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  <c r="S301" s="51" t="n"/>
      <c r="T301" s="51" t="n"/>
      <c r="U301" s="51" t="n"/>
      <c r="V301" s="51" t="n"/>
      <c r="W301" s="51" t="n"/>
      <c r="X301" s="51" t="n"/>
      <c r="Y301" s="51" t="n"/>
      <c r="Z301" s="51" t="n"/>
      <c r="AA301" s="51" t="n"/>
      <c r="AB301" s="51" t="n"/>
      <c r="AC301" s="51" t="n"/>
      <c r="AD301" s="51" t="n"/>
      <c r="AE301" s="51" t="n"/>
      <c r="AF301" s="51" t="n"/>
      <c r="AG301" s="51" t="n"/>
      <c r="AH301" s="51" t="n"/>
      <c r="AI301" s="51" t="n"/>
      <c r="AJ301" s="51" t="n"/>
      <c r="AK301" s="51" t="n"/>
      <c r="AL301" s="51" t="n"/>
      <c r="AM301" s="51" t="n"/>
      <c r="AN301" s="51" t="n"/>
      <c r="AO301" s="51" t="n"/>
      <c r="AP301" s="51" t="n"/>
      <c r="AQ301" s="51" t="n"/>
      <c r="AR301" s="51" t="n"/>
      <c r="AS301" s="51" t="n"/>
      <c r="AT301" s="51" t="n"/>
      <c r="AU301" s="51" t="n"/>
      <c r="AV301" s="51" t="n"/>
      <c r="AW301" s="51" t="n"/>
      <c r="AX301" s="51" t="n"/>
      <c r="AY301" s="51" t="n"/>
      <c r="AZ301" s="51" t="n"/>
      <c r="BA301" s="51" t="n"/>
      <c r="BB301" s="51" t="n"/>
      <c r="BC301" s="51" t="n"/>
      <c r="BD301" s="51" t="n"/>
      <c r="BE301" s="51" t="n"/>
      <c r="BF301" s="51" t="n"/>
      <c r="BG301" s="51" t="n"/>
      <c r="BH301" s="51" t="n"/>
      <c r="BI301" s="51" t="n"/>
      <c r="BJ301" s="51" t="n"/>
      <c r="BK301" s="51" t="n"/>
      <c r="BL301" s="51" t="n"/>
      <c r="BM301" s="51" t="n"/>
    </row>
    <row r="302">
      <c r="A302" s="47">
        <f>IF(Mitarbeiter!B302="","",Mitarbeiter!A302)</f>
        <v/>
      </c>
      <c r="B302" s="48">
        <f>IF(Mitarbeiter!B302="","",Mitarbeiter!B302)</f>
        <v/>
      </c>
      <c r="C302" s="37">
        <f>IF(Mitarbeiter!B302="","",N(INDEX($F302:$BM302,1,(Einstellungen!$C$3-2026)*12+1))+N(INDEX($F302:$BM302,1,(Einstellungen!$C$3-2026)*12+2))+N(INDEX($F302:$BM302,1,(Einstellungen!$C$3-2026)*12+3))+N(INDEX($F302:$BM302,1,(Einstellungen!$C$3-2026)*12+4))+N(INDEX($F302:$BM302,1,(Einstellungen!$C$3-2026)*12+5))+N(INDEX($F302:$BM302,1,(Einstellungen!$C$3-2026)*12+6))+N(INDEX($F302:$BM302,1,(Einstellungen!$C$3-2026)*12+7))+N(INDEX($F302:$BM302,1,(Einstellungen!$C$3-2026)*12+8))+N(INDEX($F302:$BM302,1,(Einstellungen!$C$3-2026)*12+9))+N(INDEX($F302:$BM302,1,(Einstellungen!$C$3-2026)*12+10))+N(INDEX($F302:$BM302,1,(Einstellungen!$C$3-2026)*12+11))+N(INDEX($F302:$BM302,1,(Einstellungen!$C$3-2026)*12+12)))</f>
        <v/>
      </c>
      <c r="D302" s="37">
        <f>IF(Mitarbeiter!B302="","",SUM(F302:BM302))</f>
        <v/>
      </c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  <c r="S302" s="51" t="n"/>
      <c r="T302" s="51" t="n"/>
      <c r="U302" s="51" t="n"/>
      <c r="V302" s="51" t="n"/>
      <c r="W302" s="51" t="n"/>
      <c r="X302" s="51" t="n"/>
      <c r="Y302" s="51" t="n"/>
      <c r="Z302" s="51" t="n"/>
      <c r="AA302" s="51" t="n"/>
      <c r="AB302" s="51" t="n"/>
      <c r="AC302" s="51" t="n"/>
      <c r="AD302" s="51" t="n"/>
      <c r="AE302" s="51" t="n"/>
      <c r="AF302" s="51" t="n"/>
      <c r="AG302" s="51" t="n"/>
      <c r="AH302" s="51" t="n"/>
      <c r="AI302" s="51" t="n"/>
      <c r="AJ302" s="51" t="n"/>
      <c r="AK302" s="51" t="n"/>
      <c r="AL302" s="51" t="n"/>
      <c r="AM302" s="51" t="n"/>
      <c r="AN302" s="51" t="n"/>
      <c r="AO302" s="51" t="n"/>
      <c r="AP302" s="51" t="n"/>
      <c r="AQ302" s="51" t="n"/>
      <c r="AR302" s="51" t="n"/>
      <c r="AS302" s="51" t="n"/>
      <c r="AT302" s="51" t="n"/>
      <c r="AU302" s="51" t="n"/>
      <c r="AV302" s="51" t="n"/>
      <c r="AW302" s="51" t="n"/>
      <c r="AX302" s="51" t="n"/>
      <c r="AY302" s="51" t="n"/>
      <c r="AZ302" s="51" t="n"/>
      <c r="BA302" s="51" t="n"/>
      <c r="BB302" s="51" t="n"/>
      <c r="BC302" s="51" t="n"/>
      <c r="BD302" s="51" t="n"/>
      <c r="BE302" s="51" t="n"/>
      <c r="BF302" s="51" t="n"/>
      <c r="BG302" s="51" t="n"/>
      <c r="BH302" s="51" t="n"/>
      <c r="BI302" s="51" t="n"/>
      <c r="BJ302" s="51" t="n"/>
      <c r="BK302" s="51" t="n"/>
      <c r="BL302" s="51" t="n"/>
      <c r="BM302" s="51" t="n"/>
    </row>
    <row r="303">
      <c r="A303" s="47">
        <f>IF(Mitarbeiter!B303="","",Mitarbeiter!A303)</f>
        <v/>
      </c>
      <c r="B303" s="48">
        <f>IF(Mitarbeiter!B303="","",Mitarbeiter!B303)</f>
        <v/>
      </c>
      <c r="C303" s="37">
        <f>IF(Mitarbeiter!B303="","",N(INDEX($F303:$BM303,1,(Einstellungen!$C$3-2026)*12+1))+N(INDEX($F303:$BM303,1,(Einstellungen!$C$3-2026)*12+2))+N(INDEX($F303:$BM303,1,(Einstellungen!$C$3-2026)*12+3))+N(INDEX($F303:$BM303,1,(Einstellungen!$C$3-2026)*12+4))+N(INDEX($F303:$BM303,1,(Einstellungen!$C$3-2026)*12+5))+N(INDEX($F303:$BM303,1,(Einstellungen!$C$3-2026)*12+6))+N(INDEX($F303:$BM303,1,(Einstellungen!$C$3-2026)*12+7))+N(INDEX($F303:$BM303,1,(Einstellungen!$C$3-2026)*12+8))+N(INDEX($F303:$BM303,1,(Einstellungen!$C$3-2026)*12+9))+N(INDEX($F303:$BM303,1,(Einstellungen!$C$3-2026)*12+10))+N(INDEX($F303:$BM303,1,(Einstellungen!$C$3-2026)*12+11))+N(INDEX($F303:$BM303,1,(Einstellungen!$C$3-2026)*12+12)))</f>
        <v/>
      </c>
      <c r="D303" s="37">
        <f>IF(Mitarbeiter!B303="","",SUM(F303:BM303))</f>
        <v/>
      </c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  <c r="S303" s="51" t="n"/>
      <c r="T303" s="51" t="n"/>
      <c r="U303" s="51" t="n"/>
      <c r="V303" s="51" t="n"/>
      <c r="W303" s="51" t="n"/>
      <c r="X303" s="51" t="n"/>
      <c r="Y303" s="51" t="n"/>
      <c r="Z303" s="51" t="n"/>
      <c r="AA303" s="51" t="n"/>
      <c r="AB303" s="51" t="n"/>
      <c r="AC303" s="51" t="n"/>
      <c r="AD303" s="51" t="n"/>
      <c r="AE303" s="51" t="n"/>
      <c r="AF303" s="51" t="n"/>
      <c r="AG303" s="51" t="n"/>
      <c r="AH303" s="51" t="n"/>
      <c r="AI303" s="51" t="n"/>
      <c r="AJ303" s="51" t="n"/>
      <c r="AK303" s="51" t="n"/>
      <c r="AL303" s="51" t="n"/>
      <c r="AM303" s="51" t="n"/>
      <c r="AN303" s="51" t="n"/>
      <c r="AO303" s="51" t="n"/>
      <c r="AP303" s="51" t="n"/>
      <c r="AQ303" s="51" t="n"/>
      <c r="AR303" s="51" t="n"/>
      <c r="AS303" s="51" t="n"/>
      <c r="AT303" s="51" t="n"/>
      <c r="AU303" s="51" t="n"/>
      <c r="AV303" s="51" t="n"/>
      <c r="AW303" s="51" t="n"/>
      <c r="AX303" s="51" t="n"/>
      <c r="AY303" s="51" t="n"/>
      <c r="AZ303" s="51" t="n"/>
      <c r="BA303" s="51" t="n"/>
      <c r="BB303" s="51" t="n"/>
      <c r="BC303" s="51" t="n"/>
      <c r="BD303" s="51" t="n"/>
      <c r="BE303" s="51" t="n"/>
      <c r="BF303" s="51" t="n"/>
      <c r="BG303" s="51" t="n"/>
      <c r="BH303" s="51" t="n"/>
      <c r="BI303" s="51" t="n"/>
      <c r="BJ303" s="51" t="n"/>
      <c r="BK303" s="51" t="n"/>
      <c r="BL303" s="51" t="n"/>
      <c r="BM303" s="51" t="n"/>
    </row>
    <row r="304">
      <c r="A304" s="47">
        <f>IF(Mitarbeiter!B304="","",Mitarbeiter!A304)</f>
        <v/>
      </c>
      <c r="B304" s="48">
        <f>IF(Mitarbeiter!B304="","",Mitarbeiter!B304)</f>
        <v/>
      </c>
      <c r="C304" s="37">
        <f>IF(Mitarbeiter!B304="","",N(INDEX($F304:$BM304,1,(Einstellungen!$C$3-2026)*12+1))+N(INDEX($F304:$BM304,1,(Einstellungen!$C$3-2026)*12+2))+N(INDEX($F304:$BM304,1,(Einstellungen!$C$3-2026)*12+3))+N(INDEX($F304:$BM304,1,(Einstellungen!$C$3-2026)*12+4))+N(INDEX($F304:$BM304,1,(Einstellungen!$C$3-2026)*12+5))+N(INDEX($F304:$BM304,1,(Einstellungen!$C$3-2026)*12+6))+N(INDEX($F304:$BM304,1,(Einstellungen!$C$3-2026)*12+7))+N(INDEX($F304:$BM304,1,(Einstellungen!$C$3-2026)*12+8))+N(INDEX($F304:$BM304,1,(Einstellungen!$C$3-2026)*12+9))+N(INDEX($F304:$BM304,1,(Einstellungen!$C$3-2026)*12+10))+N(INDEX($F304:$BM304,1,(Einstellungen!$C$3-2026)*12+11))+N(INDEX($F304:$BM304,1,(Einstellungen!$C$3-2026)*12+12)))</f>
        <v/>
      </c>
      <c r="D304" s="37">
        <f>IF(Mitarbeiter!B304="","",SUM(F304:BM304))</f>
        <v/>
      </c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  <c r="S304" s="51" t="n"/>
      <c r="T304" s="51" t="n"/>
      <c r="U304" s="51" t="n"/>
      <c r="V304" s="51" t="n"/>
      <c r="W304" s="51" t="n"/>
      <c r="X304" s="51" t="n"/>
      <c r="Y304" s="51" t="n"/>
      <c r="Z304" s="51" t="n"/>
      <c r="AA304" s="51" t="n"/>
      <c r="AB304" s="51" t="n"/>
      <c r="AC304" s="51" t="n"/>
      <c r="AD304" s="51" t="n"/>
      <c r="AE304" s="51" t="n"/>
      <c r="AF304" s="51" t="n"/>
      <c r="AG304" s="51" t="n"/>
      <c r="AH304" s="51" t="n"/>
      <c r="AI304" s="51" t="n"/>
      <c r="AJ304" s="51" t="n"/>
      <c r="AK304" s="51" t="n"/>
      <c r="AL304" s="51" t="n"/>
      <c r="AM304" s="51" t="n"/>
      <c r="AN304" s="51" t="n"/>
      <c r="AO304" s="51" t="n"/>
      <c r="AP304" s="51" t="n"/>
      <c r="AQ304" s="51" t="n"/>
      <c r="AR304" s="51" t="n"/>
      <c r="AS304" s="51" t="n"/>
      <c r="AT304" s="51" t="n"/>
      <c r="AU304" s="51" t="n"/>
      <c r="AV304" s="51" t="n"/>
      <c r="AW304" s="51" t="n"/>
      <c r="AX304" s="51" t="n"/>
      <c r="AY304" s="51" t="n"/>
      <c r="AZ304" s="51" t="n"/>
      <c r="BA304" s="51" t="n"/>
      <c r="BB304" s="51" t="n"/>
      <c r="BC304" s="51" t="n"/>
      <c r="BD304" s="51" t="n"/>
      <c r="BE304" s="51" t="n"/>
      <c r="BF304" s="51" t="n"/>
      <c r="BG304" s="51" t="n"/>
      <c r="BH304" s="51" t="n"/>
      <c r="BI304" s="51" t="n"/>
      <c r="BJ304" s="51" t="n"/>
      <c r="BK304" s="51" t="n"/>
      <c r="BL304" s="51" t="n"/>
      <c r="BM304" s="51" t="n"/>
    </row>
    <row r="305">
      <c r="A305" s="47">
        <f>IF(Mitarbeiter!B305="","",Mitarbeiter!A305)</f>
        <v/>
      </c>
      <c r="B305" s="48">
        <f>IF(Mitarbeiter!B305="","",Mitarbeiter!B305)</f>
        <v/>
      </c>
      <c r="C305" s="37">
        <f>IF(Mitarbeiter!B305="","",N(INDEX($F305:$BM305,1,(Einstellungen!$C$3-2026)*12+1))+N(INDEX($F305:$BM305,1,(Einstellungen!$C$3-2026)*12+2))+N(INDEX($F305:$BM305,1,(Einstellungen!$C$3-2026)*12+3))+N(INDEX($F305:$BM305,1,(Einstellungen!$C$3-2026)*12+4))+N(INDEX($F305:$BM305,1,(Einstellungen!$C$3-2026)*12+5))+N(INDEX($F305:$BM305,1,(Einstellungen!$C$3-2026)*12+6))+N(INDEX($F305:$BM305,1,(Einstellungen!$C$3-2026)*12+7))+N(INDEX($F305:$BM305,1,(Einstellungen!$C$3-2026)*12+8))+N(INDEX($F305:$BM305,1,(Einstellungen!$C$3-2026)*12+9))+N(INDEX($F305:$BM305,1,(Einstellungen!$C$3-2026)*12+10))+N(INDEX($F305:$BM305,1,(Einstellungen!$C$3-2026)*12+11))+N(INDEX($F305:$BM305,1,(Einstellungen!$C$3-2026)*12+12)))</f>
        <v/>
      </c>
      <c r="D305" s="37">
        <f>IF(Mitarbeiter!B305="","",SUM(F305:BM305))</f>
        <v/>
      </c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  <c r="S305" s="51" t="n"/>
      <c r="T305" s="51" t="n"/>
      <c r="U305" s="51" t="n"/>
      <c r="V305" s="51" t="n"/>
      <c r="W305" s="51" t="n"/>
      <c r="X305" s="51" t="n"/>
      <c r="Y305" s="51" t="n"/>
      <c r="Z305" s="51" t="n"/>
      <c r="AA305" s="51" t="n"/>
      <c r="AB305" s="51" t="n"/>
      <c r="AC305" s="51" t="n"/>
      <c r="AD305" s="51" t="n"/>
      <c r="AE305" s="51" t="n"/>
      <c r="AF305" s="51" t="n"/>
      <c r="AG305" s="51" t="n"/>
      <c r="AH305" s="51" t="n"/>
      <c r="AI305" s="51" t="n"/>
      <c r="AJ305" s="51" t="n"/>
      <c r="AK305" s="51" t="n"/>
      <c r="AL305" s="51" t="n"/>
      <c r="AM305" s="51" t="n"/>
      <c r="AN305" s="51" t="n"/>
      <c r="AO305" s="51" t="n"/>
      <c r="AP305" s="51" t="n"/>
      <c r="AQ305" s="51" t="n"/>
      <c r="AR305" s="51" t="n"/>
      <c r="AS305" s="51" t="n"/>
      <c r="AT305" s="51" t="n"/>
      <c r="AU305" s="51" t="n"/>
      <c r="AV305" s="51" t="n"/>
      <c r="AW305" s="51" t="n"/>
      <c r="AX305" s="51" t="n"/>
      <c r="AY305" s="51" t="n"/>
      <c r="AZ305" s="51" t="n"/>
      <c r="BA305" s="51" t="n"/>
      <c r="BB305" s="51" t="n"/>
      <c r="BC305" s="51" t="n"/>
      <c r="BD305" s="51" t="n"/>
      <c r="BE305" s="51" t="n"/>
      <c r="BF305" s="51" t="n"/>
      <c r="BG305" s="51" t="n"/>
      <c r="BH305" s="51" t="n"/>
      <c r="BI305" s="51" t="n"/>
      <c r="BJ305" s="51" t="n"/>
      <c r="BK305" s="51" t="n"/>
      <c r="BL305" s="51" t="n"/>
      <c r="BM305" s="51" t="n"/>
    </row>
    <row r="306">
      <c r="A306" s="41" t="n"/>
      <c r="B306" s="41" t="inlineStr">
        <is>
          <t>Summe</t>
        </is>
      </c>
      <c r="C306" s="45">
        <f>SUM(C6:C305)</f>
        <v/>
      </c>
      <c r="D306" s="45">
        <f>SUM(D6:D305)</f>
        <v/>
      </c>
      <c r="F306" s="45">
        <f>SUM(F6:F305)</f>
        <v/>
      </c>
      <c r="G306" s="45">
        <f>SUM(G6:G305)</f>
        <v/>
      </c>
      <c r="H306" s="45">
        <f>SUM(H6:H305)</f>
        <v/>
      </c>
      <c r="I306" s="45">
        <f>SUM(I6:I305)</f>
        <v/>
      </c>
      <c r="J306" s="45">
        <f>SUM(J6:J305)</f>
        <v/>
      </c>
      <c r="K306" s="45">
        <f>SUM(K6:K305)</f>
        <v/>
      </c>
      <c r="L306" s="45">
        <f>SUM(L6:L305)</f>
        <v/>
      </c>
      <c r="M306" s="45">
        <f>SUM(M6:M305)</f>
        <v/>
      </c>
      <c r="N306" s="45">
        <f>SUM(N6:N305)</f>
        <v/>
      </c>
      <c r="O306" s="45">
        <f>SUM(O6:O305)</f>
        <v/>
      </c>
      <c r="P306" s="45">
        <f>SUM(P6:P305)</f>
        <v/>
      </c>
      <c r="Q306" s="45">
        <f>SUM(Q6:Q305)</f>
        <v/>
      </c>
      <c r="R306" s="45">
        <f>SUM(R6:R305)</f>
        <v/>
      </c>
      <c r="S306" s="45">
        <f>SUM(S6:S305)</f>
        <v/>
      </c>
      <c r="T306" s="45">
        <f>SUM(T6:T305)</f>
        <v/>
      </c>
      <c r="U306" s="45">
        <f>SUM(U6:U305)</f>
        <v/>
      </c>
      <c r="V306" s="45">
        <f>SUM(V6:V305)</f>
        <v/>
      </c>
      <c r="W306" s="45">
        <f>SUM(W6:W305)</f>
        <v/>
      </c>
      <c r="X306" s="45">
        <f>SUM(X6:X305)</f>
        <v/>
      </c>
      <c r="Y306" s="45">
        <f>SUM(Y6:Y305)</f>
        <v/>
      </c>
      <c r="Z306" s="45">
        <f>SUM(Z6:Z305)</f>
        <v/>
      </c>
      <c r="AA306" s="45">
        <f>SUM(AA6:AA305)</f>
        <v/>
      </c>
      <c r="AB306" s="45">
        <f>SUM(AB6:AB305)</f>
        <v/>
      </c>
      <c r="AC306" s="45">
        <f>SUM(AC6:AC305)</f>
        <v/>
      </c>
      <c r="AD306" s="45">
        <f>SUM(AD6:AD305)</f>
        <v/>
      </c>
      <c r="AE306" s="45">
        <f>SUM(AE6:AE305)</f>
        <v/>
      </c>
      <c r="AF306" s="45">
        <f>SUM(AF6:AF305)</f>
        <v/>
      </c>
      <c r="AG306" s="45">
        <f>SUM(AG6:AG305)</f>
        <v/>
      </c>
      <c r="AH306" s="45">
        <f>SUM(AH6:AH305)</f>
        <v/>
      </c>
      <c r="AI306" s="45">
        <f>SUM(AI6:AI305)</f>
        <v/>
      </c>
      <c r="AJ306" s="45">
        <f>SUM(AJ6:AJ305)</f>
        <v/>
      </c>
      <c r="AK306" s="45">
        <f>SUM(AK6:AK305)</f>
        <v/>
      </c>
      <c r="AL306" s="45">
        <f>SUM(AL6:AL305)</f>
        <v/>
      </c>
      <c r="AM306" s="45">
        <f>SUM(AM6:AM305)</f>
        <v/>
      </c>
      <c r="AN306" s="45">
        <f>SUM(AN6:AN305)</f>
        <v/>
      </c>
      <c r="AO306" s="45">
        <f>SUM(AO6:AO305)</f>
        <v/>
      </c>
      <c r="AP306" s="45">
        <f>SUM(AP6:AP305)</f>
        <v/>
      </c>
      <c r="AQ306" s="45">
        <f>SUM(AQ6:AQ305)</f>
        <v/>
      </c>
      <c r="AR306" s="45">
        <f>SUM(AR6:AR305)</f>
        <v/>
      </c>
      <c r="AS306" s="45">
        <f>SUM(AS6:AS305)</f>
        <v/>
      </c>
      <c r="AT306" s="45">
        <f>SUM(AT6:AT305)</f>
        <v/>
      </c>
      <c r="AU306" s="45">
        <f>SUM(AU6:AU305)</f>
        <v/>
      </c>
      <c r="AV306" s="45">
        <f>SUM(AV6:AV305)</f>
        <v/>
      </c>
      <c r="AW306" s="45">
        <f>SUM(AW6:AW305)</f>
        <v/>
      </c>
      <c r="AX306" s="45">
        <f>SUM(AX6:AX305)</f>
        <v/>
      </c>
      <c r="AY306" s="45">
        <f>SUM(AY6:AY305)</f>
        <v/>
      </c>
      <c r="AZ306" s="45">
        <f>SUM(AZ6:AZ305)</f>
        <v/>
      </c>
      <c r="BA306" s="45">
        <f>SUM(BA6:BA305)</f>
        <v/>
      </c>
      <c r="BB306" s="45">
        <f>SUM(BB6:BB305)</f>
        <v/>
      </c>
      <c r="BC306" s="45">
        <f>SUM(BC6:BC305)</f>
        <v/>
      </c>
      <c r="BD306" s="45">
        <f>SUM(BD6:BD305)</f>
        <v/>
      </c>
      <c r="BE306" s="45">
        <f>SUM(BE6:BE305)</f>
        <v/>
      </c>
      <c r="BF306" s="45">
        <f>SUM(BF6:BF305)</f>
        <v/>
      </c>
      <c r="BG306" s="45">
        <f>SUM(BG6:BG305)</f>
        <v/>
      </c>
      <c r="BH306" s="45">
        <f>SUM(BH6:BH305)</f>
        <v/>
      </c>
      <c r="BI306" s="45">
        <f>SUM(BI6:BI305)</f>
        <v/>
      </c>
      <c r="BJ306" s="45">
        <f>SUM(BJ6:BJ305)</f>
        <v/>
      </c>
      <c r="BK306" s="45">
        <f>SUM(BK6:BK305)</f>
        <v/>
      </c>
      <c r="BL306" s="45">
        <f>SUM(BL6:BL305)</f>
        <v/>
      </c>
      <c r="BM306" s="45">
        <f>SUM(BM6:BM305)</f>
        <v/>
      </c>
    </row>
  </sheetData>
  <mergeCells count="6">
    <mergeCell ref="BB4:BM4"/>
    <mergeCell ref="A2:E2"/>
    <mergeCell ref="R4:AC4"/>
    <mergeCell ref="AD4:AO4"/>
    <mergeCell ref="AP4:BA4"/>
    <mergeCell ref="F4:Q4"/>
  </mergeCells>
  <conditionalFormatting sqref="F6:F305">
    <cfRule type="expression" priority="1" dxfId="4">
      <formula>AND($B6&lt;&gt;"",OR(DATE(2026,2,0)&lt;Mitarbeiter!$C6,AND(Mitarbeiter!$D6&lt;&gt;"",DATE(2026,1,1)&gt;Mitarbeiter!$D6)))</formula>
    </cfRule>
  </conditionalFormatting>
  <conditionalFormatting sqref="G6:G305">
    <cfRule type="expression" priority="2" dxfId="4">
      <formula>AND($B6&lt;&gt;"",OR(DATE(2026,3,0)&lt;Mitarbeiter!$C6,AND(Mitarbeiter!$D6&lt;&gt;"",DATE(2026,2,1)&gt;Mitarbeiter!$D6)))</formula>
    </cfRule>
  </conditionalFormatting>
  <conditionalFormatting sqref="H6:H305">
    <cfRule type="expression" priority="3" dxfId="4">
      <formula>AND($B6&lt;&gt;"",OR(DATE(2026,4,0)&lt;Mitarbeiter!$C6,AND(Mitarbeiter!$D6&lt;&gt;"",DATE(2026,3,1)&gt;Mitarbeiter!$D6)))</formula>
    </cfRule>
  </conditionalFormatting>
  <conditionalFormatting sqref="I6:I305">
    <cfRule type="expression" priority="4" dxfId="4">
      <formula>AND($B6&lt;&gt;"",OR(DATE(2026,5,0)&lt;Mitarbeiter!$C6,AND(Mitarbeiter!$D6&lt;&gt;"",DATE(2026,4,1)&gt;Mitarbeiter!$D6)))</formula>
    </cfRule>
  </conditionalFormatting>
  <conditionalFormatting sqref="J6:J305">
    <cfRule type="expression" priority="5" dxfId="4">
      <formula>AND($B6&lt;&gt;"",OR(DATE(2026,6,0)&lt;Mitarbeiter!$C6,AND(Mitarbeiter!$D6&lt;&gt;"",DATE(2026,5,1)&gt;Mitarbeiter!$D6)))</formula>
    </cfRule>
  </conditionalFormatting>
  <conditionalFormatting sqref="K6:K305">
    <cfRule type="expression" priority="6" dxfId="4">
      <formula>AND($B6&lt;&gt;"",OR(DATE(2026,7,0)&lt;Mitarbeiter!$C6,AND(Mitarbeiter!$D6&lt;&gt;"",DATE(2026,6,1)&gt;Mitarbeiter!$D6)))</formula>
    </cfRule>
  </conditionalFormatting>
  <conditionalFormatting sqref="L6:L305">
    <cfRule type="expression" priority="7" dxfId="4">
      <formula>AND($B6&lt;&gt;"",OR(DATE(2026,8,0)&lt;Mitarbeiter!$C6,AND(Mitarbeiter!$D6&lt;&gt;"",DATE(2026,7,1)&gt;Mitarbeiter!$D6)))</formula>
    </cfRule>
  </conditionalFormatting>
  <conditionalFormatting sqref="M6:M305">
    <cfRule type="expression" priority="8" dxfId="4">
      <formula>AND($B6&lt;&gt;"",OR(DATE(2026,9,0)&lt;Mitarbeiter!$C6,AND(Mitarbeiter!$D6&lt;&gt;"",DATE(2026,8,1)&gt;Mitarbeiter!$D6)))</formula>
    </cfRule>
  </conditionalFormatting>
  <conditionalFormatting sqref="N6:N305">
    <cfRule type="expression" priority="9" dxfId="4">
      <formula>AND($B6&lt;&gt;"",OR(DATE(2026,10,0)&lt;Mitarbeiter!$C6,AND(Mitarbeiter!$D6&lt;&gt;"",DATE(2026,9,1)&gt;Mitarbeiter!$D6)))</formula>
    </cfRule>
  </conditionalFormatting>
  <conditionalFormatting sqref="O6:O305">
    <cfRule type="expression" priority="10" dxfId="4">
      <formula>AND($B6&lt;&gt;"",OR(DATE(2026,11,0)&lt;Mitarbeiter!$C6,AND(Mitarbeiter!$D6&lt;&gt;"",DATE(2026,10,1)&gt;Mitarbeiter!$D6)))</formula>
    </cfRule>
  </conditionalFormatting>
  <conditionalFormatting sqref="P6:P305">
    <cfRule type="expression" priority="11" dxfId="4">
      <formula>AND($B6&lt;&gt;"",OR(DATE(2026,12,0)&lt;Mitarbeiter!$C6,AND(Mitarbeiter!$D6&lt;&gt;"",DATE(2026,11,1)&gt;Mitarbeiter!$D6)))</formula>
    </cfRule>
  </conditionalFormatting>
  <conditionalFormatting sqref="Q6:Q305">
    <cfRule type="expression" priority="12" dxfId="4">
      <formula>AND($B6&lt;&gt;"",OR(DATE(2026,13,0)&lt;Mitarbeiter!$C6,AND(Mitarbeiter!$D6&lt;&gt;"",DATE(2026,12,1)&gt;Mitarbeiter!$D6)))</formula>
    </cfRule>
  </conditionalFormatting>
  <conditionalFormatting sqref="R6:R305">
    <cfRule type="expression" priority="13" dxfId="4">
      <formula>AND($B6&lt;&gt;"",OR(DATE(2027,2,0)&lt;Mitarbeiter!$C6,AND(Mitarbeiter!$D6&lt;&gt;"",DATE(2027,1,1)&gt;Mitarbeiter!$D6)))</formula>
    </cfRule>
  </conditionalFormatting>
  <conditionalFormatting sqref="S6:S305">
    <cfRule type="expression" priority="14" dxfId="4">
      <formula>AND($B6&lt;&gt;"",OR(DATE(2027,3,0)&lt;Mitarbeiter!$C6,AND(Mitarbeiter!$D6&lt;&gt;"",DATE(2027,2,1)&gt;Mitarbeiter!$D6)))</formula>
    </cfRule>
  </conditionalFormatting>
  <conditionalFormatting sqref="T6:T305">
    <cfRule type="expression" priority="15" dxfId="4">
      <formula>AND($B6&lt;&gt;"",OR(DATE(2027,4,0)&lt;Mitarbeiter!$C6,AND(Mitarbeiter!$D6&lt;&gt;"",DATE(2027,3,1)&gt;Mitarbeiter!$D6)))</formula>
    </cfRule>
  </conditionalFormatting>
  <conditionalFormatting sqref="U6:U305">
    <cfRule type="expression" priority="16" dxfId="4">
      <formula>AND($B6&lt;&gt;"",OR(DATE(2027,5,0)&lt;Mitarbeiter!$C6,AND(Mitarbeiter!$D6&lt;&gt;"",DATE(2027,4,1)&gt;Mitarbeiter!$D6)))</formula>
    </cfRule>
  </conditionalFormatting>
  <conditionalFormatting sqref="V6:V305">
    <cfRule type="expression" priority="17" dxfId="4">
      <formula>AND($B6&lt;&gt;"",OR(DATE(2027,6,0)&lt;Mitarbeiter!$C6,AND(Mitarbeiter!$D6&lt;&gt;"",DATE(2027,5,1)&gt;Mitarbeiter!$D6)))</formula>
    </cfRule>
  </conditionalFormatting>
  <conditionalFormatting sqref="W6:W305">
    <cfRule type="expression" priority="18" dxfId="4">
      <formula>AND($B6&lt;&gt;"",OR(DATE(2027,7,0)&lt;Mitarbeiter!$C6,AND(Mitarbeiter!$D6&lt;&gt;"",DATE(2027,6,1)&gt;Mitarbeiter!$D6)))</formula>
    </cfRule>
  </conditionalFormatting>
  <conditionalFormatting sqref="X6:X305">
    <cfRule type="expression" priority="19" dxfId="4">
      <formula>AND($B6&lt;&gt;"",OR(DATE(2027,8,0)&lt;Mitarbeiter!$C6,AND(Mitarbeiter!$D6&lt;&gt;"",DATE(2027,7,1)&gt;Mitarbeiter!$D6)))</formula>
    </cfRule>
  </conditionalFormatting>
  <conditionalFormatting sqref="Y6:Y305">
    <cfRule type="expression" priority="20" dxfId="4">
      <formula>AND($B6&lt;&gt;"",OR(DATE(2027,9,0)&lt;Mitarbeiter!$C6,AND(Mitarbeiter!$D6&lt;&gt;"",DATE(2027,8,1)&gt;Mitarbeiter!$D6)))</formula>
    </cfRule>
  </conditionalFormatting>
  <conditionalFormatting sqref="Z6:Z305">
    <cfRule type="expression" priority="21" dxfId="4">
      <formula>AND($B6&lt;&gt;"",OR(DATE(2027,10,0)&lt;Mitarbeiter!$C6,AND(Mitarbeiter!$D6&lt;&gt;"",DATE(2027,9,1)&gt;Mitarbeiter!$D6)))</formula>
    </cfRule>
  </conditionalFormatting>
  <conditionalFormatting sqref="AA6:AA305">
    <cfRule type="expression" priority="22" dxfId="4">
      <formula>AND($B6&lt;&gt;"",OR(DATE(2027,11,0)&lt;Mitarbeiter!$C6,AND(Mitarbeiter!$D6&lt;&gt;"",DATE(2027,10,1)&gt;Mitarbeiter!$D6)))</formula>
    </cfRule>
  </conditionalFormatting>
  <conditionalFormatting sqref="AB6:AB305">
    <cfRule type="expression" priority="23" dxfId="4">
      <formula>AND($B6&lt;&gt;"",OR(DATE(2027,12,0)&lt;Mitarbeiter!$C6,AND(Mitarbeiter!$D6&lt;&gt;"",DATE(2027,11,1)&gt;Mitarbeiter!$D6)))</formula>
    </cfRule>
  </conditionalFormatting>
  <conditionalFormatting sqref="AC6:AC305">
    <cfRule type="expression" priority="24" dxfId="4">
      <formula>AND($B6&lt;&gt;"",OR(DATE(2027,13,0)&lt;Mitarbeiter!$C6,AND(Mitarbeiter!$D6&lt;&gt;"",DATE(2027,12,1)&gt;Mitarbeiter!$D6)))</formula>
    </cfRule>
  </conditionalFormatting>
  <conditionalFormatting sqref="AD6:AD305">
    <cfRule type="expression" priority="25" dxfId="4">
      <formula>AND($B6&lt;&gt;"",OR(DATE(2028,2,0)&lt;Mitarbeiter!$C6,AND(Mitarbeiter!$D6&lt;&gt;"",DATE(2028,1,1)&gt;Mitarbeiter!$D6)))</formula>
    </cfRule>
  </conditionalFormatting>
  <conditionalFormatting sqref="AE6:AE305">
    <cfRule type="expression" priority="26" dxfId="4">
      <formula>AND($B6&lt;&gt;"",OR(DATE(2028,3,0)&lt;Mitarbeiter!$C6,AND(Mitarbeiter!$D6&lt;&gt;"",DATE(2028,2,1)&gt;Mitarbeiter!$D6)))</formula>
    </cfRule>
  </conditionalFormatting>
  <conditionalFormatting sqref="AF6:AF305">
    <cfRule type="expression" priority="27" dxfId="4">
      <formula>AND($B6&lt;&gt;"",OR(DATE(2028,4,0)&lt;Mitarbeiter!$C6,AND(Mitarbeiter!$D6&lt;&gt;"",DATE(2028,3,1)&gt;Mitarbeiter!$D6)))</formula>
    </cfRule>
  </conditionalFormatting>
  <conditionalFormatting sqref="AG6:AG305">
    <cfRule type="expression" priority="28" dxfId="4">
      <formula>AND($B6&lt;&gt;"",OR(DATE(2028,5,0)&lt;Mitarbeiter!$C6,AND(Mitarbeiter!$D6&lt;&gt;"",DATE(2028,4,1)&gt;Mitarbeiter!$D6)))</formula>
    </cfRule>
  </conditionalFormatting>
  <conditionalFormatting sqref="AH6:AH305">
    <cfRule type="expression" priority="29" dxfId="4">
      <formula>AND($B6&lt;&gt;"",OR(DATE(2028,6,0)&lt;Mitarbeiter!$C6,AND(Mitarbeiter!$D6&lt;&gt;"",DATE(2028,5,1)&gt;Mitarbeiter!$D6)))</formula>
    </cfRule>
  </conditionalFormatting>
  <conditionalFormatting sqref="AI6:AI305">
    <cfRule type="expression" priority="30" dxfId="4">
      <formula>AND($B6&lt;&gt;"",OR(DATE(2028,7,0)&lt;Mitarbeiter!$C6,AND(Mitarbeiter!$D6&lt;&gt;"",DATE(2028,6,1)&gt;Mitarbeiter!$D6)))</formula>
    </cfRule>
  </conditionalFormatting>
  <conditionalFormatting sqref="AJ6:AJ305">
    <cfRule type="expression" priority="31" dxfId="4">
      <formula>AND($B6&lt;&gt;"",OR(DATE(2028,8,0)&lt;Mitarbeiter!$C6,AND(Mitarbeiter!$D6&lt;&gt;"",DATE(2028,7,1)&gt;Mitarbeiter!$D6)))</formula>
    </cfRule>
  </conditionalFormatting>
  <conditionalFormatting sqref="AK6:AK305">
    <cfRule type="expression" priority="32" dxfId="4">
      <formula>AND($B6&lt;&gt;"",OR(DATE(2028,9,0)&lt;Mitarbeiter!$C6,AND(Mitarbeiter!$D6&lt;&gt;"",DATE(2028,8,1)&gt;Mitarbeiter!$D6)))</formula>
    </cfRule>
  </conditionalFormatting>
  <conditionalFormatting sqref="AL6:AL305">
    <cfRule type="expression" priority="33" dxfId="4">
      <formula>AND($B6&lt;&gt;"",OR(DATE(2028,10,0)&lt;Mitarbeiter!$C6,AND(Mitarbeiter!$D6&lt;&gt;"",DATE(2028,9,1)&gt;Mitarbeiter!$D6)))</formula>
    </cfRule>
  </conditionalFormatting>
  <conditionalFormatting sqref="AM6:AM305">
    <cfRule type="expression" priority="34" dxfId="4">
      <formula>AND($B6&lt;&gt;"",OR(DATE(2028,11,0)&lt;Mitarbeiter!$C6,AND(Mitarbeiter!$D6&lt;&gt;"",DATE(2028,10,1)&gt;Mitarbeiter!$D6)))</formula>
    </cfRule>
  </conditionalFormatting>
  <conditionalFormatting sqref="AN6:AN305">
    <cfRule type="expression" priority="35" dxfId="4">
      <formula>AND($B6&lt;&gt;"",OR(DATE(2028,12,0)&lt;Mitarbeiter!$C6,AND(Mitarbeiter!$D6&lt;&gt;"",DATE(2028,11,1)&gt;Mitarbeiter!$D6)))</formula>
    </cfRule>
  </conditionalFormatting>
  <conditionalFormatting sqref="AO6:AO305">
    <cfRule type="expression" priority="36" dxfId="4">
      <formula>AND($B6&lt;&gt;"",OR(DATE(2028,13,0)&lt;Mitarbeiter!$C6,AND(Mitarbeiter!$D6&lt;&gt;"",DATE(2028,12,1)&gt;Mitarbeiter!$D6)))</formula>
    </cfRule>
  </conditionalFormatting>
  <conditionalFormatting sqref="AP6:AP305">
    <cfRule type="expression" priority="37" dxfId="4">
      <formula>AND($B6&lt;&gt;"",OR(DATE(2029,2,0)&lt;Mitarbeiter!$C6,AND(Mitarbeiter!$D6&lt;&gt;"",DATE(2029,1,1)&gt;Mitarbeiter!$D6)))</formula>
    </cfRule>
  </conditionalFormatting>
  <conditionalFormatting sqref="AQ6:AQ305">
    <cfRule type="expression" priority="38" dxfId="4">
      <formula>AND($B6&lt;&gt;"",OR(DATE(2029,3,0)&lt;Mitarbeiter!$C6,AND(Mitarbeiter!$D6&lt;&gt;"",DATE(2029,2,1)&gt;Mitarbeiter!$D6)))</formula>
    </cfRule>
  </conditionalFormatting>
  <conditionalFormatting sqref="AR6:AR305">
    <cfRule type="expression" priority="39" dxfId="4">
      <formula>AND($B6&lt;&gt;"",OR(DATE(2029,4,0)&lt;Mitarbeiter!$C6,AND(Mitarbeiter!$D6&lt;&gt;"",DATE(2029,3,1)&gt;Mitarbeiter!$D6)))</formula>
    </cfRule>
  </conditionalFormatting>
  <conditionalFormatting sqref="AS6:AS305">
    <cfRule type="expression" priority="40" dxfId="4">
      <formula>AND($B6&lt;&gt;"",OR(DATE(2029,5,0)&lt;Mitarbeiter!$C6,AND(Mitarbeiter!$D6&lt;&gt;"",DATE(2029,4,1)&gt;Mitarbeiter!$D6)))</formula>
    </cfRule>
  </conditionalFormatting>
  <conditionalFormatting sqref="AT6:AT305">
    <cfRule type="expression" priority="41" dxfId="4">
      <formula>AND($B6&lt;&gt;"",OR(DATE(2029,6,0)&lt;Mitarbeiter!$C6,AND(Mitarbeiter!$D6&lt;&gt;"",DATE(2029,5,1)&gt;Mitarbeiter!$D6)))</formula>
    </cfRule>
  </conditionalFormatting>
  <conditionalFormatting sqref="AU6:AU305">
    <cfRule type="expression" priority="42" dxfId="4">
      <formula>AND($B6&lt;&gt;"",OR(DATE(2029,7,0)&lt;Mitarbeiter!$C6,AND(Mitarbeiter!$D6&lt;&gt;"",DATE(2029,6,1)&gt;Mitarbeiter!$D6)))</formula>
    </cfRule>
  </conditionalFormatting>
  <conditionalFormatting sqref="AV6:AV305">
    <cfRule type="expression" priority="43" dxfId="4">
      <formula>AND($B6&lt;&gt;"",OR(DATE(2029,8,0)&lt;Mitarbeiter!$C6,AND(Mitarbeiter!$D6&lt;&gt;"",DATE(2029,7,1)&gt;Mitarbeiter!$D6)))</formula>
    </cfRule>
  </conditionalFormatting>
  <conditionalFormatting sqref="AW6:AW305">
    <cfRule type="expression" priority="44" dxfId="4">
      <formula>AND($B6&lt;&gt;"",OR(DATE(2029,9,0)&lt;Mitarbeiter!$C6,AND(Mitarbeiter!$D6&lt;&gt;"",DATE(2029,8,1)&gt;Mitarbeiter!$D6)))</formula>
    </cfRule>
  </conditionalFormatting>
  <conditionalFormatting sqref="AX6:AX305">
    <cfRule type="expression" priority="45" dxfId="4">
      <formula>AND($B6&lt;&gt;"",OR(DATE(2029,10,0)&lt;Mitarbeiter!$C6,AND(Mitarbeiter!$D6&lt;&gt;"",DATE(2029,9,1)&gt;Mitarbeiter!$D6)))</formula>
    </cfRule>
  </conditionalFormatting>
  <conditionalFormatting sqref="AY6:AY305">
    <cfRule type="expression" priority="46" dxfId="4">
      <formula>AND($B6&lt;&gt;"",OR(DATE(2029,11,0)&lt;Mitarbeiter!$C6,AND(Mitarbeiter!$D6&lt;&gt;"",DATE(2029,10,1)&gt;Mitarbeiter!$D6)))</formula>
    </cfRule>
  </conditionalFormatting>
  <conditionalFormatting sqref="AZ6:AZ305">
    <cfRule type="expression" priority="47" dxfId="4">
      <formula>AND($B6&lt;&gt;"",OR(DATE(2029,12,0)&lt;Mitarbeiter!$C6,AND(Mitarbeiter!$D6&lt;&gt;"",DATE(2029,11,1)&gt;Mitarbeiter!$D6)))</formula>
    </cfRule>
  </conditionalFormatting>
  <conditionalFormatting sqref="BA6:BA305">
    <cfRule type="expression" priority="48" dxfId="4">
      <formula>AND($B6&lt;&gt;"",OR(DATE(2029,13,0)&lt;Mitarbeiter!$C6,AND(Mitarbeiter!$D6&lt;&gt;"",DATE(2029,12,1)&gt;Mitarbeiter!$D6)))</formula>
    </cfRule>
  </conditionalFormatting>
  <conditionalFormatting sqref="BB6:BB305">
    <cfRule type="expression" priority="49" dxfId="4">
      <formula>AND($B6&lt;&gt;"",OR(DATE(2030,2,0)&lt;Mitarbeiter!$C6,AND(Mitarbeiter!$D6&lt;&gt;"",DATE(2030,1,1)&gt;Mitarbeiter!$D6)))</formula>
    </cfRule>
  </conditionalFormatting>
  <conditionalFormatting sqref="BC6:BC305">
    <cfRule type="expression" priority="50" dxfId="4">
      <formula>AND($B6&lt;&gt;"",OR(DATE(2030,3,0)&lt;Mitarbeiter!$C6,AND(Mitarbeiter!$D6&lt;&gt;"",DATE(2030,2,1)&gt;Mitarbeiter!$D6)))</formula>
    </cfRule>
  </conditionalFormatting>
  <conditionalFormatting sqref="BD6:BD305">
    <cfRule type="expression" priority="51" dxfId="4">
      <formula>AND($B6&lt;&gt;"",OR(DATE(2030,4,0)&lt;Mitarbeiter!$C6,AND(Mitarbeiter!$D6&lt;&gt;"",DATE(2030,3,1)&gt;Mitarbeiter!$D6)))</formula>
    </cfRule>
  </conditionalFormatting>
  <conditionalFormatting sqref="BE6:BE305">
    <cfRule type="expression" priority="52" dxfId="4">
      <formula>AND($B6&lt;&gt;"",OR(DATE(2030,5,0)&lt;Mitarbeiter!$C6,AND(Mitarbeiter!$D6&lt;&gt;"",DATE(2030,4,1)&gt;Mitarbeiter!$D6)))</formula>
    </cfRule>
  </conditionalFormatting>
  <conditionalFormatting sqref="BF6:BF305">
    <cfRule type="expression" priority="53" dxfId="4">
      <formula>AND($B6&lt;&gt;"",OR(DATE(2030,6,0)&lt;Mitarbeiter!$C6,AND(Mitarbeiter!$D6&lt;&gt;"",DATE(2030,5,1)&gt;Mitarbeiter!$D6)))</formula>
    </cfRule>
  </conditionalFormatting>
  <conditionalFormatting sqref="BG6:BG305">
    <cfRule type="expression" priority="54" dxfId="4">
      <formula>AND($B6&lt;&gt;"",OR(DATE(2030,7,0)&lt;Mitarbeiter!$C6,AND(Mitarbeiter!$D6&lt;&gt;"",DATE(2030,6,1)&gt;Mitarbeiter!$D6)))</formula>
    </cfRule>
  </conditionalFormatting>
  <conditionalFormatting sqref="BH6:BH305">
    <cfRule type="expression" priority="55" dxfId="4">
      <formula>AND($B6&lt;&gt;"",OR(DATE(2030,8,0)&lt;Mitarbeiter!$C6,AND(Mitarbeiter!$D6&lt;&gt;"",DATE(2030,7,1)&gt;Mitarbeiter!$D6)))</formula>
    </cfRule>
  </conditionalFormatting>
  <conditionalFormatting sqref="BI6:BI305">
    <cfRule type="expression" priority="56" dxfId="4">
      <formula>AND($B6&lt;&gt;"",OR(DATE(2030,9,0)&lt;Mitarbeiter!$C6,AND(Mitarbeiter!$D6&lt;&gt;"",DATE(2030,8,1)&gt;Mitarbeiter!$D6)))</formula>
    </cfRule>
  </conditionalFormatting>
  <conditionalFormatting sqref="BJ6:BJ305">
    <cfRule type="expression" priority="57" dxfId="4">
      <formula>AND($B6&lt;&gt;"",OR(DATE(2030,10,0)&lt;Mitarbeiter!$C6,AND(Mitarbeiter!$D6&lt;&gt;"",DATE(2030,9,1)&gt;Mitarbeiter!$D6)))</formula>
    </cfRule>
  </conditionalFormatting>
  <conditionalFormatting sqref="BK6:BK305">
    <cfRule type="expression" priority="58" dxfId="4">
      <formula>AND($B6&lt;&gt;"",OR(DATE(2030,11,0)&lt;Mitarbeiter!$C6,AND(Mitarbeiter!$D6&lt;&gt;"",DATE(2030,10,1)&gt;Mitarbeiter!$D6)))</formula>
    </cfRule>
  </conditionalFormatting>
  <conditionalFormatting sqref="BL6:BL305">
    <cfRule type="expression" priority="59" dxfId="4">
      <formula>AND($B6&lt;&gt;"",OR(DATE(2030,12,0)&lt;Mitarbeiter!$C6,AND(Mitarbeiter!$D6&lt;&gt;"",DATE(2030,11,1)&gt;Mitarbeiter!$D6)))</formula>
    </cfRule>
  </conditionalFormatting>
  <conditionalFormatting sqref="BM6:BM305">
    <cfRule type="expression" priority="60" dxfId="4">
      <formula>AND($B6&lt;&gt;"",OR(DATE(2030,13,0)&lt;Mitarbeiter!$C6,AND(Mitarbeiter!$D6&lt;&gt;"",DATE(2030,12,1)&gt;Mitarbeiter!$D6)))</formula>
    </cfRule>
  </conditionalFormatting>
  <dataValidations count="1">
    <dataValidation sqref="F6:BM305" showDropDown="0" showInputMessage="0" showErrorMessage="1" allowBlank="0" error="Ist-Stunden je Monat 0–400" type="decimal" operator="between">
      <formula1>0</formula1>
      <formula2>400</formula2>
    </dataValidation>
  </dataValidation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>
      <c r="A1" s="1" t="inlineStr">
        <is>
          <t>Operative Krankenquote je Objekt und Monat</t>
        </is>
      </c>
      <c r="N1" s="12" t="inlineStr">
        <is>
          <t>→ Erklärung</t>
        </is>
      </c>
    </row>
    <row r="2" ht="28" customHeight="1">
      <c r="A2" s="13" t="inlineStr">
        <is>
          <t>Automatisch aus „Stunden Objekte“ und „Krankheitstage“. Quote = Krankstunden ÷ (Gesamtstunden + Krankstunden); falls Gesamtstunden Krankstunden schon enthalten (Einstellungen = Ja): Krankstunden ÷ Gesamtstunden.</t>
        </is>
      </c>
    </row>
    <row r="4">
      <c r="A4" s="41" t="n"/>
      <c r="B4" s="42">
        <f>Einstellungen!$C$4</f>
        <v/>
      </c>
      <c r="C4" s="52" t="n"/>
      <c r="D4" s="52" t="n"/>
      <c r="E4" s="52" t="n"/>
      <c r="F4" s="52" t="n"/>
      <c r="G4" s="43">
        <f>Einstellungen!$C$5</f>
        <v/>
      </c>
      <c r="H4" s="53" t="n"/>
      <c r="I4" s="53" t="n"/>
      <c r="J4" s="53" t="n"/>
      <c r="K4" s="53" t="n"/>
      <c r="L4" s="54" t="inlineStr">
        <is>
          <t>Gesamt (beide Objekte)</t>
        </is>
      </c>
      <c r="M4" s="55" t="n"/>
      <c r="N4" s="55" t="n"/>
      <c r="O4" s="55" t="n"/>
      <c r="P4" s="55" t="n"/>
    </row>
    <row r="5" ht="30" customHeight="1">
      <c r="A5" s="21" t="inlineStr">
        <is>
          <t>Monat</t>
        </is>
      </c>
      <c r="B5" s="42" t="inlineStr">
        <is>
          <t>Gesamt-
stunden</t>
        </is>
      </c>
      <c r="C5" s="42" t="inlineStr">
        <is>
          <t>Krank-
stunden</t>
        </is>
      </c>
      <c r="D5" s="42" t="inlineStr">
        <is>
          <t>Kranken-
quote</t>
        </is>
      </c>
      <c r="E5" s="42" t="inlineStr">
        <is>
          <t>Krank-
tage</t>
        </is>
      </c>
      <c r="F5" s="42" t="inlineStr">
        <is>
          <t>Kranke
MA</t>
        </is>
      </c>
      <c r="G5" s="43" t="inlineStr">
        <is>
          <t>Gesamt-
stunden</t>
        </is>
      </c>
      <c r="H5" s="43" t="inlineStr">
        <is>
          <t>Krank-
stunden</t>
        </is>
      </c>
      <c r="I5" s="43" t="inlineStr">
        <is>
          <t>Kranken-
quote</t>
        </is>
      </c>
      <c r="J5" s="43" t="inlineStr">
        <is>
          <t>Krank-
tage</t>
        </is>
      </c>
      <c r="K5" s="43" t="inlineStr">
        <is>
          <t>Kranke
MA</t>
        </is>
      </c>
      <c r="L5" s="54" t="inlineStr">
        <is>
          <t>Gesamt-
stunden</t>
        </is>
      </c>
      <c r="M5" s="54" t="inlineStr">
        <is>
          <t>Krank-
stunden</t>
        </is>
      </c>
      <c r="N5" s="54" t="inlineStr">
        <is>
          <t>Kranken-
quote</t>
        </is>
      </c>
      <c r="O5" s="54" t="inlineStr">
        <is>
          <t>Krank-
tage</t>
        </is>
      </c>
      <c r="P5" s="54" t="inlineStr">
        <is>
          <t>Kranke
MA</t>
        </is>
      </c>
    </row>
    <row r="6">
      <c r="A6" s="56" t="inlineStr">
        <is>
          <t>Januar</t>
        </is>
      </c>
      <c r="B6" s="57">
        <f>N(INDEX('Stunden Objekte'!$B$5:$K$16,1,(Einstellungen!$C$3-2026)*2+1))</f>
        <v/>
      </c>
      <c r="C6" s="58">
        <f>SUMPRODUCT(Berechnung!$D$6:$D$305,Berechnung!$C$6:$C$305)</f>
        <v/>
      </c>
      <c r="D6" s="40">
        <f>IF(Einstellungen!$C$10="Ja",IF(B6&gt;0,C6/B6,0),IF(B6+C6&gt;0,C6/(B6+C6),0))</f>
        <v/>
      </c>
      <c r="E6" s="36">
        <f>SUM(Berechnung!$D$6:$D$305)</f>
        <v/>
      </c>
      <c r="F6" s="36">
        <f>COUNTIF(Berechnung!$D$6:$D$305,"&gt;0")</f>
        <v/>
      </c>
      <c r="G6" s="57">
        <f>N(INDEX('Stunden Objekte'!$B$5:$K$16,1,(Einstellungen!$C$3-2026)*2+2))</f>
        <v/>
      </c>
      <c r="H6" s="58">
        <f>SUMPRODUCT(Berechnung!$Q$6:$Q$305,Berechnung!$C$6:$C$305)</f>
        <v/>
      </c>
      <c r="I6" s="40">
        <f>IF(Einstellungen!$C$10="Ja",IF(G6&gt;0,H6/G6,0),IF(G6+H6&gt;0,H6/(G6+H6),0))</f>
        <v/>
      </c>
      <c r="J6" s="36">
        <f>SUM(Berechnung!$Q$6:$Q$305)</f>
        <v/>
      </c>
      <c r="K6" s="36">
        <f>COUNTIF(Berechnung!$Q$6:$Q$305,"&gt;0")</f>
        <v/>
      </c>
      <c r="L6" s="58">
        <f>B6+G6</f>
        <v/>
      </c>
      <c r="M6" s="58">
        <f>C6+H6</f>
        <v/>
      </c>
      <c r="N6" s="40">
        <f>IF(Einstellungen!$C$10="Ja",IF(L6&gt;0,M6/L6,0),IF(L6+M6&gt;0,M6/(L6+M6),0))</f>
        <v/>
      </c>
      <c r="O6" s="36">
        <f>E6+J6</f>
        <v/>
      </c>
      <c r="P6" s="36">
        <f>SUMPRODUCT(((Berechnung!$D$6:$D$305+Berechnung!$Q$6:$Q$305)&gt;0)*1)</f>
        <v/>
      </c>
    </row>
    <row r="7">
      <c r="A7" s="56" t="inlineStr">
        <is>
          <t>Februar</t>
        </is>
      </c>
      <c r="B7" s="57">
        <f>N(INDEX('Stunden Objekte'!$B$5:$K$16,2,(Einstellungen!$C$3-2026)*2+1))</f>
        <v/>
      </c>
      <c r="C7" s="58">
        <f>SUMPRODUCT(Berechnung!$E$6:$E$305,Berechnung!$C$6:$C$305)</f>
        <v/>
      </c>
      <c r="D7" s="40">
        <f>IF(Einstellungen!$C$10="Ja",IF(B7&gt;0,C7/B7,0),IF(B7+C7&gt;0,C7/(B7+C7),0))</f>
        <v/>
      </c>
      <c r="E7" s="36">
        <f>SUM(Berechnung!$E$6:$E$305)</f>
        <v/>
      </c>
      <c r="F7" s="36">
        <f>COUNTIF(Berechnung!$E$6:$E$305,"&gt;0")</f>
        <v/>
      </c>
      <c r="G7" s="57">
        <f>N(INDEX('Stunden Objekte'!$B$5:$K$16,2,(Einstellungen!$C$3-2026)*2+2))</f>
        <v/>
      </c>
      <c r="H7" s="58">
        <f>SUMPRODUCT(Berechnung!$R$6:$R$305,Berechnung!$C$6:$C$305)</f>
        <v/>
      </c>
      <c r="I7" s="40">
        <f>IF(Einstellungen!$C$10="Ja",IF(G7&gt;0,H7/G7,0),IF(G7+H7&gt;0,H7/(G7+H7),0))</f>
        <v/>
      </c>
      <c r="J7" s="36">
        <f>SUM(Berechnung!$R$6:$R$305)</f>
        <v/>
      </c>
      <c r="K7" s="36">
        <f>COUNTIF(Berechnung!$R$6:$R$305,"&gt;0")</f>
        <v/>
      </c>
      <c r="L7" s="58">
        <f>B7+G7</f>
        <v/>
      </c>
      <c r="M7" s="58">
        <f>C7+H7</f>
        <v/>
      </c>
      <c r="N7" s="40">
        <f>IF(Einstellungen!$C$10="Ja",IF(L7&gt;0,M7/L7,0),IF(L7+M7&gt;0,M7/(L7+M7),0))</f>
        <v/>
      </c>
      <c r="O7" s="36">
        <f>E7+J7</f>
        <v/>
      </c>
      <c r="P7" s="36">
        <f>SUMPRODUCT(((Berechnung!$E$6:$E$305+Berechnung!$R$6:$R$305)&gt;0)*1)</f>
        <v/>
      </c>
    </row>
    <row r="8">
      <c r="A8" s="56" t="inlineStr">
        <is>
          <t>März</t>
        </is>
      </c>
      <c r="B8" s="57">
        <f>N(INDEX('Stunden Objekte'!$B$5:$K$16,3,(Einstellungen!$C$3-2026)*2+1))</f>
        <v/>
      </c>
      <c r="C8" s="58">
        <f>SUMPRODUCT(Berechnung!$F$6:$F$305,Berechnung!$C$6:$C$305)</f>
        <v/>
      </c>
      <c r="D8" s="40">
        <f>IF(Einstellungen!$C$10="Ja",IF(B8&gt;0,C8/B8,0),IF(B8+C8&gt;0,C8/(B8+C8),0))</f>
        <v/>
      </c>
      <c r="E8" s="36">
        <f>SUM(Berechnung!$F$6:$F$305)</f>
        <v/>
      </c>
      <c r="F8" s="36">
        <f>COUNTIF(Berechnung!$F$6:$F$305,"&gt;0")</f>
        <v/>
      </c>
      <c r="G8" s="57">
        <f>N(INDEX('Stunden Objekte'!$B$5:$K$16,3,(Einstellungen!$C$3-2026)*2+2))</f>
        <v/>
      </c>
      <c r="H8" s="58">
        <f>SUMPRODUCT(Berechnung!$S$6:$S$305,Berechnung!$C$6:$C$305)</f>
        <v/>
      </c>
      <c r="I8" s="40">
        <f>IF(Einstellungen!$C$10="Ja",IF(G8&gt;0,H8/G8,0),IF(G8+H8&gt;0,H8/(G8+H8),0))</f>
        <v/>
      </c>
      <c r="J8" s="36">
        <f>SUM(Berechnung!$S$6:$S$305)</f>
        <v/>
      </c>
      <c r="K8" s="36">
        <f>COUNTIF(Berechnung!$S$6:$S$305,"&gt;0")</f>
        <v/>
      </c>
      <c r="L8" s="58">
        <f>B8+G8</f>
        <v/>
      </c>
      <c r="M8" s="58">
        <f>C8+H8</f>
        <v/>
      </c>
      <c r="N8" s="40">
        <f>IF(Einstellungen!$C$10="Ja",IF(L8&gt;0,M8/L8,0),IF(L8+M8&gt;0,M8/(L8+M8),0))</f>
        <v/>
      </c>
      <c r="O8" s="36">
        <f>E8+J8</f>
        <v/>
      </c>
      <c r="P8" s="36">
        <f>SUMPRODUCT(((Berechnung!$F$6:$F$305+Berechnung!$S$6:$S$305)&gt;0)*1)</f>
        <v/>
      </c>
    </row>
    <row r="9">
      <c r="A9" s="56" t="inlineStr">
        <is>
          <t>April</t>
        </is>
      </c>
      <c r="B9" s="57">
        <f>N(INDEX('Stunden Objekte'!$B$5:$K$16,4,(Einstellungen!$C$3-2026)*2+1))</f>
        <v/>
      </c>
      <c r="C9" s="58">
        <f>SUMPRODUCT(Berechnung!$G$6:$G$305,Berechnung!$C$6:$C$305)</f>
        <v/>
      </c>
      <c r="D9" s="40">
        <f>IF(Einstellungen!$C$10="Ja",IF(B9&gt;0,C9/B9,0),IF(B9+C9&gt;0,C9/(B9+C9),0))</f>
        <v/>
      </c>
      <c r="E9" s="36">
        <f>SUM(Berechnung!$G$6:$G$305)</f>
        <v/>
      </c>
      <c r="F9" s="36">
        <f>COUNTIF(Berechnung!$G$6:$G$305,"&gt;0")</f>
        <v/>
      </c>
      <c r="G9" s="57">
        <f>N(INDEX('Stunden Objekte'!$B$5:$K$16,4,(Einstellungen!$C$3-2026)*2+2))</f>
        <v/>
      </c>
      <c r="H9" s="58">
        <f>SUMPRODUCT(Berechnung!$T$6:$T$305,Berechnung!$C$6:$C$305)</f>
        <v/>
      </c>
      <c r="I9" s="40">
        <f>IF(Einstellungen!$C$10="Ja",IF(G9&gt;0,H9/G9,0),IF(G9+H9&gt;0,H9/(G9+H9),0))</f>
        <v/>
      </c>
      <c r="J9" s="36">
        <f>SUM(Berechnung!$T$6:$T$305)</f>
        <v/>
      </c>
      <c r="K9" s="36">
        <f>COUNTIF(Berechnung!$T$6:$T$305,"&gt;0")</f>
        <v/>
      </c>
      <c r="L9" s="58">
        <f>B9+G9</f>
        <v/>
      </c>
      <c r="M9" s="58">
        <f>C9+H9</f>
        <v/>
      </c>
      <c r="N9" s="40">
        <f>IF(Einstellungen!$C$10="Ja",IF(L9&gt;0,M9/L9,0),IF(L9+M9&gt;0,M9/(L9+M9),0))</f>
        <v/>
      </c>
      <c r="O9" s="36">
        <f>E9+J9</f>
        <v/>
      </c>
      <c r="P9" s="36">
        <f>SUMPRODUCT(((Berechnung!$G$6:$G$305+Berechnung!$T$6:$T$305)&gt;0)*1)</f>
        <v/>
      </c>
    </row>
    <row r="10">
      <c r="A10" s="56" t="inlineStr">
        <is>
          <t>Mai</t>
        </is>
      </c>
      <c r="B10" s="57">
        <f>N(INDEX('Stunden Objekte'!$B$5:$K$16,5,(Einstellungen!$C$3-2026)*2+1))</f>
        <v/>
      </c>
      <c r="C10" s="58">
        <f>SUMPRODUCT(Berechnung!$H$6:$H$305,Berechnung!$C$6:$C$305)</f>
        <v/>
      </c>
      <c r="D10" s="40">
        <f>IF(Einstellungen!$C$10="Ja",IF(B10&gt;0,C10/B10,0),IF(B10+C10&gt;0,C10/(B10+C10),0))</f>
        <v/>
      </c>
      <c r="E10" s="36">
        <f>SUM(Berechnung!$H$6:$H$305)</f>
        <v/>
      </c>
      <c r="F10" s="36">
        <f>COUNTIF(Berechnung!$H$6:$H$305,"&gt;0")</f>
        <v/>
      </c>
      <c r="G10" s="57">
        <f>N(INDEX('Stunden Objekte'!$B$5:$K$16,5,(Einstellungen!$C$3-2026)*2+2))</f>
        <v/>
      </c>
      <c r="H10" s="58">
        <f>SUMPRODUCT(Berechnung!$U$6:$U$305,Berechnung!$C$6:$C$305)</f>
        <v/>
      </c>
      <c r="I10" s="40">
        <f>IF(Einstellungen!$C$10="Ja",IF(G10&gt;0,H10/G10,0),IF(G10+H10&gt;0,H10/(G10+H10),0))</f>
        <v/>
      </c>
      <c r="J10" s="36">
        <f>SUM(Berechnung!$U$6:$U$305)</f>
        <v/>
      </c>
      <c r="K10" s="36">
        <f>COUNTIF(Berechnung!$U$6:$U$305,"&gt;0")</f>
        <v/>
      </c>
      <c r="L10" s="58">
        <f>B10+G10</f>
        <v/>
      </c>
      <c r="M10" s="58">
        <f>C10+H10</f>
        <v/>
      </c>
      <c r="N10" s="40">
        <f>IF(Einstellungen!$C$10="Ja",IF(L10&gt;0,M10/L10,0),IF(L10+M10&gt;0,M10/(L10+M10),0))</f>
        <v/>
      </c>
      <c r="O10" s="36">
        <f>E10+J10</f>
        <v/>
      </c>
      <c r="P10" s="36">
        <f>SUMPRODUCT(((Berechnung!$H$6:$H$305+Berechnung!$U$6:$U$305)&gt;0)*1)</f>
        <v/>
      </c>
    </row>
    <row r="11">
      <c r="A11" s="56" t="inlineStr">
        <is>
          <t>Juni</t>
        </is>
      </c>
      <c r="B11" s="57">
        <f>N(INDEX('Stunden Objekte'!$B$5:$K$16,6,(Einstellungen!$C$3-2026)*2+1))</f>
        <v/>
      </c>
      <c r="C11" s="58">
        <f>SUMPRODUCT(Berechnung!$I$6:$I$305,Berechnung!$C$6:$C$305)</f>
        <v/>
      </c>
      <c r="D11" s="40">
        <f>IF(Einstellungen!$C$10="Ja",IF(B11&gt;0,C11/B11,0),IF(B11+C11&gt;0,C11/(B11+C11),0))</f>
        <v/>
      </c>
      <c r="E11" s="36">
        <f>SUM(Berechnung!$I$6:$I$305)</f>
        <v/>
      </c>
      <c r="F11" s="36">
        <f>COUNTIF(Berechnung!$I$6:$I$305,"&gt;0")</f>
        <v/>
      </c>
      <c r="G11" s="57">
        <f>N(INDEX('Stunden Objekte'!$B$5:$K$16,6,(Einstellungen!$C$3-2026)*2+2))</f>
        <v/>
      </c>
      <c r="H11" s="58">
        <f>SUMPRODUCT(Berechnung!$V$6:$V$305,Berechnung!$C$6:$C$305)</f>
        <v/>
      </c>
      <c r="I11" s="40">
        <f>IF(Einstellungen!$C$10="Ja",IF(G11&gt;0,H11/G11,0),IF(G11+H11&gt;0,H11/(G11+H11),0))</f>
        <v/>
      </c>
      <c r="J11" s="36">
        <f>SUM(Berechnung!$V$6:$V$305)</f>
        <v/>
      </c>
      <c r="K11" s="36">
        <f>COUNTIF(Berechnung!$V$6:$V$305,"&gt;0")</f>
        <v/>
      </c>
      <c r="L11" s="58">
        <f>B11+G11</f>
        <v/>
      </c>
      <c r="M11" s="58">
        <f>C11+H11</f>
        <v/>
      </c>
      <c r="N11" s="40">
        <f>IF(Einstellungen!$C$10="Ja",IF(L11&gt;0,M11/L11,0),IF(L11+M11&gt;0,M11/(L11+M11),0))</f>
        <v/>
      </c>
      <c r="O11" s="36">
        <f>E11+J11</f>
        <v/>
      </c>
      <c r="P11" s="36">
        <f>SUMPRODUCT(((Berechnung!$I$6:$I$305+Berechnung!$V$6:$V$305)&gt;0)*1)</f>
        <v/>
      </c>
    </row>
    <row r="12">
      <c r="A12" s="56" t="inlineStr">
        <is>
          <t>Juli</t>
        </is>
      </c>
      <c r="B12" s="57">
        <f>N(INDEX('Stunden Objekte'!$B$5:$K$16,7,(Einstellungen!$C$3-2026)*2+1))</f>
        <v/>
      </c>
      <c r="C12" s="58">
        <f>SUMPRODUCT(Berechnung!$J$6:$J$305,Berechnung!$C$6:$C$305)</f>
        <v/>
      </c>
      <c r="D12" s="40">
        <f>IF(Einstellungen!$C$10="Ja",IF(B12&gt;0,C12/B12,0),IF(B12+C12&gt;0,C12/(B12+C12),0))</f>
        <v/>
      </c>
      <c r="E12" s="36">
        <f>SUM(Berechnung!$J$6:$J$305)</f>
        <v/>
      </c>
      <c r="F12" s="36">
        <f>COUNTIF(Berechnung!$J$6:$J$305,"&gt;0")</f>
        <v/>
      </c>
      <c r="G12" s="57">
        <f>N(INDEX('Stunden Objekte'!$B$5:$K$16,7,(Einstellungen!$C$3-2026)*2+2))</f>
        <v/>
      </c>
      <c r="H12" s="58">
        <f>SUMPRODUCT(Berechnung!$W$6:$W$305,Berechnung!$C$6:$C$305)</f>
        <v/>
      </c>
      <c r="I12" s="40">
        <f>IF(Einstellungen!$C$10="Ja",IF(G12&gt;0,H12/G12,0),IF(G12+H12&gt;0,H12/(G12+H12),0))</f>
        <v/>
      </c>
      <c r="J12" s="36">
        <f>SUM(Berechnung!$W$6:$W$305)</f>
        <v/>
      </c>
      <c r="K12" s="36">
        <f>COUNTIF(Berechnung!$W$6:$W$305,"&gt;0")</f>
        <v/>
      </c>
      <c r="L12" s="58">
        <f>B12+G12</f>
        <v/>
      </c>
      <c r="M12" s="58">
        <f>C12+H12</f>
        <v/>
      </c>
      <c r="N12" s="40">
        <f>IF(Einstellungen!$C$10="Ja",IF(L12&gt;0,M12/L12,0),IF(L12+M12&gt;0,M12/(L12+M12),0))</f>
        <v/>
      </c>
      <c r="O12" s="36">
        <f>E12+J12</f>
        <v/>
      </c>
      <c r="P12" s="36">
        <f>SUMPRODUCT(((Berechnung!$J$6:$J$305+Berechnung!$W$6:$W$305)&gt;0)*1)</f>
        <v/>
      </c>
    </row>
    <row r="13">
      <c r="A13" s="56" t="inlineStr">
        <is>
          <t>August</t>
        </is>
      </c>
      <c r="B13" s="57">
        <f>N(INDEX('Stunden Objekte'!$B$5:$K$16,8,(Einstellungen!$C$3-2026)*2+1))</f>
        <v/>
      </c>
      <c r="C13" s="58">
        <f>SUMPRODUCT(Berechnung!$K$6:$K$305,Berechnung!$C$6:$C$305)</f>
        <v/>
      </c>
      <c r="D13" s="40">
        <f>IF(Einstellungen!$C$10="Ja",IF(B13&gt;0,C13/B13,0),IF(B13+C13&gt;0,C13/(B13+C13),0))</f>
        <v/>
      </c>
      <c r="E13" s="36">
        <f>SUM(Berechnung!$K$6:$K$305)</f>
        <v/>
      </c>
      <c r="F13" s="36">
        <f>COUNTIF(Berechnung!$K$6:$K$305,"&gt;0")</f>
        <v/>
      </c>
      <c r="G13" s="57">
        <f>N(INDEX('Stunden Objekte'!$B$5:$K$16,8,(Einstellungen!$C$3-2026)*2+2))</f>
        <v/>
      </c>
      <c r="H13" s="58">
        <f>SUMPRODUCT(Berechnung!$X$6:$X$305,Berechnung!$C$6:$C$305)</f>
        <v/>
      </c>
      <c r="I13" s="40">
        <f>IF(Einstellungen!$C$10="Ja",IF(G13&gt;0,H13/G13,0),IF(G13+H13&gt;0,H13/(G13+H13),0))</f>
        <v/>
      </c>
      <c r="J13" s="36">
        <f>SUM(Berechnung!$X$6:$X$305)</f>
        <v/>
      </c>
      <c r="K13" s="36">
        <f>COUNTIF(Berechnung!$X$6:$X$305,"&gt;0")</f>
        <v/>
      </c>
      <c r="L13" s="58">
        <f>B13+G13</f>
        <v/>
      </c>
      <c r="M13" s="58">
        <f>C13+H13</f>
        <v/>
      </c>
      <c r="N13" s="40">
        <f>IF(Einstellungen!$C$10="Ja",IF(L13&gt;0,M13/L13,0),IF(L13+M13&gt;0,M13/(L13+M13),0))</f>
        <v/>
      </c>
      <c r="O13" s="36">
        <f>E13+J13</f>
        <v/>
      </c>
      <c r="P13" s="36">
        <f>SUMPRODUCT(((Berechnung!$K$6:$K$305+Berechnung!$X$6:$X$305)&gt;0)*1)</f>
        <v/>
      </c>
    </row>
    <row r="14">
      <c r="A14" s="56" t="inlineStr">
        <is>
          <t>September</t>
        </is>
      </c>
      <c r="B14" s="57">
        <f>N(INDEX('Stunden Objekte'!$B$5:$K$16,9,(Einstellungen!$C$3-2026)*2+1))</f>
        <v/>
      </c>
      <c r="C14" s="58">
        <f>SUMPRODUCT(Berechnung!$L$6:$L$305,Berechnung!$C$6:$C$305)</f>
        <v/>
      </c>
      <c r="D14" s="40">
        <f>IF(Einstellungen!$C$10="Ja",IF(B14&gt;0,C14/B14,0),IF(B14+C14&gt;0,C14/(B14+C14),0))</f>
        <v/>
      </c>
      <c r="E14" s="36">
        <f>SUM(Berechnung!$L$6:$L$305)</f>
        <v/>
      </c>
      <c r="F14" s="36">
        <f>COUNTIF(Berechnung!$L$6:$L$305,"&gt;0")</f>
        <v/>
      </c>
      <c r="G14" s="57">
        <f>N(INDEX('Stunden Objekte'!$B$5:$K$16,9,(Einstellungen!$C$3-2026)*2+2))</f>
        <v/>
      </c>
      <c r="H14" s="58">
        <f>SUMPRODUCT(Berechnung!$Y$6:$Y$305,Berechnung!$C$6:$C$305)</f>
        <v/>
      </c>
      <c r="I14" s="40">
        <f>IF(Einstellungen!$C$10="Ja",IF(G14&gt;0,H14/G14,0),IF(G14+H14&gt;0,H14/(G14+H14),0))</f>
        <v/>
      </c>
      <c r="J14" s="36">
        <f>SUM(Berechnung!$Y$6:$Y$305)</f>
        <v/>
      </c>
      <c r="K14" s="36">
        <f>COUNTIF(Berechnung!$Y$6:$Y$305,"&gt;0")</f>
        <v/>
      </c>
      <c r="L14" s="58">
        <f>B14+G14</f>
        <v/>
      </c>
      <c r="M14" s="58">
        <f>C14+H14</f>
        <v/>
      </c>
      <c r="N14" s="40">
        <f>IF(Einstellungen!$C$10="Ja",IF(L14&gt;0,M14/L14,0),IF(L14+M14&gt;0,M14/(L14+M14),0))</f>
        <v/>
      </c>
      <c r="O14" s="36">
        <f>E14+J14</f>
        <v/>
      </c>
      <c r="P14" s="36">
        <f>SUMPRODUCT(((Berechnung!$L$6:$L$305+Berechnung!$Y$6:$Y$305)&gt;0)*1)</f>
        <v/>
      </c>
    </row>
    <row r="15">
      <c r="A15" s="56" t="inlineStr">
        <is>
          <t>Oktober</t>
        </is>
      </c>
      <c r="B15" s="57">
        <f>N(INDEX('Stunden Objekte'!$B$5:$K$16,10,(Einstellungen!$C$3-2026)*2+1))</f>
        <v/>
      </c>
      <c r="C15" s="58">
        <f>SUMPRODUCT(Berechnung!$M$6:$M$305,Berechnung!$C$6:$C$305)</f>
        <v/>
      </c>
      <c r="D15" s="40">
        <f>IF(Einstellungen!$C$10="Ja",IF(B15&gt;0,C15/B15,0),IF(B15+C15&gt;0,C15/(B15+C15),0))</f>
        <v/>
      </c>
      <c r="E15" s="36">
        <f>SUM(Berechnung!$M$6:$M$305)</f>
        <v/>
      </c>
      <c r="F15" s="36">
        <f>COUNTIF(Berechnung!$M$6:$M$305,"&gt;0")</f>
        <v/>
      </c>
      <c r="G15" s="57">
        <f>N(INDEX('Stunden Objekte'!$B$5:$K$16,10,(Einstellungen!$C$3-2026)*2+2))</f>
        <v/>
      </c>
      <c r="H15" s="58">
        <f>SUMPRODUCT(Berechnung!$Z$6:$Z$305,Berechnung!$C$6:$C$305)</f>
        <v/>
      </c>
      <c r="I15" s="40">
        <f>IF(Einstellungen!$C$10="Ja",IF(G15&gt;0,H15/G15,0),IF(G15+H15&gt;0,H15/(G15+H15),0))</f>
        <v/>
      </c>
      <c r="J15" s="36">
        <f>SUM(Berechnung!$Z$6:$Z$305)</f>
        <v/>
      </c>
      <c r="K15" s="36">
        <f>COUNTIF(Berechnung!$Z$6:$Z$305,"&gt;0")</f>
        <v/>
      </c>
      <c r="L15" s="58">
        <f>B15+G15</f>
        <v/>
      </c>
      <c r="M15" s="58">
        <f>C15+H15</f>
        <v/>
      </c>
      <c r="N15" s="40">
        <f>IF(Einstellungen!$C$10="Ja",IF(L15&gt;0,M15/L15,0),IF(L15+M15&gt;0,M15/(L15+M15),0))</f>
        <v/>
      </c>
      <c r="O15" s="36">
        <f>E15+J15</f>
        <v/>
      </c>
      <c r="P15" s="36">
        <f>SUMPRODUCT(((Berechnung!$M$6:$M$305+Berechnung!$Z$6:$Z$305)&gt;0)*1)</f>
        <v/>
      </c>
    </row>
    <row r="16">
      <c r="A16" s="56" t="inlineStr">
        <is>
          <t>November</t>
        </is>
      </c>
      <c r="B16" s="57">
        <f>N(INDEX('Stunden Objekte'!$B$5:$K$16,11,(Einstellungen!$C$3-2026)*2+1))</f>
        <v/>
      </c>
      <c r="C16" s="58">
        <f>SUMPRODUCT(Berechnung!$N$6:$N$305,Berechnung!$C$6:$C$305)</f>
        <v/>
      </c>
      <c r="D16" s="40">
        <f>IF(Einstellungen!$C$10="Ja",IF(B16&gt;0,C16/B16,0),IF(B16+C16&gt;0,C16/(B16+C16),0))</f>
        <v/>
      </c>
      <c r="E16" s="36">
        <f>SUM(Berechnung!$N$6:$N$305)</f>
        <v/>
      </c>
      <c r="F16" s="36">
        <f>COUNTIF(Berechnung!$N$6:$N$305,"&gt;0")</f>
        <v/>
      </c>
      <c r="G16" s="57">
        <f>N(INDEX('Stunden Objekte'!$B$5:$K$16,11,(Einstellungen!$C$3-2026)*2+2))</f>
        <v/>
      </c>
      <c r="H16" s="58">
        <f>SUMPRODUCT(Berechnung!$AA$6:$AA$305,Berechnung!$C$6:$C$305)</f>
        <v/>
      </c>
      <c r="I16" s="40">
        <f>IF(Einstellungen!$C$10="Ja",IF(G16&gt;0,H16/G16,0),IF(G16+H16&gt;0,H16/(G16+H16),0))</f>
        <v/>
      </c>
      <c r="J16" s="36">
        <f>SUM(Berechnung!$AA$6:$AA$305)</f>
        <v/>
      </c>
      <c r="K16" s="36">
        <f>COUNTIF(Berechnung!$AA$6:$AA$305,"&gt;0")</f>
        <v/>
      </c>
      <c r="L16" s="58">
        <f>B16+G16</f>
        <v/>
      </c>
      <c r="M16" s="58">
        <f>C16+H16</f>
        <v/>
      </c>
      <c r="N16" s="40">
        <f>IF(Einstellungen!$C$10="Ja",IF(L16&gt;0,M16/L16,0),IF(L16+M16&gt;0,M16/(L16+M16),0))</f>
        <v/>
      </c>
      <c r="O16" s="36">
        <f>E16+J16</f>
        <v/>
      </c>
      <c r="P16" s="36">
        <f>SUMPRODUCT(((Berechnung!$N$6:$N$305+Berechnung!$AA$6:$AA$305)&gt;0)*1)</f>
        <v/>
      </c>
    </row>
    <row r="17">
      <c r="A17" s="56" t="inlineStr">
        <is>
          <t>Dezember</t>
        </is>
      </c>
      <c r="B17" s="57">
        <f>N(INDEX('Stunden Objekte'!$B$5:$K$16,12,(Einstellungen!$C$3-2026)*2+1))</f>
        <v/>
      </c>
      <c r="C17" s="58">
        <f>SUMPRODUCT(Berechnung!$O$6:$O$305,Berechnung!$C$6:$C$305)</f>
        <v/>
      </c>
      <c r="D17" s="40">
        <f>IF(Einstellungen!$C$10="Ja",IF(B17&gt;0,C17/B17,0),IF(B17+C17&gt;0,C17/(B17+C17),0))</f>
        <v/>
      </c>
      <c r="E17" s="36">
        <f>SUM(Berechnung!$O$6:$O$305)</f>
        <v/>
      </c>
      <c r="F17" s="36">
        <f>COUNTIF(Berechnung!$O$6:$O$305,"&gt;0")</f>
        <v/>
      </c>
      <c r="G17" s="57">
        <f>N(INDEX('Stunden Objekte'!$B$5:$K$16,12,(Einstellungen!$C$3-2026)*2+2))</f>
        <v/>
      </c>
      <c r="H17" s="58">
        <f>SUMPRODUCT(Berechnung!$AB$6:$AB$305,Berechnung!$C$6:$C$305)</f>
        <v/>
      </c>
      <c r="I17" s="40">
        <f>IF(Einstellungen!$C$10="Ja",IF(G17&gt;0,H17/G17,0),IF(G17+H17&gt;0,H17/(G17+H17),0))</f>
        <v/>
      </c>
      <c r="J17" s="36">
        <f>SUM(Berechnung!$AB$6:$AB$305)</f>
        <v/>
      </c>
      <c r="K17" s="36">
        <f>COUNTIF(Berechnung!$AB$6:$AB$305,"&gt;0")</f>
        <v/>
      </c>
      <c r="L17" s="58">
        <f>B17+G17</f>
        <v/>
      </c>
      <c r="M17" s="58">
        <f>C17+H17</f>
        <v/>
      </c>
      <c r="N17" s="40">
        <f>IF(Einstellungen!$C$10="Ja",IF(L17&gt;0,M17/L17,0),IF(L17+M17&gt;0,M17/(L17+M17),0))</f>
        <v/>
      </c>
      <c r="O17" s="36">
        <f>E17+J17</f>
        <v/>
      </c>
      <c r="P17" s="36">
        <f>SUMPRODUCT(((Berechnung!$O$6:$O$305+Berechnung!$AB$6:$AB$305)&gt;0)*1)</f>
        <v/>
      </c>
    </row>
    <row r="18">
      <c r="A18" s="21" t="inlineStr">
        <is>
          <t>Jahr</t>
        </is>
      </c>
      <c r="B18" s="37">
        <f>SUM(B6:B17)</f>
        <v/>
      </c>
      <c r="C18" s="37">
        <f>SUM(C6:C17)</f>
        <v/>
      </c>
      <c r="D18" s="59">
        <f>IF(Einstellungen!$C$10="Ja",IF(B18&gt;0,C18/B18,0),IF(B18+C18&gt;0,C18/(B18+C18),0))</f>
        <v/>
      </c>
      <c r="E18" s="25">
        <f>SUM(E6:E17)</f>
        <v/>
      </c>
      <c r="F18" s="25">
        <f>COUNTIF(Berechnung!$P$6:$P$305,"&gt;0")</f>
        <v/>
      </c>
      <c r="G18" s="37">
        <f>SUM(G6:G17)</f>
        <v/>
      </c>
      <c r="H18" s="37">
        <f>SUM(H6:H17)</f>
        <v/>
      </c>
      <c r="I18" s="59">
        <f>IF(Einstellungen!$C$10="Ja",IF(G18&gt;0,H18/G18,0),IF(G18+H18&gt;0,H18/(G18+H18),0))</f>
        <v/>
      </c>
      <c r="J18" s="25">
        <f>SUM(J6:J17)</f>
        <v/>
      </c>
      <c r="K18" s="25">
        <f>COUNTIF(Berechnung!$AC$6:$AC$305,"&gt;0")</f>
        <v/>
      </c>
      <c r="L18" s="37">
        <f>SUM(L6:L17)</f>
        <v/>
      </c>
      <c r="M18" s="37">
        <f>SUM(M6:M17)</f>
        <v/>
      </c>
      <c r="N18" s="59">
        <f>IF(Einstellungen!$C$10="Ja",IF(L18&gt;0,M18/L18,0),IF(L18+M18&gt;0,M18/(L18+M18),0))</f>
        <v/>
      </c>
      <c r="O18" s="25">
        <f>SUM(O6:O17)</f>
        <v/>
      </c>
      <c r="P18" s="25">
        <f>COUNTIF(Berechnung!$AD$6:$AD$305,"&gt;0")</f>
        <v/>
      </c>
    </row>
    <row r="20">
      <c r="A20" s="16" t="inlineStr">
        <is>
          <t>Kranke MA = Personen mit mind. einem Krankheitstag im Objekt/Monat. Gelb/Rot = über Ampel-Schwelle 1/2. Monate ohne Gesamtstunden zeigen „-“.</t>
        </is>
      </c>
    </row>
    <row r="21">
      <c r="A21" s="60" t="inlineStr">
        <is>
          <t>Kumuliert seit Jahresbeginn (Januar bis einschließlich Monat)</t>
        </is>
      </c>
    </row>
    <row r="22">
      <c r="A22" s="41" t="n"/>
      <c r="B22" s="42">
        <f>Einstellungen!$C$4</f>
        <v/>
      </c>
      <c r="C22" s="52" t="n"/>
      <c r="D22" s="52" t="n"/>
      <c r="E22" s="43">
        <f>Einstellungen!$C$5</f>
        <v/>
      </c>
      <c r="F22" s="53" t="n"/>
      <c r="G22" s="53" t="n"/>
      <c r="H22" s="54" t="inlineStr">
        <is>
          <t>Gesamt (beide Objekte)</t>
        </is>
      </c>
      <c r="I22" s="55" t="n"/>
      <c r="J22" s="55" t="n"/>
    </row>
    <row r="23" ht="30" customHeight="1">
      <c r="A23" s="21" t="inlineStr">
        <is>
          <t>bis Monat</t>
        </is>
      </c>
      <c r="B23" s="42" t="inlineStr">
        <is>
          <t>Gesamtstd.
kumuliert</t>
        </is>
      </c>
      <c r="C23" s="42" t="inlineStr">
        <is>
          <t>Krankstd.
kumuliert</t>
        </is>
      </c>
      <c r="D23" s="42" t="inlineStr">
        <is>
          <t>Quote
kumuliert</t>
        </is>
      </c>
      <c r="E23" s="43" t="inlineStr">
        <is>
          <t>Gesamtstd.
kumuliert</t>
        </is>
      </c>
      <c r="F23" s="43" t="inlineStr">
        <is>
          <t>Krankstd.
kumuliert</t>
        </is>
      </c>
      <c r="G23" s="43" t="inlineStr">
        <is>
          <t>Quote
kumuliert</t>
        </is>
      </c>
      <c r="H23" s="54" t="inlineStr">
        <is>
          <t>Gesamtstd.
kumuliert</t>
        </is>
      </c>
      <c r="I23" s="54" t="inlineStr">
        <is>
          <t>Krankstd.
kumuliert</t>
        </is>
      </c>
      <c r="J23" s="54" t="inlineStr">
        <is>
          <t>Quote
kumuliert</t>
        </is>
      </c>
    </row>
    <row r="24">
      <c r="A24" s="56" t="inlineStr">
        <is>
          <t>Januar</t>
        </is>
      </c>
      <c r="B24" s="58">
        <f>SUM(B$6:B6)</f>
        <v/>
      </c>
      <c r="C24" s="58">
        <f>SUM(C$6:C6)</f>
        <v/>
      </c>
      <c r="D24" s="40">
        <f>IF(Einstellungen!$C$10="Ja",IF(B24&gt;0,C24/B24,0),IF(B24+C24&gt;0,C24/(B24+C24),0))</f>
        <v/>
      </c>
      <c r="E24" s="58">
        <f>SUM(G$6:G6)</f>
        <v/>
      </c>
      <c r="F24" s="58">
        <f>SUM(H$6:H6)</f>
        <v/>
      </c>
      <c r="G24" s="40">
        <f>IF(Einstellungen!$C$10="Ja",IF(E24&gt;0,F24/E24,0),IF(E24+F24&gt;0,F24/(E24+F24),0))</f>
        <v/>
      </c>
      <c r="H24" s="58">
        <f>SUM(L$6:L6)</f>
        <v/>
      </c>
      <c r="I24" s="58">
        <f>SUM(M$6:M6)</f>
        <v/>
      </c>
      <c r="J24" s="40">
        <f>IF(Einstellungen!$C$10="Ja",IF(H24&gt;0,I24/H24,0),IF(H24+I24&gt;0,I24/(H24+I24),0))</f>
        <v/>
      </c>
    </row>
    <row r="25">
      <c r="A25" s="56" t="inlineStr">
        <is>
          <t>Februar</t>
        </is>
      </c>
      <c r="B25" s="58">
        <f>SUM(B$6:B7)</f>
        <v/>
      </c>
      <c r="C25" s="58">
        <f>SUM(C$6:C7)</f>
        <v/>
      </c>
      <c r="D25" s="40">
        <f>IF(Einstellungen!$C$10="Ja",IF(B25&gt;0,C25/B25,0),IF(B25+C25&gt;0,C25/(B25+C25),0))</f>
        <v/>
      </c>
      <c r="E25" s="58">
        <f>SUM(G$6:G7)</f>
        <v/>
      </c>
      <c r="F25" s="58">
        <f>SUM(H$6:H7)</f>
        <v/>
      </c>
      <c r="G25" s="40">
        <f>IF(Einstellungen!$C$10="Ja",IF(E25&gt;0,F25/E25,0),IF(E25+F25&gt;0,F25/(E25+F25),0))</f>
        <v/>
      </c>
      <c r="H25" s="58">
        <f>SUM(L$6:L7)</f>
        <v/>
      </c>
      <c r="I25" s="58">
        <f>SUM(M$6:M7)</f>
        <v/>
      </c>
      <c r="J25" s="40">
        <f>IF(Einstellungen!$C$10="Ja",IF(H25&gt;0,I25/H25,0),IF(H25+I25&gt;0,I25/(H25+I25),0))</f>
        <v/>
      </c>
    </row>
    <row r="26">
      <c r="A26" s="56" t="inlineStr">
        <is>
          <t>März</t>
        </is>
      </c>
      <c r="B26" s="58">
        <f>SUM(B$6:B8)</f>
        <v/>
      </c>
      <c r="C26" s="58">
        <f>SUM(C$6:C8)</f>
        <v/>
      </c>
      <c r="D26" s="40">
        <f>IF(Einstellungen!$C$10="Ja",IF(B26&gt;0,C26/B26,0),IF(B26+C26&gt;0,C26/(B26+C26),0))</f>
        <v/>
      </c>
      <c r="E26" s="58">
        <f>SUM(G$6:G8)</f>
        <v/>
      </c>
      <c r="F26" s="58">
        <f>SUM(H$6:H8)</f>
        <v/>
      </c>
      <c r="G26" s="40">
        <f>IF(Einstellungen!$C$10="Ja",IF(E26&gt;0,F26/E26,0),IF(E26+F26&gt;0,F26/(E26+F26),0))</f>
        <v/>
      </c>
      <c r="H26" s="58">
        <f>SUM(L$6:L8)</f>
        <v/>
      </c>
      <c r="I26" s="58">
        <f>SUM(M$6:M8)</f>
        <v/>
      </c>
      <c r="J26" s="40">
        <f>IF(Einstellungen!$C$10="Ja",IF(H26&gt;0,I26/H26,0),IF(H26+I26&gt;0,I26/(H26+I26),0))</f>
        <v/>
      </c>
    </row>
    <row r="27">
      <c r="A27" s="56" t="inlineStr">
        <is>
          <t>April</t>
        </is>
      </c>
      <c r="B27" s="58">
        <f>SUM(B$6:B9)</f>
        <v/>
      </c>
      <c r="C27" s="58">
        <f>SUM(C$6:C9)</f>
        <v/>
      </c>
      <c r="D27" s="40">
        <f>IF(Einstellungen!$C$10="Ja",IF(B27&gt;0,C27/B27,0),IF(B27+C27&gt;0,C27/(B27+C27),0))</f>
        <v/>
      </c>
      <c r="E27" s="58">
        <f>SUM(G$6:G9)</f>
        <v/>
      </c>
      <c r="F27" s="58">
        <f>SUM(H$6:H9)</f>
        <v/>
      </c>
      <c r="G27" s="40">
        <f>IF(Einstellungen!$C$10="Ja",IF(E27&gt;0,F27/E27,0),IF(E27+F27&gt;0,F27/(E27+F27),0))</f>
        <v/>
      </c>
      <c r="H27" s="58">
        <f>SUM(L$6:L9)</f>
        <v/>
      </c>
      <c r="I27" s="58">
        <f>SUM(M$6:M9)</f>
        <v/>
      </c>
      <c r="J27" s="40">
        <f>IF(Einstellungen!$C$10="Ja",IF(H27&gt;0,I27/H27,0),IF(H27+I27&gt;0,I27/(H27+I27),0))</f>
        <v/>
      </c>
    </row>
    <row r="28">
      <c r="A28" s="56" t="inlineStr">
        <is>
          <t>Mai</t>
        </is>
      </c>
      <c r="B28" s="58">
        <f>SUM(B$6:B10)</f>
        <v/>
      </c>
      <c r="C28" s="58">
        <f>SUM(C$6:C10)</f>
        <v/>
      </c>
      <c r="D28" s="40">
        <f>IF(Einstellungen!$C$10="Ja",IF(B28&gt;0,C28/B28,0),IF(B28+C28&gt;0,C28/(B28+C28),0))</f>
        <v/>
      </c>
      <c r="E28" s="58">
        <f>SUM(G$6:G10)</f>
        <v/>
      </c>
      <c r="F28" s="58">
        <f>SUM(H$6:H10)</f>
        <v/>
      </c>
      <c r="G28" s="40">
        <f>IF(Einstellungen!$C$10="Ja",IF(E28&gt;0,F28/E28,0),IF(E28+F28&gt;0,F28/(E28+F28),0))</f>
        <v/>
      </c>
      <c r="H28" s="58">
        <f>SUM(L$6:L10)</f>
        <v/>
      </c>
      <c r="I28" s="58">
        <f>SUM(M$6:M10)</f>
        <v/>
      </c>
      <c r="J28" s="40">
        <f>IF(Einstellungen!$C$10="Ja",IF(H28&gt;0,I28/H28,0),IF(H28+I28&gt;0,I28/(H28+I28),0))</f>
        <v/>
      </c>
    </row>
    <row r="29">
      <c r="A29" s="56" t="inlineStr">
        <is>
          <t>Juni</t>
        </is>
      </c>
      <c r="B29" s="58">
        <f>SUM(B$6:B11)</f>
        <v/>
      </c>
      <c r="C29" s="58">
        <f>SUM(C$6:C11)</f>
        <v/>
      </c>
      <c r="D29" s="40">
        <f>IF(Einstellungen!$C$10="Ja",IF(B29&gt;0,C29/B29,0),IF(B29+C29&gt;0,C29/(B29+C29),0))</f>
        <v/>
      </c>
      <c r="E29" s="58">
        <f>SUM(G$6:G11)</f>
        <v/>
      </c>
      <c r="F29" s="58">
        <f>SUM(H$6:H11)</f>
        <v/>
      </c>
      <c r="G29" s="40">
        <f>IF(Einstellungen!$C$10="Ja",IF(E29&gt;0,F29/E29,0),IF(E29+F29&gt;0,F29/(E29+F29),0))</f>
        <v/>
      </c>
      <c r="H29" s="58">
        <f>SUM(L$6:L11)</f>
        <v/>
      </c>
      <c r="I29" s="58">
        <f>SUM(M$6:M11)</f>
        <v/>
      </c>
      <c r="J29" s="40">
        <f>IF(Einstellungen!$C$10="Ja",IF(H29&gt;0,I29/H29,0),IF(H29+I29&gt;0,I29/(H29+I29),0))</f>
        <v/>
      </c>
    </row>
    <row r="30">
      <c r="A30" s="56" t="inlineStr">
        <is>
          <t>Juli</t>
        </is>
      </c>
      <c r="B30" s="58">
        <f>SUM(B$6:B12)</f>
        <v/>
      </c>
      <c r="C30" s="58">
        <f>SUM(C$6:C12)</f>
        <v/>
      </c>
      <c r="D30" s="40">
        <f>IF(Einstellungen!$C$10="Ja",IF(B30&gt;0,C30/B30,0),IF(B30+C30&gt;0,C30/(B30+C30),0))</f>
        <v/>
      </c>
      <c r="E30" s="58">
        <f>SUM(G$6:G12)</f>
        <v/>
      </c>
      <c r="F30" s="58">
        <f>SUM(H$6:H12)</f>
        <v/>
      </c>
      <c r="G30" s="40">
        <f>IF(Einstellungen!$C$10="Ja",IF(E30&gt;0,F30/E30,0),IF(E30+F30&gt;0,F30/(E30+F30),0))</f>
        <v/>
      </c>
      <c r="H30" s="58">
        <f>SUM(L$6:L12)</f>
        <v/>
      </c>
      <c r="I30" s="58">
        <f>SUM(M$6:M12)</f>
        <v/>
      </c>
      <c r="J30" s="40">
        <f>IF(Einstellungen!$C$10="Ja",IF(H30&gt;0,I30/H30,0),IF(H30+I30&gt;0,I30/(H30+I30),0))</f>
        <v/>
      </c>
    </row>
    <row r="31">
      <c r="A31" s="56" t="inlineStr">
        <is>
          <t>August</t>
        </is>
      </c>
      <c r="B31" s="58">
        <f>SUM(B$6:B13)</f>
        <v/>
      </c>
      <c r="C31" s="58">
        <f>SUM(C$6:C13)</f>
        <v/>
      </c>
      <c r="D31" s="40">
        <f>IF(Einstellungen!$C$10="Ja",IF(B31&gt;0,C31/B31,0),IF(B31+C31&gt;0,C31/(B31+C31),0))</f>
        <v/>
      </c>
      <c r="E31" s="58">
        <f>SUM(G$6:G13)</f>
        <v/>
      </c>
      <c r="F31" s="58">
        <f>SUM(H$6:H13)</f>
        <v/>
      </c>
      <c r="G31" s="40">
        <f>IF(Einstellungen!$C$10="Ja",IF(E31&gt;0,F31/E31,0),IF(E31+F31&gt;0,F31/(E31+F31),0))</f>
        <v/>
      </c>
      <c r="H31" s="58">
        <f>SUM(L$6:L13)</f>
        <v/>
      </c>
      <c r="I31" s="58">
        <f>SUM(M$6:M13)</f>
        <v/>
      </c>
      <c r="J31" s="40">
        <f>IF(Einstellungen!$C$10="Ja",IF(H31&gt;0,I31/H31,0),IF(H31+I31&gt;0,I31/(H31+I31),0))</f>
        <v/>
      </c>
    </row>
    <row r="32">
      <c r="A32" s="56" t="inlineStr">
        <is>
          <t>September</t>
        </is>
      </c>
      <c r="B32" s="58">
        <f>SUM(B$6:B14)</f>
        <v/>
      </c>
      <c r="C32" s="58">
        <f>SUM(C$6:C14)</f>
        <v/>
      </c>
      <c r="D32" s="40">
        <f>IF(Einstellungen!$C$10="Ja",IF(B32&gt;0,C32/B32,0),IF(B32+C32&gt;0,C32/(B32+C32),0))</f>
        <v/>
      </c>
      <c r="E32" s="58">
        <f>SUM(G$6:G14)</f>
        <v/>
      </c>
      <c r="F32" s="58">
        <f>SUM(H$6:H14)</f>
        <v/>
      </c>
      <c r="G32" s="40">
        <f>IF(Einstellungen!$C$10="Ja",IF(E32&gt;0,F32/E32,0),IF(E32+F32&gt;0,F32/(E32+F32),0))</f>
        <v/>
      </c>
      <c r="H32" s="58">
        <f>SUM(L$6:L14)</f>
        <v/>
      </c>
      <c r="I32" s="58">
        <f>SUM(M$6:M14)</f>
        <v/>
      </c>
      <c r="J32" s="40">
        <f>IF(Einstellungen!$C$10="Ja",IF(H32&gt;0,I32/H32,0),IF(H32+I32&gt;0,I32/(H32+I32),0))</f>
        <v/>
      </c>
    </row>
    <row r="33">
      <c r="A33" s="56" t="inlineStr">
        <is>
          <t>Oktober</t>
        </is>
      </c>
      <c r="B33" s="58">
        <f>SUM(B$6:B15)</f>
        <v/>
      </c>
      <c r="C33" s="58">
        <f>SUM(C$6:C15)</f>
        <v/>
      </c>
      <c r="D33" s="40">
        <f>IF(Einstellungen!$C$10="Ja",IF(B33&gt;0,C33/B33,0),IF(B33+C33&gt;0,C33/(B33+C33),0))</f>
        <v/>
      </c>
      <c r="E33" s="58">
        <f>SUM(G$6:G15)</f>
        <v/>
      </c>
      <c r="F33" s="58">
        <f>SUM(H$6:H15)</f>
        <v/>
      </c>
      <c r="G33" s="40">
        <f>IF(Einstellungen!$C$10="Ja",IF(E33&gt;0,F33/E33,0),IF(E33+F33&gt;0,F33/(E33+F33),0))</f>
        <v/>
      </c>
      <c r="H33" s="58">
        <f>SUM(L$6:L15)</f>
        <v/>
      </c>
      <c r="I33" s="58">
        <f>SUM(M$6:M15)</f>
        <v/>
      </c>
      <c r="J33" s="40">
        <f>IF(Einstellungen!$C$10="Ja",IF(H33&gt;0,I33/H33,0),IF(H33+I33&gt;0,I33/(H33+I33),0))</f>
        <v/>
      </c>
    </row>
    <row r="34">
      <c r="A34" s="56" t="inlineStr">
        <is>
          <t>November</t>
        </is>
      </c>
      <c r="B34" s="58">
        <f>SUM(B$6:B16)</f>
        <v/>
      </c>
      <c r="C34" s="58">
        <f>SUM(C$6:C16)</f>
        <v/>
      </c>
      <c r="D34" s="40">
        <f>IF(Einstellungen!$C$10="Ja",IF(B34&gt;0,C34/B34,0),IF(B34+C34&gt;0,C34/(B34+C34),0))</f>
        <v/>
      </c>
      <c r="E34" s="58">
        <f>SUM(G$6:G16)</f>
        <v/>
      </c>
      <c r="F34" s="58">
        <f>SUM(H$6:H16)</f>
        <v/>
      </c>
      <c r="G34" s="40">
        <f>IF(Einstellungen!$C$10="Ja",IF(E34&gt;0,F34/E34,0),IF(E34+F34&gt;0,F34/(E34+F34),0))</f>
        <v/>
      </c>
      <c r="H34" s="58">
        <f>SUM(L$6:L16)</f>
        <v/>
      </c>
      <c r="I34" s="58">
        <f>SUM(M$6:M16)</f>
        <v/>
      </c>
      <c r="J34" s="40">
        <f>IF(Einstellungen!$C$10="Ja",IF(H34&gt;0,I34/H34,0),IF(H34+I34&gt;0,I34/(H34+I34),0))</f>
        <v/>
      </c>
    </row>
    <row r="35">
      <c r="A35" s="56" t="inlineStr">
        <is>
          <t>Dezember</t>
        </is>
      </c>
      <c r="B35" s="58">
        <f>SUM(B$6:B17)</f>
        <v/>
      </c>
      <c r="C35" s="58">
        <f>SUM(C$6:C17)</f>
        <v/>
      </c>
      <c r="D35" s="40">
        <f>IF(Einstellungen!$C$10="Ja",IF(B35&gt;0,C35/B35,0),IF(B35+C35&gt;0,C35/(B35+C35),0))</f>
        <v/>
      </c>
      <c r="E35" s="58">
        <f>SUM(G$6:G17)</f>
        <v/>
      </c>
      <c r="F35" s="58">
        <f>SUM(H$6:H17)</f>
        <v/>
      </c>
      <c r="G35" s="40">
        <f>IF(Einstellungen!$C$10="Ja",IF(E35&gt;0,F35/E35,0),IF(E35+F35&gt;0,F35/(E35+F35),0))</f>
        <v/>
      </c>
      <c r="H35" s="58">
        <f>SUM(L$6:L17)</f>
        <v/>
      </c>
      <c r="I35" s="58">
        <f>SUM(M$6:M17)</f>
        <v/>
      </c>
      <c r="J35" s="40">
        <f>IF(Einstellungen!$C$10="Ja",IF(H35&gt;0,I35/H35,0),IF(H35+I35&gt;0,I35/(H35+I35),0))</f>
        <v/>
      </c>
    </row>
  </sheetData>
  <mergeCells count="7">
    <mergeCell ref="B4:F4"/>
    <mergeCell ref="L4:P4"/>
    <mergeCell ref="E22:G22"/>
    <mergeCell ref="H22:J22"/>
    <mergeCell ref="B22:D22"/>
    <mergeCell ref="G4:K4"/>
    <mergeCell ref="A2:P2"/>
  </mergeCells>
  <conditionalFormatting sqref="D6:D18">
    <cfRule type="cellIs" priority="1" operator="greaterThan" dxfId="2">
      <formula>Einstellungen!$C$8</formula>
    </cfRule>
    <cfRule type="cellIs" priority="2" operator="greaterThan" dxfId="5">
      <formula>Einstellungen!$C$7</formula>
    </cfRule>
  </conditionalFormatting>
  <conditionalFormatting sqref="I6:I18">
    <cfRule type="cellIs" priority="3" operator="greaterThan" dxfId="2">
      <formula>Einstellungen!$C$8</formula>
    </cfRule>
    <cfRule type="cellIs" priority="4" operator="greaterThan" dxfId="5">
      <formula>Einstellungen!$C$7</formula>
    </cfRule>
  </conditionalFormatting>
  <conditionalFormatting sqref="N6:N18">
    <cfRule type="cellIs" priority="5" operator="greaterThan" dxfId="2">
      <formula>Einstellungen!$C$8</formula>
    </cfRule>
    <cfRule type="cellIs" priority="6" operator="greaterThan" dxfId="5">
      <formula>Einstellungen!$C$7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3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3" customWidth="1" min="3" max="3"/>
    <col width="10" customWidth="1" min="4" max="4"/>
    <col width="10" customWidth="1" min="5" max="5"/>
    <col width="9" customWidth="1" min="6" max="6"/>
    <col width="11" customWidth="1" min="7" max="7"/>
    <col width="11" customWidth="1" min="8" max="8"/>
    <col width="7" customWidth="1" min="9" max="9"/>
    <col width="10" customWidth="1" min="10" max="10"/>
    <col width="10" customWidth="1" min="11" max="11"/>
    <col width="9" customWidth="1" min="12" max="12"/>
    <col width="6" customWidth="1" min="13" max="13"/>
    <col width="14" customWidth="1" min="14" max="14"/>
    <col width="9" customWidth="1" min="15" max="15"/>
    <col width="8" customWidth="1" min="16" max="16"/>
    <col width="10" customWidth="1" min="17" max="17"/>
    <col width="10" customWidth="1" min="18" max="18"/>
    <col width="9" customWidth="1" min="19" max="19"/>
    <col width="14" customWidth="1" min="20" max="20"/>
    <col width="3" customWidth="1" min="21" max="21"/>
    <col width="30" customWidth="1" min="22" max="22"/>
    <col width="22" customWidth="1" min="23" max="23"/>
    <col width="10" customWidth="1" min="24" max="24"/>
    <col width="10" customWidth="1" min="25" max="25"/>
  </cols>
  <sheetData>
    <row r="1">
      <c r="A1" s="1" t="inlineStr">
        <is>
          <t>Krankenquote nach Mitarbeitern</t>
        </is>
      </c>
      <c r="N1" s="12" t="inlineStr">
        <is>
          <t>→ Erklärung</t>
        </is>
      </c>
    </row>
    <row r="2" ht="28" customHeight="1">
      <c r="A2" s="13" t="inlineStr">
        <is>
          <t>Maßgeblich: Quote (Ist) = Krankstunden ÷ (Ist-Stunden + Krankstunden) – darauf beruhen Rang und Ampel. Quote (Soll) nur zur Info. Rechts: Quote seit Zugehörigkeit über alle erfassten Jahre ab Eintritt (eigene Ampel).</t>
        </is>
      </c>
    </row>
    <row r="4">
      <c r="A4" s="41" t="n"/>
      <c r="B4" s="41" t="n"/>
      <c r="C4" s="41" t="n"/>
      <c r="D4" s="41">
        <f>"Auswertungsjahr "&amp;Einstellungen!$C$3</f>
        <v/>
      </c>
      <c r="E4" s="38" t="n"/>
      <c r="F4" s="38" t="n"/>
      <c r="G4" s="38" t="n"/>
      <c r="H4" s="38" t="n"/>
      <c r="I4" s="38" t="n"/>
      <c r="J4" s="38" t="n"/>
      <c r="K4" s="38" t="n"/>
      <c r="L4" s="38" t="n"/>
      <c r="M4" s="38" t="n"/>
      <c r="N4" s="38" t="n"/>
      <c r="O4" s="39" t="n"/>
      <c r="P4" s="43" t="inlineStr">
        <is>
          <t>Seit Zugehörigkeit (alle Jahre ab Eintritt)</t>
        </is>
      </c>
      <c r="Q4" s="53" t="n"/>
      <c r="R4" s="53" t="n"/>
      <c r="S4" s="53" t="n"/>
      <c r="T4" s="53" t="n"/>
      <c r="V4" s="2" t="inlineStr">
        <is>
          <t>Kennzahlen (Basis Ist-Stunden)</t>
        </is>
      </c>
      <c r="W4" s="2" t="n"/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Status</t>
        </is>
      </c>
      <c r="D5" s="21" t="inlineStr">
        <is>
          <t>Soll-
stunden</t>
        </is>
      </c>
      <c r="E5" s="21" t="inlineStr">
        <is>
          <t>Ist-
stunden</t>
        </is>
      </c>
      <c r="F5" s="21" t="inlineStr">
        <is>
          <t>Krank-
stunden</t>
        </is>
      </c>
      <c r="G5" s="21">
        <f>"Kranktage "&amp;Einstellungen!$C$4</f>
        <v/>
      </c>
      <c r="H5" s="21">
        <f>"Kranktage "&amp;Einstellungen!$C$5</f>
        <v/>
      </c>
      <c r="I5" s="21" t="inlineStr">
        <is>
          <t>Krank-
tage</t>
        </is>
      </c>
      <c r="J5" s="21" t="inlineStr">
        <is>
          <t>Monate mit
Krankheit</t>
        </is>
      </c>
      <c r="K5" s="21" t="inlineStr">
        <is>
          <t>Quote
(Soll, Info)</t>
        </is>
      </c>
      <c r="L5" s="21" t="inlineStr">
        <is>
          <t>Quote
(Ist)</t>
        </is>
      </c>
      <c r="M5" s="21" t="inlineStr">
        <is>
          <t>Rang</t>
        </is>
      </c>
      <c r="N5" s="21" t="inlineStr">
        <is>
          <t>Bewertung</t>
        </is>
      </c>
      <c r="O5" s="21" t="inlineStr">
        <is>
          <t>Sortier-
hilfe</t>
        </is>
      </c>
      <c r="P5" s="43" t="inlineStr">
        <is>
          <t>Krank-
tage</t>
        </is>
      </c>
      <c r="Q5" s="43" t="inlineStr">
        <is>
          <t>Krank-
stunden</t>
        </is>
      </c>
      <c r="R5" s="43" t="inlineStr">
        <is>
          <t>Ist-
stunden</t>
        </is>
      </c>
      <c r="S5" s="43" t="inlineStr">
        <is>
          <t>Quote</t>
        </is>
      </c>
      <c r="T5" s="43" t="inlineStr">
        <is>
          <t>Bewertung</t>
        </is>
      </c>
      <c r="V5" s="6" t="inlineStr">
        <is>
          <t>MA mit Ist-Stunden</t>
        </is>
      </c>
      <c r="W5" s="34">
        <f>COUNT($L$6:$L$305)</f>
        <v/>
      </c>
    </row>
    <row r="6">
      <c r="A6" s="47">
        <f>IF(Mitarbeiter!B6="","",Mitarbeiter!A6)</f>
        <v/>
      </c>
      <c r="B6" s="48">
        <f>IF(Mitarbeiter!B6="","",Mitarbeiter!B6)</f>
        <v/>
      </c>
      <c r="C6" s="7">
        <f>IF(Mitarbeiter!B6="","",Mitarbeiter!G6)</f>
        <v/>
      </c>
      <c r="D6" s="57">
        <f>IF(Mitarbeiter!B6="","",Mitarbeiter!H6)</f>
        <v/>
      </c>
      <c r="E6" s="57">
        <f>IF(Mitarbeiter!B6="","",'Ist-Stunden'!C6)</f>
        <v/>
      </c>
      <c r="F6" s="57">
        <f>IF(B6="","",Berechnung!AE6)</f>
        <v/>
      </c>
      <c r="G6" s="61">
        <f>IF(B6="","",Berechnung!P6)</f>
        <v/>
      </c>
      <c r="H6" s="61">
        <f>IF(B6="","",Berechnung!AC6)</f>
        <v/>
      </c>
      <c r="I6" s="61">
        <f>IF(B6="","",Berechnung!AD6)</f>
        <v/>
      </c>
      <c r="J6" s="36">
        <f>IF(B6="","",SUMPRODUCT(((Berechnung!D6:O6+Berechnung!Q6:AB6)&gt;0)*1))</f>
        <v/>
      </c>
      <c r="K6" s="62">
        <f>IF(B6="","",IF(N(D6)&gt;0,F6/D6,""))</f>
        <v/>
      </c>
      <c r="L6" s="40">
        <f>IF(B6="","",IF(N(E6)&gt;0,IF(Einstellungen!$C$10="Ja",F6/E6,F6/(E6+F6)),""))</f>
        <v/>
      </c>
      <c r="M6" s="63">
        <f>IF(L6="","",RANK(L6,$L$6:$L$305,0))</f>
        <v/>
      </c>
      <c r="N6" s="56">
        <f>IF(B6="","",IF(L6="","keine Ist-Std.",IF(L6&lt;=Einstellungen!$C$7,"unauffällig",IF(L6&lt;=Einstellungen!$C$8,"auffällig","kritisch"))))</f>
        <v/>
      </c>
      <c r="O6" s="64">
        <f>IF(L6="",-1,L6+ROW()/1000000000)</f>
        <v/>
      </c>
      <c r="P6" s="61">
        <f>IF(B6="","",Berechnung!AF6)</f>
        <v/>
      </c>
      <c r="Q6" s="57">
        <f>IF(B6="","",Berechnung!AG6)</f>
        <v/>
      </c>
      <c r="R6" s="57">
        <f>IF(B6="","",'Ist-Stunden'!D6)</f>
        <v/>
      </c>
      <c r="S6" s="59">
        <f>IF(B6="","",IF(N(R6)&gt;0,IF(Einstellungen!$C$10="Ja",Q6/R6,Q6/(R6+Q6)),""))</f>
        <v/>
      </c>
      <c r="T6" s="56">
        <f>IF(B6="","",IF(S6="","keine Ist-Std.",IF(S6&lt;=Einstellungen!$C$7,"unauffällig",IF(S6&lt;=Einstellungen!$C$8,"auffällig","kritisch"))))</f>
        <v/>
      </c>
      <c r="V6" s="6" t="inlineStr">
        <is>
          <t>Ø Krankenquote (gewichtet)</t>
        </is>
      </c>
      <c r="W6" s="40">
        <f>IF(Einstellungen!$C$10="Ja",IF(SUMIFS(E6:E305,E6:E305,"&gt;0")&gt;0,SUMIFS(F6:F305,E6:E305,"&gt;0")/SUMIFS(E6:E305,E6:E305,"&gt;0"),0),IF(SUMIFS(E6:E305,E6:E305,"&gt;0")+SUMIFS(F6:F305,E6:E305,"&gt;0")&gt;0,SUMIFS(F6:F305,E6:E305,"&gt;0")/(SUMIFS(E6:E305,E6:E305,"&gt;0")+SUMIFS(F6:F305,E6:E305,"&gt;0")),0))</f>
        <v/>
      </c>
    </row>
    <row r="7">
      <c r="A7" s="47">
        <f>IF(Mitarbeiter!B7="","",Mitarbeiter!A7)</f>
        <v/>
      </c>
      <c r="B7" s="48">
        <f>IF(Mitarbeiter!B7="","",Mitarbeiter!B7)</f>
        <v/>
      </c>
      <c r="C7" s="7">
        <f>IF(Mitarbeiter!B7="","",Mitarbeiter!G7)</f>
        <v/>
      </c>
      <c r="D7" s="57">
        <f>IF(Mitarbeiter!B7="","",Mitarbeiter!H7)</f>
        <v/>
      </c>
      <c r="E7" s="57">
        <f>IF(Mitarbeiter!B7="","",'Ist-Stunden'!C7)</f>
        <v/>
      </c>
      <c r="F7" s="57">
        <f>IF(B7="","",Berechnung!AE7)</f>
        <v/>
      </c>
      <c r="G7" s="61">
        <f>IF(B7="","",Berechnung!P7)</f>
        <v/>
      </c>
      <c r="H7" s="61">
        <f>IF(B7="","",Berechnung!AC7)</f>
        <v/>
      </c>
      <c r="I7" s="61">
        <f>IF(B7="","",Berechnung!AD7)</f>
        <v/>
      </c>
      <c r="J7" s="36">
        <f>IF(B7="","",SUMPRODUCT(((Berechnung!D7:O7+Berechnung!Q7:AB7)&gt;0)*1))</f>
        <v/>
      </c>
      <c r="K7" s="62">
        <f>IF(B7="","",IF(N(D7)&gt;0,F7/D7,""))</f>
        <v/>
      </c>
      <c r="L7" s="40">
        <f>IF(B7="","",IF(N(E7)&gt;0,IF(Einstellungen!$C$10="Ja",F7/E7,F7/(E7+F7)),""))</f>
        <v/>
      </c>
      <c r="M7" s="63">
        <f>IF(L7="","",RANK(L7,$L$6:$L$305,0))</f>
        <v/>
      </c>
      <c r="N7" s="56">
        <f>IF(B7="","",IF(L7="","keine Ist-Std.",IF(L7&lt;=Einstellungen!$C$7,"unauffällig",IF(L7&lt;=Einstellungen!$C$8,"auffällig","kritisch"))))</f>
        <v/>
      </c>
      <c r="O7" s="64">
        <f>IF(L7="",-1,L7+ROW()/1000000000)</f>
        <v/>
      </c>
      <c r="P7" s="61">
        <f>IF(B7="","",Berechnung!AF7)</f>
        <v/>
      </c>
      <c r="Q7" s="57">
        <f>IF(B7="","",Berechnung!AG7)</f>
        <v/>
      </c>
      <c r="R7" s="57">
        <f>IF(B7="","",'Ist-Stunden'!D7)</f>
        <v/>
      </c>
      <c r="S7" s="59">
        <f>IF(B7="","",IF(N(R7)&gt;0,IF(Einstellungen!$C$10="Ja",Q7/R7,Q7/(R7+Q7)),""))</f>
        <v/>
      </c>
      <c r="T7" s="56">
        <f>IF(B7="","",IF(S7="","keine Ist-Std.",IF(S7&lt;=Einstellungen!$C$7,"unauffällig",IF(S7&lt;=Einstellungen!$C$8,"auffällig","kritisch"))))</f>
        <v/>
      </c>
      <c r="V7" s="6" t="inlineStr">
        <is>
          <t>Ø Krankenquote (je MA)</t>
        </is>
      </c>
      <c r="W7" s="40">
        <f>IFERROR(AVERAGE($L$6:$L$305),0)</f>
        <v/>
      </c>
    </row>
    <row r="8">
      <c r="A8" s="47">
        <f>IF(Mitarbeiter!B8="","",Mitarbeiter!A8)</f>
        <v/>
      </c>
      <c r="B8" s="48">
        <f>IF(Mitarbeiter!B8="","",Mitarbeiter!B8)</f>
        <v/>
      </c>
      <c r="C8" s="7">
        <f>IF(Mitarbeiter!B8="","",Mitarbeiter!G8)</f>
        <v/>
      </c>
      <c r="D8" s="57">
        <f>IF(Mitarbeiter!B8="","",Mitarbeiter!H8)</f>
        <v/>
      </c>
      <c r="E8" s="57">
        <f>IF(Mitarbeiter!B8="","",'Ist-Stunden'!C8)</f>
        <v/>
      </c>
      <c r="F8" s="57">
        <f>IF(B8="","",Berechnung!AE8)</f>
        <v/>
      </c>
      <c r="G8" s="61">
        <f>IF(B8="","",Berechnung!P8)</f>
        <v/>
      </c>
      <c r="H8" s="61">
        <f>IF(B8="","",Berechnung!AC8)</f>
        <v/>
      </c>
      <c r="I8" s="61">
        <f>IF(B8="","",Berechnung!AD8)</f>
        <v/>
      </c>
      <c r="J8" s="36">
        <f>IF(B8="","",SUMPRODUCT(((Berechnung!D8:O8+Berechnung!Q8:AB8)&gt;0)*1))</f>
        <v/>
      </c>
      <c r="K8" s="62">
        <f>IF(B8="","",IF(N(D8)&gt;0,F8/D8,""))</f>
        <v/>
      </c>
      <c r="L8" s="40">
        <f>IF(B8="","",IF(N(E8)&gt;0,IF(Einstellungen!$C$10="Ja",F8/E8,F8/(E8+F8)),""))</f>
        <v/>
      </c>
      <c r="M8" s="63">
        <f>IF(L8="","",RANK(L8,$L$6:$L$305,0))</f>
        <v/>
      </c>
      <c r="N8" s="56">
        <f>IF(B8="","",IF(L8="","keine Ist-Std.",IF(L8&lt;=Einstellungen!$C$7,"unauffällig",IF(L8&lt;=Einstellungen!$C$8,"auffällig","kritisch"))))</f>
        <v/>
      </c>
      <c r="O8" s="64">
        <f>IF(L8="",-1,L8+ROW()/1000000000)</f>
        <v/>
      </c>
      <c r="P8" s="61">
        <f>IF(B8="","",Berechnung!AF8)</f>
        <v/>
      </c>
      <c r="Q8" s="57">
        <f>IF(B8="","",Berechnung!AG8)</f>
        <v/>
      </c>
      <c r="R8" s="57">
        <f>IF(B8="","",'Ist-Stunden'!D8)</f>
        <v/>
      </c>
      <c r="S8" s="59">
        <f>IF(B8="","",IF(N(R8)&gt;0,IF(Einstellungen!$C$10="Ja",Q8/R8,Q8/(R8+Q8)),""))</f>
        <v/>
      </c>
      <c r="T8" s="56">
        <f>IF(B8="","",IF(S8="","keine Ist-Std.",IF(S8&lt;=Einstellungen!$C$7,"unauffällig",IF(S8&lt;=Einstellungen!$C$8,"auffällig","kritisch"))))</f>
        <v/>
      </c>
      <c r="V8" s="6" t="inlineStr">
        <is>
          <t>Median</t>
        </is>
      </c>
      <c r="W8" s="40">
        <f>IFERROR(MEDIAN($L$6:$L$305),0)</f>
        <v/>
      </c>
    </row>
    <row r="9">
      <c r="A9" s="47">
        <f>IF(Mitarbeiter!B9="","",Mitarbeiter!A9)</f>
        <v/>
      </c>
      <c r="B9" s="48">
        <f>IF(Mitarbeiter!B9="","",Mitarbeiter!B9)</f>
        <v/>
      </c>
      <c r="C9" s="7">
        <f>IF(Mitarbeiter!B9="","",Mitarbeiter!G9)</f>
        <v/>
      </c>
      <c r="D9" s="57">
        <f>IF(Mitarbeiter!B9="","",Mitarbeiter!H9)</f>
        <v/>
      </c>
      <c r="E9" s="57">
        <f>IF(Mitarbeiter!B9="","",'Ist-Stunden'!C9)</f>
        <v/>
      </c>
      <c r="F9" s="57">
        <f>IF(B9="","",Berechnung!AE9)</f>
        <v/>
      </c>
      <c r="G9" s="61">
        <f>IF(B9="","",Berechnung!P9)</f>
        <v/>
      </c>
      <c r="H9" s="61">
        <f>IF(B9="","",Berechnung!AC9)</f>
        <v/>
      </c>
      <c r="I9" s="61">
        <f>IF(B9="","",Berechnung!AD9)</f>
        <v/>
      </c>
      <c r="J9" s="36">
        <f>IF(B9="","",SUMPRODUCT(((Berechnung!D9:O9+Berechnung!Q9:AB9)&gt;0)*1))</f>
        <v/>
      </c>
      <c r="K9" s="62">
        <f>IF(B9="","",IF(N(D9)&gt;0,F9/D9,""))</f>
        <v/>
      </c>
      <c r="L9" s="40">
        <f>IF(B9="","",IF(N(E9)&gt;0,IF(Einstellungen!$C$10="Ja",F9/E9,F9/(E9+F9)),""))</f>
        <v/>
      </c>
      <c r="M9" s="63">
        <f>IF(L9="","",RANK(L9,$L$6:$L$305,0))</f>
        <v/>
      </c>
      <c r="N9" s="56">
        <f>IF(B9="","",IF(L9="","keine Ist-Std.",IF(L9&lt;=Einstellungen!$C$7,"unauffällig",IF(L9&lt;=Einstellungen!$C$8,"auffällig","kritisch"))))</f>
        <v/>
      </c>
      <c r="O9" s="64">
        <f>IF(L9="",-1,L9+ROW()/1000000000)</f>
        <v/>
      </c>
      <c r="P9" s="61">
        <f>IF(B9="","",Berechnung!AF9)</f>
        <v/>
      </c>
      <c r="Q9" s="57">
        <f>IF(B9="","",Berechnung!AG9)</f>
        <v/>
      </c>
      <c r="R9" s="57">
        <f>IF(B9="","",'Ist-Stunden'!D9)</f>
        <v/>
      </c>
      <c r="S9" s="59">
        <f>IF(B9="","",IF(N(R9)&gt;0,IF(Einstellungen!$C$10="Ja",Q9/R9,Q9/(R9+Q9)),""))</f>
        <v/>
      </c>
      <c r="T9" s="56">
        <f>IF(B9="","",IF(S9="","keine Ist-Std.",IF(S9&lt;=Einstellungen!$C$7,"unauffällig",IF(S9&lt;=Einstellungen!$C$8,"auffällig","kritisch"))))</f>
        <v/>
      </c>
      <c r="V9" s="6" t="inlineStr">
        <is>
          <t>Höchste Quote</t>
        </is>
      </c>
      <c r="W9" s="40">
        <f>IFERROR(MAX($L$6:$L$305),0)</f>
        <v/>
      </c>
    </row>
    <row r="10">
      <c r="A10" s="47">
        <f>IF(Mitarbeiter!B10="","",Mitarbeiter!A10)</f>
        <v/>
      </c>
      <c r="B10" s="48">
        <f>IF(Mitarbeiter!B10="","",Mitarbeiter!B10)</f>
        <v/>
      </c>
      <c r="C10" s="7">
        <f>IF(Mitarbeiter!B10="","",Mitarbeiter!G10)</f>
        <v/>
      </c>
      <c r="D10" s="57">
        <f>IF(Mitarbeiter!B10="","",Mitarbeiter!H10)</f>
        <v/>
      </c>
      <c r="E10" s="57">
        <f>IF(Mitarbeiter!B10="","",'Ist-Stunden'!C10)</f>
        <v/>
      </c>
      <c r="F10" s="57">
        <f>IF(B10="","",Berechnung!AE10)</f>
        <v/>
      </c>
      <c r="G10" s="61">
        <f>IF(B10="","",Berechnung!P10)</f>
        <v/>
      </c>
      <c r="H10" s="61">
        <f>IF(B10="","",Berechnung!AC10)</f>
        <v/>
      </c>
      <c r="I10" s="61">
        <f>IF(B10="","",Berechnung!AD10)</f>
        <v/>
      </c>
      <c r="J10" s="36">
        <f>IF(B10="","",SUMPRODUCT(((Berechnung!D10:O10+Berechnung!Q10:AB10)&gt;0)*1))</f>
        <v/>
      </c>
      <c r="K10" s="62">
        <f>IF(B10="","",IF(N(D10)&gt;0,F10/D10,""))</f>
        <v/>
      </c>
      <c r="L10" s="40">
        <f>IF(B10="","",IF(N(E10)&gt;0,IF(Einstellungen!$C$10="Ja",F10/E10,F10/(E10+F10)),""))</f>
        <v/>
      </c>
      <c r="M10" s="63">
        <f>IF(L10="","",RANK(L10,$L$6:$L$305,0))</f>
        <v/>
      </c>
      <c r="N10" s="56">
        <f>IF(B10="","",IF(L10="","keine Ist-Std.",IF(L10&lt;=Einstellungen!$C$7,"unauffällig",IF(L10&lt;=Einstellungen!$C$8,"auffällig","kritisch"))))</f>
        <v/>
      </c>
      <c r="O10" s="64">
        <f>IF(L10="",-1,L10+ROW()/1000000000)</f>
        <v/>
      </c>
      <c r="P10" s="61">
        <f>IF(B10="","",Berechnung!AF10)</f>
        <v/>
      </c>
      <c r="Q10" s="57">
        <f>IF(B10="","",Berechnung!AG10)</f>
        <v/>
      </c>
      <c r="R10" s="57">
        <f>IF(B10="","",'Ist-Stunden'!D10)</f>
        <v/>
      </c>
      <c r="S10" s="59">
        <f>IF(B10="","",IF(N(R10)&gt;0,IF(Einstellungen!$C$10="Ja",Q10/R10,Q10/(R10+Q10)),""))</f>
        <v/>
      </c>
      <c r="T10" s="56">
        <f>IF(B10="","",IF(S10="","keine Ist-Std.",IF(S10&lt;=Einstellungen!$C$7,"unauffällig",IF(S10&lt;=Einstellungen!$C$8,"auffällig","kritisch"))))</f>
        <v/>
      </c>
      <c r="V10" s="6" t="inlineStr">
        <is>
          <t>MA ohne Krankheitstag</t>
        </is>
      </c>
      <c r="W10" s="34">
        <f>COUNTIFS($L$6:$L$305,0)</f>
        <v/>
      </c>
    </row>
    <row r="11">
      <c r="A11" s="47">
        <f>IF(Mitarbeiter!B11="","",Mitarbeiter!A11)</f>
        <v/>
      </c>
      <c r="B11" s="48">
        <f>IF(Mitarbeiter!B11="","",Mitarbeiter!B11)</f>
        <v/>
      </c>
      <c r="C11" s="7">
        <f>IF(Mitarbeiter!B11="","",Mitarbeiter!G11)</f>
        <v/>
      </c>
      <c r="D11" s="57">
        <f>IF(Mitarbeiter!B11="","",Mitarbeiter!H11)</f>
        <v/>
      </c>
      <c r="E11" s="57">
        <f>IF(Mitarbeiter!B11="","",'Ist-Stunden'!C11)</f>
        <v/>
      </c>
      <c r="F11" s="57">
        <f>IF(B11="","",Berechnung!AE11)</f>
        <v/>
      </c>
      <c r="G11" s="61">
        <f>IF(B11="","",Berechnung!P11)</f>
        <v/>
      </c>
      <c r="H11" s="61">
        <f>IF(B11="","",Berechnung!AC11)</f>
        <v/>
      </c>
      <c r="I11" s="61">
        <f>IF(B11="","",Berechnung!AD11)</f>
        <v/>
      </c>
      <c r="J11" s="36">
        <f>IF(B11="","",SUMPRODUCT(((Berechnung!D11:O11+Berechnung!Q11:AB11)&gt;0)*1))</f>
        <v/>
      </c>
      <c r="K11" s="62">
        <f>IF(B11="","",IF(N(D11)&gt;0,F11/D11,""))</f>
        <v/>
      </c>
      <c r="L11" s="40">
        <f>IF(B11="","",IF(N(E11)&gt;0,IF(Einstellungen!$C$10="Ja",F11/E11,F11/(E11+F11)),""))</f>
        <v/>
      </c>
      <c r="M11" s="63">
        <f>IF(L11="","",RANK(L11,$L$6:$L$305,0))</f>
        <v/>
      </c>
      <c r="N11" s="56">
        <f>IF(B11="","",IF(L11="","keine Ist-Std.",IF(L11&lt;=Einstellungen!$C$7,"unauffällig",IF(L11&lt;=Einstellungen!$C$8,"auffällig","kritisch"))))</f>
        <v/>
      </c>
      <c r="O11" s="64">
        <f>IF(L11="",-1,L11+ROW()/1000000000)</f>
        <v/>
      </c>
      <c r="P11" s="61">
        <f>IF(B11="","",Berechnung!AF11)</f>
        <v/>
      </c>
      <c r="Q11" s="57">
        <f>IF(B11="","",Berechnung!AG11)</f>
        <v/>
      </c>
      <c r="R11" s="57">
        <f>IF(B11="","",'Ist-Stunden'!D11)</f>
        <v/>
      </c>
      <c r="S11" s="59">
        <f>IF(B11="","",IF(N(R11)&gt;0,IF(Einstellungen!$C$10="Ja",Q11/R11,Q11/(R11+Q11)),""))</f>
        <v/>
      </c>
      <c r="T11" s="56">
        <f>IF(B11="","",IF(S11="","keine Ist-Std.",IF(S11&lt;=Einstellungen!$C$7,"unauffällig",IF(S11&lt;=Einstellungen!$C$8,"auffällig","kritisch"))))</f>
        <v/>
      </c>
      <c r="V11" s="6" t="inlineStr">
        <is>
          <t>MA unauffällig</t>
        </is>
      </c>
      <c r="W11" s="34">
        <f>COUNTIF($N$6:$N$305,"unauffällig")</f>
        <v/>
      </c>
    </row>
    <row r="12">
      <c r="A12" s="47">
        <f>IF(Mitarbeiter!B12="","",Mitarbeiter!A12)</f>
        <v/>
      </c>
      <c r="B12" s="48">
        <f>IF(Mitarbeiter!B12="","",Mitarbeiter!B12)</f>
        <v/>
      </c>
      <c r="C12" s="7">
        <f>IF(Mitarbeiter!B12="","",Mitarbeiter!G12)</f>
        <v/>
      </c>
      <c r="D12" s="57">
        <f>IF(Mitarbeiter!B12="","",Mitarbeiter!H12)</f>
        <v/>
      </c>
      <c r="E12" s="57">
        <f>IF(Mitarbeiter!B12="","",'Ist-Stunden'!C12)</f>
        <v/>
      </c>
      <c r="F12" s="57">
        <f>IF(B12="","",Berechnung!AE12)</f>
        <v/>
      </c>
      <c r="G12" s="61">
        <f>IF(B12="","",Berechnung!P12)</f>
        <v/>
      </c>
      <c r="H12" s="61">
        <f>IF(B12="","",Berechnung!AC12)</f>
        <v/>
      </c>
      <c r="I12" s="61">
        <f>IF(B12="","",Berechnung!AD12)</f>
        <v/>
      </c>
      <c r="J12" s="36">
        <f>IF(B12="","",SUMPRODUCT(((Berechnung!D12:O12+Berechnung!Q12:AB12)&gt;0)*1))</f>
        <v/>
      </c>
      <c r="K12" s="62">
        <f>IF(B12="","",IF(N(D12)&gt;0,F12/D12,""))</f>
        <v/>
      </c>
      <c r="L12" s="40">
        <f>IF(B12="","",IF(N(E12)&gt;0,IF(Einstellungen!$C$10="Ja",F12/E12,F12/(E12+F12)),""))</f>
        <v/>
      </c>
      <c r="M12" s="63">
        <f>IF(L12="","",RANK(L12,$L$6:$L$305,0))</f>
        <v/>
      </c>
      <c r="N12" s="56">
        <f>IF(B12="","",IF(L12="","keine Ist-Std.",IF(L12&lt;=Einstellungen!$C$7,"unauffällig",IF(L12&lt;=Einstellungen!$C$8,"auffällig","kritisch"))))</f>
        <v/>
      </c>
      <c r="O12" s="64">
        <f>IF(L12="",-1,L12+ROW()/1000000000)</f>
        <v/>
      </c>
      <c r="P12" s="61">
        <f>IF(B12="","",Berechnung!AF12)</f>
        <v/>
      </c>
      <c r="Q12" s="57">
        <f>IF(B12="","",Berechnung!AG12)</f>
        <v/>
      </c>
      <c r="R12" s="57">
        <f>IF(B12="","",'Ist-Stunden'!D12)</f>
        <v/>
      </c>
      <c r="S12" s="59">
        <f>IF(B12="","",IF(N(R12)&gt;0,IF(Einstellungen!$C$10="Ja",Q12/R12,Q12/(R12+Q12)),""))</f>
        <v/>
      </c>
      <c r="T12" s="56">
        <f>IF(B12="","",IF(S12="","keine Ist-Std.",IF(S12&lt;=Einstellungen!$C$7,"unauffällig",IF(S12&lt;=Einstellungen!$C$8,"auffällig","kritisch"))))</f>
        <v/>
      </c>
      <c r="V12" s="6" t="inlineStr">
        <is>
          <t>MA auffällig</t>
        </is>
      </c>
      <c r="W12" s="34">
        <f>COUNTIF($N$6:$N$305,"auffällig")</f>
        <v/>
      </c>
    </row>
    <row r="13">
      <c r="A13" s="47">
        <f>IF(Mitarbeiter!B13="","",Mitarbeiter!A13)</f>
        <v/>
      </c>
      <c r="B13" s="48">
        <f>IF(Mitarbeiter!B13="","",Mitarbeiter!B13)</f>
        <v/>
      </c>
      <c r="C13" s="7">
        <f>IF(Mitarbeiter!B13="","",Mitarbeiter!G13)</f>
        <v/>
      </c>
      <c r="D13" s="57">
        <f>IF(Mitarbeiter!B13="","",Mitarbeiter!H13)</f>
        <v/>
      </c>
      <c r="E13" s="57">
        <f>IF(Mitarbeiter!B13="","",'Ist-Stunden'!C13)</f>
        <v/>
      </c>
      <c r="F13" s="57">
        <f>IF(B13="","",Berechnung!AE13)</f>
        <v/>
      </c>
      <c r="G13" s="61">
        <f>IF(B13="","",Berechnung!P13)</f>
        <v/>
      </c>
      <c r="H13" s="61">
        <f>IF(B13="","",Berechnung!AC13)</f>
        <v/>
      </c>
      <c r="I13" s="61">
        <f>IF(B13="","",Berechnung!AD13)</f>
        <v/>
      </c>
      <c r="J13" s="36">
        <f>IF(B13="","",SUMPRODUCT(((Berechnung!D13:O13+Berechnung!Q13:AB13)&gt;0)*1))</f>
        <v/>
      </c>
      <c r="K13" s="62">
        <f>IF(B13="","",IF(N(D13)&gt;0,F13/D13,""))</f>
        <v/>
      </c>
      <c r="L13" s="40">
        <f>IF(B13="","",IF(N(E13)&gt;0,IF(Einstellungen!$C$10="Ja",F13/E13,F13/(E13+F13)),""))</f>
        <v/>
      </c>
      <c r="M13" s="63">
        <f>IF(L13="","",RANK(L13,$L$6:$L$305,0))</f>
        <v/>
      </c>
      <c r="N13" s="56">
        <f>IF(B13="","",IF(L13="","keine Ist-Std.",IF(L13&lt;=Einstellungen!$C$7,"unauffällig",IF(L13&lt;=Einstellungen!$C$8,"auffällig","kritisch"))))</f>
        <v/>
      </c>
      <c r="O13" s="64">
        <f>IF(L13="",-1,L13+ROW()/1000000000)</f>
        <v/>
      </c>
      <c r="P13" s="61">
        <f>IF(B13="","",Berechnung!AF13)</f>
        <v/>
      </c>
      <c r="Q13" s="57">
        <f>IF(B13="","",Berechnung!AG13)</f>
        <v/>
      </c>
      <c r="R13" s="57">
        <f>IF(B13="","",'Ist-Stunden'!D13)</f>
        <v/>
      </c>
      <c r="S13" s="59">
        <f>IF(B13="","",IF(N(R13)&gt;0,IF(Einstellungen!$C$10="Ja",Q13/R13,Q13/(R13+Q13)),""))</f>
        <v/>
      </c>
      <c r="T13" s="56">
        <f>IF(B13="","",IF(S13="","keine Ist-Std.",IF(S13&lt;=Einstellungen!$C$7,"unauffällig",IF(S13&lt;=Einstellungen!$C$8,"auffällig","kritisch"))))</f>
        <v/>
      </c>
      <c r="V13" s="6" t="inlineStr">
        <is>
          <t>MA kritisch</t>
        </is>
      </c>
      <c r="W13" s="34">
        <f>COUNTIF($N$6:$N$305,"kritisch")</f>
        <v/>
      </c>
    </row>
    <row r="14">
      <c r="A14" s="47">
        <f>IF(Mitarbeiter!B14="","",Mitarbeiter!A14)</f>
        <v/>
      </c>
      <c r="B14" s="48">
        <f>IF(Mitarbeiter!B14="","",Mitarbeiter!B14)</f>
        <v/>
      </c>
      <c r="C14" s="7">
        <f>IF(Mitarbeiter!B14="","",Mitarbeiter!G14)</f>
        <v/>
      </c>
      <c r="D14" s="57">
        <f>IF(Mitarbeiter!B14="","",Mitarbeiter!H14)</f>
        <v/>
      </c>
      <c r="E14" s="57">
        <f>IF(Mitarbeiter!B14="","",'Ist-Stunden'!C14)</f>
        <v/>
      </c>
      <c r="F14" s="57">
        <f>IF(B14="","",Berechnung!AE14)</f>
        <v/>
      </c>
      <c r="G14" s="61">
        <f>IF(B14="","",Berechnung!P14)</f>
        <v/>
      </c>
      <c r="H14" s="61">
        <f>IF(B14="","",Berechnung!AC14)</f>
        <v/>
      </c>
      <c r="I14" s="61">
        <f>IF(B14="","",Berechnung!AD14)</f>
        <v/>
      </c>
      <c r="J14" s="36">
        <f>IF(B14="","",SUMPRODUCT(((Berechnung!D14:O14+Berechnung!Q14:AB14)&gt;0)*1))</f>
        <v/>
      </c>
      <c r="K14" s="62">
        <f>IF(B14="","",IF(N(D14)&gt;0,F14/D14,""))</f>
        <v/>
      </c>
      <c r="L14" s="40">
        <f>IF(B14="","",IF(N(E14)&gt;0,IF(Einstellungen!$C$10="Ja",F14/E14,F14/(E14+F14)),""))</f>
        <v/>
      </c>
      <c r="M14" s="63">
        <f>IF(L14="","",RANK(L14,$L$6:$L$305,0))</f>
        <v/>
      </c>
      <c r="N14" s="56">
        <f>IF(B14="","",IF(L14="","keine Ist-Std.",IF(L14&lt;=Einstellungen!$C$7,"unauffällig",IF(L14&lt;=Einstellungen!$C$8,"auffällig","kritisch"))))</f>
        <v/>
      </c>
      <c r="O14" s="64">
        <f>IF(L14="",-1,L14+ROW()/1000000000)</f>
        <v/>
      </c>
      <c r="P14" s="61">
        <f>IF(B14="","",Berechnung!AF14)</f>
        <v/>
      </c>
      <c r="Q14" s="57">
        <f>IF(B14="","",Berechnung!AG14)</f>
        <v/>
      </c>
      <c r="R14" s="57">
        <f>IF(B14="","",'Ist-Stunden'!D14)</f>
        <v/>
      </c>
      <c r="S14" s="59">
        <f>IF(B14="","",IF(N(R14)&gt;0,IF(Einstellungen!$C$10="Ja",Q14/R14,Q14/(R14+Q14)),""))</f>
        <v/>
      </c>
      <c r="T14" s="56">
        <f>IF(B14="","",IF(S14="","keine Ist-Std.",IF(S14&lt;=Einstellungen!$C$7,"unauffällig",IF(S14&lt;=Einstellungen!$C$8,"auffällig","kritisch"))))</f>
        <v/>
      </c>
      <c r="V14" s="6" t="inlineStr">
        <is>
          <t>MA ohne Ist-Stunden</t>
        </is>
      </c>
      <c r="W14" s="34">
        <f>COUNTIF($N$6:$N$305,"keine Ist-Std.")</f>
        <v/>
      </c>
    </row>
    <row r="15">
      <c r="A15" s="47">
        <f>IF(Mitarbeiter!B15="","",Mitarbeiter!A15)</f>
        <v/>
      </c>
      <c r="B15" s="48">
        <f>IF(Mitarbeiter!B15="","",Mitarbeiter!B15)</f>
        <v/>
      </c>
      <c r="C15" s="7">
        <f>IF(Mitarbeiter!B15="","",Mitarbeiter!G15)</f>
        <v/>
      </c>
      <c r="D15" s="57">
        <f>IF(Mitarbeiter!B15="","",Mitarbeiter!H15)</f>
        <v/>
      </c>
      <c r="E15" s="57">
        <f>IF(Mitarbeiter!B15="","",'Ist-Stunden'!C15)</f>
        <v/>
      </c>
      <c r="F15" s="57">
        <f>IF(B15="","",Berechnung!AE15)</f>
        <v/>
      </c>
      <c r="G15" s="61">
        <f>IF(B15="","",Berechnung!P15)</f>
        <v/>
      </c>
      <c r="H15" s="61">
        <f>IF(B15="","",Berechnung!AC15)</f>
        <v/>
      </c>
      <c r="I15" s="61">
        <f>IF(B15="","",Berechnung!AD15)</f>
        <v/>
      </c>
      <c r="J15" s="36">
        <f>IF(B15="","",SUMPRODUCT(((Berechnung!D15:O15+Berechnung!Q15:AB15)&gt;0)*1))</f>
        <v/>
      </c>
      <c r="K15" s="62">
        <f>IF(B15="","",IF(N(D15)&gt;0,F15/D15,""))</f>
        <v/>
      </c>
      <c r="L15" s="40">
        <f>IF(B15="","",IF(N(E15)&gt;0,IF(Einstellungen!$C$10="Ja",F15/E15,F15/(E15+F15)),""))</f>
        <v/>
      </c>
      <c r="M15" s="63">
        <f>IF(L15="","",RANK(L15,$L$6:$L$305,0))</f>
        <v/>
      </c>
      <c r="N15" s="56">
        <f>IF(B15="","",IF(L15="","keine Ist-Std.",IF(L15&lt;=Einstellungen!$C$7,"unauffällig",IF(L15&lt;=Einstellungen!$C$8,"auffällig","kritisch"))))</f>
        <v/>
      </c>
      <c r="O15" s="64">
        <f>IF(L15="",-1,L15+ROW()/1000000000)</f>
        <v/>
      </c>
      <c r="P15" s="61">
        <f>IF(B15="","",Berechnung!AF15)</f>
        <v/>
      </c>
      <c r="Q15" s="57">
        <f>IF(B15="","",Berechnung!AG15)</f>
        <v/>
      </c>
      <c r="R15" s="57">
        <f>IF(B15="","",'Ist-Stunden'!D15)</f>
        <v/>
      </c>
      <c r="S15" s="59">
        <f>IF(B15="","",IF(N(R15)&gt;0,IF(Einstellungen!$C$10="Ja",Q15/R15,Q15/(R15+Q15)),""))</f>
        <v/>
      </c>
      <c r="T15" s="56">
        <f>IF(B15="","",IF(S15="","keine Ist-Std.",IF(S15&lt;=Einstellungen!$C$7,"unauffällig",IF(S15&lt;=Einstellungen!$C$8,"auffällig","kritisch"))))</f>
        <v/>
      </c>
      <c r="V15" s="6" t="inlineStr">
        <is>
          <t>Krankstunden gesamt</t>
        </is>
      </c>
      <c r="W15" s="65">
        <f>SUM(F6:F305)</f>
        <v/>
      </c>
    </row>
    <row r="16">
      <c r="A16" s="47">
        <f>IF(Mitarbeiter!B16="","",Mitarbeiter!A16)</f>
        <v/>
      </c>
      <c r="B16" s="48">
        <f>IF(Mitarbeiter!B16="","",Mitarbeiter!B16)</f>
        <v/>
      </c>
      <c r="C16" s="7">
        <f>IF(Mitarbeiter!B16="","",Mitarbeiter!G16)</f>
        <v/>
      </c>
      <c r="D16" s="57">
        <f>IF(Mitarbeiter!B16="","",Mitarbeiter!H16)</f>
        <v/>
      </c>
      <c r="E16" s="57">
        <f>IF(Mitarbeiter!B16="","",'Ist-Stunden'!C16)</f>
        <v/>
      </c>
      <c r="F16" s="57">
        <f>IF(B16="","",Berechnung!AE16)</f>
        <v/>
      </c>
      <c r="G16" s="61">
        <f>IF(B16="","",Berechnung!P16)</f>
        <v/>
      </c>
      <c r="H16" s="61">
        <f>IF(B16="","",Berechnung!AC16)</f>
        <v/>
      </c>
      <c r="I16" s="61">
        <f>IF(B16="","",Berechnung!AD16)</f>
        <v/>
      </c>
      <c r="J16" s="36">
        <f>IF(B16="","",SUMPRODUCT(((Berechnung!D16:O16+Berechnung!Q16:AB16)&gt;0)*1))</f>
        <v/>
      </c>
      <c r="K16" s="62">
        <f>IF(B16="","",IF(N(D16)&gt;0,F16/D16,""))</f>
        <v/>
      </c>
      <c r="L16" s="40">
        <f>IF(B16="","",IF(N(E16)&gt;0,IF(Einstellungen!$C$10="Ja",F16/E16,F16/(E16+F16)),""))</f>
        <v/>
      </c>
      <c r="M16" s="63">
        <f>IF(L16="","",RANK(L16,$L$6:$L$305,0))</f>
        <v/>
      </c>
      <c r="N16" s="56">
        <f>IF(B16="","",IF(L16="","keine Ist-Std.",IF(L16&lt;=Einstellungen!$C$7,"unauffällig",IF(L16&lt;=Einstellungen!$C$8,"auffällig","kritisch"))))</f>
        <v/>
      </c>
      <c r="O16" s="64">
        <f>IF(L16="",-1,L16+ROW()/1000000000)</f>
        <v/>
      </c>
      <c r="P16" s="61">
        <f>IF(B16="","",Berechnung!AF16)</f>
        <v/>
      </c>
      <c r="Q16" s="57">
        <f>IF(B16="","",Berechnung!AG16)</f>
        <v/>
      </c>
      <c r="R16" s="57">
        <f>IF(B16="","",'Ist-Stunden'!D16)</f>
        <v/>
      </c>
      <c r="S16" s="59">
        <f>IF(B16="","",IF(N(R16)&gt;0,IF(Einstellungen!$C$10="Ja",Q16/R16,Q16/(R16+Q16)),""))</f>
        <v/>
      </c>
      <c r="T16" s="56">
        <f>IF(B16="","",IF(S16="","keine Ist-Std.",IF(S16&lt;=Einstellungen!$C$7,"unauffällig",IF(S16&lt;=Einstellungen!$C$8,"auffällig","kritisch"))))</f>
        <v/>
      </c>
      <c r="V16" s="6" t="inlineStr">
        <is>
          <t>Krankheitstage gesamt</t>
        </is>
      </c>
      <c r="W16" s="34">
        <f>SUM(I6:I305)</f>
        <v/>
      </c>
    </row>
    <row r="17">
      <c r="A17" s="47">
        <f>IF(Mitarbeiter!B17="","",Mitarbeiter!A17)</f>
        <v/>
      </c>
      <c r="B17" s="48">
        <f>IF(Mitarbeiter!B17="","",Mitarbeiter!B17)</f>
        <v/>
      </c>
      <c r="C17" s="7">
        <f>IF(Mitarbeiter!B17="","",Mitarbeiter!G17)</f>
        <v/>
      </c>
      <c r="D17" s="57">
        <f>IF(Mitarbeiter!B17="","",Mitarbeiter!H17)</f>
        <v/>
      </c>
      <c r="E17" s="57">
        <f>IF(Mitarbeiter!B17="","",'Ist-Stunden'!C17)</f>
        <v/>
      </c>
      <c r="F17" s="57">
        <f>IF(B17="","",Berechnung!AE17)</f>
        <v/>
      </c>
      <c r="G17" s="61">
        <f>IF(B17="","",Berechnung!P17)</f>
        <v/>
      </c>
      <c r="H17" s="61">
        <f>IF(B17="","",Berechnung!AC17)</f>
        <v/>
      </c>
      <c r="I17" s="61">
        <f>IF(B17="","",Berechnung!AD17)</f>
        <v/>
      </c>
      <c r="J17" s="36">
        <f>IF(B17="","",SUMPRODUCT(((Berechnung!D17:O17+Berechnung!Q17:AB17)&gt;0)*1))</f>
        <v/>
      </c>
      <c r="K17" s="62">
        <f>IF(B17="","",IF(N(D17)&gt;0,F17/D17,""))</f>
        <v/>
      </c>
      <c r="L17" s="40">
        <f>IF(B17="","",IF(N(E17)&gt;0,IF(Einstellungen!$C$10="Ja",F17/E17,F17/(E17+F17)),""))</f>
        <v/>
      </c>
      <c r="M17" s="63">
        <f>IF(L17="","",RANK(L17,$L$6:$L$305,0))</f>
        <v/>
      </c>
      <c r="N17" s="56">
        <f>IF(B17="","",IF(L17="","keine Ist-Std.",IF(L17&lt;=Einstellungen!$C$7,"unauffällig",IF(L17&lt;=Einstellungen!$C$8,"auffällig","kritisch"))))</f>
        <v/>
      </c>
      <c r="O17" s="64">
        <f>IF(L17="",-1,L17+ROW()/1000000000)</f>
        <v/>
      </c>
      <c r="P17" s="61">
        <f>IF(B17="","",Berechnung!AF17)</f>
        <v/>
      </c>
      <c r="Q17" s="57">
        <f>IF(B17="","",Berechnung!AG17)</f>
        <v/>
      </c>
      <c r="R17" s="57">
        <f>IF(B17="","",'Ist-Stunden'!D17)</f>
        <v/>
      </c>
      <c r="S17" s="59">
        <f>IF(B17="","",IF(N(R17)&gt;0,IF(Einstellungen!$C$10="Ja",Q17/R17,Q17/(R17+Q17)),""))</f>
        <v/>
      </c>
      <c r="T17" s="56">
        <f>IF(B17="","",IF(S17="","keine Ist-Std.",IF(S17&lt;=Einstellungen!$C$7,"unauffällig",IF(S17&lt;=Einstellungen!$C$8,"auffällig","kritisch"))))</f>
        <v/>
      </c>
    </row>
    <row r="18">
      <c r="A18" s="47">
        <f>IF(Mitarbeiter!B18="","",Mitarbeiter!A18)</f>
        <v/>
      </c>
      <c r="B18" s="48">
        <f>IF(Mitarbeiter!B18="","",Mitarbeiter!B18)</f>
        <v/>
      </c>
      <c r="C18" s="7">
        <f>IF(Mitarbeiter!B18="","",Mitarbeiter!G18)</f>
        <v/>
      </c>
      <c r="D18" s="57">
        <f>IF(Mitarbeiter!B18="","",Mitarbeiter!H18)</f>
        <v/>
      </c>
      <c r="E18" s="57">
        <f>IF(Mitarbeiter!B18="","",'Ist-Stunden'!C18)</f>
        <v/>
      </c>
      <c r="F18" s="57">
        <f>IF(B18="","",Berechnung!AE18)</f>
        <v/>
      </c>
      <c r="G18" s="61">
        <f>IF(B18="","",Berechnung!P18)</f>
        <v/>
      </c>
      <c r="H18" s="61">
        <f>IF(B18="","",Berechnung!AC18)</f>
        <v/>
      </c>
      <c r="I18" s="61">
        <f>IF(B18="","",Berechnung!AD18)</f>
        <v/>
      </c>
      <c r="J18" s="36">
        <f>IF(B18="","",SUMPRODUCT(((Berechnung!D18:O18+Berechnung!Q18:AB18)&gt;0)*1))</f>
        <v/>
      </c>
      <c r="K18" s="62">
        <f>IF(B18="","",IF(N(D18)&gt;0,F18/D18,""))</f>
        <v/>
      </c>
      <c r="L18" s="40">
        <f>IF(B18="","",IF(N(E18)&gt;0,IF(Einstellungen!$C$10="Ja",F18/E18,F18/(E18+F18)),""))</f>
        <v/>
      </c>
      <c r="M18" s="63">
        <f>IF(L18="","",RANK(L18,$L$6:$L$305,0))</f>
        <v/>
      </c>
      <c r="N18" s="56">
        <f>IF(B18="","",IF(L18="","keine Ist-Std.",IF(L18&lt;=Einstellungen!$C$7,"unauffällig",IF(L18&lt;=Einstellungen!$C$8,"auffällig","kritisch"))))</f>
        <v/>
      </c>
      <c r="O18" s="64">
        <f>IF(L18="",-1,L18+ROW()/1000000000)</f>
        <v/>
      </c>
      <c r="P18" s="61">
        <f>IF(B18="","",Berechnung!AF18)</f>
        <v/>
      </c>
      <c r="Q18" s="57">
        <f>IF(B18="","",Berechnung!AG18)</f>
        <v/>
      </c>
      <c r="R18" s="57">
        <f>IF(B18="","",'Ist-Stunden'!D18)</f>
        <v/>
      </c>
      <c r="S18" s="59">
        <f>IF(B18="","",IF(N(R18)&gt;0,IF(Einstellungen!$C$10="Ja",Q18/R18,Q18/(R18+Q18)),""))</f>
        <v/>
      </c>
      <c r="T18" s="56">
        <f>IF(B18="","",IF(S18="","keine Ist-Std.",IF(S18&lt;=Einstellungen!$C$7,"unauffällig",IF(S18&lt;=Einstellungen!$C$8,"auffällig","kritisch"))))</f>
        <v/>
      </c>
      <c r="V18" s="41" t="inlineStr">
        <is>
          <t>Bewertung</t>
        </is>
      </c>
      <c r="W18" s="21" t="inlineStr">
        <is>
          <t>Anzahl MA</t>
        </is>
      </c>
    </row>
    <row r="19">
      <c r="A19" s="47">
        <f>IF(Mitarbeiter!B19="","",Mitarbeiter!A19)</f>
        <v/>
      </c>
      <c r="B19" s="48">
        <f>IF(Mitarbeiter!B19="","",Mitarbeiter!B19)</f>
        <v/>
      </c>
      <c r="C19" s="7">
        <f>IF(Mitarbeiter!B19="","",Mitarbeiter!G19)</f>
        <v/>
      </c>
      <c r="D19" s="57">
        <f>IF(Mitarbeiter!B19="","",Mitarbeiter!H19)</f>
        <v/>
      </c>
      <c r="E19" s="57">
        <f>IF(Mitarbeiter!B19="","",'Ist-Stunden'!C19)</f>
        <v/>
      </c>
      <c r="F19" s="57">
        <f>IF(B19="","",Berechnung!AE19)</f>
        <v/>
      </c>
      <c r="G19" s="61">
        <f>IF(B19="","",Berechnung!P19)</f>
        <v/>
      </c>
      <c r="H19" s="61">
        <f>IF(B19="","",Berechnung!AC19)</f>
        <v/>
      </c>
      <c r="I19" s="61">
        <f>IF(B19="","",Berechnung!AD19)</f>
        <v/>
      </c>
      <c r="J19" s="36">
        <f>IF(B19="","",SUMPRODUCT(((Berechnung!D19:O19+Berechnung!Q19:AB19)&gt;0)*1))</f>
        <v/>
      </c>
      <c r="K19" s="62">
        <f>IF(B19="","",IF(N(D19)&gt;0,F19/D19,""))</f>
        <v/>
      </c>
      <c r="L19" s="40">
        <f>IF(B19="","",IF(N(E19)&gt;0,IF(Einstellungen!$C$10="Ja",F19/E19,F19/(E19+F19)),""))</f>
        <v/>
      </c>
      <c r="M19" s="63">
        <f>IF(L19="","",RANK(L19,$L$6:$L$305,0))</f>
        <v/>
      </c>
      <c r="N19" s="56">
        <f>IF(B19="","",IF(L19="","keine Ist-Std.",IF(L19&lt;=Einstellungen!$C$7,"unauffällig",IF(L19&lt;=Einstellungen!$C$8,"auffällig","kritisch"))))</f>
        <v/>
      </c>
      <c r="O19" s="64">
        <f>IF(L19="",-1,L19+ROW()/1000000000)</f>
        <v/>
      </c>
      <c r="P19" s="61">
        <f>IF(B19="","",Berechnung!AF19)</f>
        <v/>
      </c>
      <c r="Q19" s="57">
        <f>IF(B19="","",Berechnung!AG19)</f>
        <v/>
      </c>
      <c r="R19" s="57">
        <f>IF(B19="","",'Ist-Stunden'!D19)</f>
        <v/>
      </c>
      <c r="S19" s="59">
        <f>IF(B19="","",IF(N(R19)&gt;0,IF(Einstellungen!$C$10="Ja",Q19/R19,Q19/(R19+Q19)),""))</f>
        <v/>
      </c>
      <c r="T19" s="56">
        <f>IF(B19="","",IF(S19="","keine Ist-Std.",IF(S19&lt;=Einstellungen!$C$7,"unauffällig",IF(S19&lt;=Einstellungen!$C$8,"auffällig","kritisch"))))</f>
        <v/>
      </c>
      <c r="V19" s="6" t="inlineStr">
        <is>
          <t>unauffällig</t>
        </is>
      </c>
      <c r="W19" s="34">
        <f>W11</f>
        <v/>
      </c>
    </row>
    <row r="20">
      <c r="A20" s="47">
        <f>IF(Mitarbeiter!B20="","",Mitarbeiter!A20)</f>
        <v/>
      </c>
      <c r="B20" s="48">
        <f>IF(Mitarbeiter!B20="","",Mitarbeiter!B20)</f>
        <v/>
      </c>
      <c r="C20" s="7">
        <f>IF(Mitarbeiter!B20="","",Mitarbeiter!G20)</f>
        <v/>
      </c>
      <c r="D20" s="57">
        <f>IF(Mitarbeiter!B20="","",Mitarbeiter!H20)</f>
        <v/>
      </c>
      <c r="E20" s="57">
        <f>IF(Mitarbeiter!B20="","",'Ist-Stunden'!C20)</f>
        <v/>
      </c>
      <c r="F20" s="57">
        <f>IF(B20="","",Berechnung!AE20)</f>
        <v/>
      </c>
      <c r="G20" s="61">
        <f>IF(B20="","",Berechnung!P20)</f>
        <v/>
      </c>
      <c r="H20" s="61">
        <f>IF(B20="","",Berechnung!AC20)</f>
        <v/>
      </c>
      <c r="I20" s="61">
        <f>IF(B20="","",Berechnung!AD20)</f>
        <v/>
      </c>
      <c r="J20" s="36">
        <f>IF(B20="","",SUMPRODUCT(((Berechnung!D20:O20+Berechnung!Q20:AB20)&gt;0)*1))</f>
        <v/>
      </c>
      <c r="K20" s="62">
        <f>IF(B20="","",IF(N(D20)&gt;0,F20/D20,""))</f>
        <v/>
      </c>
      <c r="L20" s="40">
        <f>IF(B20="","",IF(N(E20)&gt;0,IF(Einstellungen!$C$10="Ja",F20/E20,F20/(E20+F20)),""))</f>
        <v/>
      </c>
      <c r="M20" s="63">
        <f>IF(L20="","",RANK(L20,$L$6:$L$305,0))</f>
        <v/>
      </c>
      <c r="N20" s="56">
        <f>IF(B20="","",IF(L20="","keine Ist-Std.",IF(L20&lt;=Einstellungen!$C$7,"unauffällig",IF(L20&lt;=Einstellungen!$C$8,"auffällig","kritisch"))))</f>
        <v/>
      </c>
      <c r="O20" s="64">
        <f>IF(L20="",-1,L20+ROW()/1000000000)</f>
        <v/>
      </c>
      <c r="P20" s="61">
        <f>IF(B20="","",Berechnung!AF20)</f>
        <v/>
      </c>
      <c r="Q20" s="57">
        <f>IF(B20="","",Berechnung!AG20)</f>
        <v/>
      </c>
      <c r="R20" s="57">
        <f>IF(B20="","",'Ist-Stunden'!D20)</f>
        <v/>
      </c>
      <c r="S20" s="59">
        <f>IF(B20="","",IF(N(R20)&gt;0,IF(Einstellungen!$C$10="Ja",Q20/R20,Q20/(R20+Q20)),""))</f>
        <v/>
      </c>
      <c r="T20" s="56">
        <f>IF(B20="","",IF(S20="","keine Ist-Std.",IF(S20&lt;=Einstellungen!$C$7,"unauffällig",IF(S20&lt;=Einstellungen!$C$8,"auffällig","kritisch"))))</f>
        <v/>
      </c>
      <c r="V20" s="6" t="inlineStr">
        <is>
          <t>auffällig</t>
        </is>
      </c>
      <c r="W20" s="34">
        <f>W12</f>
        <v/>
      </c>
    </row>
    <row r="21">
      <c r="A21" s="47">
        <f>IF(Mitarbeiter!B21="","",Mitarbeiter!A21)</f>
        <v/>
      </c>
      <c r="B21" s="48">
        <f>IF(Mitarbeiter!B21="","",Mitarbeiter!B21)</f>
        <v/>
      </c>
      <c r="C21" s="7">
        <f>IF(Mitarbeiter!B21="","",Mitarbeiter!G21)</f>
        <v/>
      </c>
      <c r="D21" s="57">
        <f>IF(Mitarbeiter!B21="","",Mitarbeiter!H21)</f>
        <v/>
      </c>
      <c r="E21" s="57">
        <f>IF(Mitarbeiter!B21="","",'Ist-Stunden'!C21)</f>
        <v/>
      </c>
      <c r="F21" s="57">
        <f>IF(B21="","",Berechnung!AE21)</f>
        <v/>
      </c>
      <c r="G21" s="61">
        <f>IF(B21="","",Berechnung!P21)</f>
        <v/>
      </c>
      <c r="H21" s="61">
        <f>IF(B21="","",Berechnung!AC21)</f>
        <v/>
      </c>
      <c r="I21" s="61">
        <f>IF(B21="","",Berechnung!AD21)</f>
        <v/>
      </c>
      <c r="J21" s="36">
        <f>IF(B21="","",SUMPRODUCT(((Berechnung!D21:O21+Berechnung!Q21:AB21)&gt;0)*1))</f>
        <v/>
      </c>
      <c r="K21" s="62">
        <f>IF(B21="","",IF(N(D21)&gt;0,F21/D21,""))</f>
        <v/>
      </c>
      <c r="L21" s="40">
        <f>IF(B21="","",IF(N(E21)&gt;0,IF(Einstellungen!$C$10="Ja",F21/E21,F21/(E21+F21)),""))</f>
        <v/>
      </c>
      <c r="M21" s="63">
        <f>IF(L21="","",RANK(L21,$L$6:$L$305,0))</f>
        <v/>
      </c>
      <c r="N21" s="56">
        <f>IF(B21="","",IF(L21="","keine Ist-Std.",IF(L21&lt;=Einstellungen!$C$7,"unauffällig",IF(L21&lt;=Einstellungen!$C$8,"auffällig","kritisch"))))</f>
        <v/>
      </c>
      <c r="O21" s="64">
        <f>IF(L21="",-1,L21+ROW()/1000000000)</f>
        <v/>
      </c>
      <c r="P21" s="61">
        <f>IF(B21="","",Berechnung!AF21)</f>
        <v/>
      </c>
      <c r="Q21" s="57">
        <f>IF(B21="","",Berechnung!AG21)</f>
        <v/>
      </c>
      <c r="R21" s="57">
        <f>IF(B21="","",'Ist-Stunden'!D21)</f>
        <v/>
      </c>
      <c r="S21" s="59">
        <f>IF(B21="","",IF(N(R21)&gt;0,IF(Einstellungen!$C$10="Ja",Q21/R21,Q21/(R21+Q21)),""))</f>
        <v/>
      </c>
      <c r="T21" s="56">
        <f>IF(B21="","",IF(S21="","keine Ist-Std.",IF(S21&lt;=Einstellungen!$C$7,"unauffällig",IF(S21&lt;=Einstellungen!$C$8,"auffällig","kritisch"))))</f>
        <v/>
      </c>
      <c r="V21" s="6" t="inlineStr">
        <is>
          <t>kritisch</t>
        </is>
      </c>
      <c r="W21" s="34">
        <f>W13</f>
        <v/>
      </c>
    </row>
    <row r="22">
      <c r="A22" s="47">
        <f>IF(Mitarbeiter!B22="","",Mitarbeiter!A22)</f>
        <v/>
      </c>
      <c r="B22" s="48">
        <f>IF(Mitarbeiter!B22="","",Mitarbeiter!B22)</f>
        <v/>
      </c>
      <c r="C22" s="7">
        <f>IF(Mitarbeiter!B22="","",Mitarbeiter!G22)</f>
        <v/>
      </c>
      <c r="D22" s="57">
        <f>IF(Mitarbeiter!B22="","",Mitarbeiter!H22)</f>
        <v/>
      </c>
      <c r="E22" s="57">
        <f>IF(Mitarbeiter!B22="","",'Ist-Stunden'!C22)</f>
        <v/>
      </c>
      <c r="F22" s="57">
        <f>IF(B22="","",Berechnung!AE22)</f>
        <v/>
      </c>
      <c r="G22" s="61">
        <f>IF(B22="","",Berechnung!P22)</f>
        <v/>
      </c>
      <c r="H22" s="61">
        <f>IF(B22="","",Berechnung!AC22)</f>
        <v/>
      </c>
      <c r="I22" s="61">
        <f>IF(B22="","",Berechnung!AD22)</f>
        <v/>
      </c>
      <c r="J22" s="36">
        <f>IF(B22="","",SUMPRODUCT(((Berechnung!D22:O22+Berechnung!Q22:AB22)&gt;0)*1))</f>
        <v/>
      </c>
      <c r="K22" s="62">
        <f>IF(B22="","",IF(N(D22)&gt;0,F22/D22,""))</f>
        <v/>
      </c>
      <c r="L22" s="40">
        <f>IF(B22="","",IF(N(E22)&gt;0,IF(Einstellungen!$C$10="Ja",F22/E22,F22/(E22+F22)),""))</f>
        <v/>
      </c>
      <c r="M22" s="63">
        <f>IF(L22="","",RANK(L22,$L$6:$L$305,0))</f>
        <v/>
      </c>
      <c r="N22" s="56">
        <f>IF(B22="","",IF(L22="","keine Ist-Std.",IF(L22&lt;=Einstellungen!$C$7,"unauffällig",IF(L22&lt;=Einstellungen!$C$8,"auffällig","kritisch"))))</f>
        <v/>
      </c>
      <c r="O22" s="64">
        <f>IF(L22="",-1,L22+ROW()/1000000000)</f>
        <v/>
      </c>
      <c r="P22" s="61">
        <f>IF(B22="","",Berechnung!AF22)</f>
        <v/>
      </c>
      <c r="Q22" s="57">
        <f>IF(B22="","",Berechnung!AG22)</f>
        <v/>
      </c>
      <c r="R22" s="57">
        <f>IF(B22="","",'Ist-Stunden'!D22)</f>
        <v/>
      </c>
      <c r="S22" s="59">
        <f>IF(B22="","",IF(N(R22)&gt;0,IF(Einstellungen!$C$10="Ja",Q22/R22,Q22/(R22+Q22)),""))</f>
        <v/>
      </c>
      <c r="T22" s="56">
        <f>IF(B22="","",IF(S22="","keine Ist-Std.",IF(S22&lt;=Einstellungen!$C$7,"unauffällig",IF(S22&lt;=Einstellungen!$C$8,"auffällig","kritisch"))))</f>
        <v/>
      </c>
    </row>
    <row r="23">
      <c r="A23" s="47">
        <f>IF(Mitarbeiter!B23="","",Mitarbeiter!A23)</f>
        <v/>
      </c>
      <c r="B23" s="48">
        <f>IF(Mitarbeiter!B23="","",Mitarbeiter!B23)</f>
        <v/>
      </c>
      <c r="C23" s="7">
        <f>IF(Mitarbeiter!B23="","",Mitarbeiter!G23)</f>
        <v/>
      </c>
      <c r="D23" s="57">
        <f>IF(Mitarbeiter!B23="","",Mitarbeiter!H23)</f>
        <v/>
      </c>
      <c r="E23" s="57">
        <f>IF(Mitarbeiter!B23="","",'Ist-Stunden'!C23)</f>
        <v/>
      </c>
      <c r="F23" s="57">
        <f>IF(B23="","",Berechnung!AE23)</f>
        <v/>
      </c>
      <c r="G23" s="61">
        <f>IF(B23="","",Berechnung!P23)</f>
        <v/>
      </c>
      <c r="H23" s="61">
        <f>IF(B23="","",Berechnung!AC23)</f>
        <v/>
      </c>
      <c r="I23" s="61">
        <f>IF(B23="","",Berechnung!AD23)</f>
        <v/>
      </c>
      <c r="J23" s="36">
        <f>IF(B23="","",SUMPRODUCT(((Berechnung!D23:O23+Berechnung!Q23:AB23)&gt;0)*1))</f>
        <v/>
      </c>
      <c r="K23" s="62">
        <f>IF(B23="","",IF(N(D23)&gt;0,F23/D23,""))</f>
        <v/>
      </c>
      <c r="L23" s="40">
        <f>IF(B23="","",IF(N(E23)&gt;0,IF(Einstellungen!$C$10="Ja",F23/E23,F23/(E23+F23)),""))</f>
        <v/>
      </c>
      <c r="M23" s="63">
        <f>IF(L23="","",RANK(L23,$L$6:$L$305,0))</f>
        <v/>
      </c>
      <c r="N23" s="56">
        <f>IF(B23="","",IF(L23="","keine Ist-Std.",IF(L23&lt;=Einstellungen!$C$7,"unauffällig",IF(L23&lt;=Einstellungen!$C$8,"auffällig","kritisch"))))</f>
        <v/>
      </c>
      <c r="O23" s="64">
        <f>IF(L23="",-1,L23+ROW()/1000000000)</f>
        <v/>
      </c>
      <c r="P23" s="61">
        <f>IF(B23="","",Berechnung!AF23)</f>
        <v/>
      </c>
      <c r="Q23" s="57">
        <f>IF(B23="","",Berechnung!AG23)</f>
        <v/>
      </c>
      <c r="R23" s="57">
        <f>IF(B23="","",'Ist-Stunden'!D23)</f>
        <v/>
      </c>
      <c r="S23" s="59">
        <f>IF(B23="","",IF(N(R23)&gt;0,IF(Einstellungen!$C$10="Ja",Q23/R23,Q23/(R23+Q23)),""))</f>
        <v/>
      </c>
      <c r="T23" s="56">
        <f>IF(B23="","",IF(S23="","keine Ist-Std.",IF(S23&lt;=Einstellungen!$C$7,"unauffällig",IF(S23&lt;=Einstellungen!$C$8,"auffällig","kritisch"))))</f>
        <v/>
      </c>
    </row>
    <row r="24">
      <c r="A24" s="47">
        <f>IF(Mitarbeiter!B24="","",Mitarbeiter!A24)</f>
        <v/>
      </c>
      <c r="B24" s="48">
        <f>IF(Mitarbeiter!B24="","",Mitarbeiter!B24)</f>
        <v/>
      </c>
      <c r="C24" s="7">
        <f>IF(Mitarbeiter!B24="","",Mitarbeiter!G24)</f>
        <v/>
      </c>
      <c r="D24" s="57">
        <f>IF(Mitarbeiter!B24="","",Mitarbeiter!H24)</f>
        <v/>
      </c>
      <c r="E24" s="57">
        <f>IF(Mitarbeiter!B24="","",'Ist-Stunden'!C24)</f>
        <v/>
      </c>
      <c r="F24" s="57">
        <f>IF(B24="","",Berechnung!AE24)</f>
        <v/>
      </c>
      <c r="G24" s="61">
        <f>IF(B24="","",Berechnung!P24)</f>
        <v/>
      </c>
      <c r="H24" s="61">
        <f>IF(B24="","",Berechnung!AC24)</f>
        <v/>
      </c>
      <c r="I24" s="61">
        <f>IF(B24="","",Berechnung!AD24)</f>
        <v/>
      </c>
      <c r="J24" s="36">
        <f>IF(B24="","",SUMPRODUCT(((Berechnung!D24:O24+Berechnung!Q24:AB24)&gt;0)*1))</f>
        <v/>
      </c>
      <c r="K24" s="62">
        <f>IF(B24="","",IF(N(D24)&gt;0,F24/D24,""))</f>
        <v/>
      </c>
      <c r="L24" s="40">
        <f>IF(B24="","",IF(N(E24)&gt;0,IF(Einstellungen!$C$10="Ja",F24/E24,F24/(E24+F24)),""))</f>
        <v/>
      </c>
      <c r="M24" s="63">
        <f>IF(L24="","",RANK(L24,$L$6:$L$305,0))</f>
        <v/>
      </c>
      <c r="N24" s="56">
        <f>IF(B24="","",IF(L24="","keine Ist-Std.",IF(L24&lt;=Einstellungen!$C$7,"unauffällig",IF(L24&lt;=Einstellungen!$C$8,"auffällig","kritisch"))))</f>
        <v/>
      </c>
      <c r="O24" s="64">
        <f>IF(L24="",-1,L24+ROW()/1000000000)</f>
        <v/>
      </c>
      <c r="P24" s="61">
        <f>IF(B24="","",Berechnung!AF24)</f>
        <v/>
      </c>
      <c r="Q24" s="57">
        <f>IF(B24="","",Berechnung!AG24)</f>
        <v/>
      </c>
      <c r="R24" s="57">
        <f>IF(B24="","",'Ist-Stunden'!D24)</f>
        <v/>
      </c>
      <c r="S24" s="59">
        <f>IF(B24="","",IF(N(R24)&gt;0,IF(Einstellungen!$C$10="Ja",Q24/R24,Q24/(R24+Q24)),""))</f>
        <v/>
      </c>
      <c r="T24" s="56">
        <f>IF(B24="","",IF(S24="","keine Ist-Std.",IF(S24&lt;=Einstellungen!$C$7,"unauffällig",IF(S24&lt;=Einstellungen!$C$8,"auffällig","kritisch"))))</f>
        <v/>
      </c>
      <c r="V24" s="2" t="inlineStr">
        <is>
          <t>Top 10 – höchste Krankenquote (Ist)</t>
        </is>
      </c>
      <c r="W24" s="2" t="n"/>
      <c r="X24" s="2" t="n"/>
      <c r="Y24" s="2" t="n"/>
    </row>
    <row r="25" ht="18" customHeight="1">
      <c r="A25" s="47">
        <f>IF(Mitarbeiter!B25="","",Mitarbeiter!A25)</f>
        <v/>
      </c>
      <c r="B25" s="48">
        <f>IF(Mitarbeiter!B25="","",Mitarbeiter!B25)</f>
        <v/>
      </c>
      <c r="C25" s="7">
        <f>IF(Mitarbeiter!B25="","",Mitarbeiter!G25)</f>
        <v/>
      </c>
      <c r="D25" s="57">
        <f>IF(Mitarbeiter!B25="","",Mitarbeiter!H25)</f>
        <v/>
      </c>
      <c r="E25" s="57">
        <f>IF(Mitarbeiter!B25="","",'Ist-Stunden'!C25)</f>
        <v/>
      </c>
      <c r="F25" s="57">
        <f>IF(B25="","",Berechnung!AE25)</f>
        <v/>
      </c>
      <c r="G25" s="61">
        <f>IF(B25="","",Berechnung!P25)</f>
        <v/>
      </c>
      <c r="H25" s="61">
        <f>IF(B25="","",Berechnung!AC25)</f>
        <v/>
      </c>
      <c r="I25" s="61">
        <f>IF(B25="","",Berechnung!AD25)</f>
        <v/>
      </c>
      <c r="J25" s="36">
        <f>IF(B25="","",SUMPRODUCT(((Berechnung!D25:O25+Berechnung!Q25:AB25)&gt;0)*1))</f>
        <v/>
      </c>
      <c r="K25" s="62">
        <f>IF(B25="","",IF(N(D25)&gt;0,F25/D25,""))</f>
        <v/>
      </c>
      <c r="L25" s="40">
        <f>IF(B25="","",IF(N(E25)&gt;0,IF(Einstellungen!$C$10="Ja",F25/E25,F25/(E25+F25)),""))</f>
        <v/>
      </c>
      <c r="M25" s="63">
        <f>IF(L25="","",RANK(L25,$L$6:$L$305,0))</f>
        <v/>
      </c>
      <c r="N25" s="56">
        <f>IF(B25="","",IF(L25="","keine Ist-Std.",IF(L25&lt;=Einstellungen!$C$7,"unauffällig",IF(L25&lt;=Einstellungen!$C$8,"auffällig","kritisch"))))</f>
        <v/>
      </c>
      <c r="O25" s="64">
        <f>IF(L25="",-1,L25+ROW()/1000000000)</f>
        <v/>
      </c>
      <c r="P25" s="61">
        <f>IF(B25="","",Berechnung!AF25)</f>
        <v/>
      </c>
      <c r="Q25" s="57">
        <f>IF(B25="","",Berechnung!AG25)</f>
        <v/>
      </c>
      <c r="R25" s="57">
        <f>IF(B25="","",'Ist-Stunden'!D25)</f>
        <v/>
      </c>
      <c r="S25" s="59">
        <f>IF(B25="","",IF(N(R25)&gt;0,IF(Einstellungen!$C$10="Ja",Q25/R25,Q25/(R25+Q25)),""))</f>
        <v/>
      </c>
      <c r="T25" s="56">
        <f>IF(B25="","",IF(S25="","keine Ist-Std.",IF(S25&lt;=Einstellungen!$C$7,"unauffällig",IF(S25&lt;=Einstellungen!$C$8,"auffällig","kritisch"))))</f>
        <v/>
      </c>
      <c r="V25" s="21" t="inlineStr">
        <is>
          <t>Rang</t>
        </is>
      </c>
      <c r="W25" s="21" t="inlineStr">
        <is>
          <t>Name</t>
        </is>
      </c>
      <c r="X25" s="21" t="inlineStr">
        <is>
          <t>Quote</t>
        </is>
      </c>
      <c r="Y25" s="21" t="inlineStr">
        <is>
          <t>Krankstd.</t>
        </is>
      </c>
    </row>
    <row r="26">
      <c r="A26" s="47">
        <f>IF(Mitarbeiter!B26="","",Mitarbeiter!A26)</f>
        <v/>
      </c>
      <c r="B26" s="48">
        <f>IF(Mitarbeiter!B26="","",Mitarbeiter!B26)</f>
        <v/>
      </c>
      <c r="C26" s="7">
        <f>IF(Mitarbeiter!B26="","",Mitarbeiter!G26)</f>
        <v/>
      </c>
      <c r="D26" s="57">
        <f>IF(Mitarbeiter!B26="","",Mitarbeiter!H26)</f>
        <v/>
      </c>
      <c r="E26" s="57">
        <f>IF(Mitarbeiter!B26="","",'Ist-Stunden'!C26)</f>
        <v/>
      </c>
      <c r="F26" s="57">
        <f>IF(B26="","",Berechnung!AE26)</f>
        <v/>
      </c>
      <c r="G26" s="61">
        <f>IF(B26="","",Berechnung!P26)</f>
        <v/>
      </c>
      <c r="H26" s="61">
        <f>IF(B26="","",Berechnung!AC26)</f>
        <v/>
      </c>
      <c r="I26" s="61">
        <f>IF(B26="","",Berechnung!AD26)</f>
        <v/>
      </c>
      <c r="J26" s="36">
        <f>IF(B26="","",SUMPRODUCT(((Berechnung!D26:O26+Berechnung!Q26:AB26)&gt;0)*1))</f>
        <v/>
      </c>
      <c r="K26" s="62">
        <f>IF(B26="","",IF(N(D26)&gt;0,F26/D26,""))</f>
        <v/>
      </c>
      <c r="L26" s="40">
        <f>IF(B26="","",IF(N(E26)&gt;0,IF(Einstellungen!$C$10="Ja",F26/E26,F26/(E26+F26)),""))</f>
        <v/>
      </c>
      <c r="M26" s="63">
        <f>IF(L26="","",RANK(L26,$L$6:$L$305,0))</f>
        <v/>
      </c>
      <c r="N26" s="56">
        <f>IF(B26="","",IF(L26="","keine Ist-Std.",IF(L26&lt;=Einstellungen!$C$7,"unauffällig",IF(L26&lt;=Einstellungen!$C$8,"auffällig","kritisch"))))</f>
        <v/>
      </c>
      <c r="O26" s="64">
        <f>IF(L26="",-1,L26+ROW()/1000000000)</f>
        <v/>
      </c>
      <c r="P26" s="61">
        <f>IF(B26="","",Berechnung!AF26)</f>
        <v/>
      </c>
      <c r="Q26" s="57">
        <f>IF(B26="","",Berechnung!AG26)</f>
        <v/>
      </c>
      <c r="R26" s="57">
        <f>IF(B26="","",'Ist-Stunden'!D26)</f>
        <v/>
      </c>
      <c r="S26" s="59">
        <f>IF(B26="","",IF(N(R26)&gt;0,IF(Einstellungen!$C$10="Ja",Q26/R26,Q26/(R26+Q26)),""))</f>
        <v/>
      </c>
      <c r="T26" s="56">
        <f>IF(B26="","",IF(S26="","keine Ist-Std.",IF(S26&lt;=Einstellungen!$C$7,"unauffällig",IF(S26&lt;=Einstellungen!$C$8,"auffällig","kritisch"))))</f>
        <v/>
      </c>
      <c r="V26" s="56" t="n">
        <v>1</v>
      </c>
      <c r="W26" s="6">
        <f>IFERROR(IF(LARGE($O$6:$O$305,1)&gt;0,INDEX($B$6:$B$305,MATCH(LARGE($O$6:$O$305,1),$O$6:$O$305,0)),""),"")</f>
        <v/>
      </c>
      <c r="X26" s="40">
        <f>IFERROR(IF(LARGE($O$6:$O$305,1)&gt;0,INDEX($L$6:$L$305,MATCH(LARGE($O$6:$O$305,1),$O$6:$O$305,0)),""),"")</f>
        <v/>
      </c>
      <c r="Y26" s="58">
        <f>IFERROR(IF(LARGE($O$6:$O$305,1)&gt;0,INDEX($F$6:$F$305,MATCH(LARGE($O$6:$O$305,1),$O$6:$O$305,0)),""),"")</f>
        <v/>
      </c>
    </row>
    <row r="27">
      <c r="A27" s="47">
        <f>IF(Mitarbeiter!B27="","",Mitarbeiter!A27)</f>
        <v/>
      </c>
      <c r="B27" s="48">
        <f>IF(Mitarbeiter!B27="","",Mitarbeiter!B27)</f>
        <v/>
      </c>
      <c r="C27" s="7">
        <f>IF(Mitarbeiter!B27="","",Mitarbeiter!G27)</f>
        <v/>
      </c>
      <c r="D27" s="57">
        <f>IF(Mitarbeiter!B27="","",Mitarbeiter!H27)</f>
        <v/>
      </c>
      <c r="E27" s="57">
        <f>IF(Mitarbeiter!B27="","",'Ist-Stunden'!C27)</f>
        <v/>
      </c>
      <c r="F27" s="57">
        <f>IF(B27="","",Berechnung!AE27)</f>
        <v/>
      </c>
      <c r="G27" s="61">
        <f>IF(B27="","",Berechnung!P27)</f>
        <v/>
      </c>
      <c r="H27" s="61">
        <f>IF(B27="","",Berechnung!AC27)</f>
        <v/>
      </c>
      <c r="I27" s="61">
        <f>IF(B27="","",Berechnung!AD27)</f>
        <v/>
      </c>
      <c r="J27" s="36">
        <f>IF(B27="","",SUMPRODUCT(((Berechnung!D27:O27+Berechnung!Q27:AB27)&gt;0)*1))</f>
        <v/>
      </c>
      <c r="K27" s="62">
        <f>IF(B27="","",IF(N(D27)&gt;0,F27/D27,""))</f>
        <v/>
      </c>
      <c r="L27" s="40">
        <f>IF(B27="","",IF(N(E27)&gt;0,IF(Einstellungen!$C$10="Ja",F27/E27,F27/(E27+F27)),""))</f>
        <v/>
      </c>
      <c r="M27" s="63">
        <f>IF(L27="","",RANK(L27,$L$6:$L$305,0))</f>
        <v/>
      </c>
      <c r="N27" s="56">
        <f>IF(B27="","",IF(L27="","keine Ist-Std.",IF(L27&lt;=Einstellungen!$C$7,"unauffällig",IF(L27&lt;=Einstellungen!$C$8,"auffällig","kritisch"))))</f>
        <v/>
      </c>
      <c r="O27" s="64">
        <f>IF(L27="",-1,L27+ROW()/1000000000)</f>
        <v/>
      </c>
      <c r="P27" s="61">
        <f>IF(B27="","",Berechnung!AF27)</f>
        <v/>
      </c>
      <c r="Q27" s="57">
        <f>IF(B27="","",Berechnung!AG27)</f>
        <v/>
      </c>
      <c r="R27" s="57">
        <f>IF(B27="","",'Ist-Stunden'!D27)</f>
        <v/>
      </c>
      <c r="S27" s="59">
        <f>IF(B27="","",IF(N(R27)&gt;0,IF(Einstellungen!$C$10="Ja",Q27/R27,Q27/(R27+Q27)),""))</f>
        <v/>
      </c>
      <c r="T27" s="56">
        <f>IF(B27="","",IF(S27="","keine Ist-Std.",IF(S27&lt;=Einstellungen!$C$7,"unauffällig",IF(S27&lt;=Einstellungen!$C$8,"auffällig","kritisch"))))</f>
        <v/>
      </c>
      <c r="V27" s="56" t="n">
        <v>2</v>
      </c>
      <c r="W27" s="6">
        <f>IFERROR(IF(LARGE($O$6:$O$305,2)&gt;0,INDEX($B$6:$B$305,MATCH(LARGE($O$6:$O$305,2),$O$6:$O$305,0)),""),"")</f>
        <v/>
      </c>
      <c r="X27" s="40">
        <f>IFERROR(IF(LARGE($O$6:$O$305,2)&gt;0,INDEX($L$6:$L$305,MATCH(LARGE($O$6:$O$305,2),$O$6:$O$305,0)),""),"")</f>
        <v/>
      </c>
      <c r="Y27" s="58">
        <f>IFERROR(IF(LARGE($O$6:$O$305,2)&gt;0,INDEX($F$6:$F$305,MATCH(LARGE($O$6:$O$305,2),$O$6:$O$305,0)),""),"")</f>
        <v/>
      </c>
    </row>
    <row r="28">
      <c r="A28" s="47">
        <f>IF(Mitarbeiter!B28="","",Mitarbeiter!A28)</f>
        <v/>
      </c>
      <c r="B28" s="48">
        <f>IF(Mitarbeiter!B28="","",Mitarbeiter!B28)</f>
        <v/>
      </c>
      <c r="C28" s="7">
        <f>IF(Mitarbeiter!B28="","",Mitarbeiter!G28)</f>
        <v/>
      </c>
      <c r="D28" s="57">
        <f>IF(Mitarbeiter!B28="","",Mitarbeiter!H28)</f>
        <v/>
      </c>
      <c r="E28" s="57">
        <f>IF(Mitarbeiter!B28="","",'Ist-Stunden'!C28)</f>
        <v/>
      </c>
      <c r="F28" s="57">
        <f>IF(B28="","",Berechnung!AE28)</f>
        <v/>
      </c>
      <c r="G28" s="61">
        <f>IF(B28="","",Berechnung!P28)</f>
        <v/>
      </c>
      <c r="H28" s="61">
        <f>IF(B28="","",Berechnung!AC28)</f>
        <v/>
      </c>
      <c r="I28" s="61">
        <f>IF(B28="","",Berechnung!AD28)</f>
        <v/>
      </c>
      <c r="J28" s="36">
        <f>IF(B28="","",SUMPRODUCT(((Berechnung!D28:O28+Berechnung!Q28:AB28)&gt;0)*1))</f>
        <v/>
      </c>
      <c r="K28" s="62">
        <f>IF(B28="","",IF(N(D28)&gt;0,F28/D28,""))</f>
        <v/>
      </c>
      <c r="L28" s="40">
        <f>IF(B28="","",IF(N(E28)&gt;0,IF(Einstellungen!$C$10="Ja",F28/E28,F28/(E28+F28)),""))</f>
        <v/>
      </c>
      <c r="M28" s="63">
        <f>IF(L28="","",RANK(L28,$L$6:$L$305,0))</f>
        <v/>
      </c>
      <c r="N28" s="56">
        <f>IF(B28="","",IF(L28="","keine Ist-Std.",IF(L28&lt;=Einstellungen!$C$7,"unauffällig",IF(L28&lt;=Einstellungen!$C$8,"auffällig","kritisch"))))</f>
        <v/>
      </c>
      <c r="O28" s="64">
        <f>IF(L28="",-1,L28+ROW()/1000000000)</f>
        <v/>
      </c>
      <c r="P28" s="61">
        <f>IF(B28="","",Berechnung!AF28)</f>
        <v/>
      </c>
      <c r="Q28" s="57">
        <f>IF(B28="","",Berechnung!AG28)</f>
        <v/>
      </c>
      <c r="R28" s="57">
        <f>IF(B28="","",'Ist-Stunden'!D28)</f>
        <v/>
      </c>
      <c r="S28" s="59">
        <f>IF(B28="","",IF(N(R28)&gt;0,IF(Einstellungen!$C$10="Ja",Q28/R28,Q28/(R28+Q28)),""))</f>
        <v/>
      </c>
      <c r="T28" s="56">
        <f>IF(B28="","",IF(S28="","keine Ist-Std.",IF(S28&lt;=Einstellungen!$C$7,"unauffällig",IF(S28&lt;=Einstellungen!$C$8,"auffällig","kritisch"))))</f>
        <v/>
      </c>
      <c r="V28" s="56" t="n">
        <v>3</v>
      </c>
      <c r="W28" s="6">
        <f>IFERROR(IF(LARGE($O$6:$O$305,3)&gt;0,INDEX($B$6:$B$305,MATCH(LARGE($O$6:$O$305,3),$O$6:$O$305,0)),""),"")</f>
        <v/>
      </c>
      <c r="X28" s="40">
        <f>IFERROR(IF(LARGE($O$6:$O$305,3)&gt;0,INDEX($L$6:$L$305,MATCH(LARGE($O$6:$O$305,3),$O$6:$O$305,0)),""),"")</f>
        <v/>
      </c>
      <c r="Y28" s="58">
        <f>IFERROR(IF(LARGE($O$6:$O$305,3)&gt;0,INDEX($F$6:$F$305,MATCH(LARGE($O$6:$O$305,3),$O$6:$O$305,0)),""),"")</f>
        <v/>
      </c>
    </row>
    <row r="29">
      <c r="A29" s="47">
        <f>IF(Mitarbeiter!B29="","",Mitarbeiter!A29)</f>
        <v/>
      </c>
      <c r="B29" s="48">
        <f>IF(Mitarbeiter!B29="","",Mitarbeiter!B29)</f>
        <v/>
      </c>
      <c r="C29" s="7">
        <f>IF(Mitarbeiter!B29="","",Mitarbeiter!G29)</f>
        <v/>
      </c>
      <c r="D29" s="57">
        <f>IF(Mitarbeiter!B29="","",Mitarbeiter!H29)</f>
        <v/>
      </c>
      <c r="E29" s="57">
        <f>IF(Mitarbeiter!B29="","",'Ist-Stunden'!C29)</f>
        <v/>
      </c>
      <c r="F29" s="57">
        <f>IF(B29="","",Berechnung!AE29)</f>
        <v/>
      </c>
      <c r="G29" s="61">
        <f>IF(B29="","",Berechnung!P29)</f>
        <v/>
      </c>
      <c r="H29" s="61">
        <f>IF(B29="","",Berechnung!AC29)</f>
        <v/>
      </c>
      <c r="I29" s="61">
        <f>IF(B29="","",Berechnung!AD29)</f>
        <v/>
      </c>
      <c r="J29" s="36">
        <f>IF(B29="","",SUMPRODUCT(((Berechnung!D29:O29+Berechnung!Q29:AB29)&gt;0)*1))</f>
        <v/>
      </c>
      <c r="K29" s="62">
        <f>IF(B29="","",IF(N(D29)&gt;0,F29/D29,""))</f>
        <v/>
      </c>
      <c r="L29" s="40">
        <f>IF(B29="","",IF(N(E29)&gt;0,IF(Einstellungen!$C$10="Ja",F29/E29,F29/(E29+F29)),""))</f>
        <v/>
      </c>
      <c r="M29" s="63">
        <f>IF(L29="","",RANK(L29,$L$6:$L$305,0))</f>
        <v/>
      </c>
      <c r="N29" s="56">
        <f>IF(B29="","",IF(L29="","keine Ist-Std.",IF(L29&lt;=Einstellungen!$C$7,"unauffällig",IF(L29&lt;=Einstellungen!$C$8,"auffällig","kritisch"))))</f>
        <v/>
      </c>
      <c r="O29" s="64">
        <f>IF(L29="",-1,L29+ROW()/1000000000)</f>
        <v/>
      </c>
      <c r="P29" s="61">
        <f>IF(B29="","",Berechnung!AF29)</f>
        <v/>
      </c>
      <c r="Q29" s="57">
        <f>IF(B29="","",Berechnung!AG29)</f>
        <v/>
      </c>
      <c r="R29" s="57">
        <f>IF(B29="","",'Ist-Stunden'!D29)</f>
        <v/>
      </c>
      <c r="S29" s="59">
        <f>IF(B29="","",IF(N(R29)&gt;0,IF(Einstellungen!$C$10="Ja",Q29/R29,Q29/(R29+Q29)),""))</f>
        <v/>
      </c>
      <c r="T29" s="56">
        <f>IF(B29="","",IF(S29="","keine Ist-Std.",IF(S29&lt;=Einstellungen!$C$7,"unauffällig",IF(S29&lt;=Einstellungen!$C$8,"auffällig","kritisch"))))</f>
        <v/>
      </c>
      <c r="V29" s="56" t="n">
        <v>4</v>
      </c>
      <c r="W29" s="6">
        <f>IFERROR(IF(LARGE($O$6:$O$305,4)&gt;0,INDEX($B$6:$B$305,MATCH(LARGE($O$6:$O$305,4),$O$6:$O$305,0)),""),"")</f>
        <v/>
      </c>
      <c r="X29" s="40">
        <f>IFERROR(IF(LARGE($O$6:$O$305,4)&gt;0,INDEX($L$6:$L$305,MATCH(LARGE($O$6:$O$305,4),$O$6:$O$305,0)),""),"")</f>
        <v/>
      </c>
      <c r="Y29" s="58">
        <f>IFERROR(IF(LARGE($O$6:$O$305,4)&gt;0,INDEX($F$6:$F$305,MATCH(LARGE($O$6:$O$305,4),$O$6:$O$305,0)),""),"")</f>
        <v/>
      </c>
    </row>
    <row r="30">
      <c r="A30" s="47">
        <f>IF(Mitarbeiter!B30="","",Mitarbeiter!A30)</f>
        <v/>
      </c>
      <c r="B30" s="48">
        <f>IF(Mitarbeiter!B30="","",Mitarbeiter!B30)</f>
        <v/>
      </c>
      <c r="C30" s="7">
        <f>IF(Mitarbeiter!B30="","",Mitarbeiter!G30)</f>
        <v/>
      </c>
      <c r="D30" s="57">
        <f>IF(Mitarbeiter!B30="","",Mitarbeiter!H30)</f>
        <v/>
      </c>
      <c r="E30" s="57">
        <f>IF(Mitarbeiter!B30="","",'Ist-Stunden'!C30)</f>
        <v/>
      </c>
      <c r="F30" s="57">
        <f>IF(B30="","",Berechnung!AE30)</f>
        <v/>
      </c>
      <c r="G30" s="61">
        <f>IF(B30="","",Berechnung!P30)</f>
        <v/>
      </c>
      <c r="H30" s="61">
        <f>IF(B30="","",Berechnung!AC30)</f>
        <v/>
      </c>
      <c r="I30" s="61">
        <f>IF(B30="","",Berechnung!AD30)</f>
        <v/>
      </c>
      <c r="J30" s="36">
        <f>IF(B30="","",SUMPRODUCT(((Berechnung!D30:O30+Berechnung!Q30:AB30)&gt;0)*1))</f>
        <v/>
      </c>
      <c r="K30" s="62">
        <f>IF(B30="","",IF(N(D30)&gt;0,F30/D30,""))</f>
        <v/>
      </c>
      <c r="L30" s="40">
        <f>IF(B30="","",IF(N(E30)&gt;0,IF(Einstellungen!$C$10="Ja",F30/E30,F30/(E30+F30)),""))</f>
        <v/>
      </c>
      <c r="M30" s="63">
        <f>IF(L30="","",RANK(L30,$L$6:$L$305,0))</f>
        <v/>
      </c>
      <c r="N30" s="56">
        <f>IF(B30="","",IF(L30="","keine Ist-Std.",IF(L30&lt;=Einstellungen!$C$7,"unauffällig",IF(L30&lt;=Einstellungen!$C$8,"auffällig","kritisch"))))</f>
        <v/>
      </c>
      <c r="O30" s="64">
        <f>IF(L30="",-1,L30+ROW()/1000000000)</f>
        <v/>
      </c>
      <c r="P30" s="61">
        <f>IF(B30="","",Berechnung!AF30)</f>
        <v/>
      </c>
      <c r="Q30" s="57">
        <f>IF(B30="","",Berechnung!AG30)</f>
        <v/>
      </c>
      <c r="R30" s="57">
        <f>IF(B30="","",'Ist-Stunden'!D30)</f>
        <v/>
      </c>
      <c r="S30" s="59">
        <f>IF(B30="","",IF(N(R30)&gt;0,IF(Einstellungen!$C$10="Ja",Q30/R30,Q30/(R30+Q30)),""))</f>
        <v/>
      </c>
      <c r="T30" s="56">
        <f>IF(B30="","",IF(S30="","keine Ist-Std.",IF(S30&lt;=Einstellungen!$C$7,"unauffällig",IF(S30&lt;=Einstellungen!$C$8,"auffällig","kritisch"))))</f>
        <v/>
      </c>
      <c r="V30" s="56" t="n">
        <v>5</v>
      </c>
      <c r="W30" s="6">
        <f>IFERROR(IF(LARGE($O$6:$O$305,5)&gt;0,INDEX($B$6:$B$305,MATCH(LARGE($O$6:$O$305,5),$O$6:$O$305,0)),""),"")</f>
        <v/>
      </c>
      <c r="X30" s="40">
        <f>IFERROR(IF(LARGE($O$6:$O$305,5)&gt;0,INDEX($L$6:$L$305,MATCH(LARGE($O$6:$O$305,5),$O$6:$O$305,0)),""),"")</f>
        <v/>
      </c>
      <c r="Y30" s="58">
        <f>IFERROR(IF(LARGE($O$6:$O$305,5)&gt;0,INDEX($F$6:$F$305,MATCH(LARGE($O$6:$O$305,5),$O$6:$O$305,0)),""),"")</f>
        <v/>
      </c>
    </row>
    <row r="31">
      <c r="A31" s="47">
        <f>IF(Mitarbeiter!B31="","",Mitarbeiter!A31)</f>
        <v/>
      </c>
      <c r="B31" s="48">
        <f>IF(Mitarbeiter!B31="","",Mitarbeiter!B31)</f>
        <v/>
      </c>
      <c r="C31" s="7">
        <f>IF(Mitarbeiter!B31="","",Mitarbeiter!G31)</f>
        <v/>
      </c>
      <c r="D31" s="57">
        <f>IF(Mitarbeiter!B31="","",Mitarbeiter!H31)</f>
        <v/>
      </c>
      <c r="E31" s="57">
        <f>IF(Mitarbeiter!B31="","",'Ist-Stunden'!C31)</f>
        <v/>
      </c>
      <c r="F31" s="57">
        <f>IF(B31="","",Berechnung!AE31)</f>
        <v/>
      </c>
      <c r="G31" s="61">
        <f>IF(B31="","",Berechnung!P31)</f>
        <v/>
      </c>
      <c r="H31" s="61">
        <f>IF(B31="","",Berechnung!AC31)</f>
        <v/>
      </c>
      <c r="I31" s="61">
        <f>IF(B31="","",Berechnung!AD31)</f>
        <v/>
      </c>
      <c r="J31" s="36">
        <f>IF(B31="","",SUMPRODUCT(((Berechnung!D31:O31+Berechnung!Q31:AB31)&gt;0)*1))</f>
        <v/>
      </c>
      <c r="K31" s="62">
        <f>IF(B31="","",IF(N(D31)&gt;0,F31/D31,""))</f>
        <v/>
      </c>
      <c r="L31" s="40">
        <f>IF(B31="","",IF(N(E31)&gt;0,IF(Einstellungen!$C$10="Ja",F31/E31,F31/(E31+F31)),""))</f>
        <v/>
      </c>
      <c r="M31" s="63">
        <f>IF(L31="","",RANK(L31,$L$6:$L$305,0))</f>
        <v/>
      </c>
      <c r="N31" s="56">
        <f>IF(B31="","",IF(L31="","keine Ist-Std.",IF(L31&lt;=Einstellungen!$C$7,"unauffällig",IF(L31&lt;=Einstellungen!$C$8,"auffällig","kritisch"))))</f>
        <v/>
      </c>
      <c r="O31" s="64">
        <f>IF(L31="",-1,L31+ROW()/1000000000)</f>
        <v/>
      </c>
      <c r="P31" s="61">
        <f>IF(B31="","",Berechnung!AF31)</f>
        <v/>
      </c>
      <c r="Q31" s="57">
        <f>IF(B31="","",Berechnung!AG31)</f>
        <v/>
      </c>
      <c r="R31" s="57">
        <f>IF(B31="","",'Ist-Stunden'!D31)</f>
        <v/>
      </c>
      <c r="S31" s="59">
        <f>IF(B31="","",IF(N(R31)&gt;0,IF(Einstellungen!$C$10="Ja",Q31/R31,Q31/(R31+Q31)),""))</f>
        <v/>
      </c>
      <c r="T31" s="56">
        <f>IF(B31="","",IF(S31="","keine Ist-Std.",IF(S31&lt;=Einstellungen!$C$7,"unauffällig",IF(S31&lt;=Einstellungen!$C$8,"auffällig","kritisch"))))</f>
        <v/>
      </c>
      <c r="V31" s="56" t="n">
        <v>6</v>
      </c>
      <c r="W31" s="6">
        <f>IFERROR(IF(LARGE($O$6:$O$305,6)&gt;0,INDEX($B$6:$B$305,MATCH(LARGE($O$6:$O$305,6),$O$6:$O$305,0)),""),"")</f>
        <v/>
      </c>
      <c r="X31" s="40">
        <f>IFERROR(IF(LARGE($O$6:$O$305,6)&gt;0,INDEX($L$6:$L$305,MATCH(LARGE($O$6:$O$305,6),$O$6:$O$305,0)),""),"")</f>
        <v/>
      </c>
      <c r="Y31" s="58">
        <f>IFERROR(IF(LARGE($O$6:$O$305,6)&gt;0,INDEX($F$6:$F$305,MATCH(LARGE($O$6:$O$305,6),$O$6:$O$305,0)),""),"")</f>
        <v/>
      </c>
    </row>
    <row r="32">
      <c r="A32" s="47">
        <f>IF(Mitarbeiter!B32="","",Mitarbeiter!A32)</f>
        <v/>
      </c>
      <c r="B32" s="48">
        <f>IF(Mitarbeiter!B32="","",Mitarbeiter!B32)</f>
        <v/>
      </c>
      <c r="C32" s="7">
        <f>IF(Mitarbeiter!B32="","",Mitarbeiter!G32)</f>
        <v/>
      </c>
      <c r="D32" s="57">
        <f>IF(Mitarbeiter!B32="","",Mitarbeiter!H32)</f>
        <v/>
      </c>
      <c r="E32" s="57">
        <f>IF(Mitarbeiter!B32="","",'Ist-Stunden'!C32)</f>
        <v/>
      </c>
      <c r="F32" s="57">
        <f>IF(B32="","",Berechnung!AE32)</f>
        <v/>
      </c>
      <c r="G32" s="61">
        <f>IF(B32="","",Berechnung!P32)</f>
        <v/>
      </c>
      <c r="H32" s="61">
        <f>IF(B32="","",Berechnung!AC32)</f>
        <v/>
      </c>
      <c r="I32" s="61">
        <f>IF(B32="","",Berechnung!AD32)</f>
        <v/>
      </c>
      <c r="J32" s="36">
        <f>IF(B32="","",SUMPRODUCT(((Berechnung!D32:O32+Berechnung!Q32:AB32)&gt;0)*1))</f>
        <v/>
      </c>
      <c r="K32" s="62">
        <f>IF(B32="","",IF(N(D32)&gt;0,F32/D32,""))</f>
        <v/>
      </c>
      <c r="L32" s="40">
        <f>IF(B32="","",IF(N(E32)&gt;0,IF(Einstellungen!$C$10="Ja",F32/E32,F32/(E32+F32)),""))</f>
        <v/>
      </c>
      <c r="M32" s="63">
        <f>IF(L32="","",RANK(L32,$L$6:$L$305,0))</f>
        <v/>
      </c>
      <c r="N32" s="56">
        <f>IF(B32="","",IF(L32="","keine Ist-Std.",IF(L32&lt;=Einstellungen!$C$7,"unauffällig",IF(L32&lt;=Einstellungen!$C$8,"auffällig","kritisch"))))</f>
        <v/>
      </c>
      <c r="O32" s="64">
        <f>IF(L32="",-1,L32+ROW()/1000000000)</f>
        <v/>
      </c>
      <c r="P32" s="61">
        <f>IF(B32="","",Berechnung!AF32)</f>
        <v/>
      </c>
      <c r="Q32" s="57">
        <f>IF(B32="","",Berechnung!AG32)</f>
        <v/>
      </c>
      <c r="R32" s="57">
        <f>IF(B32="","",'Ist-Stunden'!D32)</f>
        <v/>
      </c>
      <c r="S32" s="59">
        <f>IF(B32="","",IF(N(R32)&gt;0,IF(Einstellungen!$C$10="Ja",Q32/R32,Q32/(R32+Q32)),""))</f>
        <v/>
      </c>
      <c r="T32" s="56">
        <f>IF(B32="","",IF(S32="","keine Ist-Std.",IF(S32&lt;=Einstellungen!$C$7,"unauffällig",IF(S32&lt;=Einstellungen!$C$8,"auffällig","kritisch"))))</f>
        <v/>
      </c>
      <c r="V32" s="56" t="n">
        <v>7</v>
      </c>
      <c r="W32" s="6">
        <f>IFERROR(IF(LARGE($O$6:$O$305,7)&gt;0,INDEX($B$6:$B$305,MATCH(LARGE($O$6:$O$305,7),$O$6:$O$305,0)),""),"")</f>
        <v/>
      </c>
      <c r="X32" s="40">
        <f>IFERROR(IF(LARGE($O$6:$O$305,7)&gt;0,INDEX($L$6:$L$305,MATCH(LARGE($O$6:$O$305,7),$O$6:$O$305,0)),""),"")</f>
        <v/>
      </c>
      <c r="Y32" s="58">
        <f>IFERROR(IF(LARGE($O$6:$O$305,7)&gt;0,INDEX($F$6:$F$305,MATCH(LARGE($O$6:$O$305,7),$O$6:$O$305,0)),""),"")</f>
        <v/>
      </c>
    </row>
    <row r="33">
      <c r="A33" s="47">
        <f>IF(Mitarbeiter!B33="","",Mitarbeiter!A33)</f>
        <v/>
      </c>
      <c r="B33" s="48">
        <f>IF(Mitarbeiter!B33="","",Mitarbeiter!B33)</f>
        <v/>
      </c>
      <c r="C33" s="7">
        <f>IF(Mitarbeiter!B33="","",Mitarbeiter!G33)</f>
        <v/>
      </c>
      <c r="D33" s="57">
        <f>IF(Mitarbeiter!B33="","",Mitarbeiter!H33)</f>
        <v/>
      </c>
      <c r="E33" s="57">
        <f>IF(Mitarbeiter!B33="","",'Ist-Stunden'!C33)</f>
        <v/>
      </c>
      <c r="F33" s="57">
        <f>IF(B33="","",Berechnung!AE33)</f>
        <v/>
      </c>
      <c r="G33" s="61">
        <f>IF(B33="","",Berechnung!P33)</f>
        <v/>
      </c>
      <c r="H33" s="61">
        <f>IF(B33="","",Berechnung!AC33)</f>
        <v/>
      </c>
      <c r="I33" s="61">
        <f>IF(B33="","",Berechnung!AD33)</f>
        <v/>
      </c>
      <c r="J33" s="36">
        <f>IF(B33="","",SUMPRODUCT(((Berechnung!D33:O33+Berechnung!Q33:AB33)&gt;0)*1))</f>
        <v/>
      </c>
      <c r="K33" s="62">
        <f>IF(B33="","",IF(N(D33)&gt;0,F33/D33,""))</f>
        <v/>
      </c>
      <c r="L33" s="40">
        <f>IF(B33="","",IF(N(E33)&gt;0,IF(Einstellungen!$C$10="Ja",F33/E33,F33/(E33+F33)),""))</f>
        <v/>
      </c>
      <c r="M33" s="63">
        <f>IF(L33="","",RANK(L33,$L$6:$L$305,0))</f>
        <v/>
      </c>
      <c r="N33" s="56">
        <f>IF(B33="","",IF(L33="","keine Ist-Std.",IF(L33&lt;=Einstellungen!$C$7,"unauffällig",IF(L33&lt;=Einstellungen!$C$8,"auffällig","kritisch"))))</f>
        <v/>
      </c>
      <c r="O33" s="64">
        <f>IF(L33="",-1,L33+ROW()/1000000000)</f>
        <v/>
      </c>
      <c r="P33" s="61">
        <f>IF(B33="","",Berechnung!AF33)</f>
        <v/>
      </c>
      <c r="Q33" s="57">
        <f>IF(B33="","",Berechnung!AG33)</f>
        <v/>
      </c>
      <c r="R33" s="57">
        <f>IF(B33="","",'Ist-Stunden'!D33)</f>
        <v/>
      </c>
      <c r="S33" s="59">
        <f>IF(B33="","",IF(N(R33)&gt;0,IF(Einstellungen!$C$10="Ja",Q33/R33,Q33/(R33+Q33)),""))</f>
        <v/>
      </c>
      <c r="T33" s="56">
        <f>IF(B33="","",IF(S33="","keine Ist-Std.",IF(S33&lt;=Einstellungen!$C$7,"unauffällig",IF(S33&lt;=Einstellungen!$C$8,"auffällig","kritisch"))))</f>
        <v/>
      </c>
      <c r="V33" s="56" t="n">
        <v>8</v>
      </c>
      <c r="W33" s="6">
        <f>IFERROR(IF(LARGE($O$6:$O$305,8)&gt;0,INDEX($B$6:$B$305,MATCH(LARGE($O$6:$O$305,8),$O$6:$O$305,0)),""),"")</f>
        <v/>
      </c>
      <c r="X33" s="40">
        <f>IFERROR(IF(LARGE($O$6:$O$305,8)&gt;0,INDEX($L$6:$L$305,MATCH(LARGE($O$6:$O$305,8),$O$6:$O$305,0)),""),"")</f>
        <v/>
      </c>
      <c r="Y33" s="58">
        <f>IFERROR(IF(LARGE($O$6:$O$305,8)&gt;0,INDEX($F$6:$F$305,MATCH(LARGE($O$6:$O$305,8),$O$6:$O$305,0)),""),"")</f>
        <v/>
      </c>
    </row>
    <row r="34">
      <c r="A34" s="47">
        <f>IF(Mitarbeiter!B34="","",Mitarbeiter!A34)</f>
        <v/>
      </c>
      <c r="B34" s="48">
        <f>IF(Mitarbeiter!B34="","",Mitarbeiter!B34)</f>
        <v/>
      </c>
      <c r="C34" s="7">
        <f>IF(Mitarbeiter!B34="","",Mitarbeiter!G34)</f>
        <v/>
      </c>
      <c r="D34" s="57">
        <f>IF(Mitarbeiter!B34="","",Mitarbeiter!H34)</f>
        <v/>
      </c>
      <c r="E34" s="57">
        <f>IF(Mitarbeiter!B34="","",'Ist-Stunden'!C34)</f>
        <v/>
      </c>
      <c r="F34" s="57">
        <f>IF(B34="","",Berechnung!AE34)</f>
        <v/>
      </c>
      <c r="G34" s="61">
        <f>IF(B34="","",Berechnung!P34)</f>
        <v/>
      </c>
      <c r="H34" s="61">
        <f>IF(B34="","",Berechnung!AC34)</f>
        <v/>
      </c>
      <c r="I34" s="61">
        <f>IF(B34="","",Berechnung!AD34)</f>
        <v/>
      </c>
      <c r="J34" s="36">
        <f>IF(B34="","",SUMPRODUCT(((Berechnung!D34:O34+Berechnung!Q34:AB34)&gt;0)*1))</f>
        <v/>
      </c>
      <c r="K34" s="62">
        <f>IF(B34="","",IF(N(D34)&gt;0,F34/D34,""))</f>
        <v/>
      </c>
      <c r="L34" s="40">
        <f>IF(B34="","",IF(N(E34)&gt;0,IF(Einstellungen!$C$10="Ja",F34/E34,F34/(E34+F34)),""))</f>
        <v/>
      </c>
      <c r="M34" s="63">
        <f>IF(L34="","",RANK(L34,$L$6:$L$305,0))</f>
        <v/>
      </c>
      <c r="N34" s="56">
        <f>IF(B34="","",IF(L34="","keine Ist-Std.",IF(L34&lt;=Einstellungen!$C$7,"unauffällig",IF(L34&lt;=Einstellungen!$C$8,"auffällig","kritisch"))))</f>
        <v/>
      </c>
      <c r="O34" s="64">
        <f>IF(L34="",-1,L34+ROW()/1000000000)</f>
        <v/>
      </c>
      <c r="P34" s="61">
        <f>IF(B34="","",Berechnung!AF34)</f>
        <v/>
      </c>
      <c r="Q34" s="57">
        <f>IF(B34="","",Berechnung!AG34)</f>
        <v/>
      </c>
      <c r="R34" s="57">
        <f>IF(B34="","",'Ist-Stunden'!D34)</f>
        <v/>
      </c>
      <c r="S34" s="59">
        <f>IF(B34="","",IF(N(R34)&gt;0,IF(Einstellungen!$C$10="Ja",Q34/R34,Q34/(R34+Q34)),""))</f>
        <v/>
      </c>
      <c r="T34" s="56">
        <f>IF(B34="","",IF(S34="","keine Ist-Std.",IF(S34&lt;=Einstellungen!$C$7,"unauffällig",IF(S34&lt;=Einstellungen!$C$8,"auffällig","kritisch"))))</f>
        <v/>
      </c>
      <c r="V34" s="56" t="n">
        <v>9</v>
      </c>
      <c r="W34" s="6">
        <f>IFERROR(IF(LARGE($O$6:$O$305,9)&gt;0,INDEX($B$6:$B$305,MATCH(LARGE($O$6:$O$305,9),$O$6:$O$305,0)),""),"")</f>
        <v/>
      </c>
      <c r="X34" s="40">
        <f>IFERROR(IF(LARGE($O$6:$O$305,9)&gt;0,INDEX($L$6:$L$305,MATCH(LARGE($O$6:$O$305,9),$O$6:$O$305,0)),""),"")</f>
        <v/>
      </c>
      <c r="Y34" s="58">
        <f>IFERROR(IF(LARGE($O$6:$O$305,9)&gt;0,INDEX($F$6:$F$305,MATCH(LARGE($O$6:$O$305,9),$O$6:$O$305,0)),""),"")</f>
        <v/>
      </c>
    </row>
    <row r="35">
      <c r="A35" s="47">
        <f>IF(Mitarbeiter!B35="","",Mitarbeiter!A35)</f>
        <v/>
      </c>
      <c r="B35" s="48">
        <f>IF(Mitarbeiter!B35="","",Mitarbeiter!B35)</f>
        <v/>
      </c>
      <c r="C35" s="7">
        <f>IF(Mitarbeiter!B35="","",Mitarbeiter!G35)</f>
        <v/>
      </c>
      <c r="D35" s="57">
        <f>IF(Mitarbeiter!B35="","",Mitarbeiter!H35)</f>
        <v/>
      </c>
      <c r="E35" s="57">
        <f>IF(Mitarbeiter!B35="","",'Ist-Stunden'!C35)</f>
        <v/>
      </c>
      <c r="F35" s="57">
        <f>IF(B35="","",Berechnung!AE35)</f>
        <v/>
      </c>
      <c r="G35" s="61">
        <f>IF(B35="","",Berechnung!P35)</f>
        <v/>
      </c>
      <c r="H35" s="61">
        <f>IF(B35="","",Berechnung!AC35)</f>
        <v/>
      </c>
      <c r="I35" s="61">
        <f>IF(B35="","",Berechnung!AD35)</f>
        <v/>
      </c>
      <c r="J35" s="36">
        <f>IF(B35="","",SUMPRODUCT(((Berechnung!D35:O35+Berechnung!Q35:AB35)&gt;0)*1))</f>
        <v/>
      </c>
      <c r="K35" s="62">
        <f>IF(B35="","",IF(N(D35)&gt;0,F35/D35,""))</f>
        <v/>
      </c>
      <c r="L35" s="40">
        <f>IF(B35="","",IF(N(E35)&gt;0,IF(Einstellungen!$C$10="Ja",F35/E35,F35/(E35+F35)),""))</f>
        <v/>
      </c>
      <c r="M35" s="63">
        <f>IF(L35="","",RANK(L35,$L$6:$L$305,0))</f>
        <v/>
      </c>
      <c r="N35" s="56">
        <f>IF(B35="","",IF(L35="","keine Ist-Std.",IF(L35&lt;=Einstellungen!$C$7,"unauffällig",IF(L35&lt;=Einstellungen!$C$8,"auffällig","kritisch"))))</f>
        <v/>
      </c>
      <c r="O35" s="64">
        <f>IF(L35="",-1,L35+ROW()/1000000000)</f>
        <v/>
      </c>
      <c r="P35" s="61">
        <f>IF(B35="","",Berechnung!AF35)</f>
        <v/>
      </c>
      <c r="Q35" s="57">
        <f>IF(B35="","",Berechnung!AG35)</f>
        <v/>
      </c>
      <c r="R35" s="57">
        <f>IF(B35="","",'Ist-Stunden'!D35)</f>
        <v/>
      </c>
      <c r="S35" s="59">
        <f>IF(B35="","",IF(N(R35)&gt;0,IF(Einstellungen!$C$10="Ja",Q35/R35,Q35/(R35+Q35)),""))</f>
        <v/>
      </c>
      <c r="T35" s="56">
        <f>IF(B35="","",IF(S35="","keine Ist-Std.",IF(S35&lt;=Einstellungen!$C$7,"unauffällig",IF(S35&lt;=Einstellungen!$C$8,"auffällig","kritisch"))))</f>
        <v/>
      </c>
      <c r="V35" s="56" t="n">
        <v>10</v>
      </c>
      <c r="W35" s="6">
        <f>IFERROR(IF(LARGE($O$6:$O$305,10)&gt;0,INDEX($B$6:$B$305,MATCH(LARGE($O$6:$O$305,10),$O$6:$O$305,0)),""),"")</f>
        <v/>
      </c>
      <c r="X35" s="40">
        <f>IFERROR(IF(LARGE($O$6:$O$305,10)&gt;0,INDEX($L$6:$L$305,MATCH(LARGE($O$6:$O$305,10),$O$6:$O$305,0)),""),"")</f>
        <v/>
      </c>
      <c r="Y35" s="58">
        <f>IFERROR(IF(LARGE($O$6:$O$305,10)&gt;0,INDEX($F$6:$F$305,MATCH(LARGE($O$6:$O$305,10),$O$6:$O$305,0)),""),"")</f>
        <v/>
      </c>
    </row>
    <row r="36">
      <c r="A36" s="47">
        <f>IF(Mitarbeiter!B36="","",Mitarbeiter!A36)</f>
        <v/>
      </c>
      <c r="B36" s="48">
        <f>IF(Mitarbeiter!B36="","",Mitarbeiter!B36)</f>
        <v/>
      </c>
      <c r="C36" s="7">
        <f>IF(Mitarbeiter!B36="","",Mitarbeiter!G36)</f>
        <v/>
      </c>
      <c r="D36" s="57">
        <f>IF(Mitarbeiter!B36="","",Mitarbeiter!H36)</f>
        <v/>
      </c>
      <c r="E36" s="57">
        <f>IF(Mitarbeiter!B36="","",'Ist-Stunden'!C36)</f>
        <v/>
      </c>
      <c r="F36" s="57">
        <f>IF(B36="","",Berechnung!AE36)</f>
        <v/>
      </c>
      <c r="G36" s="61">
        <f>IF(B36="","",Berechnung!P36)</f>
        <v/>
      </c>
      <c r="H36" s="61">
        <f>IF(B36="","",Berechnung!AC36)</f>
        <v/>
      </c>
      <c r="I36" s="61">
        <f>IF(B36="","",Berechnung!AD36)</f>
        <v/>
      </c>
      <c r="J36" s="36">
        <f>IF(B36="","",SUMPRODUCT(((Berechnung!D36:O36+Berechnung!Q36:AB36)&gt;0)*1))</f>
        <v/>
      </c>
      <c r="K36" s="62">
        <f>IF(B36="","",IF(N(D36)&gt;0,F36/D36,""))</f>
        <v/>
      </c>
      <c r="L36" s="40">
        <f>IF(B36="","",IF(N(E36)&gt;0,IF(Einstellungen!$C$10="Ja",F36/E36,F36/(E36+F36)),""))</f>
        <v/>
      </c>
      <c r="M36" s="63">
        <f>IF(L36="","",RANK(L36,$L$6:$L$305,0))</f>
        <v/>
      </c>
      <c r="N36" s="56">
        <f>IF(B36="","",IF(L36="","keine Ist-Std.",IF(L36&lt;=Einstellungen!$C$7,"unauffällig",IF(L36&lt;=Einstellungen!$C$8,"auffällig","kritisch"))))</f>
        <v/>
      </c>
      <c r="O36" s="64">
        <f>IF(L36="",-1,L36+ROW()/1000000000)</f>
        <v/>
      </c>
      <c r="P36" s="61">
        <f>IF(B36="","",Berechnung!AF36)</f>
        <v/>
      </c>
      <c r="Q36" s="57">
        <f>IF(B36="","",Berechnung!AG36)</f>
        <v/>
      </c>
      <c r="R36" s="57">
        <f>IF(B36="","",'Ist-Stunden'!D36)</f>
        <v/>
      </c>
      <c r="S36" s="59">
        <f>IF(B36="","",IF(N(R36)&gt;0,IF(Einstellungen!$C$10="Ja",Q36/R36,Q36/(R36+Q36)),""))</f>
        <v/>
      </c>
      <c r="T36" s="56">
        <f>IF(B36="","",IF(S36="","keine Ist-Std.",IF(S36&lt;=Einstellungen!$C$7,"unauffällig",IF(S36&lt;=Einstellungen!$C$8,"auffällig","kritisch"))))</f>
        <v/>
      </c>
    </row>
    <row r="37">
      <c r="A37" s="47">
        <f>IF(Mitarbeiter!B37="","",Mitarbeiter!A37)</f>
        <v/>
      </c>
      <c r="B37" s="48">
        <f>IF(Mitarbeiter!B37="","",Mitarbeiter!B37)</f>
        <v/>
      </c>
      <c r="C37" s="7">
        <f>IF(Mitarbeiter!B37="","",Mitarbeiter!G37)</f>
        <v/>
      </c>
      <c r="D37" s="57">
        <f>IF(Mitarbeiter!B37="","",Mitarbeiter!H37)</f>
        <v/>
      </c>
      <c r="E37" s="57">
        <f>IF(Mitarbeiter!B37="","",'Ist-Stunden'!C37)</f>
        <v/>
      </c>
      <c r="F37" s="57">
        <f>IF(B37="","",Berechnung!AE37)</f>
        <v/>
      </c>
      <c r="G37" s="61">
        <f>IF(B37="","",Berechnung!P37)</f>
        <v/>
      </c>
      <c r="H37" s="61">
        <f>IF(B37="","",Berechnung!AC37)</f>
        <v/>
      </c>
      <c r="I37" s="61">
        <f>IF(B37="","",Berechnung!AD37)</f>
        <v/>
      </c>
      <c r="J37" s="36">
        <f>IF(B37="","",SUMPRODUCT(((Berechnung!D37:O37+Berechnung!Q37:AB37)&gt;0)*1))</f>
        <v/>
      </c>
      <c r="K37" s="62">
        <f>IF(B37="","",IF(N(D37)&gt;0,F37/D37,""))</f>
        <v/>
      </c>
      <c r="L37" s="40">
        <f>IF(B37="","",IF(N(E37)&gt;0,IF(Einstellungen!$C$10="Ja",F37/E37,F37/(E37+F37)),""))</f>
        <v/>
      </c>
      <c r="M37" s="63">
        <f>IF(L37="","",RANK(L37,$L$6:$L$305,0))</f>
        <v/>
      </c>
      <c r="N37" s="56">
        <f>IF(B37="","",IF(L37="","keine Ist-Std.",IF(L37&lt;=Einstellungen!$C$7,"unauffällig",IF(L37&lt;=Einstellungen!$C$8,"auffällig","kritisch"))))</f>
        <v/>
      </c>
      <c r="O37" s="64">
        <f>IF(L37="",-1,L37+ROW()/1000000000)</f>
        <v/>
      </c>
      <c r="P37" s="61">
        <f>IF(B37="","",Berechnung!AF37)</f>
        <v/>
      </c>
      <c r="Q37" s="57">
        <f>IF(B37="","",Berechnung!AG37)</f>
        <v/>
      </c>
      <c r="R37" s="57">
        <f>IF(B37="","",'Ist-Stunden'!D37)</f>
        <v/>
      </c>
      <c r="S37" s="59">
        <f>IF(B37="","",IF(N(R37)&gt;0,IF(Einstellungen!$C$10="Ja",Q37/R37,Q37/(R37+Q37)),""))</f>
        <v/>
      </c>
      <c r="T37" s="56">
        <f>IF(B37="","",IF(S37="","keine Ist-Std.",IF(S37&lt;=Einstellungen!$C$7,"unauffällig",IF(S37&lt;=Einstellungen!$C$8,"auffällig","kritisch"))))</f>
        <v/>
      </c>
    </row>
    <row r="38">
      <c r="A38" s="47">
        <f>IF(Mitarbeiter!B38="","",Mitarbeiter!A38)</f>
        <v/>
      </c>
      <c r="B38" s="48">
        <f>IF(Mitarbeiter!B38="","",Mitarbeiter!B38)</f>
        <v/>
      </c>
      <c r="C38" s="7">
        <f>IF(Mitarbeiter!B38="","",Mitarbeiter!G38)</f>
        <v/>
      </c>
      <c r="D38" s="57">
        <f>IF(Mitarbeiter!B38="","",Mitarbeiter!H38)</f>
        <v/>
      </c>
      <c r="E38" s="57">
        <f>IF(Mitarbeiter!B38="","",'Ist-Stunden'!C38)</f>
        <v/>
      </c>
      <c r="F38" s="57">
        <f>IF(B38="","",Berechnung!AE38)</f>
        <v/>
      </c>
      <c r="G38" s="61">
        <f>IF(B38="","",Berechnung!P38)</f>
        <v/>
      </c>
      <c r="H38" s="61">
        <f>IF(B38="","",Berechnung!AC38)</f>
        <v/>
      </c>
      <c r="I38" s="61">
        <f>IF(B38="","",Berechnung!AD38)</f>
        <v/>
      </c>
      <c r="J38" s="36">
        <f>IF(B38="","",SUMPRODUCT(((Berechnung!D38:O38+Berechnung!Q38:AB38)&gt;0)*1))</f>
        <v/>
      </c>
      <c r="K38" s="62">
        <f>IF(B38="","",IF(N(D38)&gt;0,F38/D38,""))</f>
        <v/>
      </c>
      <c r="L38" s="40">
        <f>IF(B38="","",IF(N(E38)&gt;0,IF(Einstellungen!$C$10="Ja",F38/E38,F38/(E38+F38)),""))</f>
        <v/>
      </c>
      <c r="M38" s="63">
        <f>IF(L38="","",RANK(L38,$L$6:$L$305,0))</f>
        <v/>
      </c>
      <c r="N38" s="56">
        <f>IF(B38="","",IF(L38="","keine Ist-Std.",IF(L38&lt;=Einstellungen!$C$7,"unauffällig",IF(L38&lt;=Einstellungen!$C$8,"auffällig","kritisch"))))</f>
        <v/>
      </c>
      <c r="O38" s="64">
        <f>IF(L38="",-1,L38+ROW()/1000000000)</f>
        <v/>
      </c>
      <c r="P38" s="61">
        <f>IF(B38="","",Berechnung!AF38)</f>
        <v/>
      </c>
      <c r="Q38" s="57">
        <f>IF(B38="","",Berechnung!AG38)</f>
        <v/>
      </c>
      <c r="R38" s="57">
        <f>IF(B38="","",'Ist-Stunden'!D38)</f>
        <v/>
      </c>
      <c r="S38" s="59">
        <f>IF(B38="","",IF(N(R38)&gt;0,IF(Einstellungen!$C$10="Ja",Q38/R38,Q38/(R38+Q38)),""))</f>
        <v/>
      </c>
      <c r="T38" s="56">
        <f>IF(B38="","",IF(S38="","keine Ist-Std.",IF(S38&lt;=Einstellungen!$C$7,"unauffällig",IF(S38&lt;=Einstellungen!$C$8,"auffällig","kritisch"))))</f>
        <v/>
      </c>
    </row>
    <row r="39">
      <c r="A39" s="47">
        <f>IF(Mitarbeiter!B39="","",Mitarbeiter!A39)</f>
        <v/>
      </c>
      <c r="B39" s="48">
        <f>IF(Mitarbeiter!B39="","",Mitarbeiter!B39)</f>
        <v/>
      </c>
      <c r="C39" s="7">
        <f>IF(Mitarbeiter!B39="","",Mitarbeiter!G39)</f>
        <v/>
      </c>
      <c r="D39" s="57">
        <f>IF(Mitarbeiter!B39="","",Mitarbeiter!H39)</f>
        <v/>
      </c>
      <c r="E39" s="57">
        <f>IF(Mitarbeiter!B39="","",'Ist-Stunden'!C39)</f>
        <v/>
      </c>
      <c r="F39" s="57">
        <f>IF(B39="","",Berechnung!AE39)</f>
        <v/>
      </c>
      <c r="G39" s="61">
        <f>IF(B39="","",Berechnung!P39)</f>
        <v/>
      </c>
      <c r="H39" s="61">
        <f>IF(B39="","",Berechnung!AC39)</f>
        <v/>
      </c>
      <c r="I39" s="61">
        <f>IF(B39="","",Berechnung!AD39)</f>
        <v/>
      </c>
      <c r="J39" s="36">
        <f>IF(B39="","",SUMPRODUCT(((Berechnung!D39:O39+Berechnung!Q39:AB39)&gt;0)*1))</f>
        <v/>
      </c>
      <c r="K39" s="62">
        <f>IF(B39="","",IF(N(D39)&gt;0,F39/D39,""))</f>
        <v/>
      </c>
      <c r="L39" s="40">
        <f>IF(B39="","",IF(N(E39)&gt;0,IF(Einstellungen!$C$10="Ja",F39/E39,F39/(E39+F39)),""))</f>
        <v/>
      </c>
      <c r="M39" s="63">
        <f>IF(L39="","",RANK(L39,$L$6:$L$305,0))</f>
        <v/>
      </c>
      <c r="N39" s="56">
        <f>IF(B39="","",IF(L39="","keine Ist-Std.",IF(L39&lt;=Einstellungen!$C$7,"unauffällig",IF(L39&lt;=Einstellungen!$C$8,"auffällig","kritisch"))))</f>
        <v/>
      </c>
      <c r="O39" s="64">
        <f>IF(L39="",-1,L39+ROW()/1000000000)</f>
        <v/>
      </c>
      <c r="P39" s="61">
        <f>IF(B39="","",Berechnung!AF39)</f>
        <v/>
      </c>
      <c r="Q39" s="57">
        <f>IF(B39="","",Berechnung!AG39)</f>
        <v/>
      </c>
      <c r="R39" s="57">
        <f>IF(B39="","",'Ist-Stunden'!D39)</f>
        <v/>
      </c>
      <c r="S39" s="59">
        <f>IF(B39="","",IF(N(R39)&gt;0,IF(Einstellungen!$C$10="Ja",Q39/R39,Q39/(R39+Q39)),""))</f>
        <v/>
      </c>
      <c r="T39" s="56">
        <f>IF(B39="","",IF(S39="","keine Ist-Std.",IF(S39&lt;=Einstellungen!$C$7,"unauffällig",IF(S39&lt;=Einstellungen!$C$8,"auffällig","kritisch"))))</f>
        <v/>
      </c>
    </row>
    <row r="40">
      <c r="A40" s="47">
        <f>IF(Mitarbeiter!B40="","",Mitarbeiter!A40)</f>
        <v/>
      </c>
      <c r="B40" s="48">
        <f>IF(Mitarbeiter!B40="","",Mitarbeiter!B40)</f>
        <v/>
      </c>
      <c r="C40" s="7">
        <f>IF(Mitarbeiter!B40="","",Mitarbeiter!G40)</f>
        <v/>
      </c>
      <c r="D40" s="57">
        <f>IF(Mitarbeiter!B40="","",Mitarbeiter!H40)</f>
        <v/>
      </c>
      <c r="E40" s="57">
        <f>IF(Mitarbeiter!B40="","",'Ist-Stunden'!C40)</f>
        <v/>
      </c>
      <c r="F40" s="57">
        <f>IF(B40="","",Berechnung!AE40)</f>
        <v/>
      </c>
      <c r="G40" s="61">
        <f>IF(B40="","",Berechnung!P40)</f>
        <v/>
      </c>
      <c r="H40" s="61">
        <f>IF(B40="","",Berechnung!AC40)</f>
        <v/>
      </c>
      <c r="I40" s="61">
        <f>IF(B40="","",Berechnung!AD40)</f>
        <v/>
      </c>
      <c r="J40" s="36">
        <f>IF(B40="","",SUMPRODUCT(((Berechnung!D40:O40+Berechnung!Q40:AB40)&gt;0)*1))</f>
        <v/>
      </c>
      <c r="K40" s="62">
        <f>IF(B40="","",IF(N(D40)&gt;0,F40/D40,""))</f>
        <v/>
      </c>
      <c r="L40" s="40">
        <f>IF(B40="","",IF(N(E40)&gt;0,IF(Einstellungen!$C$10="Ja",F40/E40,F40/(E40+F40)),""))</f>
        <v/>
      </c>
      <c r="M40" s="63">
        <f>IF(L40="","",RANK(L40,$L$6:$L$305,0))</f>
        <v/>
      </c>
      <c r="N40" s="56">
        <f>IF(B40="","",IF(L40="","keine Ist-Std.",IF(L40&lt;=Einstellungen!$C$7,"unauffällig",IF(L40&lt;=Einstellungen!$C$8,"auffällig","kritisch"))))</f>
        <v/>
      </c>
      <c r="O40" s="64">
        <f>IF(L40="",-1,L40+ROW()/1000000000)</f>
        <v/>
      </c>
      <c r="P40" s="61">
        <f>IF(B40="","",Berechnung!AF40)</f>
        <v/>
      </c>
      <c r="Q40" s="57">
        <f>IF(B40="","",Berechnung!AG40)</f>
        <v/>
      </c>
      <c r="R40" s="57">
        <f>IF(B40="","",'Ist-Stunden'!D40)</f>
        <v/>
      </c>
      <c r="S40" s="59">
        <f>IF(B40="","",IF(N(R40)&gt;0,IF(Einstellungen!$C$10="Ja",Q40/R40,Q40/(R40+Q40)),""))</f>
        <v/>
      </c>
      <c r="T40" s="56">
        <f>IF(B40="","",IF(S40="","keine Ist-Std.",IF(S40&lt;=Einstellungen!$C$7,"unauffällig",IF(S40&lt;=Einstellungen!$C$8,"auffällig","kritisch"))))</f>
        <v/>
      </c>
    </row>
    <row r="41">
      <c r="A41" s="47">
        <f>IF(Mitarbeiter!B41="","",Mitarbeiter!A41)</f>
        <v/>
      </c>
      <c r="B41" s="48">
        <f>IF(Mitarbeiter!B41="","",Mitarbeiter!B41)</f>
        <v/>
      </c>
      <c r="C41" s="7">
        <f>IF(Mitarbeiter!B41="","",Mitarbeiter!G41)</f>
        <v/>
      </c>
      <c r="D41" s="57">
        <f>IF(Mitarbeiter!B41="","",Mitarbeiter!H41)</f>
        <v/>
      </c>
      <c r="E41" s="57">
        <f>IF(Mitarbeiter!B41="","",'Ist-Stunden'!C41)</f>
        <v/>
      </c>
      <c r="F41" s="57">
        <f>IF(B41="","",Berechnung!AE41)</f>
        <v/>
      </c>
      <c r="G41" s="61">
        <f>IF(B41="","",Berechnung!P41)</f>
        <v/>
      </c>
      <c r="H41" s="61">
        <f>IF(B41="","",Berechnung!AC41)</f>
        <v/>
      </c>
      <c r="I41" s="61">
        <f>IF(B41="","",Berechnung!AD41)</f>
        <v/>
      </c>
      <c r="J41" s="36">
        <f>IF(B41="","",SUMPRODUCT(((Berechnung!D41:O41+Berechnung!Q41:AB41)&gt;0)*1))</f>
        <v/>
      </c>
      <c r="K41" s="62">
        <f>IF(B41="","",IF(N(D41)&gt;0,F41/D41,""))</f>
        <v/>
      </c>
      <c r="L41" s="40">
        <f>IF(B41="","",IF(N(E41)&gt;0,IF(Einstellungen!$C$10="Ja",F41/E41,F41/(E41+F41)),""))</f>
        <v/>
      </c>
      <c r="M41" s="63">
        <f>IF(L41="","",RANK(L41,$L$6:$L$305,0))</f>
        <v/>
      </c>
      <c r="N41" s="56">
        <f>IF(B41="","",IF(L41="","keine Ist-Std.",IF(L41&lt;=Einstellungen!$C$7,"unauffällig",IF(L41&lt;=Einstellungen!$C$8,"auffällig","kritisch"))))</f>
        <v/>
      </c>
      <c r="O41" s="64">
        <f>IF(L41="",-1,L41+ROW()/1000000000)</f>
        <v/>
      </c>
      <c r="P41" s="61">
        <f>IF(B41="","",Berechnung!AF41)</f>
        <v/>
      </c>
      <c r="Q41" s="57">
        <f>IF(B41="","",Berechnung!AG41)</f>
        <v/>
      </c>
      <c r="R41" s="57">
        <f>IF(B41="","",'Ist-Stunden'!D41)</f>
        <v/>
      </c>
      <c r="S41" s="59">
        <f>IF(B41="","",IF(N(R41)&gt;0,IF(Einstellungen!$C$10="Ja",Q41/R41,Q41/(R41+Q41)),""))</f>
        <v/>
      </c>
      <c r="T41" s="56">
        <f>IF(B41="","",IF(S41="","keine Ist-Std.",IF(S41&lt;=Einstellungen!$C$7,"unauffällig",IF(S41&lt;=Einstellungen!$C$8,"auffällig","kritisch"))))</f>
        <v/>
      </c>
    </row>
    <row r="42">
      <c r="A42" s="47">
        <f>IF(Mitarbeiter!B42="","",Mitarbeiter!A42)</f>
        <v/>
      </c>
      <c r="B42" s="48">
        <f>IF(Mitarbeiter!B42="","",Mitarbeiter!B42)</f>
        <v/>
      </c>
      <c r="C42" s="7">
        <f>IF(Mitarbeiter!B42="","",Mitarbeiter!G42)</f>
        <v/>
      </c>
      <c r="D42" s="57">
        <f>IF(Mitarbeiter!B42="","",Mitarbeiter!H42)</f>
        <v/>
      </c>
      <c r="E42" s="57">
        <f>IF(Mitarbeiter!B42="","",'Ist-Stunden'!C42)</f>
        <v/>
      </c>
      <c r="F42" s="57">
        <f>IF(B42="","",Berechnung!AE42)</f>
        <v/>
      </c>
      <c r="G42" s="61">
        <f>IF(B42="","",Berechnung!P42)</f>
        <v/>
      </c>
      <c r="H42" s="61">
        <f>IF(B42="","",Berechnung!AC42)</f>
        <v/>
      </c>
      <c r="I42" s="61">
        <f>IF(B42="","",Berechnung!AD42)</f>
        <v/>
      </c>
      <c r="J42" s="36">
        <f>IF(B42="","",SUMPRODUCT(((Berechnung!D42:O42+Berechnung!Q42:AB42)&gt;0)*1))</f>
        <v/>
      </c>
      <c r="K42" s="62">
        <f>IF(B42="","",IF(N(D42)&gt;0,F42/D42,""))</f>
        <v/>
      </c>
      <c r="L42" s="40">
        <f>IF(B42="","",IF(N(E42)&gt;0,IF(Einstellungen!$C$10="Ja",F42/E42,F42/(E42+F42)),""))</f>
        <v/>
      </c>
      <c r="M42" s="63">
        <f>IF(L42="","",RANK(L42,$L$6:$L$305,0))</f>
        <v/>
      </c>
      <c r="N42" s="56">
        <f>IF(B42="","",IF(L42="","keine Ist-Std.",IF(L42&lt;=Einstellungen!$C$7,"unauffällig",IF(L42&lt;=Einstellungen!$C$8,"auffällig","kritisch"))))</f>
        <v/>
      </c>
      <c r="O42" s="64">
        <f>IF(L42="",-1,L42+ROW()/1000000000)</f>
        <v/>
      </c>
      <c r="P42" s="61">
        <f>IF(B42="","",Berechnung!AF42)</f>
        <v/>
      </c>
      <c r="Q42" s="57">
        <f>IF(B42="","",Berechnung!AG42)</f>
        <v/>
      </c>
      <c r="R42" s="57">
        <f>IF(B42="","",'Ist-Stunden'!D42)</f>
        <v/>
      </c>
      <c r="S42" s="59">
        <f>IF(B42="","",IF(N(R42)&gt;0,IF(Einstellungen!$C$10="Ja",Q42/R42,Q42/(R42+Q42)),""))</f>
        <v/>
      </c>
      <c r="T42" s="56">
        <f>IF(B42="","",IF(S42="","keine Ist-Std.",IF(S42&lt;=Einstellungen!$C$7,"unauffällig",IF(S42&lt;=Einstellungen!$C$8,"auffällig","kritisch"))))</f>
        <v/>
      </c>
    </row>
    <row r="43">
      <c r="A43" s="47">
        <f>IF(Mitarbeiter!B43="","",Mitarbeiter!A43)</f>
        <v/>
      </c>
      <c r="B43" s="48">
        <f>IF(Mitarbeiter!B43="","",Mitarbeiter!B43)</f>
        <v/>
      </c>
      <c r="C43" s="7">
        <f>IF(Mitarbeiter!B43="","",Mitarbeiter!G43)</f>
        <v/>
      </c>
      <c r="D43" s="57">
        <f>IF(Mitarbeiter!B43="","",Mitarbeiter!H43)</f>
        <v/>
      </c>
      <c r="E43" s="57">
        <f>IF(Mitarbeiter!B43="","",'Ist-Stunden'!C43)</f>
        <v/>
      </c>
      <c r="F43" s="57">
        <f>IF(B43="","",Berechnung!AE43)</f>
        <v/>
      </c>
      <c r="G43" s="61">
        <f>IF(B43="","",Berechnung!P43)</f>
        <v/>
      </c>
      <c r="H43" s="61">
        <f>IF(B43="","",Berechnung!AC43)</f>
        <v/>
      </c>
      <c r="I43" s="61">
        <f>IF(B43="","",Berechnung!AD43)</f>
        <v/>
      </c>
      <c r="J43" s="36">
        <f>IF(B43="","",SUMPRODUCT(((Berechnung!D43:O43+Berechnung!Q43:AB43)&gt;0)*1))</f>
        <v/>
      </c>
      <c r="K43" s="62">
        <f>IF(B43="","",IF(N(D43)&gt;0,F43/D43,""))</f>
        <v/>
      </c>
      <c r="L43" s="40">
        <f>IF(B43="","",IF(N(E43)&gt;0,IF(Einstellungen!$C$10="Ja",F43/E43,F43/(E43+F43)),""))</f>
        <v/>
      </c>
      <c r="M43" s="63">
        <f>IF(L43="","",RANK(L43,$L$6:$L$305,0))</f>
        <v/>
      </c>
      <c r="N43" s="56">
        <f>IF(B43="","",IF(L43="","keine Ist-Std.",IF(L43&lt;=Einstellungen!$C$7,"unauffällig",IF(L43&lt;=Einstellungen!$C$8,"auffällig","kritisch"))))</f>
        <v/>
      </c>
      <c r="O43" s="64">
        <f>IF(L43="",-1,L43+ROW()/1000000000)</f>
        <v/>
      </c>
      <c r="P43" s="61">
        <f>IF(B43="","",Berechnung!AF43)</f>
        <v/>
      </c>
      <c r="Q43" s="57">
        <f>IF(B43="","",Berechnung!AG43)</f>
        <v/>
      </c>
      <c r="R43" s="57">
        <f>IF(B43="","",'Ist-Stunden'!D43)</f>
        <v/>
      </c>
      <c r="S43" s="59">
        <f>IF(B43="","",IF(N(R43)&gt;0,IF(Einstellungen!$C$10="Ja",Q43/R43,Q43/(R43+Q43)),""))</f>
        <v/>
      </c>
      <c r="T43" s="56">
        <f>IF(B43="","",IF(S43="","keine Ist-Std.",IF(S43&lt;=Einstellungen!$C$7,"unauffällig",IF(S43&lt;=Einstellungen!$C$8,"auffällig","kritisch"))))</f>
        <v/>
      </c>
    </row>
    <row r="44">
      <c r="A44" s="47">
        <f>IF(Mitarbeiter!B44="","",Mitarbeiter!A44)</f>
        <v/>
      </c>
      <c r="B44" s="48">
        <f>IF(Mitarbeiter!B44="","",Mitarbeiter!B44)</f>
        <v/>
      </c>
      <c r="C44" s="7">
        <f>IF(Mitarbeiter!B44="","",Mitarbeiter!G44)</f>
        <v/>
      </c>
      <c r="D44" s="57">
        <f>IF(Mitarbeiter!B44="","",Mitarbeiter!H44)</f>
        <v/>
      </c>
      <c r="E44" s="57">
        <f>IF(Mitarbeiter!B44="","",'Ist-Stunden'!C44)</f>
        <v/>
      </c>
      <c r="F44" s="57">
        <f>IF(B44="","",Berechnung!AE44)</f>
        <v/>
      </c>
      <c r="G44" s="61">
        <f>IF(B44="","",Berechnung!P44)</f>
        <v/>
      </c>
      <c r="H44" s="61">
        <f>IF(B44="","",Berechnung!AC44)</f>
        <v/>
      </c>
      <c r="I44" s="61">
        <f>IF(B44="","",Berechnung!AD44)</f>
        <v/>
      </c>
      <c r="J44" s="36">
        <f>IF(B44="","",SUMPRODUCT(((Berechnung!D44:O44+Berechnung!Q44:AB44)&gt;0)*1))</f>
        <v/>
      </c>
      <c r="K44" s="62">
        <f>IF(B44="","",IF(N(D44)&gt;0,F44/D44,""))</f>
        <v/>
      </c>
      <c r="L44" s="40">
        <f>IF(B44="","",IF(N(E44)&gt;0,IF(Einstellungen!$C$10="Ja",F44/E44,F44/(E44+F44)),""))</f>
        <v/>
      </c>
      <c r="M44" s="63">
        <f>IF(L44="","",RANK(L44,$L$6:$L$305,0))</f>
        <v/>
      </c>
      <c r="N44" s="56">
        <f>IF(B44="","",IF(L44="","keine Ist-Std.",IF(L44&lt;=Einstellungen!$C$7,"unauffällig",IF(L44&lt;=Einstellungen!$C$8,"auffällig","kritisch"))))</f>
        <v/>
      </c>
      <c r="O44" s="64">
        <f>IF(L44="",-1,L44+ROW()/1000000000)</f>
        <v/>
      </c>
      <c r="P44" s="61">
        <f>IF(B44="","",Berechnung!AF44)</f>
        <v/>
      </c>
      <c r="Q44" s="57">
        <f>IF(B44="","",Berechnung!AG44)</f>
        <v/>
      </c>
      <c r="R44" s="57">
        <f>IF(B44="","",'Ist-Stunden'!D44)</f>
        <v/>
      </c>
      <c r="S44" s="59">
        <f>IF(B44="","",IF(N(R44)&gt;0,IF(Einstellungen!$C$10="Ja",Q44/R44,Q44/(R44+Q44)),""))</f>
        <v/>
      </c>
      <c r="T44" s="56">
        <f>IF(B44="","",IF(S44="","keine Ist-Std.",IF(S44&lt;=Einstellungen!$C$7,"unauffällig",IF(S44&lt;=Einstellungen!$C$8,"auffällig","kritisch"))))</f>
        <v/>
      </c>
    </row>
    <row r="45">
      <c r="A45" s="47">
        <f>IF(Mitarbeiter!B45="","",Mitarbeiter!A45)</f>
        <v/>
      </c>
      <c r="B45" s="48">
        <f>IF(Mitarbeiter!B45="","",Mitarbeiter!B45)</f>
        <v/>
      </c>
      <c r="C45" s="7">
        <f>IF(Mitarbeiter!B45="","",Mitarbeiter!G45)</f>
        <v/>
      </c>
      <c r="D45" s="57">
        <f>IF(Mitarbeiter!B45="","",Mitarbeiter!H45)</f>
        <v/>
      </c>
      <c r="E45" s="57">
        <f>IF(Mitarbeiter!B45="","",'Ist-Stunden'!C45)</f>
        <v/>
      </c>
      <c r="F45" s="57">
        <f>IF(B45="","",Berechnung!AE45)</f>
        <v/>
      </c>
      <c r="G45" s="61">
        <f>IF(B45="","",Berechnung!P45)</f>
        <v/>
      </c>
      <c r="H45" s="61">
        <f>IF(B45="","",Berechnung!AC45)</f>
        <v/>
      </c>
      <c r="I45" s="61">
        <f>IF(B45="","",Berechnung!AD45)</f>
        <v/>
      </c>
      <c r="J45" s="36">
        <f>IF(B45="","",SUMPRODUCT(((Berechnung!D45:O45+Berechnung!Q45:AB45)&gt;0)*1))</f>
        <v/>
      </c>
      <c r="K45" s="62">
        <f>IF(B45="","",IF(N(D45)&gt;0,F45/D45,""))</f>
        <v/>
      </c>
      <c r="L45" s="40">
        <f>IF(B45="","",IF(N(E45)&gt;0,IF(Einstellungen!$C$10="Ja",F45/E45,F45/(E45+F45)),""))</f>
        <v/>
      </c>
      <c r="M45" s="63">
        <f>IF(L45="","",RANK(L45,$L$6:$L$305,0))</f>
        <v/>
      </c>
      <c r="N45" s="56">
        <f>IF(B45="","",IF(L45="","keine Ist-Std.",IF(L45&lt;=Einstellungen!$C$7,"unauffällig",IF(L45&lt;=Einstellungen!$C$8,"auffällig","kritisch"))))</f>
        <v/>
      </c>
      <c r="O45" s="64">
        <f>IF(L45="",-1,L45+ROW()/1000000000)</f>
        <v/>
      </c>
      <c r="P45" s="61">
        <f>IF(B45="","",Berechnung!AF45)</f>
        <v/>
      </c>
      <c r="Q45" s="57">
        <f>IF(B45="","",Berechnung!AG45)</f>
        <v/>
      </c>
      <c r="R45" s="57">
        <f>IF(B45="","",'Ist-Stunden'!D45)</f>
        <v/>
      </c>
      <c r="S45" s="59">
        <f>IF(B45="","",IF(N(R45)&gt;0,IF(Einstellungen!$C$10="Ja",Q45/R45,Q45/(R45+Q45)),""))</f>
        <v/>
      </c>
      <c r="T45" s="56">
        <f>IF(B45="","",IF(S45="","keine Ist-Std.",IF(S45&lt;=Einstellungen!$C$7,"unauffällig",IF(S45&lt;=Einstellungen!$C$8,"auffällig","kritisch"))))</f>
        <v/>
      </c>
    </row>
    <row r="46">
      <c r="A46" s="47">
        <f>IF(Mitarbeiter!B46="","",Mitarbeiter!A46)</f>
        <v/>
      </c>
      <c r="B46" s="48">
        <f>IF(Mitarbeiter!B46="","",Mitarbeiter!B46)</f>
        <v/>
      </c>
      <c r="C46" s="7">
        <f>IF(Mitarbeiter!B46="","",Mitarbeiter!G46)</f>
        <v/>
      </c>
      <c r="D46" s="57">
        <f>IF(Mitarbeiter!B46="","",Mitarbeiter!H46)</f>
        <v/>
      </c>
      <c r="E46" s="57">
        <f>IF(Mitarbeiter!B46="","",'Ist-Stunden'!C46)</f>
        <v/>
      </c>
      <c r="F46" s="57">
        <f>IF(B46="","",Berechnung!AE46)</f>
        <v/>
      </c>
      <c r="G46" s="61">
        <f>IF(B46="","",Berechnung!P46)</f>
        <v/>
      </c>
      <c r="H46" s="61">
        <f>IF(B46="","",Berechnung!AC46)</f>
        <v/>
      </c>
      <c r="I46" s="61">
        <f>IF(B46="","",Berechnung!AD46)</f>
        <v/>
      </c>
      <c r="J46" s="36">
        <f>IF(B46="","",SUMPRODUCT(((Berechnung!D46:O46+Berechnung!Q46:AB46)&gt;0)*1))</f>
        <v/>
      </c>
      <c r="K46" s="62">
        <f>IF(B46="","",IF(N(D46)&gt;0,F46/D46,""))</f>
        <v/>
      </c>
      <c r="L46" s="40">
        <f>IF(B46="","",IF(N(E46)&gt;0,IF(Einstellungen!$C$10="Ja",F46/E46,F46/(E46+F46)),""))</f>
        <v/>
      </c>
      <c r="M46" s="63">
        <f>IF(L46="","",RANK(L46,$L$6:$L$305,0))</f>
        <v/>
      </c>
      <c r="N46" s="56">
        <f>IF(B46="","",IF(L46="","keine Ist-Std.",IF(L46&lt;=Einstellungen!$C$7,"unauffällig",IF(L46&lt;=Einstellungen!$C$8,"auffällig","kritisch"))))</f>
        <v/>
      </c>
      <c r="O46" s="64">
        <f>IF(L46="",-1,L46+ROW()/1000000000)</f>
        <v/>
      </c>
      <c r="P46" s="61">
        <f>IF(B46="","",Berechnung!AF46)</f>
        <v/>
      </c>
      <c r="Q46" s="57">
        <f>IF(B46="","",Berechnung!AG46)</f>
        <v/>
      </c>
      <c r="R46" s="57">
        <f>IF(B46="","",'Ist-Stunden'!D46)</f>
        <v/>
      </c>
      <c r="S46" s="59">
        <f>IF(B46="","",IF(N(R46)&gt;0,IF(Einstellungen!$C$10="Ja",Q46/R46,Q46/(R46+Q46)),""))</f>
        <v/>
      </c>
      <c r="T46" s="56">
        <f>IF(B46="","",IF(S46="","keine Ist-Std.",IF(S46&lt;=Einstellungen!$C$7,"unauffällig",IF(S46&lt;=Einstellungen!$C$8,"auffällig","kritisch"))))</f>
        <v/>
      </c>
    </row>
    <row r="47">
      <c r="A47" s="47">
        <f>IF(Mitarbeiter!B47="","",Mitarbeiter!A47)</f>
        <v/>
      </c>
      <c r="B47" s="48">
        <f>IF(Mitarbeiter!B47="","",Mitarbeiter!B47)</f>
        <v/>
      </c>
      <c r="C47" s="7">
        <f>IF(Mitarbeiter!B47="","",Mitarbeiter!G47)</f>
        <v/>
      </c>
      <c r="D47" s="57">
        <f>IF(Mitarbeiter!B47="","",Mitarbeiter!H47)</f>
        <v/>
      </c>
      <c r="E47" s="57">
        <f>IF(Mitarbeiter!B47="","",'Ist-Stunden'!C47)</f>
        <v/>
      </c>
      <c r="F47" s="57">
        <f>IF(B47="","",Berechnung!AE47)</f>
        <v/>
      </c>
      <c r="G47" s="61">
        <f>IF(B47="","",Berechnung!P47)</f>
        <v/>
      </c>
      <c r="H47" s="61">
        <f>IF(B47="","",Berechnung!AC47)</f>
        <v/>
      </c>
      <c r="I47" s="61">
        <f>IF(B47="","",Berechnung!AD47)</f>
        <v/>
      </c>
      <c r="J47" s="36">
        <f>IF(B47="","",SUMPRODUCT(((Berechnung!D47:O47+Berechnung!Q47:AB47)&gt;0)*1))</f>
        <v/>
      </c>
      <c r="K47" s="62">
        <f>IF(B47="","",IF(N(D47)&gt;0,F47/D47,""))</f>
        <v/>
      </c>
      <c r="L47" s="40">
        <f>IF(B47="","",IF(N(E47)&gt;0,IF(Einstellungen!$C$10="Ja",F47/E47,F47/(E47+F47)),""))</f>
        <v/>
      </c>
      <c r="M47" s="63">
        <f>IF(L47="","",RANK(L47,$L$6:$L$305,0))</f>
        <v/>
      </c>
      <c r="N47" s="56">
        <f>IF(B47="","",IF(L47="","keine Ist-Std.",IF(L47&lt;=Einstellungen!$C$7,"unauffällig",IF(L47&lt;=Einstellungen!$C$8,"auffällig","kritisch"))))</f>
        <v/>
      </c>
      <c r="O47" s="64">
        <f>IF(L47="",-1,L47+ROW()/1000000000)</f>
        <v/>
      </c>
      <c r="P47" s="61">
        <f>IF(B47="","",Berechnung!AF47)</f>
        <v/>
      </c>
      <c r="Q47" s="57">
        <f>IF(B47="","",Berechnung!AG47)</f>
        <v/>
      </c>
      <c r="R47" s="57">
        <f>IF(B47="","",'Ist-Stunden'!D47)</f>
        <v/>
      </c>
      <c r="S47" s="59">
        <f>IF(B47="","",IF(N(R47)&gt;0,IF(Einstellungen!$C$10="Ja",Q47/R47,Q47/(R47+Q47)),""))</f>
        <v/>
      </c>
      <c r="T47" s="56">
        <f>IF(B47="","",IF(S47="","keine Ist-Std.",IF(S47&lt;=Einstellungen!$C$7,"unauffällig",IF(S47&lt;=Einstellungen!$C$8,"auffällig","kritisch"))))</f>
        <v/>
      </c>
    </row>
    <row r="48">
      <c r="A48" s="47">
        <f>IF(Mitarbeiter!B48="","",Mitarbeiter!A48)</f>
        <v/>
      </c>
      <c r="B48" s="48">
        <f>IF(Mitarbeiter!B48="","",Mitarbeiter!B48)</f>
        <v/>
      </c>
      <c r="C48" s="7">
        <f>IF(Mitarbeiter!B48="","",Mitarbeiter!G48)</f>
        <v/>
      </c>
      <c r="D48" s="57">
        <f>IF(Mitarbeiter!B48="","",Mitarbeiter!H48)</f>
        <v/>
      </c>
      <c r="E48" s="57">
        <f>IF(Mitarbeiter!B48="","",'Ist-Stunden'!C48)</f>
        <v/>
      </c>
      <c r="F48" s="57">
        <f>IF(B48="","",Berechnung!AE48)</f>
        <v/>
      </c>
      <c r="G48" s="61">
        <f>IF(B48="","",Berechnung!P48)</f>
        <v/>
      </c>
      <c r="H48" s="61">
        <f>IF(B48="","",Berechnung!AC48)</f>
        <v/>
      </c>
      <c r="I48" s="61">
        <f>IF(B48="","",Berechnung!AD48)</f>
        <v/>
      </c>
      <c r="J48" s="36">
        <f>IF(B48="","",SUMPRODUCT(((Berechnung!D48:O48+Berechnung!Q48:AB48)&gt;0)*1))</f>
        <v/>
      </c>
      <c r="K48" s="62">
        <f>IF(B48="","",IF(N(D48)&gt;0,F48/D48,""))</f>
        <v/>
      </c>
      <c r="L48" s="40">
        <f>IF(B48="","",IF(N(E48)&gt;0,IF(Einstellungen!$C$10="Ja",F48/E48,F48/(E48+F48)),""))</f>
        <v/>
      </c>
      <c r="M48" s="63">
        <f>IF(L48="","",RANK(L48,$L$6:$L$305,0))</f>
        <v/>
      </c>
      <c r="N48" s="56">
        <f>IF(B48="","",IF(L48="","keine Ist-Std.",IF(L48&lt;=Einstellungen!$C$7,"unauffällig",IF(L48&lt;=Einstellungen!$C$8,"auffällig","kritisch"))))</f>
        <v/>
      </c>
      <c r="O48" s="64">
        <f>IF(L48="",-1,L48+ROW()/1000000000)</f>
        <v/>
      </c>
      <c r="P48" s="61">
        <f>IF(B48="","",Berechnung!AF48)</f>
        <v/>
      </c>
      <c r="Q48" s="57">
        <f>IF(B48="","",Berechnung!AG48)</f>
        <v/>
      </c>
      <c r="R48" s="57">
        <f>IF(B48="","",'Ist-Stunden'!D48)</f>
        <v/>
      </c>
      <c r="S48" s="59">
        <f>IF(B48="","",IF(N(R48)&gt;0,IF(Einstellungen!$C$10="Ja",Q48/R48,Q48/(R48+Q48)),""))</f>
        <v/>
      </c>
      <c r="T48" s="56">
        <f>IF(B48="","",IF(S48="","keine Ist-Std.",IF(S48&lt;=Einstellungen!$C$7,"unauffällig",IF(S48&lt;=Einstellungen!$C$8,"auffällig","kritisch"))))</f>
        <v/>
      </c>
    </row>
    <row r="49">
      <c r="A49" s="47">
        <f>IF(Mitarbeiter!B49="","",Mitarbeiter!A49)</f>
        <v/>
      </c>
      <c r="B49" s="48">
        <f>IF(Mitarbeiter!B49="","",Mitarbeiter!B49)</f>
        <v/>
      </c>
      <c r="C49" s="7">
        <f>IF(Mitarbeiter!B49="","",Mitarbeiter!G49)</f>
        <v/>
      </c>
      <c r="D49" s="57">
        <f>IF(Mitarbeiter!B49="","",Mitarbeiter!H49)</f>
        <v/>
      </c>
      <c r="E49" s="57">
        <f>IF(Mitarbeiter!B49="","",'Ist-Stunden'!C49)</f>
        <v/>
      </c>
      <c r="F49" s="57">
        <f>IF(B49="","",Berechnung!AE49)</f>
        <v/>
      </c>
      <c r="G49" s="61">
        <f>IF(B49="","",Berechnung!P49)</f>
        <v/>
      </c>
      <c r="H49" s="61">
        <f>IF(B49="","",Berechnung!AC49)</f>
        <v/>
      </c>
      <c r="I49" s="61">
        <f>IF(B49="","",Berechnung!AD49)</f>
        <v/>
      </c>
      <c r="J49" s="36">
        <f>IF(B49="","",SUMPRODUCT(((Berechnung!D49:O49+Berechnung!Q49:AB49)&gt;0)*1))</f>
        <v/>
      </c>
      <c r="K49" s="62">
        <f>IF(B49="","",IF(N(D49)&gt;0,F49/D49,""))</f>
        <v/>
      </c>
      <c r="L49" s="40">
        <f>IF(B49="","",IF(N(E49)&gt;0,IF(Einstellungen!$C$10="Ja",F49/E49,F49/(E49+F49)),""))</f>
        <v/>
      </c>
      <c r="M49" s="63">
        <f>IF(L49="","",RANK(L49,$L$6:$L$305,0))</f>
        <v/>
      </c>
      <c r="N49" s="56">
        <f>IF(B49="","",IF(L49="","keine Ist-Std.",IF(L49&lt;=Einstellungen!$C$7,"unauffällig",IF(L49&lt;=Einstellungen!$C$8,"auffällig","kritisch"))))</f>
        <v/>
      </c>
      <c r="O49" s="64">
        <f>IF(L49="",-1,L49+ROW()/1000000000)</f>
        <v/>
      </c>
      <c r="P49" s="61">
        <f>IF(B49="","",Berechnung!AF49)</f>
        <v/>
      </c>
      <c r="Q49" s="57">
        <f>IF(B49="","",Berechnung!AG49)</f>
        <v/>
      </c>
      <c r="R49" s="57">
        <f>IF(B49="","",'Ist-Stunden'!D49)</f>
        <v/>
      </c>
      <c r="S49" s="59">
        <f>IF(B49="","",IF(N(R49)&gt;0,IF(Einstellungen!$C$10="Ja",Q49/R49,Q49/(R49+Q49)),""))</f>
        <v/>
      </c>
      <c r="T49" s="56">
        <f>IF(B49="","",IF(S49="","keine Ist-Std.",IF(S49&lt;=Einstellungen!$C$7,"unauffällig",IF(S49&lt;=Einstellungen!$C$8,"auffällig","kritisch"))))</f>
        <v/>
      </c>
    </row>
    <row r="50">
      <c r="A50" s="47">
        <f>IF(Mitarbeiter!B50="","",Mitarbeiter!A50)</f>
        <v/>
      </c>
      <c r="B50" s="48">
        <f>IF(Mitarbeiter!B50="","",Mitarbeiter!B50)</f>
        <v/>
      </c>
      <c r="C50" s="7">
        <f>IF(Mitarbeiter!B50="","",Mitarbeiter!G50)</f>
        <v/>
      </c>
      <c r="D50" s="57">
        <f>IF(Mitarbeiter!B50="","",Mitarbeiter!H50)</f>
        <v/>
      </c>
      <c r="E50" s="57">
        <f>IF(Mitarbeiter!B50="","",'Ist-Stunden'!C50)</f>
        <v/>
      </c>
      <c r="F50" s="57">
        <f>IF(B50="","",Berechnung!AE50)</f>
        <v/>
      </c>
      <c r="G50" s="61">
        <f>IF(B50="","",Berechnung!P50)</f>
        <v/>
      </c>
      <c r="H50" s="61">
        <f>IF(B50="","",Berechnung!AC50)</f>
        <v/>
      </c>
      <c r="I50" s="61">
        <f>IF(B50="","",Berechnung!AD50)</f>
        <v/>
      </c>
      <c r="J50" s="36">
        <f>IF(B50="","",SUMPRODUCT(((Berechnung!D50:O50+Berechnung!Q50:AB50)&gt;0)*1))</f>
        <v/>
      </c>
      <c r="K50" s="62">
        <f>IF(B50="","",IF(N(D50)&gt;0,F50/D50,""))</f>
        <v/>
      </c>
      <c r="L50" s="40">
        <f>IF(B50="","",IF(N(E50)&gt;0,IF(Einstellungen!$C$10="Ja",F50/E50,F50/(E50+F50)),""))</f>
        <v/>
      </c>
      <c r="M50" s="63">
        <f>IF(L50="","",RANK(L50,$L$6:$L$305,0))</f>
        <v/>
      </c>
      <c r="N50" s="56">
        <f>IF(B50="","",IF(L50="","keine Ist-Std.",IF(L50&lt;=Einstellungen!$C$7,"unauffällig",IF(L50&lt;=Einstellungen!$C$8,"auffällig","kritisch"))))</f>
        <v/>
      </c>
      <c r="O50" s="64">
        <f>IF(L50="",-1,L50+ROW()/1000000000)</f>
        <v/>
      </c>
      <c r="P50" s="61">
        <f>IF(B50="","",Berechnung!AF50)</f>
        <v/>
      </c>
      <c r="Q50" s="57">
        <f>IF(B50="","",Berechnung!AG50)</f>
        <v/>
      </c>
      <c r="R50" s="57">
        <f>IF(B50="","",'Ist-Stunden'!D50)</f>
        <v/>
      </c>
      <c r="S50" s="59">
        <f>IF(B50="","",IF(N(R50)&gt;0,IF(Einstellungen!$C$10="Ja",Q50/R50,Q50/(R50+Q50)),""))</f>
        <v/>
      </c>
      <c r="T50" s="56">
        <f>IF(B50="","",IF(S50="","keine Ist-Std.",IF(S50&lt;=Einstellungen!$C$7,"unauffällig",IF(S50&lt;=Einstellungen!$C$8,"auffällig","kritisch"))))</f>
        <v/>
      </c>
    </row>
    <row r="51">
      <c r="A51" s="47">
        <f>IF(Mitarbeiter!B51="","",Mitarbeiter!A51)</f>
        <v/>
      </c>
      <c r="B51" s="48">
        <f>IF(Mitarbeiter!B51="","",Mitarbeiter!B51)</f>
        <v/>
      </c>
      <c r="C51" s="7">
        <f>IF(Mitarbeiter!B51="","",Mitarbeiter!G51)</f>
        <v/>
      </c>
      <c r="D51" s="57">
        <f>IF(Mitarbeiter!B51="","",Mitarbeiter!H51)</f>
        <v/>
      </c>
      <c r="E51" s="57">
        <f>IF(Mitarbeiter!B51="","",'Ist-Stunden'!C51)</f>
        <v/>
      </c>
      <c r="F51" s="57">
        <f>IF(B51="","",Berechnung!AE51)</f>
        <v/>
      </c>
      <c r="G51" s="61">
        <f>IF(B51="","",Berechnung!P51)</f>
        <v/>
      </c>
      <c r="H51" s="61">
        <f>IF(B51="","",Berechnung!AC51)</f>
        <v/>
      </c>
      <c r="I51" s="61">
        <f>IF(B51="","",Berechnung!AD51)</f>
        <v/>
      </c>
      <c r="J51" s="36">
        <f>IF(B51="","",SUMPRODUCT(((Berechnung!D51:O51+Berechnung!Q51:AB51)&gt;0)*1))</f>
        <v/>
      </c>
      <c r="K51" s="62">
        <f>IF(B51="","",IF(N(D51)&gt;0,F51/D51,""))</f>
        <v/>
      </c>
      <c r="L51" s="40">
        <f>IF(B51="","",IF(N(E51)&gt;0,IF(Einstellungen!$C$10="Ja",F51/E51,F51/(E51+F51)),""))</f>
        <v/>
      </c>
      <c r="M51" s="63">
        <f>IF(L51="","",RANK(L51,$L$6:$L$305,0))</f>
        <v/>
      </c>
      <c r="N51" s="56">
        <f>IF(B51="","",IF(L51="","keine Ist-Std.",IF(L51&lt;=Einstellungen!$C$7,"unauffällig",IF(L51&lt;=Einstellungen!$C$8,"auffällig","kritisch"))))</f>
        <v/>
      </c>
      <c r="O51" s="64">
        <f>IF(L51="",-1,L51+ROW()/1000000000)</f>
        <v/>
      </c>
      <c r="P51" s="61">
        <f>IF(B51="","",Berechnung!AF51)</f>
        <v/>
      </c>
      <c r="Q51" s="57">
        <f>IF(B51="","",Berechnung!AG51)</f>
        <v/>
      </c>
      <c r="R51" s="57">
        <f>IF(B51="","",'Ist-Stunden'!D51)</f>
        <v/>
      </c>
      <c r="S51" s="59">
        <f>IF(B51="","",IF(N(R51)&gt;0,IF(Einstellungen!$C$10="Ja",Q51/R51,Q51/(R51+Q51)),""))</f>
        <v/>
      </c>
      <c r="T51" s="56">
        <f>IF(B51="","",IF(S51="","keine Ist-Std.",IF(S51&lt;=Einstellungen!$C$7,"unauffällig",IF(S51&lt;=Einstellungen!$C$8,"auffällig","kritisch"))))</f>
        <v/>
      </c>
    </row>
    <row r="52">
      <c r="A52" s="47">
        <f>IF(Mitarbeiter!B52="","",Mitarbeiter!A52)</f>
        <v/>
      </c>
      <c r="B52" s="48">
        <f>IF(Mitarbeiter!B52="","",Mitarbeiter!B52)</f>
        <v/>
      </c>
      <c r="C52" s="7">
        <f>IF(Mitarbeiter!B52="","",Mitarbeiter!G52)</f>
        <v/>
      </c>
      <c r="D52" s="57">
        <f>IF(Mitarbeiter!B52="","",Mitarbeiter!H52)</f>
        <v/>
      </c>
      <c r="E52" s="57">
        <f>IF(Mitarbeiter!B52="","",'Ist-Stunden'!C52)</f>
        <v/>
      </c>
      <c r="F52" s="57">
        <f>IF(B52="","",Berechnung!AE52)</f>
        <v/>
      </c>
      <c r="G52" s="61">
        <f>IF(B52="","",Berechnung!P52)</f>
        <v/>
      </c>
      <c r="H52" s="61">
        <f>IF(B52="","",Berechnung!AC52)</f>
        <v/>
      </c>
      <c r="I52" s="61">
        <f>IF(B52="","",Berechnung!AD52)</f>
        <v/>
      </c>
      <c r="J52" s="36">
        <f>IF(B52="","",SUMPRODUCT(((Berechnung!D52:O52+Berechnung!Q52:AB52)&gt;0)*1))</f>
        <v/>
      </c>
      <c r="K52" s="62">
        <f>IF(B52="","",IF(N(D52)&gt;0,F52/D52,""))</f>
        <v/>
      </c>
      <c r="L52" s="40">
        <f>IF(B52="","",IF(N(E52)&gt;0,IF(Einstellungen!$C$10="Ja",F52/E52,F52/(E52+F52)),""))</f>
        <v/>
      </c>
      <c r="M52" s="63">
        <f>IF(L52="","",RANK(L52,$L$6:$L$305,0))</f>
        <v/>
      </c>
      <c r="N52" s="56">
        <f>IF(B52="","",IF(L52="","keine Ist-Std.",IF(L52&lt;=Einstellungen!$C$7,"unauffällig",IF(L52&lt;=Einstellungen!$C$8,"auffällig","kritisch"))))</f>
        <v/>
      </c>
      <c r="O52" s="64">
        <f>IF(L52="",-1,L52+ROW()/1000000000)</f>
        <v/>
      </c>
      <c r="P52" s="61">
        <f>IF(B52="","",Berechnung!AF52)</f>
        <v/>
      </c>
      <c r="Q52" s="57">
        <f>IF(B52="","",Berechnung!AG52)</f>
        <v/>
      </c>
      <c r="R52" s="57">
        <f>IF(B52="","",'Ist-Stunden'!D52)</f>
        <v/>
      </c>
      <c r="S52" s="59">
        <f>IF(B52="","",IF(N(R52)&gt;0,IF(Einstellungen!$C$10="Ja",Q52/R52,Q52/(R52+Q52)),""))</f>
        <v/>
      </c>
      <c r="T52" s="56">
        <f>IF(B52="","",IF(S52="","keine Ist-Std.",IF(S52&lt;=Einstellungen!$C$7,"unauffällig",IF(S52&lt;=Einstellungen!$C$8,"auffällig","kritisch"))))</f>
        <v/>
      </c>
    </row>
    <row r="53">
      <c r="A53" s="47">
        <f>IF(Mitarbeiter!B53="","",Mitarbeiter!A53)</f>
        <v/>
      </c>
      <c r="B53" s="48">
        <f>IF(Mitarbeiter!B53="","",Mitarbeiter!B53)</f>
        <v/>
      </c>
      <c r="C53" s="7">
        <f>IF(Mitarbeiter!B53="","",Mitarbeiter!G53)</f>
        <v/>
      </c>
      <c r="D53" s="57">
        <f>IF(Mitarbeiter!B53="","",Mitarbeiter!H53)</f>
        <v/>
      </c>
      <c r="E53" s="57">
        <f>IF(Mitarbeiter!B53="","",'Ist-Stunden'!C53)</f>
        <v/>
      </c>
      <c r="F53" s="57">
        <f>IF(B53="","",Berechnung!AE53)</f>
        <v/>
      </c>
      <c r="G53" s="61">
        <f>IF(B53="","",Berechnung!P53)</f>
        <v/>
      </c>
      <c r="H53" s="61">
        <f>IF(B53="","",Berechnung!AC53)</f>
        <v/>
      </c>
      <c r="I53" s="61">
        <f>IF(B53="","",Berechnung!AD53)</f>
        <v/>
      </c>
      <c r="J53" s="36">
        <f>IF(B53="","",SUMPRODUCT(((Berechnung!D53:O53+Berechnung!Q53:AB53)&gt;0)*1))</f>
        <v/>
      </c>
      <c r="K53" s="62">
        <f>IF(B53="","",IF(N(D53)&gt;0,F53/D53,""))</f>
        <v/>
      </c>
      <c r="L53" s="40">
        <f>IF(B53="","",IF(N(E53)&gt;0,IF(Einstellungen!$C$10="Ja",F53/E53,F53/(E53+F53)),""))</f>
        <v/>
      </c>
      <c r="M53" s="63">
        <f>IF(L53="","",RANK(L53,$L$6:$L$305,0))</f>
        <v/>
      </c>
      <c r="N53" s="56">
        <f>IF(B53="","",IF(L53="","keine Ist-Std.",IF(L53&lt;=Einstellungen!$C$7,"unauffällig",IF(L53&lt;=Einstellungen!$C$8,"auffällig","kritisch"))))</f>
        <v/>
      </c>
      <c r="O53" s="64">
        <f>IF(L53="",-1,L53+ROW()/1000000000)</f>
        <v/>
      </c>
      <c r="P53" s="61">
        <f>IF(B53="","",Berechnung!AF53)</f>
        <v/>
      </c>
      <c r="Q53" s="57">
        <f>IF(B53="","",Berechnung!AG53)</f>
        <v/>
      </c>
      <c r="R53" s="57">
        <f>IF(B53="","",'Ist-Stunden'!D53)</f>
        <v/>
      </c>
      <c r="S53" s="59">
        <f>IF(B53="","",IF(N(R53)&gt;0,IF(Einstellungen!$C$10="Ja",Q53/R53,Q53/(R53+Q53)),""))</f>
        <v/>
      </c>
      <c r="T53" s="56">
        <f>IF(B53="","",IF(S53="","keine Ist-Std.",IF(S53&lt;=Einstellungen!$C$7,"unauffällig",IF(S53&lt;=Einstellungen!$C$8,"auffällig","kritisch"))))</f>
        <v/>
      </c>
    </row>
    <row r="54">
      <c r="A54" s="47">
        <f>IF(Mitarbeiter!B54="","",Mitarbeiter!A54)</f>
        <v/>
      </c>
      <c r="B54" s="48">
        <f>IF(Mitarbeiter!B54="","",Mitarbeiter!B54)</f>
        <v/>
      </c>
      <c r="C54" s="7">
        <f>IF(Mitarbeiter!B54="","",Mitarbeiter!G54)</f>
        <v/>
      </c>
      <c r="D54" s="57">
        <f>IF(Mitarbeiter!B54="","",Mitarbeiter!H54)</f>
        <v/>
      </c>
      <c r="E54" s="57">
        <f>IF(Mitarbeiter!B54="","",'Ist-Stunden'!C54)</f>
        <v/>
      </c>
      <c r="F54" s="57">
        <f>IF(B54="","",Berechnung!AE54)</f>
        <v/>
      </c>
      <c r="G54" s="61">
        <f>IF(B54="","",Berechnung!P54)</f>
        <v/>
      </c>
      <c r="H54" s="61">
        <f>IF(B54="","",Berechnung!AC54)</f>
        <v/>
      </c>
      <c r="I54" s="61">
        <f>IF(B54="","",Berechnung!AD54)</f>
        <v/>
      </c>
      <c r="J54" s="36">
        <f>IF(B54="","",SUMPRODUCT(((Berechnung!D54:O54+Berechnung!Q54:AB54)&gt;0)*1))</f>
        <v/>
      </c>
      <c r="K54" s="62">
        <f>IF(B54="","",IF(N(D54)&gt;0,F54/D54,""))</f>
        <v/>
      </c>
      <c r="L54" s="40">
        <f>IF(B54="","",IF(N(E54)&gt;0,IF(Einstellungen!$C$10="Ja",F54/E54,F54/(E54+F54)),""))</f>
        <v/>
      </c>
      <c r="M54" s="63">
        <f>IF(L54="","",RANK(L54,$L$6:$L$305,0))</f>
        <v/>
      </c>
      <c r="N54" s="56">
        <f>IF(B54="","",IF(L54="","keine Ist-Std.",IF(L54&lt;=Einstellungen!$C$7,"unauffällig",IF(L54&lt;=Einstellungen!$C$8,"auffällig","kritisch"))))</f>
        <v/>
      </c>
      <c r="O54" s="64">
        <f>IF(L54="",-1,L54+ROW()/1000000000)</f>
        <v/>
      </c>
      <c r="P54" s="61">
        <f>IF(B54="","",Berechnung!AF54)</f>
        <v/>
      </c>
      <c r="Q54" s="57">
        <f>IF(B54="","",Berechnung!AG54)</f>
        <v/>
      </c>
      <c r="R54" s="57">
        <f>IF(B54="","",'Ist-Stunden'!D54)</f>
        <v/>
      </c>
      <c r="S54" s="59">
        <f>IF(B54="","",IF(N(R54)&gt;0,IF(Einstellungen!$C$10="Ja",Q54/R54,Q54/(R54+Q54)),""))</f>
        <v/>
      </c>
      <c r="T54" s="56">
        <f>IF(B54="","",IF(S54="","keine Ist-Std.",IF(S54&lt;=Einstellungen!$C$7,"unauffällig",IF(S54&lt;=Einstellungen!$C$8,"auffällig","kritisch"))))</f>
        <v/>
      </c>
    </row>
    <row r="55">
      <c r="A55" s="47">
        <f>IF(Mitarbeiter!B55="","",Mitarbeiter!A55)</f>
        <v/>
      </c>
      <c r="B55" s="48">
        <f>IF(Mitarbeiter!B55="","",Mitarbeiter!B55)</f>
        <v/>
      </c>
      <c r="C55" s="7">
        <f>IF(Mitarbeiter!B55="","",Mitarbeiter!G55)</f>
        <v/>
      </c>
      <c r="D55" s="57">
        <f>IF(Mitarbeiter!B55="","",Mitarbeiter!H55)</f>
        <v/>
      </c>
      <c r="E55" s="57">
        <f>IF(Mitarbeiter!B55="","",'Ist-Stunden'!C55)</f>
        <v/>
      </c>
      <c r="F55" s="57">
        <f>IF(B55="","",Berechnung!AE55)</f>
        <v/>
      </c>
      <c r="G55" s="61">
        <f>IF(B55="","",Berechnung!P55)</f>
        <v/>
      </c>
      <c r="H55" s="61">
        <f>IF(B55="","",Berechnung!AC55)</f>
        <v/>
      </c>
      <c r="I55" s="61">
        <f>IF(B55="","",Berechnung!AD55)</f>
        <v/>
      </c>
      <c r="J55" s="36">
        <f>IF(B55="","",SUMPRODUCT(((Berechnung!D55:O55+Berechnung!Q55:AB55)&gt;0)*1))</f>
        <v/>
      </c>
      <c r="K55" s="62">
        <f>IF(B55="","",IF(N(D55)&gt;0,F55/D55,""))</f>
        <v/>
      </c>
      <c r="L55" s="40">
        <f>IF(B55="","",IF(N(E55)&gt;0,IF(Einstellungen!$C$10="Ja",F55/E55,F55/(E55+F55)),""))</f>
        <v/>
      </c>
      <c r="M55" s="63">
        <f>IF(L55="","",RANK(L55,$L$6:$L$305,0))</f>
        <v/>
      </c>
      <c r="N55" s="56">
        <f>IF(B55="","",IF(L55="","keine Ist-Std.",IF(L55&lt;=Einstellungen!$C$7,"unauffällig",IF(L55&lt;=Einstellungen!$C$8,"auffällig","kritisch"))))</f>
        <v/>
      </c>
      <c r="O55" s="64">
        <f>IF(L55="",-1,L55+ROW()/1000000000)</f>
        <v/>
      </c>
      <c r="P55" s="61">
        <f>IF(B55="","",Berechnung!AF55)</f>
        <v/>
      </c>
      <c r="Q55" s="57">
        <f>IF(B55="","",Berechnung!AG55)</f>
        <v/>
      </c>
      <c r="R55" s="57">
        <f>IF(B55="","",'Ist-Stunden'!D55)</f>
        <v/>
      </c>
      <c r="S55" s="59">
        <f>IF(B55="","",IF(N(R55)&gt;0,IF(Einstellungen!$C$10="Ja",Q55/R55,Q55/(R55+Q55)),""))</f>
        <v/>
      </c>
      <c r="T55" s="56">
        <f>IF(B55="","",IF(S55="","keine Ist-Std.",IF(S55&lt;=Einstellungen!$C$7,"unauffällig",IF(S55&lt;=Einstellungen!$C$8,"auffällig","kritisch"))))</f>
        <v/>
      </c>
    </row>
    <row r="56">
      <c r="A56" s="47">
        <f>IF(Mitarbeiter!B56="","",Mitarbeiter!A56)</f>
        <v/>
      </c>
      <c r="B56" s="48">
        <f>IF(Mitarbeiter!B56="","",Mitarbeiter!B56)</f>
        <v/>
      </c>
      <c r="C56" s="7">
        <f>IF(Mitarbeiter!B56="","",Mitarbeiter!G56)</f>
        <v/>
      </c>
      <c r="D56" s="57">
        <f>IF(Mitarbeiter!B56="","",Mitarbeiter!H56)</f>
        <v/>
      </c>
      <c r="E56" s="57">
        <f>IF(Mitarbeiter!B56="","",'Ist-Stunden'!C56)</f>
        <v/>
      </c>
      <c r="F56" s="57">
        <f>IF(B56="","",Berechnung!AE56)</f>
        <v/>
      </c>
      <c r="G56" s="61">
        <f>IF(B56="","",Berechnung!P56)</f>
        <v/>
      </c>
      <c r="H56" s="61">
        <f>IF(B56="","",Berechnung!AC56)</f>
        <v/>
      </c>
      <c r="I56" s="61">
        <f>IF(B56="","",Berechnung!AD56)</f>
        <v/>
      </c>
      <c r="J56" s="36">
        <f>IF(B56="","",SUMPRODUCT(((Berechnung!D56:O56+Berechnung!Q56:AB56)&gt;0)*1))</f>
        <v/>
      </c>
      <c r="K56" s="62">
        <f>IF(B56="","",IF(N(D56)&gt;0,F56/D56,""))</f>
        <v/>
      </c>
      <c r="L56" s="40">
        <f>IF(B56="","",IF(N(E56)&gt;0,IF(Einstellungen!$C$10="Ja",F56/E56,F56/(E56+F56)),""))</f>
        <v/>
      </c>
      <c r="M56" s="63">
        <f>IF(L56="","",RANK(L56,$L$6:$L$305,0))</f>
        <v/>
      </c>
      <c r="N56" s="56">
        <f>IF(B56="","",IF(L56="","keine Ist-Std.",IF(L56&lt;=Einstellungen!$C$7,"unauffällig",IF(L56&lt;=Einstellungen!$C$8,"auffällig","kritisch"))))</f>
        <v/>
      </c>
      <c r="O56" s="64">
        <f>IF(L56="",-1,L56+ROW()/1000000000)</f>
        <v/>
      </c>
      <c r="P56" s="61">
        <f>IF(B56="","",Berechnung!AF56)</f>
        <v/>
      </c>
      <c r="Q56" s="57">
        <f>IF(B56="","",Berechnung!AG56)</f>
        <v/>
      </c>
      <c r="R56" s="57">
        <f>IF(B56="","",'Ist-Stunden'!D56)</f>
        <v/>
      </c>
      <c r="S56" s="59">
        <f>IF(B56="","",IF(N(R56)&gt;0,IF(Einstellungen!$C$10="Ja",Q56/R56,Q56/(R56+Q56)),""))</f>
        <v/>
      </c>
      <c r="T56" s="56">
        <f>IF(B56="","",IF(S56="","keine Ist-Std.",IF(S56&lt;=Einstellungen!$C$7,"unauffällig",IF(S56&lt;=Einstellungen!$C$8,"auffällig","kritisch"))))</f>
        <v/>
      </c>
    </row>
    <row r="57">
      <c r="A57" s="47">
        <f>IF(Mitarbeiter!B57="","",Mitarbeiter!A57)</f>
        <v/>
      </c>
      <c r="B57" s="48">
        <f>IF(Mitarbeiter!B57="","",Mitarbeiter!B57)</f>
        <v/>
      </c>
      <c r="C57" s="7">
        <f>IF(Mitarbeiter!B57="","",Mitarbeiter!G57)</f>
        <v/>
      </c>
      <c r="D57" s="57">
        <f>IF(Mitarbeiter!B57="","",Mitarbeiter!H57)</f>
        <v/>
      </c>
      <c r="E57" s="57">
        <f>IF(Mitarbeiter!B57="","",'Ist-Stunden'!C57)</f>
        <v/>
      </c>
      <c r="F57" s="57">
        <f>IF(B57="","",Berechnung!AE57)</f>
        <v/>
      </c>
      <c r="G57" s="61">
        <f>IF(B57="","",Berechnung!P57)</f>
        <v/>
      </c>
      <c r="H57" s="61">
        <f>IF(B57="","",Berechnung!AC57)</f>
        <v/>
      </c>
      <c r="I57" s="61">
        <f>IF(B57="","",Berechnung!AD57)</f>
        <v/>
      </c>
      <c r="J57" s="36">
        <f>IF(B57="","",SUMPRODUCT(((Berechnung!D57:O57+Berechnung!Q57:AB57)&gt;0)*1))</f>
        <v/>
      </c>
      <c r="K57" s="62">
        <f>IF(B57="","",IF(N(D57)&gt;0,F57/D57,""))</f>
        <v/>
      </c>
      <c r="L57" s="40">
        <f>IF(B57="","",IF(N(E57)&gt;0,IF(Einstellungen!$C$10="Ja",F57/E57,F57/(E57+F57)),""))</f>
        <v/>
      </c>
      <c r="M57" s="63">
        <f>IF(L57="","",RANK(L57,$L$6:$L$305,0))</f>
        <v/>
      </c>
      <c r="N57" s="56">
        <f>IF(B57="","",IF(L57="","keine Ist-Std.",IF(L57&lt;=Einstellungen!$C$7,"unauffällig",IF(L57&lt;=Einstellungen!$C$8,"auffällig","kritisch"))))</f>
        <v/>
      </c>
      <c r="O57" s="64">
        <f>IF(L57="",-1,L57+ROW()/1000000000)</f>
        <v/>
      </c>
      <c r="P57" s="61">
        <f>IF(B57="","",Berechnung!AF57)</f>
        <v/>
      </c>
      <c r="Q57" s="57">
        <f>IF(B57="","",Berechnung!AG57)</f>
        <v/>
      </c>
      <c r="R57" s="57">
        <f>IF(B57="","",'Ist-Stunden'!D57)</f>
        <v/>
      </c>
      <c r="S57" s="59">
        <f>IF(B57="","",IF(N(R57)&gt;0,IF(Einstellungen!$C$10="Ja",Q57/R57,Q57/(R57+Q57)),""))</f>
        <v/>
      </c>
      <c r="T57" s="56">
        <f>IF(B57="","",IF(S57="","keine Ist-Std.",IF(S57&lt;=Einstellungen!$C$7,"unauffällig",IF(S57&lt;=Einstellungen!$C$8,"auffällig","kritisch"))))</f>
        <v/>
      </c>
    </row>
    <row r="58">
      <c r="A58" s="47">
        <f>IF(Mitarbeiter!B58="","",Mitarbeiter!A58)</f>
        <v/>
      </c>
      <c r="B58" s="48">
        <f>IF(Mitarbeiter!B58="","",Mitarbeiter!B58)</f>
        <v/>
      </c>
      <c r="C58" s="7">
        <f>IF(Mitarbeiter!B58="","",Mitarbeiter!G58)</f>
        <v/>
      </c>
      <c r="D58" s="57">
        <f>IF(Mitarbeiter!B58="","",Mitarbeiter!H58)</f>
        <v/>
      </c>
      <c r="E58" s="57">
        <f>IF(Mitarbeiter!B58="","",'Ist-Stunden'!C58)</f>
        <v/>
      </c>
      <c r="F58" s="57">
        <f>IF(B58="","",Berechnung!AE58)</f>
        <v/>
      </c>
      <c r="G58" s="61">
        <f>IF(B58="","",Berechnung!P58)</f>
        <v/>
      </c>
      <c r="H58" s="61">
        <f>IF(B58="","",Berechnung!AC58)</f>
        <v/>
      </c>
      <c r="I58" s="61">
        <f>IF(B58="","",Berechnung!AD58)</f>
        <v/>
      </c>
      <c r="J58" s="36">
        <f>IF(B58="","",SUMPRODUCT(((Berechnung!D58:O58+Berechnung!Q58:AB58)&gt;0)*1))</f>
        <v/>
      </c>
      <c r="K58" s="62">
        <f>IF(B58="","",IF(N(D58)&gt;0,F58/D58,""))</f>
        <v/>
      </c>
      <c r="L58" s="40">
        <f>IF(B58="","",IF(N(E58)&gt;0,IF(Einstellungen!$C$10="Ja",F58/E58,F58/(E58+F58)),""))</f>
        <v/>
      </c>
      <c r="M58" s="63">
        <f>IF(L58="","",RANK(L58,$L$6:$L$305,0))</f>
        <v/>
      </c>
      <c r="N58" s="56">
        <f>IF(B58="","",IF(L58="","keine Ist-Std.",IF(L58&lt;=Einstellungen!$C$7,"unauffällig",IF(L58&lt;=Einstellungen!$C$8,"auffällig","kritisch"))))</f>
        <v/>
      </c>
      <c r="O58" s="64">
        <f>IF(L58="",-1,L58+ROW()/1000000000)</f>
        <v/>
      </c>
      <c r="P58" s="61">
        <f>IF(B58="","",Berechnung!AF58)</f>
        <v/>
      </c>
      <c r="Q58" s="57">
        <f>IF(B58="","",Berechnung!AG58)</f>
        <v/>
      </c>
      <c r="R58" s="57">
        <f>IF(B58="","",'Ist-Stunden'!D58)</f>
        <v/>
      </c>
      <c r="S58" s="59">
        <f>IF(B58="","",IF(N(R58)&gt;0,IF(Einstellungen!$C$10="Ja",Q58/R58,Q58/(R58+Q58)),""))</f>
        <v/>
      </c>
      <c r="T58" s="56">
        <f>IF(B58="","",IF(S58="","keine Ist-Std.",IF(S58&lt;=Einstellungen!$C$7,"unauffällig",IF(S58&lt;=Einstellungen!$C$8,"auffällig","kritisch"))))</f>
        <v/>
      </c>
    </row>
    <row r="59">
      <c r="A59" s="47">
        <f>IF(Mitarbeiter!B59="","",Mitarbeiter!A59)</f>
        <v/>
      </c>
      <c r="B59" s="48">
        <f>IF(Mitarbeiter!B59="","",Mitarbeiter!B59)</f>
        <v/>
      </c>
      <c r="C59" s="7">
        <f>IF(Mitarbeiter!B59="","",Mitarbeiter!G59)</f>
        <v/>
      </c>
      <c r="D59" s="57">
        <f>IF(Mitarbeiter!B59="","",Mitarbeiter!H59)</f>
        <v/>
      </c>
      <c r="E59" s="57">
        <f>IF(Mitarbeiter!B59="","",'Ist-Stunden'!C59)</f>
        <v/>
      </c>
      <c r="F59" s="57">
        <f>IF(B59="","",Berechnung!AE59)</f>
        <v/>
      </c>
      <c r="G59" s="61">
        <f>IF(B59="","",Berechnung!P59)</f>
        <v/>
      </c>
      <c r="H59" s="61">
        <f>IF(B59="","",Berechnung!AC59)</f>
        <v/>
      </c>
      <c r="I59" s="61">
        <f>IF(B59="","",Berechnung!AD59)</f>
        <v/>
      </c>
      <c r="J59" s="36">
        <f>IF(B59="","",SUMPRODUCT(((Berechnung!D59:O59+Berechnung!Q59:AB59)&gt;0)*1))</f>
        <v/>
      </c>
      <c r="K59" s="62">
        <f>IF(B59="","",IF(N(D59)&gt;0,F59/D59,""))</f>
        <v/>
      </c>
      <c r="L59" s="40">
        <f>IF(B59="","",IF(N(E59)&gt;0,IF(Einstellungen!$C$10="Ja",F59/E59,F59/(E59+F59)),""))</f>
        <v/>
      </c>
      <c r="M59" s="63">
        <f>IF(L59="","",RANK(L59,$L$6:$L$305,0))</f>
        <v/>
      </c>
      <c r="N59" s="56">
        <f>IF(B59="","",IF(L59="","keine Ist-Std.",IF(L59&lt;=Einstellungen!$C$7,"unauffällig",IF(L59&lt;=Einstellungen!$C$8,"auffällig","kritisch"))))</f>
        <v/>
      </c>
      <c r="O59" s="64">
        <f>IF(L59="",-1,L59+ROW()/1000000000)</f>
        <v/>
      </c>
      <c r="P59" s="61">
        <f>IF(B59="","",Berechnung!AF59)</f>
        <v/>
      </c>
      <c r="Q59" s="57">
        <f>IF(B59="","",Berechnung!AG59)</f>
        <v/>
      </c>
      <c r="R59" s="57">
        <f>IF(B59="","",'Ist-Stunden'!D59)</f>
        <v/>
      </c>
      <c r="S59" s="59">
        <f>IF(B59="","",IF(N(R59)&gt;0,IF(Einstellungen!$C$10="Ja",Q59/R59,Q59/(R59+Q59)),""))</f>
        <v/>
      </c>
      <c r="T59" s="56">
        <f>IF(B59="","",IF(S59="","keine Ist-Std.",IF(S59&lt;=Einstellungen!$C$7,"unauffällig",IF(S59&lt;=Einstellungen!$C$8,"auffällig","kritisch"))))</f>
        <v/>
      </c>
    </row>
    <row r="60">
      <c r="A60" s="47">
        <f>IF(Mitarbeiter!B60="","",Mitarbeiter!A60)</f>
        <v/>
      </c>
      <c r="B60" s="48">
        <f>IF(Mitarbeiter!B60="","",Mitarbeiter!B60)</f>
        <v/>
      </c>
      <c r="C60" s="7">
        <f>IF(Mitarbeiter!B60="","",Mitarbeiter!G60)</f>
        <v/>
      </c>
      <c r="D60" s="57">
        <f>IF(Mitarbeiter!B60="","",Mitarbeiter!H60)</f>
        <v/>
      </c>
      <c r="E60" s="57">
        <f>IF(Mitarbeiter!B60="","",'Ist-Stunden'!C60)</f>
        <v/>
      </c>
      <c r="F60" s="57">
        <f>IF(B60="","",Berechnung!AE60)</f>
        <v/>
      </c>
      <c r="G60" s="61">
        <f>IF(B60="","",Berechnung!P60)</f>
        <v/>
      </c>
      <c r="H60" s="61">
        <f>IF(B60="","",Berechnung!AC60)</f>
        <v/>
      </c>
      <c r="I60" s="61">
        <f>IF(B60="","",Berechnung!AD60)</f>
        <v/>
      </c>
      <c r="J60" s="36">
        <f>IF(B60="","",SUMPRODUCT(((Berechnung!D60:O60+Berechnung!Q60:AB60)&gt;0)*1))</f>
        <v/>
      </c>
      <c r="K60" s="62">
        <f>IF(B60="","",IF(N(D60)&gt;0,F60/D60,""))</f>
        <v/>
      </c>
      <c r="L60" s="40">
        <f>IF(B60="","",IF(N(E60)&gt;0,IF(Einstellungen!$C$10="Ja",F60/E60,F60/(E60+F60)),""))</f>
        <v/>
      </c>
      <c r="M60" s="63">
        <f>IF(L60="","",RANK(L60,$L$6:$L$305,0))</f>
        <v/>
      </c>
      <c r="N60" s="56">
        <f>IF(B60="","",IF(L60="","keine Ist-Std.",IF(L60&lt;=Einstellungen!$C$7,"unauffällig",IF(L60&lt;=Einstellungen!$C$8,"auffällig","kritisch"))))</f>
        <v/>
      </c>
      <c r="O60" s="64">
        <f>IF(L60="",-1,L60+ROW()/1000000000)</f>
        <v/>
      </c>
      <c r="P60" s="61">
        <f>IF(B60="","",Berechnung!AF60)</f>
        <v/>
      </c>
      <c r="Q60" s="57">
        <f>IF(B60="","",Berechnung!AG60)</f>
        <v/>
      </c>
      <c r="R60" s="57">
        <f>IF(B60="","",'Ist-Stunden'!D60)</f>
        <v/>
      </c>
      <c r="S60" s="59">
        <f>IF(B60="","",IF(N(R60)&gt;0,IF(Einstellungen!$C$10="Ja",Q60/R60,Q60/(R60+Q60)),""))</f>
        <v/>
      </c>
      <c r="T60" s="56">
        <f>IF(B60="","",IF(S60="","keine Ist-Std.",IF(S60&lt;=Einstellungen!$C$7,"unauffällig",IF(S60&lt;=Einstellungen!$C$8,"auffällig","kritisch"))))</f>
        <v/>
      </c>
    </row>
    <row r="61">
      <c r="A61" s="47">
        <f>IF(Mitarbeiter!B61="","",Mitarbeiter!A61)</f>
        <v/>
      </c>
      <c r="B61" s="48">
        <f>IF(Mitarbeiter!B61="","",Mitarbeiter!B61)</f>
        <v/>
      </c>
      <c r="C61" s="7">
        <f>IF(Mitarbeiter!B61="","",Mitarbeiter!G61)</f>
        <v/>
      </c>
      <c r="D61" s="57">
        <f>IF(Mitarbeiter!B61="","",Mitarbeiter!H61)</f>
        <v/>
      </c>
      <c r="E61" s="57">
        <f>IF(Mitarbeiter!B61="","",'Ist-Stunden'!C61)</f>
        <v/>
      </c>
      <c r="F61" s="57">
        <f>IF(B61="","",Berechnung!AE61)</f>
        <v/>
      </c>
      <c r="G61" s="61">
        <f>IF(B61="","",Berechnung!P61)</f>
        <v/>
      </c>
      <c r="H61" s="61">
        <f>IF(B61="","",Berechnung!AC61)</f>
        <v/>
      </c>
      <c r="I61" s="61">
        <f>IF(B61="","",Berechnung!AD61)</f>
        <v/>
      </c>
      <c r="J61" s="36">
        <f>IF(B61="","",SUMPRODUCT(((Berechnung!D61:O61+Berechnung!Q61:AB61)&gt;0)*1))</f>
        <v/>
      </c>
      <c r="K61" s="62">
        <f>IF(B61="","",IF(N(D61)&gt;0,F61/D61,""))</f>
        <v/>
      </c>
      <c r="L61" s="40">
        <f>IF(B61="","",IF(N(E61)&gt;0,IF(Einstellungen!$C$10="Ja",F61/E61,F61/(E61+F61)),""))</f>
        <v/>
      </c>
      <c r="M61" s="63">
        <f>IF(L61="","",RANK(L61,$L$6:$L$305,0))</f>
        <v/>
      </c>
      <c r="N61" s="56">
        <f>IF(B61="","",IF(L61="","keine Ist-Std.",IF(L61&lt;=Einstellungen!$C$7,"unauffällig",IF(L61&lt;=Einstellungen!$C$8,"auffällig","kritisch"))))</f>
        <v/>
      </c>
      <c r="O61" s="64">
        <f>IF(L61="",-1,L61+ROW()/1000000000)</f>
        <v/>
      </c>
      <c r="P61" s="61">
        <f>IF(B61="","",Berechnung!AF61)</f>
        <v/>
      </c>
      <c r="Q61" s="57">
        <f>IF(B61="","",Berechnung!AG61)</f>
        <v/>
      </c>
      <c r="R61" s="57">
        <f>IF(B61="","",'Ist-Stunden'!D61)</f>
        <v/>
      </c>
      <c r="S61" s="59">
        <f>IF(B61="","",IF(N(R61)&gt;0,IF(Einstellungen!$C$10="Ja",Q61/R61,Q61/(R61+Q61)),""))</f>
        <v/>
      </c>
      <c r="T61" s="56">
        <f>IF(B61="","",IF(S61="","keine Ist-Std.",IF(S61&lt;=Einstellungen!$C$7,"unauffällig",IF(S61&lt;=Einstellungen!$C$8,"auffällig","kritisch"))))</f>
        <v/>
      </c>
    </row>
    <row r="62">
      <c r="A62" s="47">
        <f>IF(Mitarbeiter!B62="","",Mitarbeiter!A62)</f>
        <v/>
      </c>
      <c r="B62" s="48">
        <f>IF(Mitarbeiter!B62="","",Mitarbeiter!B62)</f>
        <v/>
      </c>
      <c r="C62" s="7">
        <f>IF(Mitarbeiter!B62="","",Mitarbeiter!G62)</f>
        <v/>
      </c>
      <c r="D62" s="57">
        <f>IF(Mitarbeiter!B62="","",Mitarbeiter!H62)</f>
        <v/>
      </c>
      <c r="E62" s="57">
        <f>IF(Mitarbeiter!B62="","",'Ist-Stunden'!C62)</f>
        <v/>
      </c>
      <c r="F62" s="57">
        <f>IF(B62="","",Berechnung!AE62)</f>
        <v/>
      </c>
      <c r="G62" s="61">
        <f>IF(B62="","",Berechnung!P62)</f>
        <v/>
      </c>
      <c r="H62" s="61">
        <f>IF(B62="","",Berechnung!AC62)</f>
        <v/>
      </c>
      <c r="I62" s="61">
        <f>IF(B62="","",Berechnung!AD62)</f>
        <v/>
      </c>
      <c r="J62" s="36">
        <f>IF(B62="","",SUMPRODUCT(((Berechnung!D62:O62+Berechnung!Q62:AB62)&gt;0)*1))</f>
        <v/>
      </c>
      <c r="K62" s="62">
        <f>IF(B62="","",IF(N(D62)&gt;0,F62/D62,""))</f>
        <v/>
      </c>
      <c r="L62" s="40">
        <f>IF(B62="","",IF(N(E62)&gt;0,IF(Einstellungen!$C$10="Ja",F62/E62,F62/(E62+F62)),""))</f>
        <v/>
      </c>
      <c r="M62" s="63">
        <f>IF(L62="","",RANK(L62,$L$6:$L$305,0))</f>
        <v/>
      </c>
      <c r="N62" s="56">
        <f>IF(B62="","",IF(L62="","keine Ist-Std.",IF(L62&lt;=Einstellungen!$C$7,"unauffällig",IF(L62&lt;=Einstellungen!$C$8,"auffällig","kritisch"))))</f>
        <v/>
      </c>
      <c r="O62" s="64">
        <f>IF(L62="",-1,L62+ROW()/1000000000)</f>
        <v/>
      </c>
      <c r="P62" s="61">
        <f>IF(B62="","",Berechnung!AF62)</f>
        <v/>
      </c>
      <c r="Q62" s="57">
        <f>IF(B62="","",Berechnung!AG62)</f>
        <v/>
      </c>
      <c r="R62" s="57">
        <f>IF(B62="","",'Ist-Stunden'!D62)</f>
        <v/>
      </c>
      <c r="S62" s="59">
        <f>IF(B62="","",IF(N(R62)&gt;0,IF(Einstellungen!$C$10="Ja",Q62/R62,Q62/(R62+Q62)),""))</f>
        <v/>
      </c>
      <c r="T62" s="56">
        <f>IF(B62="","",IF(S62="","keine Ist-Std.",IF(S62&lt;=Einstellungen!$C$7,"unauffällig",IF(S62&lt;=Einstellungen!$C$8,"auffällig","kritisch"))))</f>
        <v/>
      </c>
    </row>
    <row r="63">
      <c r="A63" s="47">
        <f>IF(Mitarbeiter!B63="","",Mitarbeiter!A63)</f>
        <v/>
      </c>
      <c r="B63" s="48">
        <f>IF(Mitarbeiter!B63="","",Mitarbeiter!B63)</f>
        <v/>
      </c>
      <c r="C63" s="7">
        <f>IF(Mitarbeiter!B63="","",Mitarbeiter!G63)</f>
        <v/>
      </c>
      <c r="D63" s="57">
        <f>IF(Mitarbeiter!B63="","",Mitarbeiter!H63)</f>
        <v/>
      </c>
      <c r="E63" s="57">
        <f>IF(Mitarbeiter!B63="","",'Ist-Stunden'!C63)</f>
        <v/>
      </c>
      <c r="F63" s="57">
        <f>IF(B63="","",Berechnung!AE63)</f>
        <v/>
      </c>
      <c r="G63" s="61">
        <f>IF(B63="","",Berechnung!P63)</f>
        <v/>
      </c>
      <c r="H63" s="61">
        <f>IF(B63="","",Berechnung!AC63)</f>
        <v/>
      </c>
      <c r="I63" s="61">
        <f>IF(B63="","",Berechnung!AD63)</f>
        <v/>
      </c>
      <c r="J63" s="36">
        <f>IF(B63="","",SUMPRODUCT(((Berechnung!D63:O63+Berechnung!Q63:AB63)&gt;0)*1))</f>
        <v/>
      </c>
      <c r="K63" s="62">
        <f>IF(B63="","",IF(N(D63)&gt;0,F63/D63,""))</f>
        <v/>
      </c>
      <c r="L63" s="40">
        <f>IF(B63="","",IF(N(E63)&gt;0,IF(Einstellungen!$C$10="Ja",F63/E63,F63/(E63+F63)),""))</f>
        <v/>
      </c>
      <c r="M63" s="63">
        <f>IF(L63="","",RANK(L63,$L$6:$L$305,0))</f>
        <v/>
      </c>
      <c r="N63" s="56">
        <f>IF(B63="","",IF(L63="","keine Ist-Std.",IF(L63&lt;=Einstellungen!$C$7,"unauffällig",IF(L63&lt;=Einstellungen!$C$8,"auffällig","kritisch"))))</f>
        <v/>
      </c>
      <c r="O63" s="64">
        <f>IF(L63="",-1,L63+ROW()/1000000000)</f>
        <v/>
      </c>
      <c r="P63" s="61">
        <f>IF(B63="","",Berechnung!AF63)</f>
        <v/>
      </c>
      <c r="Q63" s="57">
        <f>IF(B63="","",Berechnung!AG63)</f>
        <v/>
      </c>
      <c r="R63" s="57">
        <f>IF(B63="","",'Ist-Stunden'!D63)</f>
        <v/>
      </c>
      <c r="S63" s="59">
        <f>IF(B63="","",IF(N(R63)&gt;0,IF(Einstellungen!$C$10="Ja",Q63/R63,Q63/(R63+Q63)),""))</f>
        <v/>
      </c>
      <c r="T63" s="56">
        <f>IF(B63="","",IF(S63="","keine Ist-Std.",IF(S63&lt;=Einstellungen!$C$7,"unauffällig",IF(S63&lt;=Einstellungen!$C$8,"auffällig","kritisch"))))</f>
        <v/>
      </c>
    </row>
    <row r="64">
      <c r="A64" s="47">
        <f>IF(Mitarbeiter!B64="","",Mitarbeiter!A64)</f>
        <v/>
      </c>
      <c r="B64" s="48">
        <f>IF(Mitarbeiter!B64="","",Mitarbeiter!B64)</f>
        <v/>
      </c>
      <c r="C64" s="7">
        <f>IF(Mitarbeiter!B64="","",Mitarbeiter!G64)</f>
        <v/>
      </c>
      <c r="D64" s="57">
        <f>IF(Mitarbeiter!B64="","",Mitarbeiter!H64)</f>
        <v/>
      </c>
      <c r="E64" s="57">
        <f>IF(Mitarbeiter!B64="","",'Ist-Stunden'!C64)</f>
        <v/>
      </c>
      <c r="F64" s="57">
        <f>IF(B64="","",Berechnung!AE64)</f>
        <v/>
      </c>
      <c r="G64" s="61">
        <f>IF(B64="","",Berechnung!P64)</f>
        <v/>
      </c>
      <c r="H64" s="61">
        <f>IF(B64="","",Berechnung!AC64)</f>
        <v/>
      </c>
      <c r="I64" s="61">
        <f>IF(B64="","",Berechnung!AD64)</f>
        <v/>
      </c>
      <c r="J64" s="36">
        <f>IF(B64="","",SUMPRODUCT(((Berechnung!D64:O64+Berechnung!Q64:AB64)&gt;0)*1))</f>
        <v/>
      </c>
      <c r="K64" s="62">
        <f>IF(B64="","",IF(N(D64)&gt;0,F64/D64,""))</f>
        <v/>
      </c>
      <c r="L64" s="40">
        <f>IF(B64="","",IF(N(E64)&gt;0,IF(Einstellungen!$C$10="Ja",F64/E64,F64/(E64+F64)),""))</f>
        <v/>
      </c>
      <c r="M64" s="63">
        <f>IF(L64="","",RANK(L64,$L$6:$L$305,0))</f>
        <v/>
      </c>
      <c r="N64" s="56">
        <f>IF(B64="","",IF(L64="","keine Ist-Std.",IF(L64&lt;=Einstellungen!$C$7,"unauffällig",IF(L64&lt;=Einstellungen!$C$8,"auffällig","kritisch"))))</f>
        <v/>
      </c>
      <c r="O64" s="64">
        <f>IF(L64="",-1,L64+ROW()/1000000000)</f>
        <v/>
      </c>
      <c r="P64" s="61">
        <f>IF(B64="","",Berechnung!AF64)</f>
        <v/>
      </c>
      <c r="Q64" s="57">
        <f>IF(B64="","",Berechnung!AG64)</f>
        <v/>
      </c>
      <c r="R64" s="57">
        <f>IF(B64="","",'Ist-Stunden'!D64)</f>
        <v/>
      </c>
      <c r="S64" s="59">
        <f>IF(B64="","",IF(N(R64)&gt;0,IF(Einstellungen!$C$10="Ja",Q64/R64,Q64/(R64+Q64)),""))</f>
        <v/>
      </c>
      <c r="T64" s="56">
        <f>IF(B64="","",IF(S64="","keine Ist-Std.",IF(S64&lt;=Einstellungen!$C$7,"unauffällig",IF(S64&lt;=Einstellungen!$C$8,"auffällig","kritisch"))))</f>
        <v/>
      </c>
    </row>
    <row r="65">
      <c r="A65" s="47">
        <f>IF(Mitarbeiter!B65="","",Mitarbeiter!A65)</f>
        <v/>
      </c>
      <c r="B65" s="48">
        <f>IF(Mitarbeiter!B65="","",Mitarbeiter!B65)</f>
        <v/>
      </c>
      <c r="C65" s="7">
        <f>IF(Mitarbeiter!B65="","",Mitarbeiter!G65)</f>
        <v/>
      </c>
      <c r="D65" s="57">
        <f>IF(Mitarbeiter!B65="","",Mitarbeiter!H65)</f>
        <v/>
      </c>
      <c r="E65" s="57">
        <f>IF(Mitarbeiter!B65="","",'Ist-Stunden'!C65)</f>
        <v/>
      </c>
      <c r="F65" s="57">
        <f>IF(B65="","",Berechnung!AE65)</f>
        <v/>
      </c>
      <c r="G65" s="61">
        <f>IF(B65="","",Berechnung!P65)</f>
        <v/>
      </c>
      <c r="H65" s="61">
        <f>IF(B65="","",Berechnung!AC65)</f>
        <v/>
      </c>
      <c r="I65" s="61">
        <f>IF(B65="","",Berechnung!AD65)</f>
        <v/>
      </c>
      <c r="J65" s="36">
        <f>IF(B65="","",SUMPRODUCT(((Berechnung!D65:O65+Berechnung!Q65:AB65)&gt;0)*1))</f>
        <v/>
      </c>
      <c r="K65" s="62">
        <f>IF(B65="","",IF(N(D65)&gt;0,F65/D65,""))</f>
        <v/>
      </c>
      <c r="L65" s="40">
        <f>IF(B65="","",IF(N(E65)&gt;0,IF(Einstellungen!$C$10="Ja",F65/E65,F65/(E65+F65)),""))</f>
        <v/>
      </c>
      <c r="M65" s="63">
        <f>IF(L65="","",RANK(L65,$L$6:$L$305,0))</f>
        <v/>
      </c>
      <c r="N65" s="56">
        <f>IF(B65="","",IF(L65="","keine Ist-Std.",IF(L65&lt;=Einstellungen!$C$7,"unauffällig",IF(L65&lt;=Einstellungen!$C$8,"auffällig","kritisch"))))</f>
        <v/>
      </c>
      <c r="O65" s="64">
        <f>IF(L65="",-1,L65+ROW()/1000000000)</f>
        <v/>
      </c>
      <c r="P65" s="61">
        <f>IF(B65="","",Berechnung!AF65)</f>
        <v/>
      </c>
      <c r="Q65" s="57">
        <f>IF(B65="","",Berechnung!AG65)</f>
        <v/>
      </c>
      <c r="R65" s="57">
        <f>IF(B65="","",'Ist-Stunden'!D65)</f>
        <v/>
      </c>
      <c r="S65" s="59">
        <f>IF(B65="","",IF(N(R65)&gt;0,IF(Einstellungen!$C$10="Ja",Q65/R65,Q65/(R65+Q65)),""))</f>
        <v/>
      </c>
      <c r="T65" s="56">
        <f>IF(B65="","",IF(S65="","keine Ist-Std.",IF(S65&lt;=Einstellungen!$C$7,"unauffällig",IF(S65&lt;=Einstellungen!$C$8,"auffällig","kritisch"))))</f>
        <v/>
      </c>
    </row>
    <row r="66">
      <c r="A66" s="47">
        <f>IF(Mitarbeiter!B66="","",Mitarbeiter!A66)</f>
        <v/>
      </c>
      <c r="B66" s="48">
        <f>IF(Mitarbeiter!B66="","",Mitarbeiter!B66)</f>
        <v/>
      </c>
      <c r="C66" s="7">
        <f>IF(Mitarbeiter!B66="","",Mitarbeiter!G66)</f>
        <v/>
      </c>
      <c r="D66" s="57">
        <f>IF(Mitarbeiter!B66="","",Mitarbeiter!H66)</f>
        <v/>
      </c>
      <c r="E66" s="57">
        <f>IF(Mitarbeiter!B66="","",'Ist-Stunden'!C66)</f>
        <v/>
      </c>
      <c r="F66" s="57">
        <f>IF(B66="","",Berechnung!AE66)</f>
        <v/>
      </c>
      <c r="G66" s="61">
        <f>IF(B66="","",Berechnung!P66)</f>
        <v/>
      </c>
      <c r="H66" s="61">
        <f>IF(B66="","",Berechnung!AC66)</f>
        <v/>
      </c>
      <c r="I66" s="61">
        <f>IF(B66="","",Berechnung!AD66)</f>
        <v/>
      </c>
      <c r="J66" s="36">
        <f>IF(B66="","",SUMPRODUCT(((Berechnung!D66:O66+Berechnung!Q66:AB66)&gt;0)*1))</f>
        <v/>
      </c>
      <c r="K66" s="62">
        <f>IF(B66="","",IF(N(D66)&gt;0,F66/D66,""))</f>
        <v/>
      </c>
      <c r="L66" s="40">
        <f>IF(B66="","",IF(N(E66)&gt;0,IF(Einstellungen!$C$10="Ja",F66/E66,F66/(E66+F66)),""))</f>
        <v/>
      </c>
      <c r="M66" s="63">
        <f>IF(L66="","",RANK(L66,$L$6:$L$305,0))</f>
        <v/>
      </c>
      <c r="N66" s="56">
        <f>IF(B66="","",IF(L66="","keine Ist-Std.",IF(L66&lt;=Einstellungen!$C$7,"unauffällig",IF(L66&lt;=Einstellungen!$C$8,"auffällig","kritisch"))))</f>
        <v/>
      </c>
      <c r="O66" s="64">
        <f>IF(L66="",-1,L66+ROW()/1000000000)</f>
        <v/>
      </c>
      <c r="P66" s="61">
        <f>IF(B66="","",Berechnung!AF66)</f>
        <v/>
      </c>
      <c r="Q66" s="57">
        <f>IF(B66="","",Berechnung!AG66)</f>
        <v/>
      </c>
      <c r="R66" s="57">
        <f>IF(B66="","",'Ist-Stunden'!D66)</f>
        <v/>
      </c>
      <c r="S66" s="59">
        <f>IF(B66="","",IF(N(R66)&gt;0,IF(Einstellungen!$C$10="Ja",Q66/R66,Q66/(R66+Q66)),""))</f>
        <v/>
      </c>
      <c r="T66" s="56">
        <f>IF(B66="","",IF(S66="","keine Ist-Std.",IF(S66&lt;=Einstellungen!$C$7,"unauffällig",IF(S66&lt;=Einstellungen!$C$8,"auffällig","kritisch"))))</f>
        <v/>
      </c>
    </row>
    <row r="67">
      <c r="A67" s="47">
        <f>IF(Mitarbeiter!B67="","",Mitarbeiter!A67)</f>
        <v/>
      </c>
      <c r="B67" s="48">
        <f>IF(Mitarbeiter!B67="","",Mitarbeiter!B67)</f>
        <v/>
      </c>
      <c r="C67" s="7">
        <f>IF(Mitarbeiter!B67="","",Mitarbeiter!G67)</f>
        <v/>
      </c>
      <c r="D67" s="57">
        <f>IF(Mitarbeiter!B67="","",Mitarbeiter!H67)</f>
        <v/>
      </c>
      <c r="E67" s="57">
        <f>IF(Mitarbeiter!B67="","",'Ist-Stunden'!C67)</f>
        <v/>
      </c>
      <c r="F67" s="57">
        <f>IF(B67="","",Berechnung!AE67)</f>
        <v/>
      </c>
      <c r="G67" s="61">
        <f>IF(B67="","",Berechnung!P67)</f>
        <v/>
      </c>
      <c r="H67" s="61">
        <f>IF(B67="","",Berechnung!AC67)</f>
        <v/>
      </c>
      <c r="I67" s="61">
        <f>IF(B67="","",Berechnung!AD67)</f>
        <v/>
      </c>
      <c r="J67" s="36">
        <f>IF(B67="","",SUMPRODUCT(((Berechnung!D67:O67+Berechnung!Q67:AB67)&gt;0)*1))</f>
        <v/>
      </c>
      <c r="K67" s="62">
        <f>IF(B67="","",IF(N(D67)&gt;0,F67/D67,""))</f>
        <v/>
      </c>
      <c r="L67" s="40">
        <f>IF(B67="","",IF(N(E67)&gt;0,IF(Einstellungen!$C$10="Ja",F67/E67,F67/(E67+F67)),""))</f>
        <v/>
      </c>
      <c r="M67" s="63">
        <f>IF(L67="","",RANK(L67,$L$6:$L$305,0))</f>
        <v/>
      </c>
      <c r="N67" s="56">
        <f>IF(B67="","",IF(L67="","keine Ist-Std.",IF(L67&lt;=Einstellungen!$C$7,"unauffällig",IF(L67&lt;=Einstellungen!$C$8,"auffällig","kritisch"))))</f>
        <v/>
      </c>
      <c r="O67" s="64">
        <f>IF(L67="",-1,L67+ROW()/1000000000)</f>
        <v/>
      </c>
      <c r="P67" s="61">
        <f>IF(B67="","",Berechnung!AF67)</f>
        <v/>
      </c>
      <c r="Q67" s="57">
        <f>IF(B67="","",Berechnung!AG67)</f>
        <v/>
      </c>
      <c r="R67" s="57">
        <f>IF(B67="","",'Ist-Stunden'!D67)</f>
        <v/>
      </c>
      <c r="S67" s="59">
        <f>IF(B67="","",IF(N(R67)&gt;0,IF(Einstellungen!$C$10="Ja",Q67/R67,Q67/(R67+Q67)),""))</f>
        <v/>
      </c>
      <c r="T67" s="56">
        <f>IF(B67="","",IF(S67="","keine Ist-Std.",IF(S67&lt;=Einstellungen!$C$7,"unauffällig",IF(S67&lt;=Einstellungen!$C$8,"auffällig","kritisch"))))</f>
        <v/>
      </c>
    </row>
    <row r="68">
      <c r="A68" s="47">
        <f>IF(Mitarbeiter!B68="","",Mitarbeiter!A68)</f>
        <v/>
      </c>
      <c r="B68" s="48">
        <f>IF(Mitarbeiter!B68="","",Mitarbeiter!B68)</f>
        <v/>
      </c>
      <c r="C68" s="7">
        <f>IF(Mitarbeiter!B68="","",Mitarbeiter!G68)</f>
        <v/>
      </c>
      <c r="D68" s="57">
        <f>IF(Mitarbeiter!B68="","",Mitarbeiter!H68)</f>
        <v/>
      </c>
      <c r="E68" s="57">
        <f>IF(Mitarbeiter!B68="","",'Ist-Stunden'!C68)</f>
        <v/>
      </c>
      <c r="F68" s="57">
        <f>IF(B68="","",Berechnung!AE68)</f>
        <v/>
      </c>
      <c r="G68" s="61">
        <f>IF(B68="","",Berechnung!P68)</f>
        <v/>
      </c>
      <c r="H68" s="61">
        <f>IF(B68="","",Berechnung!AC68)</f>
        <v/>
      </c>
      <c r="I68" s="61">
        <f>IF(B68="","",Berechnung!AD68)</f>
        <v/>
      </c>
      <c r="J68" s="36">
        <f>IF(B68="","",SUMPRODUCT(((Berechnung!D68:O68+Berechnung!Q68:AB68)&gt;0)*1))</f>
        <v/>
      </c>
      <c r="K68" s="62">
        <f>IF(B68="","",IF(N(D68)&gt;0,F68/D68,""))</f>
        <v/>
      </c>
      <c r="L68" s="40">
        <f>IF(B68="","",IF(N(E68)&gt;0,IF(Einstellungen!$C$10="Ja",F68/E68,F68/(E68+F68)),""))</f>
        <v/>
      </c>
      <c r="M68" s="63">
        <f>IF(L68="","",RANK(L68,$L$6:$L$305,0))</f>
        <v/>
      </c>
      <c r="N68" s="56">
        <f>IF(B68="","",IF(L68="","keine Ist-Std.",IF(L68&lt;=Einstellungen!$C$7,"unauffällig",IF(L68&lt;=Einstellungen!$C$8,"auffällig","kritisch"))))</f>
        <v/>
      </c>
      <c r="O68" s="64">
        <f>IF(L68="",-1,L68+ROW()/1000000000)</f>
        <v/>
      </c>
      <c r="P68" s="61">
        <f>IF(B68="","",Berechnung!AF68)</f>
        <v/>
      </c>
      <c r="Q68" s="57">
        <f>IF(B68="","",Berechnung!AG68)</f>
        <v/>
      </c>
      <c r="R68" s="57">
        <f>IF(B68="","",'Ist-Stunden'!D68)</f>
        <v/>
      </c>
      <c r="S68" s="59">
        <f>IF(B68="","",IF(N(R68)&gt;0,IF(Einstellungen!$C$10="Ja",Q68/R68,Q68/(R68+Q68)),""))</f>
        <v/>
      </c>
      <c r="T68" s="56">
        <f>IF(B68="","",IF(S68="","keine Ist-Std.",IF(S68&lt;=Einstellungen!$C$7,"unauffällig",IF(S68&lt;=Einstellungen!$C$8,"auffällig","kritisch"))))</f>
        <v/>
      </c>
    </row>
    <row r="69">
      <c r="A69" s="47">
        <f>IF(Mitarbeiter!B69="","",Mitarbeiter!A69)</f>
        <v/>
      </c>
      <c r="B69" s="48">
        <f>IF(Mitarbeiter!B69="","",Mitarbeiter!B69)</f>
        <v/>
      </c>
      <c r="C69" s="7">
        <f>IF(Mitarbeiter!B69="","",Mitarbeiter!G69)</f>
        <v/>
      </c>
      <c r="D69" s="57">
        <f>IF(Mitarbeiter!B69="","",Mitarbeiter!H69)</f>
        <v/>
      </c>
      <c r="E69" s="57">
        <f>IF(Mitarbeiter!B69="","",'Ist-Stunden'!C69)</f>
        <v/>
      </c>
      <c r="F69" s="57">
        <f>IF(B69="","",Berechnung!AE69)</f>
        <v/>
      </c>
      <c r="G69" s="61">
        <f>IF(B69="","",Berechnung!P69)</f>
        <v/>
      </c>
      <c r="H69" s="61">
        <f>IF(B69="","",Berechnung!AC69)</f>
        <v/>
      </c>
      <c r="I69" s="61">
        <f>IF(B69="","",Berechnung!AD69)</f>
        <v/>
      </c>
      <c r="J69" s="36">
        <f>IF(B69="","",SUMPRODUCT(((Berechnung!D69:O69+Berechnung!Q69:AB69)&gt;0)*1))</f>
        <v/>
      </c>
      <c r="K69" s="62">
        <f>IF(B69="","",IF(N(D69)&gt;0,F69/D69,""))</f>
        <v/>
      </c>
      <c r="L69" s="40">
        <f>IF(B69="","",IF(N(E69)&gt;0,IF(Einstellungen!$C$10="Ja",F69/E69,F69/(E69+F69)),""))</f>
        <v/>
      </c>
      <c r="M69" s="63">
        <f>IF(L69="","",RANK(L69,$L$6:$L$305,0))</f>
        <v/>
      </c>
      <c r="N69" s="56">
        <f>IF(B69="","",IF(L69="","keine Ist-Std.",IF(L69&lt;=Einstellungen!$C$7,"unauffällig",IF(L69&lt;=Einstellungen!$C$8,"auffällig","kritisch"))))</f>
        <v/>
      </c>
      <c r="O69" s="64">
        <f>IF(L69="",-1,L69+ROW()/1000000000)</f>
        <v/>
      </c>
      <c r="P69" s="61">
        <f>IF(B69="","",Berechnung!AF69)</f>
        <v/>
      </c>
      <c r="Q69" s="57">
        <f>IF(B69="","",Berechnung!AG69)</f>
        <v/>
      </c>
      <c r="R69" s="57">
        <f>IF(B69="","",'Ist-Stunden'!D69)</f>
        <v/>
      </c>
      <c r="S69" s="59">
        <f>IF(B69="","",IF(N(R69)&gt;0,IF(Einstellungen!$C$10="Ja",Q69/R69,Q69/(R69+Q69)),""))</f>
        <v/>
      </c>
      <c r="T69" s="56">
        <f>IF(B69="","",IF(S69="","keine Ist-Std.",IF(S69&lt;=Einstellungen!$C$7,"unauffällig",IF(S69&lt;=Einstellungen!$C$8,"auffällig","kritisch"))))</f>
        <v/>
      </c>
    </row>
    <row r="70">
      <c r="A70" s="47">
        <f>IF(Mitarbeiter!B70="","",Mitarbeiter!A70)</f>
        <v/>
      </c>
      <c r="B70" s="48">
        <f>IF(Mitarbeiter!B70="","",Mitarbeiter!B70)</f>
        <v/>
      </c>
      <c r="C70" s="7">
        <f>IF(Mitarbeiter!B70="","",Mitarbeiter!G70)</f>
        <v/>
      </c>
      <c r="D70" s="57">
        <f>IF(Mitarbeiter!B70="","",Mitarbeiter!H70)</f>
        <v/>
      </c>
      <c r="E70" s="57">
        <f>IF(Mitarbeiter!B70="","",'Ist-Stunden'!C70)</f>
        <v/>
      </c>
      <c r="F70" s="57">
        <f>IF(B70="","",Berechnung!AE70)</f>
        <v/>
      </c>
      <c r="G70" s="61">
        <f>IF(B70="","",Berechnung!P70)</f>
        <v/>
      </c>
      <c r="H70" s="61">
        <f>IF(B70="","",Berechnung!AC70)</f>
        <v/>
      </c>
      <c r="I70" s="61">
        <f>IF(B70="","",Berechnung!AD70)</f>
        <v/>
      </c>
      <c r="J70" s="36">
        <f>IF(B70="","",SUMPRODUCT(((Berechnung!D70:O70+Berechnung!Q70:AB70)&gt;0)*1))</f>
        <v/>
      </c>
      <c r="K70" s="62">
        <f>IF(B70="","",IF(N(D70)&gt;0,F70/D70,""))</f>
        <v/>
      </c>
      <c r="L70" s="40">
        <f>IF(B70="","",IF(N(E70)&gt;0,IF(Einstellungen!$C$10="Ja",F70/E70,F70/(E70+F70)),""))</f>
        <v/>
      </c>
      <c r="M70" s="63">
        <f>IF(L70="","",RANK(L70,$L$6:$L$305,0))</f>
        <v/>
      </c>
      <c r="N70" s="56">
        <f>IF(B70="","",IF(L70="","keine Ist-Std.",IF(L70&lt;=Einstellungen!$C$7,"unauffällig",IF(L70&lt;=Einstellungen!$C$8,"auffällig","kritisch"))))</f>
        <v/>
      </c>
      <c r="O70" s="64">
        <f>IF(L70="",-1,L70+ROW()/1000000000)</f>
        <v/>
      </c>
      <c r="P70" s="61">
        <f>IF(B70="","",Berechnung!AF70)</f>
        <v/>
      </c>
      <c r="Q70" s="57">
        <f>IF(B70="","",Berechnung!AG70)</f>
        <v/>
      </c>
      <c r="R70" s="57">
        <f>IF(B70="","",'Ist-Stunden'!D70)</f>
        <v/>
      </c>
      <c r="S70" s="59">
        <f>IF(B70="","",IF(N(R70)&gt;0,IF(Einstellungen!$C$10="Ja",Q70/R70,Q70/(R70+Q70)),""))</f>
        <v/>
      </c>
      <c r="T70" s="56">
        <f>IF(B70="","",IF(S70="","keine Ist-Std.",IF(S70&lt;=Einstellungen!$C$7,"unauffällig",IF(S70&lt;=Einstellungen!$C$8,"auffällig","kritisch"))))</f>
        <v/>
      </c>
    </row>
    <row r="71">
      <c r="A71" s="47">
        <f>IF(Mitarbeiter!B71="","",Mitarbeiter!A71)</f>
        <v/>
      </c>
      <c r="B71" s="48">
        <f>IF(Mitarbeiter!B71="","",Mitarbeiter!B71)</f>
        <v/>
      </c>
      <c r="C71" s="7">
        <f>IF(Mitarbeiter!B71="","",Mitarbeiter!G71)</f>
        <v/>
      </c>
      <c r="D71" s="57">
        <f>IF(Mitarbeiter!B71="","",Mitarbeiter!H71)</f>
        <v/>
      </c>
      <c r="E71" s="57">
        <f>IF(Mitarbeiter!B71="","",'Ist-Stunden'!C71)</f>
        <v/>
      </c>
      <c r="F71" s="57">
        <f>IF(B71="","",Berechnung!AE71)</f>
        <v/>
      </c>
      <c r="G71" s="61">
        <f>IF(B71="","",Berechnung!P71)</f>
        <v/>
      </c>
      <c r="H71" s="61">
        <f>IF(B71="","",Berechnung!AC71)</f>
        <v/>
      </c>
      <c r="I71" s="61">
        <f>IF(B71="","",Berechnung!AD71)</f>
        <v/>
      </c>
      <c r="J71" s="36">
        <f>IF(B71="","",SUMPRODUCT(((Berechnung!D71:O71+Berechnung!Q71:AB71)&gt;0)*1))</f>
        <v/>
      </c>
      <c r="K71" s="62">
        <f>IF(B71="","",IF(N(D71)&gt;0,F71/D71,""))</f>
        <v/>
      </c>
      <c r="L71" s="40">
        <f>IF(B71="","",IF(N(E71)&gt;0,IF(Einstellungen!$C$10="Ja",F71/E71,F71/(E71+F71)),""))</f>
        <v/>
      </c>
      <c r="M71" s="63">
        <f>IF(L71="","",RANK(L71,$L$6:$L$305,0))</f>
        <v/>
      </c>
      <c r="N71" s="56">
        <f>IF(B71="","",IF(L71="","keine Ist-Std.",IF(L71&lt;=Einstellungen!$C$7,"unauffällig",IF(L71&lt;=Einstellungen!$C$8,"auffällig","kritisch"))))</f>
        <v/>
      </c>
      <c r="O71" s="64">
        <f>IF(L71="",-1,L71+ROW()/1000000000)</f>
        <v/>
      </c>
      <c r="P71" s="61">
        <f>IF(B71="","",Berechnung!AF71)</f>
        <v/>
      </c>
      <c r="Q71" s="57">
        <f>IF(B71="","",Berechnung!AG71)</f>
        <v/>
      </c>
      <c r="R71" s="57">
        <f>IF(B71="","",'Ist-Stunden'!D71)</f>
        <v/>
      </c>
      <c r="S71" s="59">
        <f>IF(B71="","",IF(N(R71)&gt;0,IF(Einstellungen!$C$10="Ja",Q71/R71,Q71/(R71+Q71)),""))</f>
        <v/>
      </c>
      <c r="T71" s="56">
        <f>IF(B71="","",IF(S71="","keine Ist-Std.",IF(S71&lt;=Einstellungen!$C$7,"unauffällig",IF(S71&lt;=Einstellungen!$C$8,"auffällig","kritisch"))))</f>
        <v/>
      </c>
    </row>
    <row r="72">
      <c r="A72" s="47">
        <f>IF(Mitarbeiter!B72="","",Mitarbeiter!A72)</f>
        <v/>
      </c>
      <c r="B72" s="48">
        <f>IF(Mitarbeiter!B72="","",Mitarbeiter!B72)</f>
        <v/>
      </c>
      <c r="C72" s="7">
        <f>IF(Mitarbeiter!B72="","",Mitarbeiter!G72)</f>
        <v/>
      </c>
      <c r="D72" s="57">
        <f>IF(Mitarbeiter!B72="","",Mitarbeiter!H72)</f>
        <v/>
      </c>
      <c r="E72" s="57">
        <f>IF(Mitarbeiter!B72="","",'Ist-Stunden'!C72)</f>
        <v/>
      </c>
      <c r="F72" s="57">
        <f>IF(B72="","",Berechnung!AE72)</f>
        <v/>
      </c>
      <c r="G72" s="61">
        <f>IF(B72="","",Berechnung!P72)</f>
        <v/>
      </c>
      <c r="H72" s="61">
        <f>IF(B72="","",Berechnung!AC72)</f>
        <v/>
      </c>
      <c r="I72" s="61">
        <f>IF(B72="","",Berechnung!AD72)</f>
        <v/>
      </c>
      <c r="J72" s="36">
        <f>IF(B72="","",SUMPRODUCT(((Berechnung!D72:O72+Berechnung!Q72:AB72)&gt;0)*1))</f>
        <v/>
      </c>
      <c r="K72" s="62">
        <f>IF(B72="","",IF(N(D72)&gt;0,F72/D72,""))</f>
        <v/>
      </c>
      <c r="L72" s="40">
        <f>IF(B72="","",IF(N(E72)&gt;0,IF(Einstellungen!$C$10="Ja",F72/E72,F72/(E72+F72)),""))</f>
        <v/>
      </c>
      <c r="M72" s="63">
        <f>IF(L72="","",RANK(L72,$L$6:$L$305,0))</f>
        <v/>
      </c>
      <c r="N72" s="56">
        <f>IF(B72="","",IF(L72="","keine Ist-Std.",IF(L72&lt;=Einstellungen!$C$7,"unauffällig",IF(L72&lt;=Einstellungen!$C$8,"auffällig","kritisch"))))</f>
        <v/>
      </c>
      <c r="O72" s="64">
        <f>IF(L72="",-1,L72+ROW()/1000000000)</f>
        <v/>
      </c>
      <c r="P72" s="61">
        <f>IF(B72="","",Berechnung!AF72)</f>
        <v/>
      </c>
      <c r="Q72" s="57">
        <f>IF(B72="","",Berechnung!AG72)</f>
        <v/>
      </c>
      <c r="R72" s="57">
        <f>IF(B72="","",'Ist-Stunden'!D72)</f>
        <v/>
      </c>
      <c r="S72" s="59">
        <f>IF(B72="","",IF(N(R72)&gt;0,IF(Einstellungen!$C$10="Ja",Q72/R72,Q72/(R72+Q72)),""))</f>
        <v/>
      </c>
      <c r="T72" s="56">
        <f>IF(B72="","",IF(S72="","keine Ist-Std.",IF(S72&lt;=Einstellungen!$C$7,"unauffällig",IF(S72&lt;=Einstellungen!$C$8,"auffällig","kritisch"))))</f>
        <v/>
      </c>
    </row>
    <row r="73">
      <c r="A73" s="47">
        <f>IF(Mitarbeiter!B73="","",Mitarbeiter!A73)</f>
        <v/>
      </c>
      <c r="B73" s="48">
        <f>IF(Mitarbeiter!B73="","",Mitarbeiter!B73)</f>
        <v/>
      </c>
      <c r="C73" s="7">
        <f>IF(Mitarbeiter!B73="","",Mitarbeiter!G73)</f>
        <v/>
      </c>
      <c r="D73" s="57">
        <f>IF(Mitarbeiter!B73="","",Mitarbeiter!H73)</f>
        <v/>
      </c>
      <c r="E73" s="57">
        <f>IF(Mitarbeiter!B73="","",'Ist-Stunden'!C73)</f>
        <v/>
      </c>
      <c r="F73" s="57">
        <f>IF(B73="","",Berechnung!AE73)</f>
        <v/>
      </c>
      <c r="G73" s="61">
        <f>IF(B73="","",Berechnung!P73)</f>
        <v/>
      </c>
      <c r="H73" s="61">
        <f>IF(B73="","",Berechnung!AC73)</f>
        <v/>
      </c>
      <c r="I73" s="61">
        <f>IF(B73="","",Berechnung!AD73)</f>
        <v/>
      </c>
      <c r="J73" s="36">
        <f>IF(B73="","",SUMPRODUCT(((Berechnung!D73:O73+Berechnung!Q73:AB73)&gt;0)*1))</f>
        <v/>
      </c>
      <c r="K73" s="62">
        <f>IF(B73="","",IF(N(D73)&gt;0,F73/D73,""))</f>
        <v/>
      </c>
      <c r="L73" s="40">
        <f>IF(B73="","",IF(N(E73)&gt;0,IF(Einstellungen!$C$10="Ja",F73/E73,F73/(E73+F73)),""))</f>
        <v/>
      </c>
      <c r="M73" s="63">
        <f>IF(L73="","",RANK(L73,$L$6:$L$305,0))</f>
        <v/>
      </c>
      <c r="N73" s="56">
        <f>IF(B73="","",IF(L73="","keine Ist-Std.",IF(L73&lt;=Einstellungen!$C$7,"unauffällig",IF(L73&lt;=Einstellungen!$C$8,"auffällig","kritisch"))))</f>
        <v/>
      </c>
      <c r="O73" s="64">
        <f>IF(L73="",-1,L73+ROW()/1000000000)</f>
        <v/>
      </c>
      <c r="P73" s="61">
        <f>IF(B73="","",Berechnung!AF73)</f>
        <v/>
      </c>
      <c r="Q73" s="57">
        <f>IF(B73="","",Berechnung!AG73)</f>
        <v/>
      </c>
      <c r="R73" s="57">
        <f>IF(B73="","",'Ist-Stunden'!D73)</f>
        <v/>
      </c>
      <c r="S73" s="59">
        <f>IF(B73="","",IF(N(R73)&gt;0,IF(Einstellungen!$C$10="Ja",Q73/R73,Q73/(R73+Q73)),""))</f>
        <v/>
      </c>
      <c r="T73" s="56">
        <f>IF(B73="","",IF(S73="","keine Ist-Std.",IF(S73&lt;=Einstellungen!$C$7,"unauffällig",IF(S73&lt;=Einstellungen!$C$8,"auffällig","kritisch"))))</f>
        <v/>
      </c>
    </row>
    <row r="74">
      <c r="A74" s="47">
        <f>IF(Mitarbeiter!B74="","",Mitarbeiter!A74)</f>
        <v/>
      </c>
      <c r="B74" s="48">
        <f>IF(Mitarbeiter!B74="","",Mitarbeiter!B74)</f>
        <v/>
      </c>
      <c r="C74" s="7">
        <f>IF(Mitarbeiter!B74="","",Mitarbeiter!G74)</f>
        <v/>
      </c>
      <c r="D74" s="57">
        <f>IF(Mitarbeiter!B74="","",Mitarbeiter!H74)</f>
        <v/>
      </c>
      <c r="E74" s="57">
        <f>IF(Mitarbeiter!B74="","",'Ist-Stunden'!C74)</f>
        <v/>
      </c>
      <c r="F74" s="57">
        <f>IF(B74="","",Berechnung!AE74)</f>
        <v/>
      </c>
      <c r="G74" s="61">
        <f>IF(B74="","",Berechnung!P74)</f>
        <v/>
      </c>
      <c r="H74" s="61">
        <f>IF(B74="","",Berechnung!AC74)</f>
        <v/>
      </c>
      <c r="I74" s="61">
        <f>IF(B74="","",Berechnung!AD74)</f>
        <v/>
      </c>
      <c r="J74" s="36">
        <f>IF(B74="","",SUMPRODUCT(((Berechnung!D74:O74+Berechnung!Q74:AB74)&gt;0)*1))</f>
        <v/>
      </c>
      <c r="K74" s="62">
        <f>IF(B74="","",IF(N(D74)&gt;0,F74/D74,""))</f>
        <v/>
      </c>
      <c r="L74" s="40">
        <f>IF(B74="","",IF(N(E74)&gt;0,IF(Einstellungen!$C$10="Ja",F74/E74,F74/(E74+F74)),""))</f>
        <v/>
      </c>
      <c r="M74" s="63">
        <f>IF(L74="","",RANK(L74,$L$6:$L$305,0))</f>
        <v/>
      </c>
      <c r="N74" s="56">
        <f>IF(B74="","",IF(L74="","keine Ist-Std.",IF(L74&lt;=Einstellungen!$C$7,"unauffällig",IF(L74&lt;=Einstellungen!$C$8,"auffällig","kritisch"))))</f>
        <v/>
      </c>
      <c r="O74" s="64">
        <f>IF(L74="",-1,L74+ROW()/1000000000)</f>
        <v/>
      </c>
      <c r="P74" s="61">
        <f>IF(B74="","",Berechnung!AF74)</f>
        <v/>
      </c>
      <c r="Q74" s="57">
        <f>IF(B74="","",Berechnung!AG74)</f>
        <v/>
      </c>
      <c r="R74" s="57">
        <f>IF(B74="","",'Ist-Stunden'!D74)</f>
        <v/>
      </c>
      <c r="S74" s="59">
        <f>IF(B74="","",IF(N(R74)&gt;0,IF(Einstellungen!$C$10="Ja",Q74/R74,Q74/(R74+Q74)),""))</f>
        <v/>
      </c>
      <c r="T74" s="56">
        <f>IF(B74="","",IF(S74="","keine Ist-Std.",IF(S74&lt;=Einstellungen!$C$7,"unauffällig",IF(S74&lt;=Einstellungen!$C$8,"auffällig","kritisch"))))</f>
        <v/>
      </c>
    </row>
    <row r="75">
      <c r="A75" s="47">
        <f>IF(Mitarbeiter!B75="","",Mitarbeiter!A75)</f>
        <v/>
      </c>
      <c r="B75" s="48">
        <f>IF(Mitarbeiter!B75="","",Mitarbeiter!B75)</f>
        <v/>
      </c>
      <c r="C75" s="7">
        <f>IF(Mitarbeiter!B75="","",Mitarbeiter!G75)</f>
        <v/>
      </c>
      <c r="D75" s="57">
        <f>IF(Mitarbeiter!B75="","",Mitarbeiter!H75)</f>
        <v/>
      </c>
      <c r="E75" s="57">
        <f>IF(Mitarbeiter!B75="","",'Ist-Stunden'!C75)</f>
        <v/>
      </c>
      <c r="F75" s="57">
        <f>IF(B75="","",Berechnung!AE75)</f>
        <v/>
      </c>
      <c r="G75" s="61">
        <f>IF(B75="","",Berechnung!P75)</f>
        <v/>
      </c>
      <c r="H75" s="61">
        <f>IF(B75="","",Berechnung!AC75)</f>
        <v/>
      </c>
      <c r="I75" s="61">
        <f>IF(B75="","",Berechnung!AD75)</f>
        <v/>
      </c>
      <c r="J75" s="36">
        <f>IF(B75="","",SUMPRODUCT(((Berechnung!D75:O75+Berechnung!Q75:AB75)&gt;0)*1))</f>
        <v/>
      </c>
      <c r="K75" s="62">
        <f>IF(B75="","",IF(N(D75)&gt;0,F75/D75,""))</f>
        <v/>
      </c>
      <c r="L75" s="40">
        <f>IF(B75="","",IF(N(E75)&gt;0,IF(Einstellungen!$C$10="Ja",F75/E75,F75/(E75+F75)),""))</f>
        <v/>
      </c>
      <c r="M75" s="63">
        <f>IF(L75="","",RANK(L75,$L$6:$L$305,0))</f>
        <v/>
      </c>
      <c r="N75" s="56">
        <f>IF(B75="","",IF(L75="","keine Ist-Std.",IF(L75&lt;=Einstellungen!$C$7,"unauffällig",IF(L75&lt;=Einstellungen!$C$8,"auffällig","kritisch"))))</f>
        <v/>
      </c>
      <c r="O75" s="64">
        <f>IF(L75="",-1,L75+ROW()/1000000000)</f>
        <v/>
      </c>
      <c r="P75" s="61">
        <f>IF(B75="","",Berechnung!AF75)</f>
        <v/>
      </c>
      <c r="Q75" s="57">
        <f>IF(B75="","",Berechnung!AG75)</f>
        <v/>
      </c>
      <c r="R75" s="57">
        <f>IF(B75="","",'Ist-Stunden'!D75)</f>
        <v/>
      </c>
      <c r="S75" s="59">
        <f>IF(B75="","",IF(N(R75)&gt;0,IF(Einstellungen!$C$10="Ja",Q75/R75,Q75/(R75+Q75)),""))</f>
        <v/>
      </c>
      <c r="T75" s="56">
        <f>IF(B75="","",IF(S75="","keine Ist-Std.",IF(S75&lt;=Einstellungen!$C$7,"unauffällig",IF(S75&lt;=Einstellungen!$C$8,"auffällig","kritisch"))))</f>
        <v/>
      </c>
    </row>
    <row r="76">
      <c r="A76" s="47">
        <f>IF(Mitarbeiter!B76="","",Mitarbeiter!A76)</f>
        <v/>
      </c>
      <c r="B76" s="48">
        <f>IF(Mitarbeiter!B76="","",Mitarbeiter!B76)</f>
        <v/>
      </c>
      <c r="C76" s="7">
        <f>IF(Mitarbeiter!B76="","",Mitarbeiter!G76)</f>
        <v/>
      </c>
      <c r="D76" s="57">
        <f>IF(Mitarbeiter!B76="","",Mitarbeiter!H76)</f>
        <v/>
      </c>
      <c r="E76" s="57">
        <f>IF(Mitarbeiter!B76="","",'Ist-Stunden'!C76)</f>
        <v/>
      </c>
      <c r="F76" s="57">
        <f>IF(B76="","",Berechnung!AE76)</f>
        <v/>
      </c>
      <c r="G76" s="61">
        <f>IF(B76="","",Berechnung!P76)</f>
        <v/>
      </c>
      <c r="H76" s="61">
        <f>IF(B76="","",Berechnung!AC76)</f>
        <v/>
      </c>
      <c r="I76" s="61">
        <f>IF(B76="","",Berechnung!AD76)</f>
        <v/>
      </c>
      <c r="J76" s="36">
        <f>IF(B76="","",SUMPRODUCT(((Berechnung!D76:O76+Berechnung!Q76:AB76)&gt;0)*1))</f>
        <v/>
      </c>
      <c r="K76" s="62">
        <f>IF(B76="","",IF(N(D76)&gt;0,F76/D76,""))</f>
        <v/>
      </c>
      <c r="L76" s="40">
        <f>IF(B76="","",IF(N(E76)&gt;0,IF(Einstellungen!$C$10="Ja",F76/E76,F76/(E76+F76)),""))</f>
        <v/>
      </c>
      <c r="M76" s="63">
        <f>IF(L76="","",RANK(L76,$L$6:$L$305,0))</f>
        <v/>
      </c>
      <c r="N76" s="56">
        <f>IF(B76="","",IF(L76="","keine Ist-Std.",IF(L76&lt;=Einstellungen!$C$7,"unauffällig",IF(L76&lt;=Einstellungen!$C$8,"auffällig","kritisch"))))</f>
        <v/>
      </c>
      <c r="O76" s="64">
        <f>IF(L76="",-1,L76+ROW()/1000000000)</f>
        <v/>
      </c>
      <c r="P76" s="61">
        <f>IF(B76="","",Berechnung!AF76)</f>
        <v/>
      </c>
      <c r="Q76" s="57">
        <f>IF(B76="","",Berechnung!AG76)</f>
        <v/>
      </c>
      <c r="R76" s="57">
        <f>IF(B76="","",'Ist-Stunden'!D76)</f>
        <v/>
      </c>
      <c r="S76" s="59">
        <f>IF(B76="","",IF(N(R76)&gt;0,IF(Einstellungen!$C$10="Ja",Q76/R76,Q76/(R76+Q76)),""))</f>
        <v/>
      </c>
      <c r="T76" s="56">
        <f>IF(B76="","",IF(S76="","keine Ist-Std.",IF(S76&lt;=Einstellungen!$C$7,"unauffällig",IF(S76&lt;=Einstellungen!$C$8,"auffällig","kritisch"))))</f>
        <v/>
      </c>
    </row>
    <row r="77">
      <c r="A77" s="47">
        <f>IF(Mitarbeiter!B77="","",Mitarbeiter!A77)</f>
        <v/>
      </c>
      <c r="B77" s="48">
        <f>IF(Mitarbeiter!B77="","",Mitarbeiter!B77)</f>
        <v/>
      </c>
      <c r="C77" s="7">
        <f>IF(Mitarbeiter!B77="","",Mitarbeiter!G77)</f>
        <v/>
      </c>
      <c r="D77" s="57">
        <f>IF(Mitarbeiter!B77="","",Mitarbeiter!H77)</f>
        <v/>
      </c>
      <c r="E77" s="57">
        <f>IF(Mitarbeiter!B77="","",'Ist-Stunden'!C77)</f>
        <v/>
      </c>
      <c r="F77" s="57">
        <f>IF(B77="","",Berechnung!AE77)</f>
        <v/>
      </c>
      <c r="G77" s="61">
        <f>IF(B77="","",Berechnung!P77)</f>
        <v/>
      </c>
      <c r="H77" s="61">
        <f>IF(B77="","",Berechnung!AC77)</f>
        <v/>
      </c>
      <c r="I77" s="61">
        <f>IF(B77="","",Berechnung!AD77)</f>
        <v/>
      </c>
      <c r="J77" s="36">
        <f>IF(B77="","",SUMPRODUCT(((Berechnung!D77:O77+Berechnung!Q77:AB77)&gt;0)*1))</f>
        <v/>
      </c>
      <c r="K77" s="62">
        <f>IF(B77="","",IF(N(D77)&gt;0,F77/D77,""))</f>
        <v/>
      </c>
      <c r="L77" s="40">
        <f>IF(B77="","",IF(N(E77)&gt;0,IF(Einstellungen!$C$10="Ja",F77/E77,F77/(E77+F77)),""))</f>
        <v/>
      </c>
      <c r="M77" s="63">
        <f>IF(L77="","",RANK(L77,$L$6:$L$305,0))</f>
        <v/>
      </c>
      <c r="N77" s="56">
        <f>IF(B77="","",IF(L77="","keine Ist-Std.",IF(L77&lt;=Einstellungen!$C$7,"unauffällig",IF(L77&lt;=Einstellungen!$C$8,"auffällig","kritisch"))))</f>
        <v/>
      </c>
      <c r="O77" s="64">
        <f>IF(L77="",-1,L77+ROW()/1000000000)</f>
        <v/>
      </c>
      <c r="P77" s="61">
        <f>IF(B77="","",Berechnung!AF77)</f>
        <v/>
      </c>
      <c r="Q77" s="57">
        <f>IF(B77="","",Berechnung!AG77)</f>
        <v/>
      </c>
      <c r="R77" s="57">
        <f>IF(B77="","",'Ist-Stunden'!D77)</f>
        <v/>
      </c>
      <c r="S77" s="59">
        <f>IF(B77="","",IF(N(R77)&gt;0,IF(Einstellungen!$C$10="Ja",Q77/R77,Q77/(R77+Q77)),""))</f>
        <v/>
      </c>
      <c r="T77" s="56">
        <f>IF(B77="","",IF(S77="","keine Ist-Std.",IF(S77&lt;=Einstellungen!$C$7,"unauffällig",IF(S77&lt;=Einstellungen!$C$8,"auffällig","kritisch"))))</f>
        <v/>
      </c>
    </row>
    <row r="78">
      <c r="A78" s="47">
        <f>IF(Mitarbeiter!B78="","",Mitarbeiter!A78)</f>
        <v/>
      </c>
      <c r="B78" s="48">
        <f>IF(Mitarbeiter!B78="","",Mitarbeiter!B78)</f>
        <v/>
      </c>
      <c r="C78" s="7">
        <f>IF(Mitarbeiter!B78="","",Mitarbeiter!G78)</f>
        <v/>
      </c>
      <c r="D78" s="57">
        <f>IF(Mitarbeiter!B78="","",Mitarbeiter!H78)</f>
        <v/>
      </c>
      <c r="E78" s="57">
        <f>IF(Mitarbeiter!B78="","",'Ist-Stunden'!C78)</f>
        <v/>
      </c>
      <c r="F78" s="57">
        <f>IF(B78="","",Berechnung!AE78)</f>
        <v/>
      </c>
      <c r="G78" s="61">
        <f>IF(B78="","",Berechnung!P78)</f>
        <v/>
      </c>
      <c r="H78" s="61">
        <f>IF(B78="","",Berechnung!AC78)</f>
        <v/>
      </c>
      <c r="I78" s="61">
        <f>IF(B78="","",Berechnung!AD78)</f>
        <v/>
      </c>
      <c r="J78" s="36">
        <f>IF(B78="","",SUMPRODUCT(((Berechnung!D78:O78+Berechnung!Q78:AB78)&gt;0)*1))</f>
        <v/>
      </c>
      <c r="K78" s="62">
        <f>IF(B78="","",IF(N(D78)&gt;0,F78/D78,""))</f>
        <v/>
      </c>
      <c r="L78" s="40">
        <f>IF(B78="","",IF(N(E78)&gt;0,IF(Einstellungen!$C$10="Ja",F78/E78,F78/(E78+F78)),""))</f>
        <v/>
      </c>
      <c r="M78" s="63">
        <f>IF(L78="","",RANK(L78,$L$6:$L$305,0))</f>
        <v/>
      </c>
      <c r="N78" s="56">
        <f>IF(B78="","",IF(L78="","keine Ist-Std.",IF(L78&lt;=Einstellungen!$C$7,"unauffällig",IF(L78&lt;=Einstellungen!$C$8,"auffällig","kritisch"))))</f>
        <v/>
      </c>
      <c r="O78" s="64">
        <f>IF(L78="",-1,L78+ROW()/1000000000)</f>
        <v/>
      </c>
      <c r="P78" s="61">
        <f>IF(B78="","",Berechnung!AF78)</f>
        <v/>
      </c>
      <c r="Q78" s="57">
        <f>IF(B78="","",Berechnung!AG78)</f>
        <v/>
      </c>
      <c r="R78" s="57">
        <f>IF(B78="","",'Ist-Stunden'!D78)</f>
        <v/>
      </c>
      <c r="S78" s="59">
        <f>IF(B78="","",IF(N(R78)&gt;0,IF(Einstellungen!$C$10="Ja",Q78/R78,Q78/(R78+Q78)),""))</f>
        <v/>
      </c>
      <c r="T78" s="56">
        <f>IF(B78="","",IF(S78="","keine Ist-Std.",IF(S78&lt;=Einstellungen!$C$7,"unauffällig",IF(S78&lt;=Einstellungen!$C$8,"auffällig","kritisch"))))</f>
        <v/>
      </c>
    </row>
    <row r="79">
      <c r="A79" s="47">
        <f>IF(Mitarbeiter!B79="","",Mitarbeiter!A79)</f>
        <v/>
      </c>
      <c r="B79" s="48">
        <f>IF(Mitarbeiter!B79="","",Mitarbeiter!B79)</f>
        <v/>
      </c>
      <c r="C79" s="7">
        <f>IF(Mitarbeiter!B79="","",Mitarbeiter!G79)</f>
        <v/>
      </c>
      <c r="D79" s="57">
        <f>IF(Mitarbeiter!B79="","",Mitarbeiter!H79)</f>
        <v/>
      </c>
      <c r="E79" s="57">
        <f>IF(Mitarbeiter!B79="","",'Ist-Stunden'!C79)</f>
        <v/>
      </c>
      <c r="F79" s="57">
        <f>IF(B79="","",Berechnung!AE79)</f>
        <v/>
      </c>
      <c r="G79" s="61">
        <f>IF(B79="","",Berechnung!P79)</f>
        <v/>
      </c>
      <c r="H79" s="61">
        <f>IF(B79="","",Berechnung!AC79)</f>
        <v/>
      </c>
      <c r="I79" s="61">
        <f>IF(B79="","",Berechnung!AD79)</f>
        <v/>
      </c>
      <c r="J79" s="36">
        <f>IF(B79="","",SUMPRODUCT(((Berechnung!D79:O79+Berechnung!Q79:AB79)&gt;0)*1))</f>
        <v/>
      </c>
      <c r="K79" s="62">
        <f>IF(B79="","",IF(N(D79)&gt;0,F79/D79,""))</f>
        <v/>
      </c>
      <c r="L79" s="40">
        <f>IF(B79="","",IF(N(E79)&gt;0,IF(Einstellungen!$C$10="Ja",F79/E79,F79/(E79+F79)),""))</f>
        <v/>
      </c>
      <c r="M79" s="63">
        <f>IF(L79="","",RANK(L79,$L$6:$L$305,0))</f>
        <v/>
      </c>
      <c r="N79" s="56">
        <f>IF(B79="","",IF(L79="","keine Ist-Std.",IF(L79&lt;=Einstellungen!$C$7,"unauffällig",IF(L79&lt;=Einstellungen!$C$8,"auffällig","kritisch"))))</f>
        <v/>
      </c>
      <c r="O79" s="64">
        <f>IF(L79="",-1,L79+ROW()/1000000000)</f>
        <v/>
      </c>
      <c r="P79" s="61">
        <f>IF(B79="","",Berechnung!AF79)</f>
        <v/>
      </c>
      <c r="Q79" s="57">
        <f>IF(B79="","",Berechnung!AG79)</f>
        <v/>
      </c>
      <c r="R79" s="57">
        <f>IF(B79="","",'Ist-Stunden'!D79)</f>
        <v/>
      </c>
      <c r="S79" s="59">
        <f>IF(B79="","",IF(N(R79)&gt;0,IF(Einstellungen!$C$10="Ja",Q79/R79,Q79/(R79+Q79)),""))</f>
        <v/>
      </c>
      <c r="T79" s="56">
        <f>IF(B79="","",IF(S79="","keine Ist-Std.",IF(S79&lt;=Einstellungen!$C$7,"unauffällig",IF(S79&lt;=Einstellungen!$C$8,"auffällig","kritisch"))))</f>
        <v/>
      </c>
    </row>
    <row r="80">
      <c r="A80" s="47">
        <f>IF(Mitarbeiter!B80="","",Mitarbeiter!A80)</f>
        <v/>
      </c>
      <c r="B80" s="48">
        <f>IF(Mitarbeiter!B80="","",Mitarbeiter!B80)</f>
        <v/>
      </c>
      <c r="C80" s="7">
        <f>IF(Mitarbeiter!B80="","",Mitarbeiter!G80)</f>
        <v/>
      </c>
      <c r="D80" s="57">
        <f>IF(Mitarbeiter!B80="","",Mitarbeiter!H80)</f>
        <v/>
      </c>
      <c r="E80" s="57">
        <f>IF(Mitarbeiter!B80="","",'Ist-Stunden'!C80)</f>
        <v/>
      </c>
      <c r="F80" s="57">
        <f>IF(B80="","",Berechnung!AE80)</f>
        <v/>
      </c>
      <c r="G80" s="61">
        <f>IF(B80="","",Berechnung!P80)</f>
        <v/>
      </c>
      <c r="H80" s="61">
        <f>IF(B80="","",Berechnung!AC80)</f>
        <v/>
      </c>
      <c r="I80" s="61">
        <f>IF(B80="","",Berechnung!AD80)</f>
        <v/>
      </c>
      <c r="J80" s="36">
        <f>IF(B80="","",SUMPRODUCT(((Berechnung!D80:O80+Berechnung!Q80:AB80)&gt;0)*1))</f>
        <v/>
      </c>
      <c r="K80" s="62">
        <f>IF(B80="","",IF(N(D80)&gt;0,F80/D80,""))</f>
        <v/>
      </c>
      <c r="L80" s="40">
        <f>IF(B80="","",IF(N(E80)&gt;0,IF(Einstellungen!$C$10="Ja",F80/E80,F80/(E80+F80)),""))</f>
        <v/>
      </c>
      <c r="M80" s="63">
        <f>IF(L80="","",RANK(L80,$L$6:$L$305,0))</f>
        <v/>
      </c>
      <c r="N80" s="56">
        <f>IF(B80="","",IF(L80="","keine Ist-Std.",IF(L80&lt;=Einstellungen!$C$7,"unauffällig",IF(L80&lt;=Einstellungen!$C$8,"auffällig","kritisch"))))</f>
        <v/>
      </c>
      <c r="O80" s="64">
        <f>IF(L80="",-1,L80+ROW()/1000000000)</f>
        <v/>
      </c>
      <c r="P80" s="61">
        <f>IF(B80="","",Berechnung!AF80)</f>
        <v/>
      </c>
      <c r="Q80" s="57">
        <f>IF(B80="","",Berechnung!AG80)</f>
        <v/>
      </c>
      <c r="R80" s="57">
        <f>IF(B80="","",'Ist-Stunden'!D80)</f>
        <v/>
      </c>
      <c r="S80" s="59">
        <f>IF(B80="","",IF(N(R80)&gt;0,IF(Einstellungen!$C$10="Ja",Q80/R80,Q80/(R80+Q80)),""))</f>
        <v/>
      </c>
      <c r="T80" s="56">
        <f>IF(B80="","",IF(S80="","keine Ist-Std.",IF(S80&lt;=Einstellungen!$C$7,"unauffällig",IF(S80&lt;=Einstellungen!$C$8,"auffällig","kritisch"))))</f>
        <v/>
      </c>
    </row>
    <row r="81">
      <c r="A81" s="47">
        <f>IF(Mitarbeiter!B81="","",Mitarbeiter!A81)</f>
        <v/>
      </c>
      <c r="B81" s="48">
        <f>IF(Mitarbeiter!B81="","",Mitarbeiter!B81)</f>
        <v/>
      </c>
      <c r="C81" s="7">
        <f>IF(Mitarbeiter!B81="","",Mitarbeiter!G81)</f>
        <v/>
      </c>
      <c r="D81" s="57">
        <f>IF(Mitarbeiter!B81="","",Mitarbeiter!H81)</f>
        <v/>
      </c>
      <c r="E81" s="57">
        <f>IF(Mitarbeiter!B81="","",'Ist-Stunden'!C81)</f>
        <v/>
      </c>
      <c r="F81" s="57">
        <f>IF(B81="","",Berechnung!AE81)</f>
        <v/>
      </c>
      <c r="G81" s="61">
        <f>IF(B81="","",Berechnung!P81)</f>
        <v/>
      </c>
      <c r="H81" s="61">
        <f>IF(B81="","",Berechnung!AC81)</f>
        <v/>
      </c>
      <c r="I81" s="61">
        <f>IF(B81="","",Berechnung!AD81)</f>
        <v/>
      </c>
      <c r="J81" s="36">
        <f>IF(B81="","",SUMPRODUCT(((Berechnung!D81:O81+Berechnung!Q81:AB81)&gt;0)*1))</f>
        <v/>
      </c>
      <c r="K81" s="62">
        <f>IF(B81="","",IF(N(D81)&gt;0,F81/D81,""))</f>
        <v/>
      </c>
      <c r="L81" s="40">
        <f>IF(B81="","",IF(N(E81)&gt;0,IF(Einstellungen!$C$10="Ja",F81/E81,F81/(E81+F81)),""))</f>
        <v/>
      </c>
      <c r="M81" s="63">
        <f>IF(L81="","",RANK(L81,$L$6:$L$305,0))</f>
        <v/>
      </c>
      <c r="N81" s="56">
        <f>IF(B81="","",IF(L81="","keine Ist-Std.",IF(L81&lt;=Einstellungen!$C$7,"unauffällig",IF(L81&lt;=Einstellungen!$C$8,"auffällig","kritisch"))))</f>
        <v/>
      </c>
      <c r="O81" s="64">
        <f>IF(L81="",-1,L81+ROW()/1000000000)</f>
        <v/>
      </c>
      <c r="P81" s="61">
        <f>IF(B81="","",Berechnung!AF81)</f>
        <v/>
      </c>
      <c r="Q81" s="57">
        <f>IF(B81="","",Berechnung!AG81)</f>
        <v/>
      </c>
      <c r="R81" s="57">
        <f>IF(B81="","",'Ist-Stunden'!D81)</f>
        <v/>
      </c>
      <c r="S81" s="59">
        <f>IF(B81="","",IF(N(R81)&gt;0,IF(Einstellungen!$C$10="Ja",Q81/R81,Q81/(R81+Q81)),""))</f>
        <v/>
      </c>
      <c r="T81" s="56">
        <f>IF(B81="","",IF(S81="","keine Ist-Std.",IF(S81&lt;=Einstellungen!$C$7,"unauffällig",IF(S81&lt;=Einstellungen!$C$8,"auffällig","kritisch"))))</f>
        <v/>
      </c>
    </row>
    <row r="82">
      <c r="A82" s="47">
        <f>IF(Mitarbeiter!B82="","",Mitarbeiter!A82)</f>
        <v/>
      </c>
      <c r="B82" s="48">
        <f>IF(Mitarbeiter!B82="","",Mitarbeiter!B82)</f>
        <v/>
      </c>
      <c r="C82" s="7">
        <f>IF(Mitarbeiter!B82="","",Mitarbeiter!G82)</f>
        <v/>
      </c>
      <c r="D82" s="57">
        <f>IF(Mitarbeiter!B82="","",Mitarbeiter!H82)</f>
        <v/>
      </c>
      <c r="E82" s="57">
        <f>IF(Mitarbeiter!B82="","",'Ist-Stunden'!C82)</f>
        <v/>
      </c>
      <c r="F82" s="57">
        <f>IF(B82="","",Berechnung!AE82)</f>
        <v/>
      </c>
      <c r="G82" s="61">
        <f>IF(B82="","",Berechnung!P82)</f>
        <v/>
      </c>
      <c r="H82" s="61">
        <f>IF(B82="","",Berechnung!AC82)</f>
        <v/>
      </c>
      <c r="I82" s="61">
        <f>IF(B82="","",Berechnung!AD82)</f>
        <v/>
      </c>
      <c r="J82" s="36">
        <f>IF(B82="","",SUMPRODUCT(((Berechnung!D82:O82+Berechnung!Q82:AB82)&gt;0)*1))</f>
        <v/>
      </c>
      <c r="K82" s="62">
        <f>IF(B82="","",IF(N(D82)&gt;0,F82/D82,""))</f>
        <v/>
      </c>
      <c r="L82" s="40">
        <f>IF(B82="","",IF(N(E82)&gt;0,IF(Einstellungen!$C$10="Ja",F82/E82,F82/(E82+F82)),""))</f>
        <v/>
      </c>
      <c r="M82" s="63">
        <f>IF(L82="","",RANK(L82,$L$6:$L$305,0))</f>
        <v/>
      </c>
      <c r="N82" s="56">
        <f>IF(B82="","",IF(L82="","keine Ist-Std.",IF(L82&lt;=Einstellungen!$C$7,"unauffällig",IF(L82&lt;=Einstellungen!$C$8,"auffällig","kritisch"))))</f>
        <v/>
      </c>
      <c r="O82" s="64">
        <f>IF(L82="",-1,L82+ROW()/1000000000)</f>
        <v/>
      </c>
      <c r="P82" s="61">
        <f>IF(B82="","",Berechnung!AF82)</f>
        <v/>
      </c>
      <c r="Q82" s="57">
        <f>IF(B82="","",Berechnung!AG82)</f>
        <v/>
      </c>
      <c r="R82" s="57">
        <f>IF(B82="","",'Ist-Stunden'!D82)</f>
        <v/>
      </c>
      <c r="S82" s="59">
        <f>IF(B82="","",IF(N(R82)&gt;0,IF(Einstellungen!$C$10="Ja",Q82/R82,Q82/(R82+Q82)),""))</f>
        <v/>
      </c>
      <c r="T82" s="56">
        <f>IF(B82="","",IF(S82="","keine Ist-Std.",IF(S82&lt;=Einstellungen!$C$7,"unauffällig",IF(S82&lt;=Einstellungen!$C$8,"auffällig","kritisch"))))</f>
        <v/>
      </c>
    </row>
    <row r="83">
      <c r="A83" s="47">
        <f>IF(Mitarbeiter!B83="","",Mitarbeiter!A83)</f>
        <v/>
      </c>
      <c r="B83" s="48">
        <f>IF(Mitarbeiter!B83="","",Mitarbeiter!B83)</f>
        <v/>
      </c>
      <c r="C83" s="7">
        <f>IF(Mitarbeiter!B83="","",Mitarbeiter!G83)</f>
        <v/>
      </c>
      <c r="D83" s="57">
        <f>IF(Mitarbeiter!B83="","",Mitarbeiter!H83)</f>
        <v/>
      </c>
      <c r="E83" s="57">
        <f>IF(Mitarbeiter!B83="","",'Ist-Stunden'!C83)</f>
        <v/>
      </c>
      <c r="F83" s="57">
        <f>IF(B83="","",Berechnung!AE83)</f>
        <v/>
      </c>
      <c r="G83" s="61">
        <f>IF(B83="","",Berechnung!P83)</f>
        <v/>
      </c>
      <c r="H83" s="61">
        <f>IF(B83="","",Berechnung!AC83)</f>
        <v/>
      </c>
      <c r="I83" s="61">
        <f>IF(B83="","",Berechnung!AD83)</f>
        <v/>
      </c>
      <c r="J83" s="36">
        <f>IF(B83="","",SUMPRODUCT(((Berechnung!D83:O83+Berechnung!Q83:AB83)&gt;0)*1))</f>
        <v/>
      </c>
      <c r="K83" s="62">
        <f>IF(B83="","",IF(N(D83)&gt;0,F83/D83,""))</f>
        <v/>
      </c>
      <c r="L83" s="40">
        <f>IF(B83="","",IF(N(E83)&gt;0,IF(Einstellungen!$C$10="Ja",F83/E83,F83/(E83+F83)),""))</f>
        <v/>
      </c>
      <c r="M83" s="63">
        <f>IF(L83="","",RANK(L83,$L$6:$L$305,0))</f>
        <v/>
      </c>
      <c r="N83" s="56">
        <f>IF(B83="","",IF(L83="","keine Ist-Std.",IF(L83&lt;=Einstellungen!$C$7,"unauffällig",IF(L83&lt;=Einstellungen!$C$8,"auffällig","kritisch"))))</f>
        <v/>
      </c>
      <c r="O83" s="64">
        <f>IF(L83="",-1,L83+ROW()/1000000000)</f>
        <v/>
      </c>
      <c r="P83" s="61">
        <f>IF(B83="","",Berechnung!AF83)</f>
        <v/>
      </c>
      <c r="Q83" s="57">
        <f>IF(B83="","",Berechnung!AG83)</f>
        <v/>
      </c>
      <c r="R83" s="57">
        <f>IF(B83="","",'Ist-Stunden'!D83)</f>
        <v/>
      </c>
      <c r="S83" s="59">
        <f>IF(B83="","",IF(N(R83)&gt;0,IF(Einstellungen!$C$10="Ja",Q83/R83,Q83/(R83+Q83)),""))</f>
        <v/>
      </c>
      <c r="T83" s="56">
        <f>IF(B83="","",IF(S83="","keine Ist-Std.",IF(S83&lt;=Einstellungen!$C$7,"unauffällig",IF(S83&lt;=Einstellungen!$C$8,"auffällig","kritisch"))))</f>
        <v/>
      </c>
    </row>
    <row r="84">
      <c r="A84" s="47">
        <f>IF(Mitarbeiter!B84="","",Mitarbeiter!A84)</f>
        <v/>
      </c>
      <c r="B84" s="48">
        <f>IF(Mitarbeiter!B84="","",Mitarbeiter!B84)</f>
        <v/>
      </c>
      <c r="C84" s="7">
        <f>IF(Mitarbeiter!B84="","",Mitarbeiter!G84)</f>
        <v/>
      </c>
      <c r="D84" s="57">
        <f>IF(Mitarbeiter!B84="","",Mitarbeiter!H84)</f>
        <v/>
      </c>
      <c r="E84" s="57">
        <f>IF(Mitarbeiter!B84="","",'Ist-Stunden'!C84)</f>
        <v/>
      </c>
      <c r="F84" s="57">
        <f>IF(B84="","",Berechnung!AE84)</f>
        <v/>
      </c>
      <c r="G84" s="61">
        <f>IF(B84="","",Berechnung!P84)</f>
        <v/>
      </c>
      <c r="H84" s="61">
        <f>IF(B84="","",Berechnung!AC84)</f>
        <v/>
      </c>
      <c r="I84" s="61">
        <f>IF(B84="","",Berechnung!AD84)</f>
        <v/>
      </c>
      <c r="J84" s="36">
        <f>IF(B84="","",SUMPRODUCT(((Berechnung!D84:O84+Berechnung!Q84:AB84)&gt;0)*1))</f>
        <v/>
      </c>
      <c r="K84" s="62">
        <f>IF(B84="","",IF(N(D84)&gt;0,F84/D84,""))</f>
        <v/>
      </c>
      <c r="L84" s="40">
        <f>IF(B84="","",IF(N(E84)&gt;0,IF(Einstellungen!$C$10="Ja",F84/E84,F84/(E84+F84)),""))</f>
        <v/>
      </c>
      <c r="M84" s="63">
        <f>IF(L84="","",RANK(L84,$L$6:$L$305,0))</f>
        <v/>
      </c>
      <c r="N84" s="56">
        <f>IF(B84="","",IF(L84="","keine Ist-Std.",IF(L84&lt;=Einstellungen!$C$7,"unauffällig",IF(L84&lt;=Einstellungen!$C$8,"auffällig","kritisch"))))</f>
        <v/>
      </c>
      <c r="O84" s="64">
        <f>IF(L84="",-1,L84+ROW()/1000000000)</f>
        <v/>
      </c>
      <c r="P84" s="61">
        <f>IF(B84="","",Berechnung!AF84)</f>
        <v/>
      </c>
      <c r="Q84" s="57">
        <f>IF(B84="","",Berechnung!AG84)</f>
        <v/>
      </c>
      <c r="R84" s="57">
        <f>IF(B84="","",'Ist-Stunden'!D84)</f>
        <v/>
      </c>
      <c r="S84" s="59">
        <f>IF(B84="","",IF(N(R84)&gt;0,IF(Einstellungen!$C$10="Ja",Q84/R84,Q84/(R84+Q84)),""))</f>
        <v/>
      </c>
      <c r="T84" s="56">
        <f>IF(B84="","",IF(S84="","keine Ist-Std.",IF(S84&lt;=Einstellungen!$C$7,"unauffällig",IF(S84&lt;=Einstellungen!$C$8,"auffällig","kritisch"))))</f>
        <v/>
      </c>
    </row>
    <row r="85">
      <c r="A85" s="47">
        <f>IF(Mitarbeiter!B85="","",Mitarbeiter!A85)</f>
        <v/>
      </c>
      <c r="B85" s="48">
        <f>IF(Mitarbeiter!B85="","",Mitarbeiter!B85)</f>
        <v/>
      </c>
      <c r="C85" s="7">
        <f>IF(Mitarbeiter!B85="","",Mitarbeiter!G85)</f>
        <v/>
      </c>
      <c r="D85" s="57">
        <f>IF(Mitarbeiter!B85="","",Mitarbeiter!H85)</f>
        <v/>
      </c>
      <c r="E85" s="57">
        <f>IF(Mitarbeiter!B85="","",'Ist-Stunden'!C85)</f>
        <v/>
      </c>
      <c r="F85" s="57">
        <f>IF(B85="","",Berechnung!AE85)</f>
        <v/>
      </c>
      <c r="G85" s="61">
        <f>IF(B85="","",Berechnung!P85)</f>
        <v/>
      </c>
      <c r="H85" s="61">
        <f>IF(B85="","",Berechnung!AC85)</f>
        <v/>
      </c>
      <c r="I85" s="61">
        <f>IF(B85="","",Berechnung!AD85)</f>
        <v/>
      </c>
      <c r="J85" s="36">
        <f>IF(B85="","",SUMPRODUCT(((Berechnung!D85:O85+Berechnung!Q85:AB85)&gt;0)*1))</f>
        <v/>
      </c>
      <c r="K85" s="62">
        <f>IF(B85="","",IF(N(D85)&gt;0,F85/D85,""))</f>
        <v/>
      </c>
      <c r="L85" s="40">
        <f>IF(B85="","",IF(N(E85)&gt;0,IF(Einstellungen!$C$10="Ja",F85/E85,F85/(E85+F85)),""))</f>
        <v/>
      </c>
      <c r="M85" s="63">
        <f>IF(L85="","",RANK(L85,$L$6:$L$305,0))</f>
        <v/>
      </c>
      <c r="N85" s="56">
        <f>IF(B85="","",IF(L85="","keine Ist-Std.",IF(L85&lt;=Einstellungen!$C$7,"unauffällig",IF(L85&lt;=Einstellungen!$C$8,"auffällig","kritisch"))))</f>
        <v/>
      </c>
      <c r="O85" s="64">
        <f>IF(L85="",-1,L85+ROW()/1000000000)</f>
        <v/>
      </c>
      <c r="P85" s="61">
        <f>IF(B85="","",Berechnung!AF85)</f>
        <v/>
      </c>
      <c r="Q85" s="57">
        <f>IF(B85="","",Berechnung!AG85)</f>
        <v/>
      </c>
      <c r="R85" s="57">
        <f>IF(B85="","",'Ist-Stunden'!D85)</f>
        <v/>
      </c>
      <c r="S85" s="59">
        <f>IF(B85="","",IF(N(R85)&gt;0,IF(Einstellungen!$C$10="Ja",Q85/R85,Q85/(R85+Q85)),""))</f>
        <v/>
      </c>
      <c r="T85" s="56">
        <f>IF(B85="","",IF(S85="","keine Ist-Std.",IF(S85&lt;=Einstellungen!$C$7,"unauffällig",IF(S85&lt;=Einstellungen!$C$8,"auffällig","kritisch"))))</f>
        <v/>
      </c>
    </row>
    <row r="86">
      <c r="A86" s="47">
        <f>IF(Mitarbeiter!B86="","",Mitarbeiter!A86)</f>
        <v/>
      </c>
      <c r="B86" s="48">
        <f>IF(Mitarbeiter!B86="","",Mitarbeiter!B86)</f>
        <v/>
      </c>
      <c r="C86" s="7">
        <f>IF(Mitarbeiter!B86="","",Mitarbeiter!G86)</f>
        <v/>
      </c>
      <c r="D86" s="57">
        <f>IF(Mitarbeiter!B86="","",Mitarbeiter!H86)</f>
        <v/>
      </c>
      <c r="E86" s="57">
        <f>IF(Mitarbeiter!B86="","",'Ist-Stunden'!C86)</f>
        <v/>
      </c>
      <c r="F86" s="57">
        <f>IF(B86="","",Berechnung!AE86)</f>
        <v/>
      </c>
      <c r="G86" s="61">
        <f>IF(B86="","",Berechnung!P86)</f>
        <v/>
      </c>
      <c r="H86" s="61">
        <f>IF(B86="","",Berechnung!AC86)</f>
        <v/>
      </c>
      <c r="I86" s="61">
        <f>IF(B86="","",Berechnung!AD86)</f>
        <v/>
      </c>
      <c r="J86" s="36">
        <f>IF(B86="","",SUMPRODUCT(((Berechnung!D86:O86+Berechnung!Q86:AB86)&gt;0)*1))</f>
        <v/>
      </c>
      <c r="K86" s="62">
        <f>IF(B86="","",IF(N(D86)&gt;0,F86/D86,""))</f>
        <v/>
      </c>
      <c r="L86" s="40">
        <f>IF(B86="","",IF(N(E86)&gt;0,IF(Einstellungen!$C$10="Ja",F86/E86,F86/(E86+F86)),""))</f>
        <v/>
      </c>
      <c r="M86" s="63">
        <f>IF(L86="","",RANK(L86,$L$6:$L$305,0))</f>
        <v/>
      </c>
      <c r="N86" s="56">
        <f>IF(B86="","",IF(L86="","keine Ist-Std.",IF(L86&lt;=Einstellungen!$C$7,"unauffällig",IF(L86&lt;=Einstellungen!$C$8,"auffällig","kritisch"))))</f>
        <v/>
      </c>
      <c r="O86" s="64">
        <f>IF(L86="",-1,L86+ROW()/1000000000)</f>
        <v/>
      </c>
      <c r="P86" s="61">
        <f>IF(B86="","",Berechnung!AF86)</f>
        <v/>
      </c>
      <c r="Q86" s="57">
        <f>IF(B86="","",Berechnung!AG86)</f>
        <v/>
      </c>
      <c r="R86" s="57">
        <f>IF(B86="","",'Ist-Stunden'!D86)</f>
        <v/>
      </c>
      <c r="S86" s="59">
        <f>IF(B86="","",IF(N(R86)&gt;0,IF(Einstellungen!$C$10="Ja",Q86/R86,Q86/(R86+Q86)),""))</f>
        <v/>
      </c>
      <c r="T86" s="56">
        <f>IF(B86="","",IF(S86="","keine Ist-Std.",IF(S86&lt;=Einstellungen!$C$7,"unauffällig",IF(S86&lt;=Einstellungen!$C$8,"auffällig","kritisch"))))</f>
        <v/>
      </c>
    </row>
    <row r="87">
      <c r="A87" s="47">
        <f>IF(Mitarbeiter!B87="","",Mitarbeiter!A87)</f>
        <v/>
      </c>
      <c r="B87" s="48">
        <f>IF(Mitarbeiter!B87="","",Mitarbeiter!B87)</f>
        <v/>
      </c>
      <c r="C87" s="7">
        <f>IF(Mitarbeiter!B87="","",Mitarbeiter!G87)</f>
        <v/>
      </c>
      <c r="D87" s="57">
        <f>IF(Mitarbeiter!B87="","",Mitarbeiter!H87)</f>
        <v/>
      </c>
      <c r="E87" s="57">
        <f>IF(Mitarbeiter!B87="","",'Ist-Stunden'!C87)</f>
        <v/>
      </c>
      <c r="F87" s="57">
        <f>IF(B87="","",Berechnung!AE87)</f>
        <v/>
      </c>
      <c r="G87" s="61">
        <f>IF(B87="","",Berechnung!P87)</f>
        <v/>
      </c>
      <c r="H87" s="61">
        <f>IF(B87="","",Berechnung!AC87)</f>
        <v/>
      </c>
      <c r="I87" s="61">
        <f>IF(B87="","",Berechnung!AD87)</f>
        <v/>
      </c>
      <c r="J87" s="36">
        <f>IF(B87="","",SUMPRODUCT(((Berechnung!D87:O87+Berechnung!Q87:AB87)&gt;0)*1))</f>
        <v/>
      </c>
      <c r="K87" s="62">
        <f>IF(B87="","",IF(N(D87)&gt;0,F87/D87,""))</f>
        <v/>
      </c>
      <c r="L87" s="40">
        <f>IF(B87="","",IF(N(E87)&gt;0,IF(Einstellungen!$C$10="Ja",F87/E87,F87/(E87+F87)),""))</f>
        <v/>
      </c>
      <c r="M87" s="63">
        <f>IF(L87="","",RANK(L87,$L$6:$L$305,0))</f>
        <v/>
      </c>
      <c r="N87" s="56">
        <f>IF(B87="","",IF(L87="","keine Ist-Std.",IF(L87&lt;=Einstellungen!$C$7,"unauffällig",IF(L87&lt;=Einstellungen!$C$8,"auffällig","kritisch"))))</f>
        <v/>
      </c>
      <c r="O87" s="64">
        <f>IF(L87="",-1,L87+ROW()/1000000000)</f>
        <v/>
      </c>
      <c r="P87" s="61">
        <f>IF(B87="","",Berechnung!AF87)</f>
        <v/>
      </c>
      <c r="Q87" s="57">
        <f>IF(B87="","",Berechnung!AG87)</f>
        <v/>
      </c>
      <c r="R87" s="57">
        <f>IF(B87="","",'Ist-Stunden'!D87)</f>
        <v/>
      </c>
      <c r="S87" s="59">
        <f>IF(B87="","",IF(N(R87)&gt;0,IF(Einstellungen!$C$10="Ja",Q87/R87,Q87/(R87+Q87)),""))</f>
        <v/>
      </c>
      <c r="T87" s="56">
        <f>IF(B87="","",IF(S87="","keine Ist-Std.",IF(S87&lt;=Einstellungen!$C$7,"unauffällig",IF(S87&lt;=Einstellungen!$C$8,"auffällig","kritisch"))))</f>
        <v/>
      </c>
    </row>
    <row r="88">
      <c r="A88" s="47">
        <f>IF(Mitarbeiter!B88="","",Mitarbeiter!A88)</f>
        <v/>
      </c>
      <c r="B88" s="48">
        <f>IF(Mitarbeiter!B88="","",Mitarbeiter!B88)</f>
        <v/>
      </c>
      <c r="C88" s="7">
        <f>IF(Mitarbeiter!B88="","",Mitarbeiter!G88)</f>
        <v/>
      </c>
      <c r="D88" s="57">
        <f>IF(Mitarbeiter!B88="","",Mitarbeiter!H88)</f>
        <v/>
      </c>
      <c r="E88" s="57">
        <f>IF(Mitarbeiter!B88="","",'Ist-Stunden'!C88)</f>
        <v/>
      </c>
      <c r="F88" s="57">
        <f>IF(B88="","",Berechnung!AE88)</f>
        <v/>
      </c>
      <c r="G88" s="61">
        <f>IF(B88="","",Berechnung!P88)</f>
        <v/>
      </c>
      <c r="H88" s="61">
        <f>IF(B88="","",Berechnung!AC88)</f>
        <v/>
      </c>
      <c r="I88" s="61">
        <f>IF(B88="","",Berechnung!AD88)</f>
        <v/>
      </c>
      <c r="J88" s="36">
        <f>IF(B88="","",SUMPRODUCT(((Berechnung!D88:O88+Berechnung!Q88:AB88)&gt;0)*1))</f>
        <v/>
      </c>
      <c r="K88" s="62">
        <f>IF(B88="","",IF(N(D88)&gt;0,F88/D88,""))</f>
        <v/>
      </c>
      <c r="L88" s="40">
        <f>IF(B88="","",IF(N(E88)&gt;0,IF(Einstellungen!$C$10="Ja",F88/E88,F88/(E88+F88)),""))</f>
        <v/>
      </c>
      <c r="M88" s="63">
        <f>IF(L88="","",RANK(L88,$L$6:$L$305,0))</f>
        <v/>
      </c>
      <c r="N88" s="56">
        <f>IF(B88="","",IF(L88="","keine Ist-Std.",IF(L88&lt;=Einstellungen!$C$7,"unauffällig",IF(L88&lt;=Einstellungen!$C$8,"auffällig","kritisch"))))</f>
        <v/>
      </c>
      <c r="O88" s="64">
        <f>IF(L88="",-1,L88+ROW()/1000000000)</f>
        <v/>
      </c>
      <c r="P88" s="61">
        <f>IF(B88="","",Berechnung!AF88)</f>
        <v/>
      </c>
      <c r="Q88" s="57">
        <f>IF(B88="","",Berechnung!AG88)</f>
        <v/>
      </c>
      <c r="R88" s="57">
        <f>IF(B88="","",'Ist-Stunden'!D88)</f>
        <v/>
      </c>
      <c r="S88" s="59">
        <f>IF(B88="","",IF(N(R88)&gt;0,IF(Einstellungen!$C$10="Ja",Q88/R88,Q88/(R88+Q88)),""))</f>
        <v/>
      </c>
      <c r="T88" s="56">
        <f>IF(B88="","",IF(S88="","keine Ist-Std.",IF(S88&lt;=Einstellungen!$C$7,"unauffällig",IF(S88&lt;=Einstellungen!$C$8,"auffällig","kritisch"))))</f>
        <v/>
      </c>
    </row>
    <row r="89">
      <c r="A89" s="47">
        <f>IF(Mitarbeiter!B89="","",Mitarbeiter!A89)</f>
        <v/>
      </c>
      <c r="B89" s="48">
        <f>IF(Mitarbeiter!B89="","",Mitarbeiter!B89)</f>
        <v/>
      </c>
      <c r="C89" s="7">
        <f>IF(Mitarbeiter!B89="","",Mitarbeiter!G89)</f>
        <v/>
      </c>
      <c r="D89" s="57">
        <f>IF(Mitarbeiter!B89="","",Mitarbeiter!H89)</f>
        <v/>
      </c>
      <c r="E89" s="57">
        <f>IF(Mitarbeiter!B89="","",'Ist-Stunden'!C89)</f>
        <v/>
      </c>
      <c r="F89" s="57">
        <f>IF(B89="","",Berechnung!AE89)</f>
        <v/>
      </c>
      <c r="G89" s="61">
        <f>IF(B89="","",Berechnung!P89)</f>
        <v/>
      </c>
      <c r="H89" s="61">
        <f>IF(B89="","",Berechnung!AC89)</f>
        <v/>
      </c>
      <c r="I89" s="61">
        <f>IF(B89="","",Berechnung!AD89)</f>
        <v/>
      </c>
      <c r="J89" s="36">
        <f>IF(B89="","",SUMPRODUCT(((Berechnung!D89:O89+Berechnung!Q89:AB89)&gt;0)*1))</f>
        <v/>
      </c>
      <c r="K89" s="62">
        <f>IF(B89="","",IF(N(D89)&gt;0,F89/D89,""))</f>
        <v/>
      </c>
      <c r="L89" s="40">
        <f>IF(B89="","",IF(N(E89)&gt;0,IF(Einstellungen!$C$10="Ja",F89/E89,F89/(E89+F89)),""))</f>
        <v/>
      </c>
      <c r="M89" s="63">
        <f>IF(L89="","",RANK(L89,$L$6:$L$305,0))</f>
        <v/>
      </c>
      <c r="N89" s="56">
        <f>IF(B89="","",IF(L89="","keine Ist-Std.",IF(L89&lt;=Einstellungen!$C$7,"unauffällig",IF(L89&lt;=Einstellungen!$C$8,"auffällig","kritisch"))))</f>
        <v/>
      </c>
      <c r="O89" s="64">
        <f>IF(L89="",-1,L89+ROW()/1000000000)</f>
        <v/>
      </c>
      <c r="P89" s="61">
        <f>IF(B89="","",Berechnung!AF89)</f>
        <v/>
      </c>
      <c r="Q89" s="57">
        <f>IF(B89="","",Berechnung!AG89)</f>
        <v/>
      </c>
      <c r="R89" s="57">
        <f>IF(B89="","",'Ist-Stunden'!D89)</f>
        <v/>
      </c>
      <c r="S89" s="59">
        <f>IF(B89="","",IF(N(R89)&gt;0,IF(Einstellungen!$C$10="Ja",Q89/R89,Q89/(R89+Q89)),""))</f>
        <v/>
      </c>
      <c r="T89" s="56">
        <f>IF(B89="","",IF(S89="","keine Ist-Std.",IF(S89&lt;=Einstellungen!$C$7,"unauffällig",IF(S89&lt;=Einstellungen!$C$8,"auffällig","kritisch"))))</f>
        <v/>
      </c>
    </row>
    <row r="90">
      <c r="A90" s="47">
        <f>IF(Mitarbeiter!B90="","",Mitarbeiter!A90)</f>
        <v/>
      </c>
      <c r="B90" s="48">
        <f>IF(Mitarbeiter!B90="","",Mitarbeiter!B90)</f>
        <v/>
      </c>
      <c r="C90" s="7">
        <f>IF(Mitarbeiter!B90="","",Mitarbeiter!G90)</f>
        <v/>
      </c>
      <c r="D90" s="57">
        <f>IF(Mitarbeiter!B90="","",Mitarbeiter!H90)</f>
        <v/>
      </c>
      <c r="E90" s="57">
        <f>IF(Mitarbeiter!B90="","",'Ist-Stunden'!C90)</f>
        <v/>
      </c>
      <c r="F90" s="57">
        <f>IF(B90="","",Berechnung!AE90)</f>
        <v/>
      </c>
      <c r="G90" s="61">
        <f>IF(B90="","",Berechnung!P90)</f>
        <v/>
      </c>
      <c r="H90" s="61">
        <f>IF(B90="","",Berechnung!AC90)</f>
        <v/>
      </c>
      <c r="I90" s="61">
        <f>IF(B90="","",Berechnung!AD90)</f>
        <v/>
      </c>
      <c r="J90" s="36">
        <f>IF(B90="","",SUMPRODUCT(((Berechnung!D90:O90+Berechnung!Q90:AB90)&gt;0)*1))</f>
        <v/>
      </c>
      <c r="K90" s="62">
        <f>IF(B90="","",IF(N(D90)&gt;0,F90/D90,""))</f>
        <v/>
      </c>
      <c r="L90" s="40">
        <f>IF(B90="","",IF(N(E90)&gt;0,IF(Einstellungen!$C$10="Ja",F90/E90,F90/(E90+F90)),""))</f>
        <v/>
      </c>
      <c r="M90" s="63">
        <f>IF(L90="","",RANK(L90,$L$6:$L$305,0))</f>
        <v/>
      </c>
      <c r="N90" s="56">
        <f>IF(B90="","",IF(L90="","keine Ist-Std.",IF(L90&lt;=Einstellungen!$C$7,"unauffällig",IF(L90&lt;=Einstellungen!$C$8,"auffällig","kritisch"))))</f>
        <v/>
      </c>
      <c r="O90" s="64">
        <f>IF(L90="",-1,L90+ROW()/1000000000)</f>
        <v/>
      </c>
      <c r="P90" s="61">
        <f>IF(B90="","",Berechnung!AF90)</f>
        <v/>
      </c>
      <c r="Q90" s="57">
        <f>IF(B90="","",Berechnung!AG90)</f>
        <v/>
      </c>
      <c r="R90" s="57">
        <f>IF(B90="","",'Ist-Stunden'!D90)</f>
        <v/>
      </c>
      <c r="S90" s="59">
        <f>IF(B90="","",IF(N(R90)&gt;0,IF(Einstellungen!$C$10="Ja",Q90/R90,Q90/(R90+Q90)),""))</f>
        <v/>
      </c>
      <c r="T90" s="56">
        <f>IF(B90="","",IF(S90="","keine Ist-Std.",IF(S90&lt;=Einstellungen!$C$7,"unauffällig",IF(S90&lt;=Einstellungen!$C$8,"auffällig","kritisch"))))</f>
        <v/>
      </c>
    </row>
    <row r="91">
      <c r="A91" s="47">
        <f>IF(Mitarbeiter!B91="","",Mitarbeiter!A91)</f>
        <v/>
      </c>
      <c r="B91" s="48">
        <f>IF(Mitarbeiter!B91="","",Mitarbeiter!B91)</f>
        <v/>
      </c>
      <c r="C91" s="7">
        <f>IF(Mitarbeiter!B91="","",Mitarbeiter!G91)</f>
        <v/>
      </c>
      <c r="D91" s="57">
        <f>IF(Mitarbeiter!B91="","",Mitarbeiter!H91)</f>
        <v/>
      </c>
      <c r="E91" s="57">
        <f>IF(Mitarbeiter!B91="","",'Ist-Stunden'!C91)</f>
        <v/>
      </c>
      <c r="F91" s="57">
        <f>IF(B91="","",Berechnung!AE91)</f>
        <v/>
      </c>
      <c r="G91" s="61">
        <f>IF(B91="","",Berechnung!P91)</f>
        <v/>
      </c>
      <c r="H91" s="61">
        <f>IF(B91="","",Berechnung!AC91)</f>
        <v/>
      </c>
      <c r="I91" s="61">
        <f>IF(B91="","",Berechnung!AD91)</f>
        <v/>
      </c>
      <c r="J91" s="36">
        <f>IF(B91="","",SUMPRODUCT(((Berechnung!D91:O91+Berechnung!Q91:AB91)&gt;0)*1))</f>
        <v/>
      </c>
      <c r="K91" s="62">
        <f>IF(B91="","",IF(N(D91)&gt;0,F91/D91,""))</f>
        <v/>
      </c>
      <c r="L91" s="40">
        <f>IF(B91="","",IF(N(E91)&gt;0,IF(Einstellungen!$C$10="Ja",F91/E91,F91/(E91+F91)),""))</f>
        <v/>
      </c>
      <c r="M91" s="63">
        <f>IF(L91="","",RANK(L91,$L$6:$L$305,0))</f>
        <v/>
      </c>
      <c r="N91" s="56">
        <f>IF(B91="","",IF(L91="","keine Ist-Std.",IF(L91&lt;=Einstellungen!$C$7,"unauffällig",IF(L91&lt;=Einstellungen!$C$8,"auffällig","kritisch"))))</f>
        <v/>
      </c>
      <c r="O91" s="64">
        <f>IF(L91="",-1,L91+ROW()/1000000000)</f>
        <v/>
      </c>
      <c r="P91" s="61">
        <f>IF(B91="","",Berechnung!AF91)</f>
        <v/>
      </c>
      <c r="Q91" s="57">
        <f>IF(B91="","",Berechnung!AG91)</f>
        <v/>
      </c>
      <c r="R91" s="57">
        <f>IF(B91="","",'Ist-Stunden'!D91)</f>
        <v/>
      </c>
      <c r="S91" s="59">
        <f>IF(B91="","",IF(N(R91)&gt;0,IF(Einstellungen!$C$10="Ja",Q91/R91,Q91/(R91+Q91)),""))</f>
        <v/>
      </c>
      <c r="T91" s="56">
        <f>IF(B91="","",IF(S91="","keine Ist-Std.",IF(S91&lt;=Einstellungen!$C$7,"unauffällig",IF(S91&lt;=Einstellungen!$C$8,"auffällig","kritisch"))))</f>
        <v/>
      </c>
    </row>
    <row r="92">
      <c r="A92" s="47">
        <f>IF(Mitarbeiter!B92="","",Mitarbeiter!A92)</f>
        <v/>
      </c>
      <c r="B92" s="48">
        <f>IF(Mitarbeiter!B92="","",Mitarbeiter!B92)</f>
        <v/>
      </c>
      <c r="C92" s="7">
        <f>IF(Mitarbeiter!B92="","",Mitarbeiter!G92)</f>
        <v/>
      </c>
      <c r="D92" s="57">
        <f>IF(Mitarbeiter!B92="","",Mitarbeiter!H92)</f>
        <v/>
      </c>
      <c r="E92" s="57">
        <f>IF(Mitarbeiter!B92="","",'Ist-Stunden'!C92)</f>
        <v/>
      </c>
      <c r="F92" s="57">
        <f>IF(B92="","",Berechnung!AE92)</f>
        <v/>
      </c>
      <c r="G92" s="61">
        <f>IF(B92="","",Berechnung!P92)</f>
        <v/>
      </c>
      <c r="H92" s="61">
        <f>IF(B92="","",Berechnung!AC92)</f>
        <v/>
      </c>
      <c r="I92" s="61">
        <f>IF(B92="","",Berechnung!AD92)</f>
        <v/>
      </c>
      <c r="J92" s="36">
        <f>IF(B92="","",SUMPRODUCT(((Berechnung!D92:O92+Berechnung!Q92:AB92)&gt;0)*1))</f>
        <v/>
      </c>
      <c r="K92" s="62">
        <f>IF(B92="","",IF(N(D92)&gt;0,F92/D92,""))</f>
        <v/>
      </c>
      <c r="L92" s="40">
        <f>IF(B92="","",IF(N(E92)&gt;0,IF(Einstellungen!$C$10="Ja",F92/E92,F92/(E92+F92)),""))</f>
        <v/>
      </c>
      <c r="M92" s="63">
        <f>IF(L92="","",RANK(L92,$L$6:$L$305,0))</f>
        <v/>
      </c>
      <c r="N92" s="56">
        <f>IF(B92="","",IF(L92="","keine Ist-Std.",IF(L92&lt;=Einstellungen!$C$7,"unauffällig",IF(L92&lt;=Einstellungen!$C$8,"auffällig","kritisch"))))</f>
        <v/>
      </c>
      <c r="O92" s="64">
        <f>IF(L92="",-1,L92+ROW()/1000000000)</f>
        <v/>
      </c>
      <c r="P92" s="61">
        <f>IF(B92="","",Berechnung!AF92)</f>
        <v/>
      </c>
      <c r="Q92" s="57">
        <f>IF(B92="","",Berechnung!AG92)</f>
        <v/>
      </c>
      <c r="R92" s="57">
        <f>IF(B92="","",'Ist-Stunden'!D92)</f>
        <v/>
      </c>
      <c r="S92" s="59">
        <f>IF(B92="","",IF(N(R92)&gt;0,IF(Einstellungen!$C$10="Ja",Q92/R92,Q92/(R92+Q92)),""))</f>
        <v/>
      </c>
      <c r="T92" s="56">
        <f>IF(B92="","",IF(S92="","keine Ist-Std.",IF(S92&lt;=Einstellungen!$C$7,"unauffällig",IF(S92&lt;=Einstellungen!$C$8,"auffällig","kritisch"))))</f>
        <v/>
      </c>
    </row>
    <row r="93">
      <c r="A93" s="47">
        <f>IF(Mitarbeiter!B93="","",Mitarbeiter!A93)</f>
        <v/>
      </c>
      <c r="B93" s="48">
        <f>IF(Mitarbeiter!B93="","",Mitarbeiter!B93)</f>
        <v/>
      </c>
      <c r="C93" s="7">
        <f>IF(Mitarbeiter!B93="","",Mitarbeiter!G93)</f>
        <v/>
      </c>
      <c r="D93" s="57">
        <f>IF(Mitarbeiter!B93="","",Mitarbeiter!H93)</f>
        <v/>
      </c>
      <c r="E93" s="57">
        <f>IF(Mitarbeiter!B93="","",'Ist-Stunden'!C93)</f>
        <v/>
      </c>
      <c r="F93" s="57">
        <f>IF(B93="","",Berechnung!AE93)</f>
        <v/>
      </c>
      <c r="G93" s="61">
        <f>IF(B93="","",Berechnung!P93)</f>
        <v/>
      </c>
      <c r="H93" s="61">
        <f>IF(B93="","",Berechnung!AC93)</f>
        <v/>
      </c>
      <c r="I93" s="61">
        <f>IF(B93="","",Berechnung!AD93)</f>
        <v/>
      </c>
      <c r="J93" s="36">
        <f>IF(B93="","",SUMPRODUCT(((Berechnung!D93:O93+Berechnung!Q93:AB93)&gt;0)*1))</f>
        <v/>
      </c>
      <c r="K93" s="62">
        <f>IF(B93="","",IF(N(D93)&gt;0,F93/D93,""))</f>
        <v/>
      </c>
      <c r="L93" s="40">
        <f>IF(B93="","",IF(N(E93)&gt;0,IF(Einstellungen!$C$10="Ja",F93/E93,F93/(E93+F93)),""))</f>
        <v/>
      </c>
      <c r="M93" s="63">
        <f>IF(L93="","",RANK(L93,$L$6:$L$305,0))</f>
        <v/>
      </c>
      <c r="N93" s="56">
        <f>IF(B93="","",IF(L93="","keine Ist-Std.",IF(L93&lt;=Einstellungen!$C$7,"unauffällig",IF(L93&lt;=Einstellungen!$C$8,"auffällig","kritisch"))))</f>
        <v/>
      </c>
      <c r="O93" s="64">
        <f>IF(L93="",-1,L93+ROW()/1000000000)</f>
        <v/>
      </c>
      <c r="P93" s="61">
        <f>IF(B93="","",Berechnung!AF93)</f>
        <v/>
      </c>
      <c r="Q93" s="57">
        <f>IF(B93="","",Berechnung!AG93)</f>
        <v/>
      </c>
      <c r="R93" s="57">
        <f>IF(B93="","",'Ist-Stunden'!D93)</f>
        <v/>
      </c>
      <c r="S93" s="59">
        <f>IF(B93="","",IF(N(R93)&gt;0,IF(Einstellungen!$C$10="Ja",Q93/R93,Q93/(R93+Q93)),""))</f>
        <v/>
      </c>
      <c r="T93" s="56">
        <f>IF(B93="","",IF(S93="","keine Ist-Std.",IF(S93&lt;=Einstellungen!$C$7,"unauffällig",IF(S93&lt;=Einstellungen!$C$8,"auffällig","kritisch"))))</f>
        <v/>
      </c>
    </row>
    <row r="94">
      <c r="A94" s="47">
        <f>IF(Mitarbeiter!B94="","",Mitarbeiter!A94)</f>
        <v/>
      </c>
      <c r="B94" s="48">
        <f>IF(Mitarbeiter!B94="","",Mitarbeiter!B94)</f>
        <v/>
      </c>
      <c r="C94" s="7">
        <f>IF(Mitarbeiter!B94="","",Mitarbeiter!G94)</f>
        <v/>
      </c>
      <c r="D94" s="57">
        <f>IF(Mitarbeiter!B94="","",Mitarbeiter!H94)</f>
        <v/>
      </c>
      <c r="E94" s="57">
        <f>IF(Mitarbeiter!B94="","",'Ist-Stunden'!C94)</f>
        <v/>
      </c>
      <c r="F94" s="57">
        <f>IF(B94="","",Berechnung!AE94)</f>
        <v/>
      </c>
      <c r="G94" s="61">
        <f>IF(B94="","",Berechnung!P94)</f>
        <v/>
      </c>
      <c r="H94" s="61">
        <f>IF(B94="","",Berechnung!AC94)</f>
        <v/>
      </c>
      <c r="I94" s="61">
        <f>IF(B94="","",Berechnung!AD94)</f>
        <v/>
      </c>
      <c r="J94" s="36">
        <f>IF(B94="","",SUMPRODUCT(((Berechnung!D94:O94+Berechnung!Q94:AB94)&gt;0)*1))</f>
        <v/>
      </c>
      <c r="K94" s="62">
        <f>IF(B94="","",IF(N(D94)&gt;0,F94/D94,""))</f>
        <v/>
      </c>
      <c r="L94" s="40">
        <f>IF(B94="","",IF(N(E94)&gt;0,IF(Einstellungen!$C$10="Ja",F94/E94,F94/(E94+F94)),""))</f>
        <v/>
      </c>
      <c r="M94" s="63">
        <f>IF(L94="","",RANK(L94,$L$6:$L$305,0))</f>
        <v/>
      </c>
      <c r="N94" s="56">
        <f>IF(B94="","",IF(L94="","keine Ist-Std.",IF(L94&lt;=Einstellungen!$C$7,"unauffällig",IF(L94&lt;=Einstellungen!$C$8,"auffällig","kritisch"))))</f>
        <v/>
      </c>
      <c r="O94" s="64">
        <f>IF(L94="",-1,L94+ROW()/1000000000)</f>
        <v/>
      </c>
      <c r="P94" s="61">
        <f>IF(B94="","",Berechnung!AF94)</f>
        <v/>
      </c>
      <c r="Q94" s="57">
        <f>IF(B94="","",Berechnung!AG94)</f>
        <v/>
      </c>
      <c r="R94" s="57">
        <f>IF(B94="","",'Ist-Stunden'!D94)</f>
        <v/>
      </c>
      <c r="S94" s="59">
        <f>IF(B94="","",IF(N(R94)&gt;0,IF(Einstellungen!$C$10="Ja",Q94/R94,Q94/(R94+Q94)),""))</f>
        <v/>
      </c>
      <c r="T94" s="56">
        <f>IF(B94="","",IF(S94="","keine Ist-Std.",IF(S94&lt;=Einstellungen!$C$7,"unauffällig",IF(S94&lt;=Einstellungen!$C$8,"auffällig","kritisch"))))</f>
        <v/>
      </c>
    </row>
    <row r="95">
      <c r="A95" s="47">
        <f>IF(Mitarbeiter!B95="","",Mitarbeiter!A95)</f>
        <v/>
      </c>
      <c r="B95" s="48">
        <f>IF(Mitarbeiter!B95="","",Mitarbeiter!B95)</f>
        <v/>
      </c>
      <c r="C95" s="7">
        <f>IF(Mitarbeiter!B95="","",Mitarbeiter!G95)</f>
        <v/>
      </c>
      <c r="D95" s="57">
        <f>IF(Mitarbeiter!B95="","",Mitarbeiter!H95)</f>
        <v/>
      </c>
      <c r="E95" s="57">
        <f>IF(Mitarbeiter!B95="","",'Ist-Stunden'!C95)</f>
        <v/>
      </c>
      <c r="F95" s="57">
        <f>IF(B95="","",Berechnung!AE95)</f>
        <v/>
      </c>
      <c r="G95" s="61">
        <f>IF(B95="","",Berechnung!P95)</f>
        <v/>
      </c>
      <c r="H95" s="61">
        <f>IF(B95="","",Berechnung!AC95)</f>
        <v/>
      </c>
      <c r="I95" s="61">
        <f>IF(B95="","",Berechnung!AD95)</f>
        <v/>
      </c>
      <c r="J95" s="36">
        <f>IF(B95="","",SUMPRODUCT(((Berechnung!D95:O95+Berechnung!Q95:AB95)&gt;0)*1))</f>
        <v/>
      </c>
      <c r="K95" s="62">
        <f>IF(B95="","",IF(N(D95)&gt;0,F95/D95,""))</f>
        <v/>
      </c>
      <c r="L95" s="40">
        <f>IF(B95="","",IF(N(E95)&gt;0,IF(Einstellungen!$C$10="Ja",F95/E95,F95/(E95+F95)),""))</f>
        <v/>
      </c>
      <c r="M95" s="63">
        <f>IF(L95="","",RANK(L95,$L$6:$L$305,0))</f>
        <v/>
      </c>
      <c r="N95" s="56">
        <f>IF(B95="","",IF(L95="","keine Ist-Std.",IF(L95&lt;=Einstellungen!$C$7,"unauffällig",IF(L95&lt;=Einstellungen!$C$8,"auffällig","kritisch"))))</f>
        <v/>
      </c>
      <c r="O95" s="64">
        <f>IF(L95="",-1,L95+ROW()/1000000000)</f>
        <v/>
      </c>
      <c r="P95" s="61">
        <f>IF(B95="","",Berechnung!AF95)</f>
        <v/>
      </c>
      <c r="Q95" s="57">
        <f>IF(B95="","",Berechnung!AG95)</f>
        <v/>
      </c>
      <c r="R95" s="57">
        <f>IF(B95="","",'Ist-Stunden'!D95)</f>
        <v/>
      </c>
      <c r="S95" s="59">
        <f>IF(B95="","",IF(N(R95)&gt;0,IF(Einstellungen!$C$10="Ja",Q95/R95,Q95/(R95+Q95)),""))</f>
        <v/>
      </c>
      <c r="T95" s="56">
        <f>IF(B95="","",IF(S95="","keine Ist-Std.",IF(S95&lt;=Einstellungen!$C$7,"unauffällig",IF(S95&lt;=Einstellungen!$C$8,"auffällig","kritisch"))))</f>
        <v/>
      </c>
    </row>
    <row r="96">
      <c r="A96" s="47">
        <f>IF(Mitarbeiter!B96="","",Mitarbeiter!A96)</f>
        <v/>
      </c>
      <c r="B96" s="48">
        <f>IF(Mitarbeiter!B96="","",Mitarbeiter!B96)</f>
        <v/>
      </c>
      <c r="C96" s="7">
        <f>IF(Mitarbeiter!B96="","",Mitarbeiter!G96)</f>
        <v/>
      </c>
      <c r="D96" s="57">
        <f>IF(Mitarbeiter!B96="","",Mitarbeiter!H96)</f>
        <v/>
      </c>
      <c r="E96" s="57">
        <f>IF(Mitarbeiter!B96="","",'Ist-Stunden'!C96)</f>
        <v/>
      </c>
      <c r="F96" s="57">
        <f>IF(B96="","",Berechnung!AE96)</f>
        <v/>
      </c>
      <c r="G96" s="61">
        <f>IF(B96="","",Berechnung!P96)</f>
        <v/>
      </c>
      <c r="H96" s="61">
        <f>IF(B96="","",Berechnung!AC96)</f>
        <v/>
      </c>
      <c r="I96" s="61">
        <f>IF(B96="","",Berechnung!AD96)</f>
        <v/>
      </c>
      <c r="J96" s="36">
        <f>IF(B96="","",SUMPRODUCT(((Berechnung!D96:O96+Berechnung!Q96:AB96)&gt;0)*1))</f>
        <v/>
      </c>
      <c r="K96" s="62">
        <f>IF(B96="","",IF(N(D96)&gt;0,F96/D96,""))</f>
        <v/>
      </c>
      <c r="L96" s="40">
        <f>IF(B96="","",IF(N(E96)&gt;0,IF(Einstellungen!$C$10="Ja",F96/E96,F96/(E96+F96)),""))</f>
        <v/>
      </c>
      <c r="M96" s="63">
        <f>IF(L96="","",RANK(L96,$L$6:$L$305,0))</f>
        <v/>
      </c>
      <c r="N96" s="56">
        <f>IF(B96="","",IF(L96="","keine Ist-Std.",IF(L96&lt;=Einstellungen!$C$7,"unauffällig",IF(L96&lt;=Einstellungen!$C$8,"auffällig","kritisch"))))</f>
        <v/>
      </c>
      <c r="O96" s="64">
        <f>IF(L96="",-1,L96+ROW()/1000000000)</f>
        <v/>
      </c>
      <c r="P96" s="61">
        <f>IF(B96="","",Berechnung!AF96)</f>
        <v/>
      </c>
      <c r="Q96" s="57">
        <f>IF(B96="","",Berechnung!AG96)</f>
        <v/>
      </c>
      <c r="R96" s="57">
        <f>IF(B96="","",'Ist-Stunden'!D96)</f>
        <v/>
      </c>
      <c r="S96" s="59">
        <f>IF(B96="","",IF(N(R96)&gt;0,IF(Einstellungen!$C$10="Ja",Q96/R96,Q96/(R96+Q96)),""))</f>
        <v/>
      </c>
      <c r="T96" s="56">
        <f>IF(B96="","",IF(S96="","keine Ist-Std.",IF(S96&lt;=Einstellungen!$C$7,"unauffällig",IF(S96&lt;=Einstellungen!$C$8,"auffällig","kritisch"))))</f>
        <v/>
      </c>
    </row>
    <row r="97">
      <c r="A97" s="47">
        <f>IF(Mitarbeiter!B97="","",Mitarbeiter!A97)</f>
        <v/>
      </c>
      <c r="B97" s="48">
        <f>IF(Mitarbeiter!B97="","",Mitarbeiter!B97)</f>
        <v/>
      </c>
      <c r="C97" s="7">
        <f>IF(Mitarbeiter!B97="","",Mitarbeiter!G97)</f>
        <v/>
      </c>
      <c r="D97" s="57">
        <f>IF(Mitarbeiter!B97="","",Mitarbeiter!H97)</f>
        <v/>
      </c>
      <c r="E97" s="57">
        <f>IF(Mitarbeiter!B97="","",'Ist-Stunden'!C97)</f>
        <v/>
      </c>
      <c r="F97" s="57">
        <f>IF(B97="","",Berechnung!AE97)</f>
        <v/>
      </c>
      <c r="G97" s="61">
        <f>IF(B97="","",Berechnung!P97)</f>
        <v/>
      </c>
      <c r="H97" s="61">
        <f>IF(B97="","",Berechnung!AC97)</f>
        <v/>
      </c>
      <c r="I97" s="61">
        <f>IF(B97="","",Berechnung!AD97)</f>
        <v/>
      </c>
      <c r="J97" s="36">
        <f>IF(B97="","",SUMPRODUCT(((Berechnung!D97:O97+Berechnung!Q97:AB97)&gt;0)*1))</f>
        <v/>
      </c>
      <c r="K97" s="62">
        <f>IF(B97="","",IF(N(D97)&gt;0,F97/D97,""))</f>
        <v/>
      </c>
      <c r="L97" s="40">
        <f>IF(B97="","",IF(N(E97)&gt;0,IF(Einstellungen!$C$10="Ja",F97/E97,F97/(E97+F97)),""))</f>
        <v/>
      </c>
      <c r="M97" s="63">
        <f>IF(L97="","",RANK(L97,$L$6:$L$305,0))</f>
        <v/>
      </c>
      <c r="N97" s="56">
        <f>IF(B97="","",IF(L97="","keine Ist-Std.",IF(L97&lt;=Einstellungen!$C$7,"unauffällig",IF(L97&lt;=Einstellungen!$C$8,"auffällig","kritisch"))))</f>
        <v/>
      </c>
      <c r="O97" s="64">
        <f>IF(L97="",-1,L97+ROW()/1000000000)</f>
        <v/>
      </c>
      <c r="P97" s="61">
        <f>IF(B97="","",Berechnung!AF97)</f>
        <v/>
      </c>
      <c r="Q97" s="57">
        <f>IF(B97="","",Berechnung!AG97)</f>
        <v/>
      </c>
      <c r="R97" s="57">
        <f>IF(B97="","",'Ist-Stunden'!D97)</f>
        <v/>
      </c>
      <c r="S97" s="59">
        <f>IF(B97="","",IF(N(R97)&gt;0,IF(Einstellungen!$C$10="Ja",Q97/R97,Q97/(R97+Q97)),""))</f>
        <v/>
      </c>
      <c r="T97" s="56">
        <f>IF(B97="","",IF(S97="","keine Ist-Std.",IF(S97&lt;=Einstellungen!$C$7,"unauffällig",IF(S97&lt;=Einstellungen!$C$8,"auffällig","kritisch"))))</f>
        <v/>
      </c>
    </row>
    <row r="98">
      <c r="A98" s="47">
        <f>IF(Mitarbeiter!B98="","",Mitarbeiter!A98)</f>
        <v/>
      </c>
      <c r="B98" s="48">
        <f>IF(Mitarbeiter!B98="","",Mitarbeiter!B98)</f>
        <v/>
      </c>
      <c r="C98" s="7">
        <f>IF(Mitarbeiter!B98="","",Mitarbeiter!G98)</f>
        <v/>
      </c>
      <c r="D98" s="57">
        <f>IF(Mitarbeiter!B98="","",Mitarbeiter!H98)</f>
        <v/>
      </c>
      <c r="E98" s="57">
        <f>IF(Mitarbeiter!B98="","",'Ist-Stunden'!C98)</f>
        <v/>
      </c>
      <c r="F98" s="57">
        <f>IF(B98="","",Berechnung!AE98)</f>
        <v/>
      </c>
      <c r="G98" s="61">
        <f>IF(B98="","",Berechnung!P98)</f>
        <v/>
      </c>
      <c r="H98" s="61">
        <f>IF(B98="","",Berechnung!AC98)</f>
        <v/>
      </c>
      <c r="I98" s="61">
        <f>IF(B98="","",Berechnung!AD98)</f>
        <v/>
      </c>
      <c r="J98" s="36">
        <f>IF(B98="","",SUMPRODUCT(((Berechnung!D98:O98+Berechnung!Q98:AB98)&gt;0)*1))</f>
        <v/>
      </c>
      <c r="K98" s="62">
        <f>IF(B98="","",IF(N(D98)&gt;0,F98/D98,""))</f>
        <v/>
      </c>
      <c r="L98" s="40">
        <f>IF(B98="","",IF(N(E98)&gt;0,IF(Einstellungen!$C$10="Ja",F98/E98,F98/(E98+F98)),""))</f>
        <v/>
      </c>
      <c r="M98" s="63">
        <f>IF(L98="","",RANK(L98,$L$6:$L$305,0))</f>
        <v/>
      </c>
      <c r="N98" s="56">
        <f>IF(B98="","",IF(L98="","keine Ist-Std.",IF(L98&lt;=Einstellungen!$C$7,"unauffällig",IF(L98&lt;=Einstellungen!$C$8,"auffällig","kritisch"))))</f>
        <v/>
      </c>
      <c r="O98" s="64">
        <f>IF(L98="",-1,L98+ROW()/1000000000)</f>
        <v/>
      </c>
      <c r="P98" s="61">
        <f>IF(B98="","",Berechnung!AF98)</f>
        <v/>
      </c>
      <c r="Q98" s="57">
        <f>IF(B98="","",Berechnung!AG98)</f>
        <v/>
      </c>
      <c r="R98" s="57">
        <f>IF(B98="","",'Ist-Stunden'!D98)</f>
        <v/>
      </c>
      <c r="S98" s="59">
        <f>IF(B98="","",IF(N(R98)&gt;0,IF(Einstellungen!$C$10="Ja",Q98/R98,Q98/(R98+Q98)),""))</f>
        <v/>
      </c>
      <c r="T98" s="56">
        <f>IF(B98="","",IF(S98="","keine Ist-Std.",IF(S98&lt;=Einstellungen!$C$7,"unauffällig",IF(S98&lt;=Einstellungen!$C$8,"auffällig","kritisch"))))</f>
        <v/>
      </c>
    </row>
    <row r="99">
      <c r="A99" s="47">
        <f>IF(Mitarbeiter!B99="","",Mitarbeiter!A99)</f>
        <v/>
      </c>
      <c r="B99" s="48">
        <f>IF(Mitarbeiter!B99="","",Mitarbeiter!B99)</f>
        <v/>
      </c>
      <c r="C99" s="7">
        <f>IF(Mitarbeiter!B99="","",Mitarbeiter!G99)</f>
        <v/>
      </c>
      <c r="D99" s="57">
        <f>IF(Mitarbeiter!B99="","",Mitarbeiter!H99)</f>
        <v/>
      </c>
      <c r="E99" s="57">
        <f>IF(Mitarbeiter!B99="","",'Ist-Stunden'!C99)</f>
        <v/>
      </c>
      <c r="F99" s="57">
        <f>IF(B99="","",Berechnung!AE99)</f>
        <v/>
      </c>
      <c r="G99" s="61">
        <f>IF(B99="","",Berechnung!P99)</f>
        <v/>
      </c>
      <c r="H99" s="61">
        <f>IF(B99="","",Berechnung!AC99)</f>
        <v/>
      </c>
      <c r="I99" s="61">
        <f>IF(B99="","",Berechnung!AD99)</f>
        <v/>
      </c>
      <c r="J99" s="36">
        <f>IF(B99="","",SUMPRODUCT(((Berechnung!D99:O99+Berechnung!Q99:AB99)&gt;0)*1))</f>
        <v/>
      </c>
      <c r="K99" s="62">
        <f>IF(B99="","",IF(N(D99)&gt;0,F99/D99,""))</f>
        <v/>
      </c>
      <c r="L99" s="40">
        <f>IF(B99="","",IF(N(E99)&gt;0,IF(Einstellungen!$C$10="Ja",F99/E99,F99/(E99+F99)),""))</f>
        <v/>
      </c>
      <c r="M99" s="63">
        <f>IF(L99="","",RANK(L99,$L$6:$L$305,0))</f>
        <v/>
      </c>
      <c r="N99" s="56">
        <f>IF(B99="","",IF(L99="","keine Ist-Std.",IF(L99&lt;=Einstellungen!$C$7,"unauffällig",IF(L99&lt;=Einstellungen!$C$8,"auffällig","kritisch"))))</f>
        <v/>
      </c>
      <c r="O99" s="64">
        <f>IF(L99="",-1,L99+ROW()/1000000000)</f>
        <v/>
      </c>
      <c r="P99" s="61">
        <f>IF(B99="","",Berechnung!AF99)</f>
        <v/>
      </c>
      <c r="Q99" s="57">
        <f>IF(B99="","",Berechnung!AG99)</f>
        <v/>
      </c>
      <c r="R99" s="57">
        <f>IF(B99="","",'Ist-Stunden'!D99)</f>
        <v/>
      </c>
      <c r="S99" s="59">
        <f>IF(B99="","",IF(N(R99)&gt;0,IF(Einstellungen!$C$10="Ja",Q99/R99,Q99/(R99+Q99)),""))</f>
        <v/>
      </c>
      <c r="T99" s="56">
        <f>IF(B99="","",IF(S99="","keine Ist-Std.",IF(S99&lt;=Einstellungen!$C$7,"unauffällig",IF(S99&lt;=Einstellungen!$C$8,"auffällig","kritisch"))))</f>
        <v/>
      </c>
    </row>
    <row r="100">
      <c r="A100" s="47">
        <f>IF(Mitarbeiter!B100="","",Mitarbeiter!A100)</f>
        <v/>
      </c>
      <c r="B100" s="48">
        <f>IF(Mitarbeiter!B100="","",Mitarbeiter!B100)</f>
        <v/>
      </c>
      <c r="C100" s="7">
        <f>IF(Mitarbeiter!B100="","",Mitarbeiter!G100)</f>
        <v/>
      </c>
      <c r="D100" s="57">
        <f>IF(Mitarbeiter!B100="","",Mitarbeiter!H100)</f>
        <v/>
      </c>
      <c r="E100" s="57">
        <f>IF(Mitarbeiter!B100="","",'Ist-Stunden'!C100)</f>
        <v/>
      </c>
      <c r="F100" s="57">
        <f>IF(B100="","",Berechnung!AE100)</f>
        <v/>
      </c>
      <c r="G100" s="61">
        <f>IF(B100="","",Berechnung!P100)</f>
        <v/>
      </c>
      <c r="H100" s="61">
        <f>IF(B100="","",Berechnung!AC100)</f>
        <v/>
      </c>
      <c r="I100" s="61">
        <f>IF(B100="","",Berechnung!AD100)</f>
        <v/>
      </c>
      <c r="J100" s="36">
        <f>IF(B100="","",SUMPRODUCT(((Berechnung!D100:O100+Berechnung!Q100:AB100)&gt;0)*1))</f>
        <v/>
      </c>
      <c r="K100" s="62">
        <f>IF(B100="","",IF(N(D100)&gt;0,F100/D100,""))</f>
        <v/>
      </c>
      <c r="L100" s="40">
        <f>IF(B100="","",IF(N(E100)&gt;0,IF(Einstellungen!$C$10="Ja",F100/E100,F100/(E100+F100)),""))</f>
        <v/>
      </c>
      <c r="M100" s="63">
        <f>IF(L100="","",RANK(L100,$L$6:$L$305,0))</f>
        <v/>
      </c>
      <c r="N100" s="56">
        <f>IF(B100="","",IF(L100="","keine Ist-Std.",IF(L100&lt;=Einstellungen!$C$7,"unauffällig",IF(L100&lt;=Einstellungen!$C$8,"auffällig","kritisch"))))</f>
        <v/>
      </c>
      <c r="O100" s="64">
        <f>IF(L100="",-1,L100+ROW()/1000000000)</f>
        <v/>
      </c>
      <c r="P100" s="61">
        <f>IF(B100="","",Berechnung!AF100)</f>
        <v/>
      </c>
      <c r="Q100" s="57">
        <f>IF(B100="","",Berechnung!AG100)</f>
        <v/>
      </c>
      <c r="R100" s="57">
        <f>IF(B100="","",'Ist-Stunden'!D100)</f>
        <v/>
      </c>
      <c r="S100" s="59">
        <f>IF(B100="","",IF(N(R100)&gt;0,IF(Einstellungen!$C$10="Ja",Q100/R100,Q100/(R100+Q100)),""))</f>
        <v/>
      </c>
      <c r="T100" s="56">
        <f>IF(B100="","",IF(S100="","keine Ist-Std.",IF(S100&lt;=Einstellungen!$C$7,"unauffällig",IF(S100&lt;=Einstellungen!$C$8,"auffällig","kritisch"))))</f>
        <v/>
      </c>
    </row>
    <row r="101">
      <c r="A101" s="47">
        <f>IF(Mitarbeiter!B101="","",Mitarbeiter!A101)</f>
        <v/>
      </c>
      <c r="B101" s="48">
        <f>IF(Mitarbeiter!B101="","",Mitarbeiter!B101)</f>
        <v/>
      </c>
      <c r="C101" s="7">
        <f>IF(Mitarbeiter!B101="","",Mitarbeiter!G101)</f>
        <v/>
      </c>
      <c r="D101" s="57">
        <f>IF(Mitarbeiter!B101="","",Mitarbeiter!H101)</f>
        <v/>
      </c>
      <c r="E101" s="57">
        <f>IF(Mitarbeiter!B101="","",'Ist-Stunden'!C101)</f>
        <v/>
      </c>
      <c r="F101" s="57">
        <f>IF(B101="","",Berechnung!AE101)</f>
        <v/>
      </c>
      <c r="G101" s="61">
        <f>IF(B101="","",Berechnung!P101)</f>
        <v/>
      </c>
      <c r="H101" s="61">
        <f>IF(B101="","",Berechnung!AC101)</f>
        <v/>
      </c>
      <c r="I101" s="61">
        <f>IF(B101="","",Berechnung!AD101)</f>
        <v/>
      </c>
      <c r="J101" s="36">
        <f>IF(B101="","",SUMPRODUCT(((Berechnung!D101:O101+Berechnung!Q101:AB101)&gt;0)*1))</f>
        <v/>
      </c>
      <c r="K101" s="62">
        <f>IF(B101="","",IF(N(D101)&gt;0,F101/D101,""))</f>
        <v/>
      </c>
      <c r="L101" s="40">
        <f>IF(B101="","",IF(N(E101)&gt;0,IF(Einstellungen!$C$10="Ja",F101/E101,F101/(E101+F101)),""))</f>
        <v/>
      </c>
      <c r="M101" s="63">
        <f>IF(L101="","",RANK(L101,$L$6:$L$305,0))</f>
        <v/>
      </c>
      <c r="N101" s="56">
        <f>IF(B101="","",IF(L101="","keine Ist-Std.",IF(L101&lt;=Einstellungen!$C$7,"unauffällig",IF(L101&lt;=Einstellungen!$C$8,"auffällig","kritisch"))))</f>
        <v/>
      </c>
      <c r="O101" s="64">
        <f>IF(L101="",-1,L101+ROW()/1000000000)</f>
        <v/>
      </c>
      <c r="P101" s="61">
        <f>IF(B101="","",Berechnung!AF101)</f>
        <v/>
      </c>
      <c r="Q101" s="57">
        <f>IF(B101="","",Berechnung!AG101)</f>
        <v/>
      </c>
      <c r="R101" s="57">
        <f>IF(B101="","",'Ist-Stunden'!D101)</f>
        <v/>
      </c>
      <c r="S101" s="59">
        <f>IF(B101="","",IF(N(R101)&gt;0,IF(Einstellungen!$C$10="Ja",Q101/R101,Q101/(R101+Q101)),""))</f>
        <v/>
      </c>
      <c r="T101" s="56">
        <f>IF(B101="","",IF(S101="","keine Ist-Std.",IF(S101&lt;=Einstellungen!$C$7,"unauffällig",IF(S101&lt;=Einstellungen!$C$8,"auffällig","kritisch"))))</f>
        <v/>
      </c>
    </row>
    <row r="102">
      <c r="A102" s="47">
        <f>IF(Mitarbeiter!B102="","",Mitarbeiter!A102)</f>
        <v/>
      </c>
      <c r="B102" s="48">
        <f>IF(Mitarbeiter!B102="","",Mitarbeiter!B102)</f>
        <v/>
      </c>
      <c r="C102" s="7">
        <f>IF(Mitarbeiter!B102="","",Mitarbeiter!G102)</f>
        <v/>
      </c>
      <c r="D102" s="57">
        <f>IF(Mitarbeiter!B102="","",Mitarbeiter!H102)</f>
        <v/>
      </c>
      <c r="E102" s="57">
        <f>IF(Mitarbeiter!B102="","",'Ist-Stunden'!C102)</f>
        <v/>
      </c>
      <c r="F102" s="57">
        <f>IF(B102="","",Berechnung!AE102)</f>
        <v/>
      </c>
      <c r="G102" s="61">
        <f>IF(B102="","",Berechnung!P102)</f>
        <v/>
      </c>
      <c r="H102" s="61">
        <f>IF(B102="","",Berechnung!AC102)</f>
        <v/>
      </c>
      <c r="I102" s="61">
        <f>IF(B102="","",Berechnung!AD102)</f>
        <v/>
      </c>
      <c r="J102" s="36">
        <f>IF(B102="","",SUMPRODUCT(((Berechnung!D102:O102+Berechnung!Q102:AB102)&gt;0)*1))</f>
        <v/>
      </c>
      <c r="K102" s="62">
        <f>IF(B102="","",IF(N(D102)&gt;0,F102/D102,""))</f>
        <v/>
      </c>
      <c r="L102" s="40">
        <f>IF(B102="","",IF(N(E102)&gt;0,IF(Einstellungen!$C$10="Ja",F102/E102,F102/(E102+F102)),""))</f>
        <v/>
      </c>
      <c r="M102" s="63">
        <f>IF(L102="","",RANK(L102,$L$6:$L$305,0))</f>
        <v/>
      </c>
      <c r="N102" s="56">
        <f>IF(B102="","",IF(L102="","keine Ist-Std.",IF(L102&lt;=Einstellungen!$C$7,"unauffällig",IF(L102&lt;=Einstellungen!$C$8,"auffällig","kritisch"))))</f>
        <v/>
      </c>
      <c r="O102" s="64">
        <f>IF(L102="",-1,L102+ROW()/1000000000)</f>
        <v/>
      </c>
      <c r="P102" s="61">
        <f>IF(B102="","",Berechnung!AF102)</f>
        <v/>
      </c>
      <c r="Q102" s="57">
        <f>IF(B102="","",Berechnung!AG102)</f>
        <v/>
      </c>
      <c r="R102" s="57">
        <f>IF(B102="","",'Ist-Stunden'!D102)</f>
        <v/>
      </c>
      <c r="S102" s="59">
        <f>IF(B102="","",IF(N(R102)&gt;0,IF(Einstellungen!$C$10="Ja",Q102/R102,Q102/(R102+Q102)),""))</f>
        <v/>
      </c>
      <c r="T102" s="56">
        <f>IF(B102="","",IF(S102="","keine Ist-Std.",IF(S102&lt;=Einstellungen!$C$7,"unauffällig",IF(S102&lt;=Einstellungen!$C$8,"auffällig","kritisch"))))</f>
        <v/>
      </c>
    </row>
    <row r="103">
      <c r="A103" s="47">
        <f>IF(Mitarbeiter!B103="","",Mitarbeiter!A103)</f>
        <v/>
      </c>
      <c r="B103" s="48">
        <f>IF(Mitarbeiter!B103="","",Mitarbeiter!B103)</f>
        <v/>
      </c>
      <c r="C103" s="7">
        <f>IF(Mitarbeiter!B103="","",Mitarbeiter!G103)</f>
        <v/>
      </c>
      <c r="D103" s="57">
        <f>IF(Mitarbeiter!B103="","",Mitarbeiter!H103)</f>
        <v/>
      </c>
      <c r="E103" s="57">
        <f>IF(Mitarbeiter!B103="","",'Ist-Stunden'!C103)</f>
        <v/>
      </c>
      <c r="F103" s="57">
        <f>IF(B103="","",Berechnung!AE103)</f>
        <v/>
      </c>
      <c r="G103" s="61">
        <f>IF(B103="","",Berechnung!P103)</f>
        <v/>
      </c>
      <c r="H103" s="61">
        <f>IF(B103="","",Berechnung!AC103)</f>
        <v/>
      </c>
      <c r="I103" s="61">
        <f>IF(B103="","",Berechnung!AD103)</f>
        <v/>
      </c>
      <c r="J103" s="36">
        <f>IF(B103="","",SUMPRODUCT(((Berechnung!D103:O103+Berechnung!Q103:AB103)&gt;0)*1))</f>
        <v/>
      </c>
      <c r="K103" s="62">
        <f>IF(B103="","",IF(N(D103)&gt;0,F103/D103,""))</f>
        <v/>
      </c>
      <c r="L103" s="40">
        <f>IF(B103="","",IF(N(E103)&gt;0,IF(Einstellungen!$C$10="Ja",F103/E103,F103/(E103+F103)),""))</f>
        <v/>
      </c>
      <c r="M103" s="63">
        <f>IF(L103="","",RANK(L103,$L$6:$L$305,0))</f>
        <v/>
      </c>
      <c r="N103" s="56">
        <f>IF(B103="","",IF(L103="","keine Ist-Std.",IF(L103&lt;=Einstellungen!$C$7,"unauffällig",IF(L103&lt;=Einstellungen!$C$8,"auffällig","kritisch"))))</f>
        <v/>
      </c>
      <c r="O103" s="64">
        <f>IF(L103="",-1,L103+ROW()/1000000000)</f>
        <v/>
      </c>
      <c r="P103" s="61">
        <f>IF(B103="","",Berechnung!AF103)</f>
        <v/>
      </c>
      <c r="Q103" s="57">
        <f>IF(B103="","",Berechnung!AG103)</f>
        <v/>
      </c>
      <c r="R103" s="57">
        <f>IF(B103="","",'Ist-Stunden'!D103)</f>
        <v/>
      </c>
      <c r="S103" s="59">
        <f>IF(B103="","",IF(N(R103)&gt;0,IF(Einstellungen!$C$10="Ja",Q103/R103,Q103/(R103+Q103)),""))</f>
        <v/>
      </c>
      <c r="T103" s="56">
        <f>IF(B103="","",IF(S103="","keine Ist-Std.",IF(S103&lt;=Einstellungen!$C$7,"unauffällig",IF(S103&lt;=Einstellungen!$C$8,"auffällig","kritisch"))))</f>
        <v/>
      </c>
    </row>
    <row r="104">
      <c r="A104" s="47">
        <f>IF(Mitarbeiter!B104="","",Mitarbeiter!A104)</f>
        <v/>
      </c>
      <c r="B104" s="48">
        <f>IF(Mitarbeiter!B104="","",Mitarbeiter!B104)</f>
        <v/>
      </c>
      <c r="C104" s="7">
        <f>IF(Mitarbeiter!B104="","",Mitarbeiter!G104)</f>
        <v/>
      </c>
      <c r="D104" s="57">
        <f>IF(Mitarbeiter!B104="","",Mitarbeiter!H104)</f>
        <v/>
      </c>
      <c r="E104" s="57">
        <f>IF(Mitarbeiter!B104="","",'Ist-Stunden'!C104)</f>
        <v/>
      </c>
      <c r="F104" s="57">
        <f>IF(B104="","",Berechnung!AE104)</f>
        <v/>
      </c>
      <c r="G104" s="61">
        <f>IF(B104="","",Berechnung!P104)</f>
        <v/>
      </c>
      <c r="H104" s="61">
        <f>IF(B104="","",Berechnung!AC104)</f>
        <v/>
      </c>
      <c r="I104" s="61">
        <f>IF(B104="","",Berechnung!AD104)</f>
        <v/>
      </c>
      <c r="J104" s="36">
        <f>IF(B104="","",SUMPRODUCT(((Berechnung!D104:O104+Berechnung!Q104:AB104)&gt;0)*1))</f>
        <v/>
      </c>
      <c r="K104" s="62">
        <f>IF(B104="","",IF(N(D104)&gt;0,F104/D104,""))</f>
        <v/>
      </c>
      <c r="L104" s="40">
        <f>IF(B104="","",IF(N(E104)&gt;0,IF(Einstellungen!$C$10="Ja",F104/E104,F104/(E104+F104)),""))</f>
        <v/>
      </c>
      <c r="M104" s="63">
        <f>IF(L104="","",RANK(L104,$L$6:$L$305,0))</f>
        <v/>
      </c>
      <c r="N104" s="56">
        <f>IF(B104="","",IF(L104="","keine Ist-Std.",IF(L104&lt;=Einstellungen!$C$7,"unauffällig",IF(L104&lt;=Einstellungen!$C$8,"auffällig","kritisch"))))</f>
        <v/>
      </c>
      <c r="O104" s="64">
        <f>IF(L104="",-1,L104+ROW()/1000000000)</f>
        <v/>
      </c>
      <c r="P104" s="61">
        <f>IF(B104="","",Berechnung!AF104)</f>
        <v/>
      </c>
      <c r="Q104" s="57">
        <f>IF(B104="","",Berechnung!AG104)</f>
        <v/>
      </c>
      <c r="R104" s="57">
        <f>IF(B104="","",'Ist-Stunden'!D104)</f>
        <v/>
      </c>
      <c r="S104" s="59">
        <f>IF(B104="","",IF(N(R104)&gt;0,IF(Einstellungen!$C$10="Ja",Q104/R104,Q104/(R104+Q104)),""))</f>
        <v/>
      </c>
      <c r="T104" s="56">
        <f>IF(B104="","",IF(S104="","keine Ist-Std.",IF(S104&lt;=Einstellungen!$C$7,"unauffällig",IF(S104&lt;=Einstellungen!$C$8,"auffällig","kritisch"))))</f>
        <v/>
      </c>
    </row>
    <row r="105">
      <c r="A105" s="47">
        <f>IF(Mitarbeiter!B105="","",Mitarbeiter!A105)</f>
        <v/>
      </c>
      <c r="B105" s="48">
        <f>IF(Mitarbeiter!B105="","",Mitarbeiter!B105)</f>
        <v/>
      </c>
      <c r="C105" s="7">
        <f>IF(Mitarbeiter!B105="","",Mitarbeiter!G105)</f>
        <v/>
      </c>
      <c r="D105" s="57">
        <f>IF(Mitarbeiter!B105="","",Mitarbeiter!H105)</f>
        <v/>
      </c>
      <c r="E105" s="57">
        <f>IF(Mitarbeiter!B105="","",'Ist-Stunden'!C105)</f>
        <v/>
      </c>
      <c r="F105" s="57">
        <f>IF(B105="","",Berechnung!AE105)</f>
        <v/>
      </c>
      <c r="G105" s="61">
        <f>IF(B105="","",Berechnung!P105)</f>
        <v/>
      </c>
      <c r="H105" s="61">
        <f>IF(B105="","",Berechnung!AC105)</f>
        <v/>
      </c>
      <c r="I105" s="61">
        <f>IF(B105="","",Berechnung!AD105)</f>
        <v/>
      </c>
      <c r="J105" s="36">
        <f>IF(B105="","",SUMPRODUCT(((Berechnung!D105:O105+Berechnung!Q105:AB105)&gt;0)*1))</f>
        <v/>
      </c>
      <c r="K105" s="62">
        <f>IF(B105="","",IF(N(D105)&gt;0,F105/D105,""))</f>
        <v/>
      </c>
      <c r="L105" s="40">
        <f>IF(B105="","",IF(N(E105)&gt;0,IF(Einstellungen!$C$10="Ja",F105/E105,F105/(E105+F105)),""))</f>
        <v/>
      </c>
      <c r="M105" s="63">
        <f>IF(L105="","",RANK(L105,$L$6:$L$305,0))</f>
        <v/>
      </c>
      <c r="N105" s="56">
        <f>IF(B105="","",IF(L105="","keine Ist-Std.",IF(L105&lt;=Einstellungen!$C$7,"unauffällig",IF(L105&lt;=Einstellungen!$C$8,"auffällig","kritisch"))))</f>
        <v/>
      </c>
      <c r="O105" s="64">
        <f>IF(L105="",-1,L105+ROW()/1000000000)</f>
        <v/>
      </c>
      <c r="P105" s="61">
        <f>IF(B105="","",Berechnung!AF105)</f>
        <v/>
      </c>
      <c r="Q105" s="57">
        <f>IF(B105="","",Berechnung!AG105)</f>
        <v/>
      </c>
      <c r="R105" s="57">
        <f>IF(B105="","",'Ist-Stunden'!D105)</f>
        <v/>
      </c>
      <c r="S105" s="59">
        <f>IF(B105="","",IF(N(R105)&gt;0,IF(Einstellungen!$C$10="Ja",Q105/R105,Q105/(R105+Q105)),""))</f>
        <v/>
      </c>
      <c r="T105" s="56">
        <f>IF(B105="","",IF(S105="","keine Ist-Std.",IF(S105&lt;=Einstellungen!$C$7,"unauffällig",IF(S105&lt;=Einstellungen!$C$8,"auffällig","kritisch"))))</f>
        <v/>
      </c>
    </row>
    <row r="106">
      <c r="A106" s="47">
        <f>IF(Mitarbeiter!B106="","",Mitarbeiter!A106)</f>
        <v/>
      </c>
      <c r="B106" s="48">
        <f>IF(Mitarbeiter!B106="","",Mitarbeiter!B106)</f>
        <v/>
      </c>
      <c r="C106" s="7">
        <f>IF(Mitarbeiter!B106="","",Mitarbeiter!G106)</f>
        <v/>
      </c>
      <c r="D106" s="57">
        <f>IF(Mitarbeiter!B106="","",Mitarbeiter!H106)</f>
        <v/>
      </c>
      <c r="E106" s="57">
        <f>IF(Mitarbeiter!B106="","",'Ist-Stunden'!C106)</f>
        <v/>
      </c>
      <c r="F106" s="57">
        <f>IF(B106="","",Berechnung!AE106)</f>
        <v/>
      </c>
      <c r="G106" s="61">
        <f>IF(B106="","",Berechnung!P106)</f>
        <v/>
      </c>
      <c r="H106" s="61">
        <f>IF(B106="","",Berechnung!AC106)</f>
        <v/>
      </c>
      <c r="I106" s="61">
        <f>IF(B106="","",Berechnung!AD106)</f>
        <v/>
      </c>
      <c r="J106" s="36">
        <f>IF(B106="","",SUMPRODUCT(((Berechnung!D106:O106+Berechnung!Q106:AB106)&gt;0)*1))</f>
        <v/>
      </c>
      <c r="K106" s="62">
        <f>IF(B106="","",IF(N(D106)&gt;0,F106/D106,""))</f>
        <v/>
      </c>
      <c r="L106" s="40">
        <f>IF(B106="","",IF(N(E106)&gt;0,IF(Einstellungen!$C$10="Ja",F106/E106,F106/(E106+F106)),""))</f>
        <v/>
      </c>
      <c r="M106" s="63">
        <f>IF(L106="","",RANK(L106,$L$6:$L$305,0))</f>
        <v/>
      </c>
      <c r="N106" s="56">
        <f>IF(B106="","",IF(L106="","keine Ist-Std.",IF(L106&lt;=Einstellungen!$C$7,"unauffällig",IF(L106&lt;=Einstellungen!$C$8,"auffällig","kritisch"))))</f>
        <v/>
      </c>
      <c r="O106" s="64">
        <f>IF(L106="",-1,L106+ROW()/1000000000)</f>
        <v/>
      </c>
      <c r="P106" s="61">
        <f>IF(B106="","",Berechnung!AF106)</f>
        <v/>
      </c>
      <c r="Q106" s="57">
        <f>IF(B106="","",Berechnung!AG106)</f>
        <v/>
      </c>
      <c r="R106" s="57">
        <f>IF(B106="","",'Ist-Stunden'!D106)</f>
        <v/>
      </c>
      <c r="S106" s="59">
        <f>IF(B106="","",IF(N(R106)&gt;0,IF(Einstellungen!$C$10="Ja",Q106/R106,Q106/(R106+Q106)),""))</f>
        <v/>
      </c>
      <c r="T106" s="56">
        <f>IF(B106="","",IF(S106="","keine Ist-Std.",IF(S106&lt;=Einstellungen!$C$7,"unauffällig",IF(S106&lt;=Einstellungen!$C$8,"auffällig","kritisch"))))</f>
        <v/>
      </c>
    </row>
    <row r="107">
      <c r="A107" s="47">
        <f>IF(Mitarbeiter!B107="","",Mitarbeiter!A107)</f>
        <v/>
      </c>
      <c r="B107" s="48">
        <f>IF(Mitarbeiter!B107="","",Mitarbeiter!B107)</f>
        <v/>
      </c>
      <c r="C107" s="7">
        <f>IF(Mitarbeiter!B107="","",Mitarbeiter!G107)</f>
        <v/>
      </c>
      <c r="D107" s="57">
        <f>IF(Mitarbeiter!B107="","",Mitarbeiter!H107)</f>
        <v/>
      </c>
      <c r="E107" s="57">
        <f>IF(Mitarbeiter!B107="","",'Ist-Stunden'!C107)</f>
        <v/>
      </c>
      <c r="F107" s="57">
        <f>IF(B107="","",Berechnung!AE107)</f>
        <v/>
      </c>
      <c r="G107" s="61">
        <f>IF(B107="","",Berechnung!P107)</f>
        <v/>
      </c>
      <c r="H107" s="61">
        <f>IF(B107="","",Berechnung!AC107)</f>
        <v/>
      </c>
      <c r="I107" s="61">
        <f>IF(B107="","",Berechnung!AD107)</f>
        <v/>
      </c>
      <c r="J107" s="36">
        <f>IF(B107="","",SUMPRODUCT(((Berechnung!D107:O107+Berechnung!Q107:AB107)&gt;0)*1))</f>
        <v/>
      </c>
      <c r="K107" s="62">
        <f>IF(B107="","",IF(N(D107)&gt;0,F107/D107,""))</f>
        <v/>
      </c>
      <c r="L107" s="40">
        <f>IF(B107="","",IF(N(E107)&gt;0,IF(Einstellungen!$C$10="Ja",F107/E107,F107/(E107+F107)),""))</f>
        <v/>
      </c>
      <c r="M107" s="63">
        <f>IF(L107="","",RANK(L107,$L$6:$L$305,0))</f>
        <v/>
      </c>
      <c r="N107" s="56">
        <f>IF(B107="","",IF(L107="","keine Ist-Std.",IF(L107&lt;=Einstellungen!$C$7,"unauffällig",IF(L107&lt;=Einstellungen!$C$8,"auffällig","kritisch"))))</f>
        <v/>
      </c>
      <c r="O107" s="64">
        <f>IF(L107="",-1,L107+ROW()/1000000000)</f>
        <v/>
      </c>
      <c r="P107" s="61">
        <f>IF(B107="","",Berechnung!AF107)</f>
        <v/>
      </c>
      <c r="Q107" s="57">
        <f>IF(B107="","",Berechnung!AG107)</f>
        <v/>
      </c>
      <c r="R107" s="57">
        <f>IF(B107="","",'Ist-Stunden'!D107)</f>
        <v/>
      </c>
      <c r="S107" s="59">
        <f>IF(B107="","",IF(N(R107)&gt;0,IF(Einstellungen!$C$10="Ja",Q107/R107,Q107/(R107+Q107)),""))</f>
        <v/>
      </c>
      <c r="T107" s="56">
        <f>IF(B107="","",IF(S107="","keine Ist-Std.",IF(S107&lt;=Einstellungen!$C$7,"unauffällig",IF(S107&lt;=Einstellungen!$C$8,"auffällig","kritisch"))))</f>
        <v/>
      </c>
    </row>
    <row r="108">
      <c r="A108" s="47">
        <f>IF(Mitarbeiter!B108="","",Mitarbeiter!A108)</f>
        <v/>
      </c>
      <c r="B108" s="48">
        <f>IF(Mitarbeiter!B108="","",Mitarbeiter!B108)</f>
        <v/>
      </c>
      <c r="C108" s="7">
        <f>IF(Mitarbeiter!B108="","",Mitarbeiter!G108)</f>
        <v/>
      </c>
      <c r="D108" s="57">
        <f>IF(Mitarbeiter!B108="","",Mitarbeiter!H108)</f>
        <v/>
      </c>
      <c r="E108" s="57">
        <f>IF(Mitarbeiter!B108="","",'Ist-Stunden'!C108)</f>
        <v/>
      </c>
      <c r="F108" s="57">
        <f>IF(B108="","",Berechnung!AE108)</f>
        <v/>
      </c>
      <c r="G108" s="61">
        <f>IF(B108="","",Berechnung!P108)</f>
        <v/>
      </c>
      <c r="H108" s="61">
        <f>IF(B108="","",Berechnung!AC108)</f>
        <v/>
      </c>
      <c r="I108" s="61">
        <f>IF(B108="","",Berechnung!AD108)</f>
        <v/>
      </c>
      <c r="J108" s="36">
        <f>IF(B108="","",SUMPRODUCT(((Berechnung!D108:O108+Berechnung!Q108:AB108)&gt;0)*1))</f>
        <v/>
      </c>
      <c r="K108" s="62">
        <f>IF(B108="","",IF(N(D108)&gt;0,F108/D108,""))</f>
        <v/>
      </c>
      <c r="L108" s="40">
        <f>IF(B108="","",IF(N(E108)&gt;0,IF(Einstellungen!$C$10="Ja",F108/E108,F108/(E108+F108)),""))</f>
        <v/>
      </c>
      <c r="M108" s="63">
        <f>IF(L108="","",RANK(L108,$L$6:$L$305,0))</f>
        <v/>
      </c>
      <c r="N108" s="56">
        <f>IF(B108="","",IF(L108="","keine Ist-Std.",IF(L108&lt;=Einstellungen!$C$7,"unauffällig",IF(L108&lt;=Einstellungen!$C$8,"auffällig","kritisch"))))</f>
        <v/>
      </c>
      <c r="O108" s="64">
        <f>IF(L108="",-1,L108+ROW()/1000000000)</f>
        <v/>
      </c>
      <c r="P108" s="61">
        <f>IF(B108="","",Berechnung!AF108)</f>
        <v/>
      </c>
      <c r="Q108" s="57">
        <f>IF(B108="","",Berechnung!AG108)</f>
        <v/>
      </c>
      <c r="R108" s="57">
        <f>IF(B108="","",'Ist-Stunden'!D108)</f>
        <v/>
      </c>
      <c r="S108" s="59">
        <f>IF(B108="","",IF(N(R108)&gt;0,IF(Einstellungen!$C$10="Ja",Q108/R108,Q108/(R108+Q108)),""))</f>
        <v/>
      </c>
      <c r="T108" s="56">
        <f>IF(B108="","",IF(S108="","keine Ist-Std.",IF(S108&lt;=Einstellungen!$C$7,"unauffällig",IF(S108&lt;=Einstellungen!$C$8,"auffällig","kritisch"))))</f>
        <v/>
      </c>
    </row>
    <row r="109">
      <c r="A109" s="47">
        <f>IF(Mitarbeiter!B109="","",Mitarbeiter!A109)</f>
        <v/>
      </c>
      <c r="B109" s="48">
        <f>IF(Mitarbeiter!B109="","",Mitarbeiter!B109)</f>
        <v/>
      </c>
      <c r="C109" s="7">
        <f>IF(Mitarbeiter!B109="","",Mitarbeiter!G109)</f>
        <v/>
      </c>
      <c r="D109" s="57">
        <f>IF(Mitarbeiter!B109="","",Mitarbeiter!H109)</f>
        <v/>
      </c>
      <c r="E109" s="57">
        <f>IF(Mitarbeiter!B109="","",'Ist-Stunden'!C109)</f>
        <v/>
      </c>
      <c r="F109" s="57">
        <f>IF(B109="","",Berechnung!AE109)</f>
        <v/>
      </c>
      <c r="G109" s="61">
        <f>IF(B109="","",Berechnung!P109)</f>
        <v/>
      </c>
      <c r="H109" s="61">
        <f>IF(B109="","",Berechnung!AC109)</f>
        <v/>
      </c>
      <c r="I109" s="61">
        <f>IF(B109="","",Berechnung!AD109)</f>
        <v/>
      </c>
      <c r="J109" s="36">
        <f>IF(B109="","",SUMPRODUCT(((Berechnung!D109:O109+Berechnung!Q109:AB109)&gt;0)*1))</f>
        <v/>
      </c>
      <c r="K109" s="62">
        <f>IF(B109="","",IF(N(D109)&gt;0,F109/D109,""))</f>
        <v/>
      </c>
      <c r="L109" s="40">
        <f>IF(B109="","",IF(N(E109)&gt;0,IF(Einstellungen!$C$10="Ja",F109/E109,F109/(E109+F109)),""))</f>
        <v/>
      </c>
      <c r="M109" s="63">
        <f>IF(L109="","",RANK(L109,$L$6:$L$305,0))</f>
        <v/>
      </c>
      <c r="N109" s="56">
        <f>IF(B109="","",IF(L109="","keine Ist-Std.",IF(L109&lt;=Einstellungen!$C$7,"unauffällig",IF(L109&lt;=Einstellungen!$C$8,"auffällig","kritisch"))))</f>
        <v/>
      </c>
      <c r="O109" s="64">
        <f>IF(L109="",-1,L109+ROW()/1000000000)</f>
        <v/>
      </c>
      <c r="P109" s="61">
        <f>IF(B109="","",Berechnung!AF109)</f>
        <v/>
      </c>
      <c r="Q109" s="57">
        <f>IF(B109="","",Berechnung!AG109)</f>
        <v/>
      </c>
      <c r="R109" s="57">
        <f>IF(B109="","",'Ist-Stunden'!D109)</f>
        <v/>
      </c>
      <c r="S109" s="59">
        <f>IF(B109="","",IF(N(R109)&gt;0,IF(Einstellungen!$C$10="Ja",Q109/R109,Q109/(R109+Q109)),""))</f>
        <v/>
      </c>
      <c r="T109" s="56">
        <f>IF(B109="","",IF(S109="","keine Ist-Std.",IF(S109&lt;=Einstellungen!$C$7,"unauffällig",IF(S109&lt;=Einstellungen!$C$8,"auffällig","kritisch"))))</f>
        <v/>
      </c>
    </row>
    <row r="110">
      <c r="A110" s="47">
        <f>IF(Mitarbeiter!B110="","",Mitarbeiter!A110)</f>
        <v/>
      </c>
      <c r="B110" s="48">
        <f>IF(Mitarbeiter!B110="","",Mitarbeiter!B110)</f>
        <v/>
      </c>
      <c r="C110" s="7">
        <f>IF(Mitarbeiter!B110="","",Mitarbeiter!G110)</f>
        <v/>
      </c>
      <c r="D110" s="57">
        <f>IF(Mitarbeiter!B110="","",Mitarbeiter!H110)</f>
        <v/>
      </c>
      <c r="E110" s="57">
        <f>IF(Mitarbeiter!B110="","",'Ist-Stunden'!C110)</f>
        <v/>
      </c>
      <c r="F110" s="57">
        <f>IF(B110="","",Berechnung!AE110)</f>
        <v/>
      </c>
      <c r="G110" s="61">
        <f>IF(B110="","",Berechnung!P110)</f>
        <v/>
      </c>
      <c r="H110" s="61">
        <f>IF(B110="","",Berechnung!AC110)</f>
        <v/>
      </c>
      <c r="I110" s="61">
        <f>IF(B110="","",Berechnung!AD110)</f>
        <v/>
      </c>
      <c r="J110" s="36">
        <f>IF(B110="","",SUMPRODUCT(((Berechnung!D110:O110+Berechnung!Q110:AB110)&gt;0)*1))</f>
        <v/>
      </c>
      <c r="K110" s="62">
        <f>IF(B110="","",IF(N(D110)&gt;0,F110/D110,""))</f>
        <v/>
      </c>
      <c r="L110" s="40">
        <f>IF(B110="","",IF(N(E110)&gt;0,IF(Einstellungen!$C$10="Ja",F110/E110,F110/(E110+F110)),""))</f>
        <v/>
      </c>
      <c r="M110" s="63">
        <f>IF(L110="","",RANK(L110,$L$6:$L$305,0))</f>
        <v/>
      </c>
      <c r="N110" s="56">
        <f>IF(B110="","",IF(L110="","keine Ist-Std.",IF(L110&lt;=Einstellungen!$C$7,"unauffällig",IF(L110&lt;=Einstellungen!$C$8,"auffällig","kritisch"))))</f>
        <v/>
      </c>
      <c r="O110" s="64">
        <f>IF(L110="",-1,L110+ROW()/1000000000)</f>
        <v/>
      </c>
      <c r="P110" s="61">
        <f>IF(B110="","",Berechnung!AF110)</f>
        <v/>
      </c>
      <c r="Q110" s="57">
        <f>IF(B110="","",Berechnung!AG110)</f>
        <v/>
      </c>
      <c r="R110" s="57">
        <f>IF(B110="","",'Ist-Stunden'!D110)</f>
        <v/>
      </c>
      <c r="S110" s="59">
        <f>IF(B110="","",IF(N(R110)&gt;0,IF(Einstellungen!$C$10="Ja",Q110/R110,Q110/(R110+Q110)),""))</f>
        <v/>
      </c>
      <c r="T110" s="56">
        <f>IF(B110="","",IF(S110="","keine Ist-Std.",IF(S110&lt;=Einstellungen!$C$7,"unauffällig",IF(S110&lt;=Einstellungen!$C$8,"auffällig","kritisch"))))</f>
        <v/>
      </c>
    </row>
    <row r="111">
      <c r="A111" s="47">
        <f>IF(Mitarbeiter!B111="","",Mitarbeiter!A111)</f>
        <v/>
      </c>
      <c r="B111" s="48">
        <f>IF(Mitarbeiter!B111="","",Mitarbeiter!B111)</f>
        <v/>
      </c>
      <c r="C111" s="7">
        <f>IF(Mitarbeiter!B111="","",Mitarbeiter!G111)</f>
        <v/>
      </c>
      <c r="D111" s="57">
        <f>IF(Mitarbeiter!B111="","",Mitarbeiter!H111)</f>
        <v/>
      </c>
      <c r="E111" s="57">
        <f>IF(Mitarbeiter!B111="","",'Ist-Stunden'!C111)</f>
        <v/>
      </c>
      <c r="F111" s="57">
        <f>IF(B111="","",Berechnung!AE111)</f>
        <v/>
      </c>
      <c r="G111" s="61">
        <f>IF(B111="","",Berechnung!P111)</f>
        <v/>
      </c>
      <c r="H111" s="61">
        <f>IF(B111="","",Berechnung!AC111)</f>
        <v/>
      </c>
      <c r="I111" s="61">
        <f>IF(B111="","",Berechnung!AD111)</f>
        <v/>
      </c>
      <c r="J111" s="36">
        <f>IF(B111="","",SUMPRODUCT(((Berechnung!D111:O111+Berechnung!Q111:AB111)&gt;0)*1))</f>
        <v/>
      </c>
      <c r="K111" s="62">
        <f>IF(B111="","",IF(N(D111)&gt;0,F111/D111,""))</f>
        <v/>
      </c>
      <c r="L111" s="40">
        <f>IF(B111="","",IF(N(E111)&gt;0,IF(Einstellungen!$C$10="Ja",F111/E111,F111/(E111+F111)),""))</f>
        <v/>
      </c>
      <c r="M111" s="63">
        <f>IF(L111="","",RANK(L111,$L$6:$L$305,0))</f>
        <v/>
      </c>
      <c r="N111" s="56">
        <f>IF(B111="","",IF(L111="","keine Ist-Std.",IF(L111&lt;=Einstellungen!$C$7,"unauffällig",IF(L111&lt;=Einstellungen!$C$8,"auffällig","kritisch"))))</f>
        <v/>
      </c>
      <c r="O111" s="64">
        <f>IF(L111="",-1,L111+ROW()/1000000000)</f>
        <v/>
      </c>
      <c r="P111" s="61">
        <f>IF(B111="","",Berechnung!AF111)</f>
        <v/>
      </c>
      <c r="Q111" s="57">
        <f>IF(B111="","",Berechnung!AG111)</f>
        <v/>
      </c>
      <c r="R111" s="57">
        <f>IF(B111="","",'Ist-Stunden'!D111)</f>
        <v/>
      </c>
      <c r="S111" s="59">
        <f>IF(B111="","",IF(N(R111)&gt;0,IF(Einstellungen!$C$10="Ja",Q111/R111,Q111/(R111+Q111)),""))</f>
        <v/>
      </c>
      <c r="T111" s="56">
        <f>IF(B111="","",IF(S111="","keine Ist-Std.",IF(S111&lt;=Einstellungen!$C$7,"unauffällig",IF(S111&lt;=Einstellungen!$C$8,"auffällig","kritisch"))))</f>
        <v/>
      </c>
    </row>
    <row r="112">
      <c r="A112" s="47">
        <f>IF(Mitarbeiter!B112="","",Mitarbeiter!A112)</f>
        <v/>
      </c>
      <c r="B112" s="48">
        <f>IF(Mitarbeiter!B112="","",Mitarbeiter!B112)</f>
        <v/>
      </c>
      <c r="C112" s="7">
        <f>IF(Mitarbeiter!B112="","",Mitarbeiter!G112)</f>
        <v/>
      </c>
      <c r="D112" s="57">
        <f>IF(Mitarbeiter!B112="","",Mitarbeiter!H112)</f>
        <v/>
      </c>
      <c r="E112" s="57">
        <f>IF(Mitarbeiter!B112="","",'Ist-Stunden'!C112)</f>
        <v/>
      </c>
      <c r="F112" s="57">
        <f>IF(B112="","",Berechnung!AE112)</f>
        <v/>
      </c>
      <c r="G112" s="61">
        <f>IF(B112="","",Berechnung!P112)</f>
        <v/>
      </c>
      <c r="H112" s="61">
        <f>IF(B112="","",Berechnung!AC112)</f>
        <v/>
      </c>
      <c r="I112" s="61">
        <f>IF(B112="","",Berechnung!AD112)</f>
        <v/>
      </c>
      <c r="J112" s="36">
        <f>IF(B112="","",SUMPRODUCT(((Berechnung!D112:O112+Berechnung!Q112:AB112)&gt;0)*1))</f>
        <v/>
      </c>
      <c r="K112" s="62">
        <f>IF(B112="","",IF(N(D112)&gt;0,F112/D112,""))</f>
        <v/>
      </c>
      <c r="L112" s="40">
        <f>IF(B112="","",IF(N(E112)&gt;0,IF(Einstellungen!$C$10="Ja",F112/E112,F112/(E112+F112)),""))</f>
        <v/>
      </c>
      <c r="M112" s="63">
        <f>IF(L112="","",RANK(L112,$L$6:$L$305,0))</f>
        <v/>
      </c>
      <c r="N112" s="56">
        <f>IF(B112="","",IF(L112="","keine Ist-Std.",IF(L112&lt;=Einstellungen!$C$7,"unauffällig",IF(L112&lt;=Einstellungen!$C$8,"auffällig","kritisch"))))</f>
        <v/>
      </c>
      <c r="O112" s="64">
        <f>IF(L112="",-1,L112+ROW()/1000000000)</f>
        <v/>
      </c>
      <c r="P112" s="61">
        <f>IF(B112="","",Berechnung!AF112)</f>
        <v/>
      </c>
      <c r="Q112" s="57">
        <f>IF(B112="","",Berechnung!AG112)</f>
        <v/>
      </c>
      <c r="R112" s="57">
        <f>IF(B112="","",'Ist-Stunden'!D112)</f>
        <v/>
      </c>
      <c r="S112" s="59">
        <f>IF(B112="","",IF(N(R112)&gt;0,IF(Einstellungen!$C$10="Ja",Q112/R112,Q112/(R112+Q112)),""))</f>
        <v/>
      </c>
      <c r="T112" s="56">
        <f>IF(B112="","",IF(S112="","keine Ist-Std.",IF(S112&lt;=Einstellungen!$C$7,"unauffällig",IF(S112&lt;=Einstellungen!$C$8,"auffällig","kritisch"))))</f>
        <v/>
      </c>
    </row>
    <row r="113">
      <c r="A113" s="47">
        <f>IF(Mitarbeiter!B113="","",Mitarbeiter!A113)</f>
        <v/>
      </c>
      <c r="B113" s="48">
        <f>IF(Mitarbeiter!B113="","",Mitarbeiter!B113)</f>
        <v/>
      </c>
      <c r="C113" s="7">
        <f>IF(Mitarbeiter!B113="","",Mitarbeiter!G113)</f>
        <v/>
      </c>
      <c r="D113" s="57">
        <f>IF(Mitarbeiter!B113="","",Mitarbeiter!H113)</f>
        <v/>
      </c>
      <c r="E113" s="57">
        <f>IF(Mitarbeiter!B113="","",'Ist-Stunden'!C113)</f>
        <v/>
      </c>
      <c r="F113" s="57">
        <f>IF(B113="","",Berechnung!AE113)</f>
        <v/>
      </c>
      <c r="G113" s="61">
        <f>IF(B113="","",Berechnung!P113)</f>
        <v/>
      </c>
      <c r="H113" s="61">
        <f>IF(B113="","",Berechnung!AC113)</f>
        <v/>
      </c>
      <c r="I113" s="61">
        <f>IF(B113="","",Berechnung!AD113)</f>
        <v/>
      </c>
      <c r="J113" s="36">
        <f>IF(B113="","",SUMPRODUCT(((Berechnung!D113:O113+Berechnung!Q113:AB113)&gt;0)*1))</f>
        <v/>
      </c>
      <c r="K113" s="62">
        <f>IF(B113="","",IF(N(D113)&gt;0,F113/D113,""))</f>
        <v/>
      </c>
      <c r="L113" s="40">
        <f>IF(B113="","",IF(N(E113)&gt;0,IF(Einstellungen!$C$10="Ja",F113/E113,F113/(E113+F113)),""))</f>
        <v/>
      </c>
      <c r="M113" s="63">
        <f>IF(L113="","",RANK(L113,$L$6:$L$305,0))</f>
        <v/>
      </c>
      <c r="N113" s="56">
        <f>IF(B113="","",IF(L113="","keine Ist-Std.",IF(L113&lt;=Einstellungen!$C$7,"unauffällig",IF(L113&lt;=Einstellungen!$C$8,"auffällig","kritisch"))))</f>
        <v/>
      </c>
      <c r="O113" s="64">
        <f>IF(L113="",-1,L113+ROW()/1000000000)</f>
        <v/>
      </c>
      <c r="P113" s="61">
        <f>IF(B113="","",Berechnung!AF113)</f>
        <v/>
      </c>
      <c r="Q113" s="57">
        <f>IF(B113="","",Berechnung!AG113)</f>
        <v/>
      </c>
      <c r="R113" s="57">
        <f>IF(B113="","",'Ist-Stunden'!D113)</f>
        <v/>
      </c>
      <c r="S113" s="59">
        <f>IF(B113="","",IF(N(R113)&gt;0,IF(Einstellungen!$C$10="Ja",Q113/R113,Q113/(R113+Q113)),""))</f>
        <v/>
      </c>
      <c r="T113" s="56">
        <f>IF(B113="","",IF(S113="","keine Ist-Std.",IF(S113&lt;=Einstellungen!$C$7,"unauffällig",IF(S113&lt;=Einstellungen!$C$8,"auffällig","kritisch"))))</f>
        <v/>
      </c>
    </row>
    <row r="114">
      <c r="A114" s="47">
        <f>IF(Mitarbeiter!B114="","",Mitarbeiter!A114)</f>
        <v/>
      </c>
      <c r="B114" s="48">
        <f>IF(Mitarbeiter!B114="","",Mitarbeiter!B114)</f>
        <v/>
      </c>
      <c r="C114" s="7">
        <f>IF(Mitarbeiter!B114="","",Mitarbeiter!G114)</f>
        <v/>
      </c>
      <c r="D114" s="57">
        <f>IF(Mitarbeiter!B114="","",Mitarbeiter!H114)</f>
        <v/>
      </c>
      <c r="E114" s="57">
        <f>IF(Mitarbeiter!B114="","",'Ist-Stunden'!C114)</f>
        <v/>
      </c>
      <c r="F114" s="57">
        <f>IF(B114="","",Berechnung!AE114)</f>
        <v/>
      </c>
      <c r="G114" s="61">
        <f>IF(B114="","",Berechnung!P114)</f>
        <v/>
      </c>
      <c r="H114" s="61">
        <f>IF(B114="","",Berechnung!AC114)</f>
        <v/>
      </c>
      <c r="I114" s="61">
        <f>IF(B114="","",Berechnung!AD114)</f>
        <v/>
      </c>
      <c r="J114" s="36">
        <f>IF(B114="","",SUMPRODUCT(((Berechnung!D114:O114+Berechnung!Q114:AB114)&gt;0)*1))</f>
        <v/>
      </c>
      <c r="K114" s="62">
        <f>IF(B114="","",IF(N(D114)&gt;0,F114/D114,""))</f>
        <v/>
      </c>
      <c r="L114" s="40">
        <f>IF(B114="","",IF(N(E114)&gt;0,IF(Einstellungen!$C$10="Ja",F114/E114,F114/(E114+F114)),""))</f>
        <v/>
      </c>
      <c r="M114" s="63">
        <f>IF(L114="","",RANK(L114,$L$6:$L$305,0))</f>
        <v/>
      </c>
      <c r="N114" s="56">
        <f>IF(B114="","",IF(L114="","keine Ist-Std.",IF(L114&lt;=Einstellungen!$C$7,"unauffällig",IF(L114&lt;=Einstellungen!$C$8,"auffällig","kritisch"))))</f>
        <v/>
      </c>
      <c r="O114" s="64">
        <f>IF(L114="",-1,L114+ROW()/1000000000)</f>
        <v/>
      </c>
      <c r="P114" s="61">
        <f>IF(B114="","",Berechnung!AF114)</f>
        <v/>
      </c>
      <c r="Q114" s="57">
        <f>IF(B114="","",Berechnung!AG114)</f>
        <v/>
      </c>
      <c r="R114" s="57">
        <f>IF(B114="","",'Ist-Stunden'!D114)</f>
        <v/>
      </c>
      <c r="S114" s="59">
        <f>IF(B114="","",IF(N(R114)&gt;0,IF(Einstellungen!$C$10="Ja",Q114/R114,Q114/(R114+Q114)),""))</f>
        <v/>
      </c>
      <c r="T114" s="56">
        <f>IF(B114="","",IF(S114="","keine Ist-Std.",IF(S114&lt;=Einstellungen!$C$7,"unauffällig",IF(S114&lt;=Einstellungen!$C$8,"auffällig","kritisch"))))</f>
        <v/>
      </c>
    </row>
    <row r="115">
      <c r="A115" s="47">
        <f>IF(Mitarbeiter!B115="","",Mitarbeiter!A115)</f>
        <v/>
      </c>
      <c r="B115" s="48">
        <f>IF(Mitarbeiter!B115="","",Mitarbeiter!B115)</f>
        <v/>
      </c>
      <c r="C115" s="7">
        <f>IF(Mitarbeiter!B115="","",Mitarbeiter!G115)</f>
        <v/>
      </c>
      <c r="D115" s="57">
        <f>IF(Mitarbeiter!B115="","",Mitarbeiter!H115)</f>
        <v/>
      </c>
      <c r="E115" s="57">
        <f>IF(Mitarbeiter!B115="","",'Ist-Stunden'!C115)</f>
        <v/>
      </c>
      <c r="F115" s="57">
        <f>IF(B115="","",Berechnung!AE115)</f>
        <v/>
      </c>
      <c r="G115" s="61">
        <f>IF(B115="","",Berechnung!P115)</f>
        <v/>
      </c>
      <c r="H115" s="61">
        <f>IF(B115="","",Berechnung!AC115)</f>
        <v/>
      </c>
      <c r="I115" s="61">
        <f>IF(B115="","",Berechnung!AD115)</f>
        <v/>
      </c>
      <c r="J115" s="36">
        <f>IF(B115="","",SUMPRODUCT(((Berechnung!D115:O115+Berechnung!Q115:AB115)&gt;0)*1))</f>
        <v/>
      </c>
      <c r="K115" s="62">
        <f>IF(B115="","",IF(N(D115)&gt;0,F115/D115,""))</f>
        <v/>
      </c>
      <c r="L115" s="40">
        <f>IF(B115="","",IF(N(E115)&gt;0,IF(Einstellungen!$C$10="Ja",F115/E115,F115/(E115+F115)),""))</f>
        <v/>
      </c>
      <c r="M115" s="63">
        <f>IF(L115="","",RANK(L115,$L$6:$L$305,0))</f>
        <v/>
      </c>
      <c r="N115" s="56">
        <f>IF(B115="","",IF(L115="","keine Ist-Std.",IF(L115&lt;=Einstellungen!$C$7,"unauffällig",IF(L115&lt;=Einstellungen!$C$8,"auffällig","kritisch"))))</f>
        <v/>
      </c>
      <c r="O115" s="64">
        <f>IF(L115="",-1,L115+ROW()/1000000000)</f>
        <v/>
      </c>
      <c r="P115" s="61">
        <f>IF(B115="","",Berechnung!AF115)</f>
        <v/>
      </c>
      <c r="Q115" s="57">
        <f>IF(B115="","",Berechnung!AG115)</f>
        <v/>
      </c>
      <c r="R115" s="57">
        <f>IF(B115="","",'Ist-Stunden'!D115)</f>
        <v/>
      </c>
      <c r="S115" s="59">
        <f>IF(B115="","",IF(N(R115)&gt;0,IF(Einstellungen!$C$10="Ja",Q115/R115,Q115/(R115+Q115)),""))</f>
        <v/>
      </c>
      <c r="T115" s="56">
        <f>IF(B115="","",IF(S115="","keine Ist-Std.",IF(S115&lt;=Einstellungen!$C$7,"unauffällig",IF(S115&lt;=Einstellungen!$C$8,"auffällig","kritisch"))))</f>
        <v/>
      </c>
    </row>
    <row r="116">
      <c r="A116" s="47">
        <f>IF(Mitarbeiter!B116="","",Mitarbeiter!A116)</f>
        <v/>
      </c>
      <c r="B116" s="48">
        <f>IF(Mitarbeiter!B116="","",Mitarbeiter!B116)</f>
        <v/>
      </c>
      <c r="C116" s="7">
        <f>IF(Mitarbeiter!B116="","",Mitarbeiter!G116)</f>
        <v/>
      </c>
      <c r="D116" s="57">
        <f>IF(Mitarbeiter!B116="","",Mitarbeiter!H116)</f>
        <v/>
      </c>
      <c r="E116" s="57">
        <f>IF(Mitarbeiter!B116="","",'Ist-Stunden'!C116)</f>
        <v/>
      </c>
      <c r="F116" s="57">
        <f>IF(B116="","",Berechnung!AE116)</f>
        <v/>
      </c>
      <c r="G116" s="61">
        <f>IF(B116="","",Berechnung!P116)</f>
        <v/>
      </c>
      <c r="H116" s="61">
        <f>IF(B116="","",Berechnung!AC116)</f>
        <v/>
      </c>
      <c r="I116" s="61">
        <f>IF(B116="","",Berechnung!AD116)</f>
        <v/>
      </c>
      <c r="J116" s="36">
        <f>IF(B116="","",SUMPRODUCT(((Berechnung!D116:O116+Berechnung!Q116:AB116)&gt;0)*1))</f>
        <v/>
      </c>
      <c r="K116" s="62">
        <f>IF(B116="","",IF(N(D116)&gt;0,F116/D116,""))</f>
        <v/>
      </c>
      <c r="L116" s="40">
        <f>IF(B116="","",IF(N(E116)&gt;0,IF(Einstellungen!$C$10="Ja",F116/E116,F116/(E116+F116)),""))</f>
        <v/>
      </c>
      <c r="M116" s="63">
        <f>IF(L116="","",RANK(L116,$L$6:$L$305,0))</f>
        <v/>
      </c>
      <c r="N116" s="56">
        <f>IF(B116="","",IF(L116="","keine Ist-Std.",IF(L116&lt;=Einstellungen!$C$7,"unauffällig",IF(L116&lt;=Einstellungen!$C$8,"auffällig","kritisch"))))</f>
        <v/>
      </c>
      <c r="O116" s="64">
        <f>IF(L116="",-1,L116+ROW()/1000000000)</f>
        <v/>
      </c>
      <c r="P116" s="61">
        <f>IF(B116="","",Berechnung!AF116)</f>
        <v/>
      </c>
      <c r="Q116" s="57">
        <f>IF(B116="","",Berechnung!AG116)</f>
        <v/>
      </c>
      <c r="R116" s="57">
        <f>IF(B116="","",'Ist-Stunden'!D116)</f>
        <v/>
      </c>
      <c r="S116" s="59">
        <f>IF(B116="","",IF(N(R116)&gt;0,IF(Einstellungen!$C$10="Ja",Q116/R116,Q116/(R116+Q116)),""))</f>
        <v/>
      </c>
      <c r="T116" s="56">
        <f>IF(B116="","",IF(S116="","keine Ist-Std.",IF(S116&lt;=Einstellungen!$C$7,"unauffällig",IF(S116&lt;=Einstellungen!$C$8,"auffällig","kritisch"))))</f>
        <v/>
      </c>
    </row>
    <row r="117">
      <c r="A117" s="47">
        <f>IF(Mitarbeiter!B117="","",Mitarbeiter!A117)</f>
        <v/>
      </c>
      <c r="B117" s="48">
        <f>IF(Mitarbeiter!B117="","",Mitarbeiter!B117)</f>
        <v/>
      </c>
      <c r="C117" s="7">
        <f>IF(Mitarbeiter!B117="","",Mitarbeiter!G117)</f>
        <v/>
      </c>
      <c r="D117" s="57">
        <f>IF(Mitarbeiter!B117="","",Mitarbeiter!H117)</f>
        <v/>
      </c>
      <c r="E117" s="57">
        <f>IF(Mitarbeiter!B117="","",'Ist-Stunden'!C117)</f>
        <v/>
      </c>
      <c r="F117" s="57">
        <f>IF(B117="","",Berechnung!AE117)</f>
        <v/>
      </c>
      <c r="G117" s="61">
        <f>IF(B117="","",Berechnung!P117)</f>
        <v/>
      </c>
      <c r="H117" s="61">
        <f>IF(B117="","",Berechnung!AC117)</f>
        <v/>
      </c>
      <c r="I117" s="61">
        <f>IF(B117="","",Berechnung!AD117)</f>
        <v/>
      </c>
      <c r="J117" s="36">
        <f>IF(B117="","",SUMPRODUCT(((Berechnung!D117:O117+Berechnung!Q117:AB117)&gt;0)*1))</f>
        <v/>
      </c>
      <c r="K117" s="62">
        <f>IF(B117="","",IF(N(D117)&gt;0,F117/D117,""))</f>
        <v/>
      </c>
      <c r="L117" s="40">
        <f>IF(B117="","",IF(N(E117)&gt;0,IF(Einstellungen!$C$10="Ja",F117/E117,F117/(E117+F117)),""))</f>
        <v/>
      </c>
      <c r="M117" s="63">
        <f>IF(L117="","",RANK(L117,$L$6:$L$305,0))</f>
        <v/>
      </c>
      <c r="N117" s="56">
        <f>IF(B117="","",IF(L117="","keine Ist-Std.",IF(L117&lt;=Einstellungen!$C$7,"unauffällig",IF(L117&lt;=Einstellungen!$C$8,"auffällig","kritisch"))))</f>
        <v/>
      </c>
      <c r="O117" s="64">
        <f>IF(L117="",-1,L117+ROW()/1000000000)</f>
        <v/>
      </c>
      <c r="P117" s="61">
        <f>IF(B117="","",Berechnung!AF117)</f>
        <v/>
      </c>
      <c r="Q117" s="57">
        <f>IF(B117="","",Berechnung!AG117)</f>
        <v/>
      </c>
      <c r="R117" s="57">
        <f>IF(B117="","",'Ist-Stunden'!D117)</f>
        <v/>
      </c>
      <c r="S117" s="59">
        <f>IF(B117="","",IF(N(R117)&gt;0,IF(Einstellungen!$C$10="Ja",Q117/R117,Q117/(R117+Q117)),""))</f>
        <v/>
      </c>
      <c r="T117" s="56">
        <f>IF(B117="","",IF(S117="","keine Ist-Std.",IF(S117&lt;=Einstellungen!$C$7,"unauffällig",IF(S117&lt;=Einstellungen!$C$8,"auffällig","kritisch"))))</f>
        <v/>
      </c>
    </row>
    <row r="118">
      <c r="A118" s="47">
        <f>IF(Mitarbeiter!B118="","",Mitarbeiter!A118)</f>
        <v/>
      </c>
      <c r="B118" s="48">
        <f>IF(Mitarbeiter!B118="","",Mitarbeiter!B118)</f>
        <v/>
      </c>
      <c r="C118" s="7">
        <f>IF(Mitarbeiter!B118="","",Mitarbeiter!G118)</f>
        <v/>
      </c>
      <c r="D118" s="57">
        <f>IF(Mitarbeiter!B118="","",Mitarbeiter!H118)</f>
        <v/>
      </c>
      <c r="E118" s="57">
        <f>IF(Mitarbeiter!B118="","",'Ist-Stunden'!C118)</f>
        <v/>
      </c>
      <c r="F118" s="57">
        <f>IF(B118="","",Berechnung!AE118)</f>
        <v/>
      </c>
      <c r="G118" s="61">
        <f>IF(B118="","",Berechnung!P118)</f>
        <v/>
      </c>
      <c r="H118" s="61">
        <f>IF(B118="","",Berechnung!AC118)</f>
        <v/>
      </c>
      <c r="I118" s="61">
        <f>IF(B118="","",Berechnung!AD118)</f>
        <v/>
      </c>
      <c r="J118" s="36">
        <f>IF(B118="","",SUMPRODUCT(((Berechnung!D118:O118+Berechnung!Q118:AB118)&gt;0)*1))</f>
        <v/>
      </c>
      <c r="K118" s="62">
        <f>IF(B118="","",IF(N(D118)&gt;0,F118/D118,""))</f>
        <v/>
      </c>
      <c r="L118" s="40">
        <f>IF(B118="","",IF(N(E118)&gt;0,IF(Einstellungen!$C$10="Ja",F118/E118,F118/(E118+F118)),""))</f>
        <v/>
      </c>
      <c r="M118" s="63">
        <f>IF(L118="","",RANK(L118,$L$6:$L$305,0))</f>
        <v/>
      </c>
      <c r="N118" s="56">
        <f>IF(B118="","",IF(L118="","keine Ist-Std.",IF(L118&lt;=Einstellungen!$C$7,"unauffällig",IF(L118&lt;=Einstellungen!$C$8,"auffällig","kritisch"))))</f>
        <v/>
      </c>
      <c r="O118" s="64">
        <f>IF(L118="",-1,L118+ROW()/1000000000)</f>
        <v/>
      </c>
      <c r="P118" s="61">
        <f>IF(B118="","",Berechnung!AF118)</f>
        <v/>
      </c>
      <c r="Q118" s="57">
        <f>IF(B118="","",Berechnung!AG118)</f>
        <v/>
      </c>
      <c r="R118" s="57">
        <f>IF(B118="","",'Ist-Stunden'!D118)</f>
        <v/>
      </c>
      <c r="S118" s="59">
        <f>IF(B118="","",IF(N(R118)&gt;0,IF(Einstellungen!$C$10="Ja",Q118/R118,Q118/(R118+Q118)),""))</f>
        <v/>
      </c>
      <c r="T118" s="56">
        <f>IF(B118="","",IF(S118="","keine Ist-Std.",IF(S118&lt;=Einstellungen!$C$7,"unauffällig",IF(S118&lt;=Einstellungen!$C$8,"auffällig","kritisch"))))</f>
        <v/>
      </c>
    </row>
    <row r="119">
      <c r="A119" s="47">
        <f>IF(Mitarbeiter!B119="","",Mitarbeiter!A119)</f>
        <v/>
      </c>
      <c r="B119" s="48">
        <f>IF(Mitarbeiter!B119="","",Mitarbeiter!B119)</f>
        <v/>
      </c>
      <c r="C119" s="7">
        <f>IF(Mitarbeiter!B119="","",Mitarbeiter!G119)</f>
        <v/>
      </c>
      <c r="D119" s="57">
        <f>IF(Mitarbeiter!B119="","",Mitarbeiter!H119)</f>
        <v/>
      </c>
      <c r="E119" s="57">
        <f>IF(Mitarbeiter!B119="","",'Ist-Stunden'!C119)</f>
        <v/>
      </c>
      <c r="F119" s="57">
        <f>IF(B119="","",Berechnung!AE119)</f>
        <v/>
      </c>
      <c r="G119" s="61">
        <f>IF(B119="","",Berechnung!P119)</f>
        <v/>
      </c>
      <c r="H119" s="61">
        <f>IF(B119="","",Berechnung!AC119)</f>
        <v/>
      </c>
      <c r="I119" s="61">
        <f>IF(B119="","",Berechnung!AD119)</f>
        <v/>
      </c>
      <c r="J119" s="36">
        <f>IF(B119="","",SUMPRODUCT(((Berechnung!D119:O119+Berechnung!Q119:AB119)&gt;0)*1))</f>
        <v/>
      </c>
      <c r="K119" s="62">
        <f>IF(B119="","",IF(N(D119)&gt;0,F119/D119,""))</f>
        <v/>
      </c>
      <c r="L119" s="40">
        <f>IF(B119="","",IF(N(E119)&gt;0,IF(Einstellungen!$C$10="Ja",F119/E119,F119/(E119+F119)),""))</f>
        <v/>
      </c>
      <c r="M119" s="63">
        <f>IF(L119="","",RANK(L119,$L$6:$L$305,0))</f>
        <v/>
      </c>
      <c r="N119" s="56">
        <f>IF(B119="","",IF(L119="","keine Ist-Std.",IF(L119&lt;=Einstellungen!$C$7,"unauffällig",IF(L119&lt;=Einstellungen!$C$8,"auffällig","kritisch"))))</f>
        <v/>
      </c>
      <c r="O119" s="64">
        <f>IF(L119="",-1,L119+ROW()/1000000000)</f>
        <v/>
      </c>
      <c r="P119" s="61">
        <f>IF(B119="","",Berechnung!AF119)</f>
        <v/>
      </c>
      <c r="Q119" s="57">
        <f>IF(B119="","",Berechnung!AG119)</f>
        <v/>
      </c>
      <c r="R119" s="57">
        <f>IF(B119="","",'Ist-Stunden'!D119)</f>
        <v/>
      </c>
      <c r="S119" s="59">
        <f>IF(B119="","",IF(N(R119)&gt;0,IF(Einstellungen!$C$10="Ja",Q119/R119,Q119/(R119+Q119)),""))</f>
        <v/>
      </c>
      <c r="T119" s="56">
        <f>IF(B119="","",IF(S119="","keine Ist-Std.",IF(S119&lt;=Einstellungen!$C$7,"unauffällig",IF(S119&lt;=Einstellungen!$C$8,"auffällig","kritisch"))))</f>
        <v/>
      </c>
    </row>
    <row r="120">
      <c r="A120" s="47">
        <f>IF(Mitarbeiter!B120="","",Mitarbeiter!A120)</f>
        <v/>
      </c>
      <c r="B120" s="48">
        <f>IF(Mitarbeiter!B120="","",Mitarbeiter!B120)</f>
        <v/>
      </c>
      <c r="C120" s="7">
        <f>IF(Mitarbeiter!B120="","",Mitarbeiter!G120)</f>
        <v/>
      </c>
      <c r="D120" s="57">
        <f>IF(Mitarbeiter!B120="","",Mitarbeiter!H120)</f>
        <v/>
      </c>
      <c r="E120" s="57">
        <f>IF(Mitarbeiter!B120="","",'Ist-Stunden'!C120)</f>
        <v/>
      </c>
      <c r="F120" s="57">
        <f>IF(B120="","",Berechnung!AE120)</f>
        <v/>
      </c>
      <c r="G120" s="61">
        <f>IF(B120="","",Berechnung!P120)</f>
        <v/>
      </c>
      <c r="H120" s="61">
        <f>IF(B120="","",Berechnung!AC120)</f>
        <v/>
      </c>
      <c r="I120" s="61">
        <f>IF(B120="","",Berechnung!AD120)</f>
        <v/>
      </c>
      <c r="J120" s="36">
        <f>IF(B120="","",SUMPRODUCT(((Berechnung!D120:O120+Berechnung!Q120:AB120)&gt;0)*1))</f>
        <v/>
      </c>
      <c r="K120" s="62">
        <f>IF(B120="","",IF(N(D120)&gt;0,F120/D120,""))</f>
        <v/>
      </c>
      <c r="L120" s="40">
        <f>IF(B120="","",IF(N(E120)&gt;0,IF(Einstellungen!$C$10="Ja",F120/E120,F120/(E120+F120)),""))</f>
        <v/>
      </c>
      <c r="M120" s="63">
        <f>IF(L120="","",RANK(L120,$L$6:$L$305,0))</f>
        <v/>
      </c>
      <c r="N120" s="56">
        <f>IF(B120="","",IF(L120="","keine Ist-Std.",IF(L120&lt;=Einstellungen!$C$7,"unauffällig",IF(L120&lt;=Einstellungen!$C$8,"auffällig","kritisch"))))</f>
        <v/>
      </c>
      <c r="O120" s="64">
        <f>IF(L120="",-1,L120+ROW()/1000000000)</f>
        <v/>
      </c>
      <c r="P120" s="61">
        <f>IF(B120="","",Berechnung!AF120)</f>
        <v/>
      </c>
      <c r="Q120" s="57">
        <f>IF(B120="","",Berechnung!AG120)</f>
        <v/>
      </c>
      <c r="R120" s="57">
        <f>IF(B120="","",'Ist-Stunden'!D120)</f>
        <v/>
      </c>
      <c r="S120" s="59">
        <f>IF(B120="","",IF(N(R120)&gt;0,IF(Einstellungen!$C$10="Ja",Q120/R120,Q120/(R120+Q120)),""))</f>
        <v/>
      </c>
      <c r="T120" s="56">
        <f>IF(B120="","",IF(S120="","keine Ist-Std.",IF(S120&lt;=Einstellungen!$C$7,"unauffällig",IF(S120&lt;=Einstellungen!$C$8,"auffällig","kritisch"))))</f>
        <v/>
      </c>
    </row>
    <row r="121">
      <c r="A121" s="47">
        <f>IF(Mitarbeiter!B121="","",Mitarbeiter!A121)</f>
        <v/>
      </c>
      <c r="B121" s="48">
        <f>IF(Mitarbeiter!B121="","",Mitarbeiter!B121)</f>
        <v/>
      </c>
      <c r="C121" s="7">
        <f>IF(Mitarbeiter!B121="","",Mitarbeiter!G121)</f>
        <v/>
      </c>
      <c r="D121" s="57">
        <f>IF(Mitarbeiter!B121="","",Mitarbeiter!H121)</f>
        <v/>
      </c>
      <c r="E121" s="57">
        <f>IF(Mitarbeiter!B121="","",'Ist-Stunden'!C121)</f>
        <v/>
      </c>
      <c r="F121" s="57">
        <f>IF(B121="","",Berechnung!AE121)</f>
        <v/>
      </c>
      <c r="G121" s="61">
        <f>IF(B121="","",Berechnung!P121)</f>
        <v/>
      </c>
      <c r="H121" s="61">
        <f>IF(B121="","",Berechnung!AC121)</f>
        <v/>
      </c>
      <c r="I121" s="61">
        <f>IF(B121="","",Berechnung!AD121)</f>
        <v/>
      </c>
      <c r="J121" s="36">
        <f>IF(B121="","",SUMPRODUCT(((Berechnung!D121:O121+Berechnung!Q121:AB121)&gt;0)*1))</f>
        <v/>
      </c>
      <c r="K121" s="62">
        <f>IF(B121="","",IF(N(D121)&gt;0,F121/D121,""))</f>
        <v/>
      </c>
      <c r="L121" s="40">
        <f>IF(B121="","",IF(N(E121)&gt;0,IF(Einstellungen!$C$10="Ja",F121/E121,F121/(E121+F121)),""))</f>
        <v/>
      </c>
      <c r="M121" s="63">
        <f>IF(L121="","",RANK(L121,$L$6:$L$305,0))</f>
        <v/>
      </c>
      <c r="N121" s="56">
        <f>IF(B121="","",IF(L121="","keine Ist-Std.",IF(L121&lt;=Einstellungen!$C$7,"unauffällig",IF(L121&lt;=Einstellungen!$C$8,"auffällig","kritisch"))))</f>
        <v/>
      </c>
      <c r="O121" s="64">
        <f>IF(L121="",-1,L121+ROW()/1000000000)</f>
        <v/>
      </c>
      <c r="P121" s="61">
        <f>IF(B121="","",Berechnung!AF121)</f>
        <v/>
      </c>
      <c r="Q121" s="57">
        <f>IF(B121="","",Berechnung!AG121)</f>
        <v/>
      </c>
      <c r="R121" s="57">
        <f>IF(B121="","",'Ist-Stunden'!D121)</f>
        <v/>
      </c>
      <c r="S121" s="59">
        <f>IF(B121="","",IF(N(R121)&gt;0,IF(Einstellungen!$C$10="Ja",Q121/R121,Q121/(R121+Q121)),""))</f>
        <v/>
      </c>
      <c r="T121" s="56">
        <f>IF(B121="","",IF(S121="","keine Ist-Std.",IF(S121&lt;=Einstellungen!$C$7,"unauffällig",IF(S121&lt;=Einstellungen!$C$8,"auffällig","kritisch"))))</f>
        <v/>
      </c>
    </row>
    <row r="122">
      <c r="A122" s="47">
        <f>IF(Mitarbeiter!B122="","",Mitarbeiter!A122)</f>
        <v/>
      </c>
      <c r="B122" s="48">
        <f>IF(Mitarbeiter!B122="","",Mitarbeiter!B122)</f>
        <v/>
      </c>
      <c r="C122" s="7">
        <f>IF(Mitarbeiter!B122="","",Mitarbeiter!G122)</f>
        <v/>
      </c>
      <c r="D122" s="57">
        <f>IF(Mitarbeiter!B122="","",Mitarbeiter!H122)</f>
        <v/>
      </c>
      <c r="E122" s="57">
        <f>IF(Mitarbeiter!B122="","",'Ist-Stunden'!C122)</f>
        <v/>
      </c>
      <c r="F122" s="57">
        <f>IF(B122="","",Berechnung!AE122)</f>
        <v/>
      </c>
      <c r="G122" s="61">
        <f>IF(B122="","",Berechnung!P122)</f>
        <v/>
      </c>
      <c r="H122" s="61">
        <f>IF(B122="","",Berechnung!AC122)</f>
        <v/>
      </c>
      <c r="I122" s="61">
        <f>IF(B122="","",Berechnung!AD122)</f>
        <v/>
      </c>
      <c r="J122" s="36">
        <f>IF(B122="","",SUMPRODUCT(((Berechnung!D122:O122+Berechnung!Q122:AB122)&gt;0)*1))</f>
        <v/>
      </c>
      <c r="K122" s="62">
        <f>IF(B122="","",IF(N(D122)&gt;0,F122/D122,""))</f>
        <v/>
      </c>
      <c r="L122" s="40">
        <f>IF(B122="","",IF(N(E122)&gt;0,IF(Einstellungen!$C$10="Ja",F122/E122,F122/(E122+F122)),""))</f>
        <v/>
      </c>
      <c r="M122" s="63">
        <f>IF(L122="","",RANK(L122,$L$6:$L$305,0))</f>
        <v/>
      </c>
      <c r="N122" s="56">
        <f>IF(B122="","",IF(L122="","keine Ist-Std.",IF(L122&lt;=Einstellungen!$C$7,"unauffällig",IF(L122&lt;=Einstellungen!$C$8,"auffällig","kritisch"))))</f>
        <v/>
      </c>
      <c r="O122" s="64">
        <f>IF(L122="",-1,L122+ROW()/1000000000)</f>
        <v/>
      </c>
      <c r="P122" s="61">
        <f>IF(B122="","",Berechnung!AF122)</f>
        <v/>
      </c>
      <c r="Q122" s="57">
        <f>IF(B122="","",Berechnung!AG122)</f>
        <v/>
      </c>
      <c r="R122" s="57">
        <f>IF(B122="","",'Ist-Stunden'!D122)</f>
        <v/>
      </c>
      <c r="S122" s="59">
        <f>IF(B122="","",IF(N(R122)&gt;0,IF(Einstellungen!$C$10="Ja",Q122/R122,Q122/(R122+Q122)),""))</f>
        <v/>
      </c>
      <c r="T122" s="56">
        <f>IF(B122="","",IF(S122="","keine Ist-Std.",IF(S122&lt;=Einstellungen!$C$7,"unauffällig",IF(S122&lt;=Einstellungen!$C$8,"auffällig","kritisch"))))</f>
        <v/>
      </c>
    </row>
    <row r="123">
      <c r="A123" s="47">
        <f>IF(Mitarbeiter!B123="","",Mitarbeiter!A123)</f>
        <v/>
      </c>
      <c r="B123" s="48">
        <f>IF(Mitarbeiter!B123="","",Mitarbeiter!B123)</f>
        <v/>
      </c>
      <c r="C123" s="7">
        <f>IF(Mitarbeiter!B123="","",Mitarbeiter!G123)</f>
        <v/>
      </c>
      <c r="D123" s="57">
        <f>IF(Mitarbeiter!B123="","",Mitarbeiter!H123)</f>
        <v/>
      </c>
      <c r="E123" s="57">
        <f>IF(Mitarbeiter!B123="","",'Ist-Stunden'!C123)</f>
        <v/>
      </c>
      <c r="F123" s="57">
        <f>IF(B123="","",Berechnung!AE123)</f>
        <v/>
      </c>
      <c r="G123" s="61">
        <f>IF(B123="","",Berechnung!P123)</f>
        <v/>
      </c>
      <c r="H123" s="61">
        <f>IF(B123="","",Berechnung!AC123)</f>
        <v/>
      </c>
      <c r="I123" s="61">
        <f>IF(B123="","",Berechnung!AD123)</f>
        <v/>
      </c>
      <c r="J123" s="36">
        <f>IF(B123="","",SUMPRODUCT(((Berechnung!D123:O123+Berechnung!Q123:AB123)&gt;0)*1))</f>
        <v/>
      </c>
      <c r="K123" s="62">
        <f>IF(B123="","",IF(N(D123)&gt;0,F123/D123,""))</f>
        <v/>
      </c>
      <c r="L123" s="40">
        <f>IF(B123="","",IF(N(E123)&gt;0,IF(Einstellungen!$C$10="Ja",F123/E123,F123/(E123+F123)),""))</f>
        <v/>
      </c>
      <c r="M123" s="63">
        <f>IF(L123="","",RANK(L123,$L$6:$L$305,0))</f>
        <v/>
      </c>
      <c r="N123" s="56">
        <f>IF(B123="","",IF(L123="","keine Ist-Std.",IF(L123&lt;=Einstellungen!$C$7,"unauffällig",IF(L123&lt;=Einstellungen!$C$8,"auffällig","kritisch"))))</f>
        <v/>
      </c>
      <c r="O123" s="64">
        <f>IF(L123="",-1,L123+ROW()/1000000000)</f>
        <v/>
      </c>
      <c r="P123" s="61">
        <f>IF(B123="","",Berechnung!AF123)</f>
        <v/>
      </c>
      <c r="Q123" s="57">
        <f>IF(B123="","",Berechnung!AG123)</f>
        <v/>
      </c>
      <c r="R123" s="57">
        <f>IF(B123="","",'Ist-Stunden'!D123)</f>
        <v/>
      </c>
      <c r="S123" s="59">
        <f>IF(B123="","",IF(N(R123)&gt;0,IF(Einstellungen!$C$10="Ja",Q123/R123,Q123/(R123+Q123)),""))</f>
        <v/>
      </c>
      <c r="T123" s="56">
        <f>IF(B123="","",IF(S123="","keine Ist-Std.",IF(S123&lt;=Einstellungen!$C$7,"unauffällig",IF(S123&lt;=Einstellungen!$C$8,"auffällig","kritisch"))))</f>
        <v/>
      </c>
    </row>
    <row r="124">
      <c r="A124" s="47">
        <f>IF(Mitarbeiter!B124="","",Mitarbeiter!A124)</f>
        <v/>
      </c>
      <c r="B124" s="48">
        <f>IF(Mitarbeiter!B124="","",Mitarbeiter!B124)</f>
        <v/>
      </c>
      <c r="C124" s="7">
        <f>IF(Mitarbeiter!B124="","",Mitarbeiter!G124)</f>
        <v/>
      </c>
      <c r="D124" s="57">
        <f>IF(Mitarbeiter!B124="","",Mitarbeiter!H124)</f>
        <v/>
      </c>
      <c r="E124" s="57">
        <f>IF(Mitarbeiter!B124="","",'Ist-Stunden'!C124)</f>
        <v/>
      </c>
      <c r="F124" s="57">
        <f>IF(B124="","",Berechnung!AE124)</f>
        <v/>
      </c>
      <c r="G124" s="61">
        <f>IF(B124="","",Berechnung!P124)</f>
        <v/>
      </c>
      <c r="H124" s="61">
        <f>IF(B124="","",Berechnung!AC124)</f>
        <v/>
      </c>
      <c r="I124" s="61">
        <f>IF(B124="","",Berechnung!AD124)</f>
        <v/>
      </c>
      <c r="J124" s="36">
        <f>IF(B124="","",SUMPRODUCT(((Berechnung!D124:O124+Berechnung!Q124:AB124)&gt;0)*1))</f>
        <v/>
      </c>
      <c r="K124" s="62">
        <f>IF(B124="","",IF(N(D124)&gt;0,F124/D124,""))</f>
        <v/>
      </c>
      <c r="L124" s="40">
        <f>IF(B124="","",IF(N(E124)&gt;0,IF(Einstellungen!$C$10="Ja",F124/E124,F124/(E124+F124)),""))</f>
        <v/>
      </c>
      <c r="M124" s="63">
        <f>IF(L124="","",RANK(L124,$L$6:$L$305,0))</f>
        <v/>
      </c>
      <c r="N124" s="56">
        <f>IF(B124="","",IF(L124="","keine Ist-Std.",IF(L124&lt;=Einstellungen!$C$7,"unauffällig",IF(L124&lt;=Einstellungen!$C$8,"auffällig","kritisch"))))</f>
        <v/>
      </c>
      <c r="O124" s="64">
        <f>IF(L124="",-1,L124+ROW()/1000000000)</f>
        <v/>
      </c>
      <c r="P124" s="61">
        <f>IF(B124="","",Berechnung!AF124)</f>
        <v/>
      </c>
      <c r="Q124" s="57">
        <f>IF(B124="","",Berechnung!AG124)</f>
        <v/>
      </c>
      <c r="R124" s="57">
        <f>IF(B124="","",'Ist-Stunden'!D124)</f>
        <v/>
      </c>
      <c r="S124" s="59">
        <f>IF(B124="","",IF(N(R124)&gt;0,IF(Einstellungen!$C$10="Ja",Q124/R124,Q124/(R124+Q124)),""))</f>
        <v/>
      </c>
      <c r="T124" s="56">
        <f>IF(B124="","",IF(S124="","keine Ist-Std.",IF(S124&lt;=Einstellungen!$C$7,"unauffällig",IF(S124&lt;=Einstellungen!$C$8,"auffällig","kritisch"))))</f>
        <v/>
      </c>
    </row>
    <row r="125">
      <c r="A125" s="47">
        <f>IF(Mitarbeiter!B125="","",Mitarbeiter!A125)</f>
        <v/>
      </c>
      <c r="B125" s="48">
        <f>IF(Mitarbeiter!B125="","",Mitarbeiter!B125)</f>
        <v/>
      </c>
      <c r="C125" s="7">
        <f>IF(Mitarbeiter!B125="","",Mitarbeiter!G125)</f>
        <v/>
      </c>
      <c r="D125" s="57">
        <f>IF(Mitarbeiter!B125="","",Mitarbeiter!H125)</f>
        <v/>
      </c>
      <c r="E125" s="57">
        <f>IF(Mitarbeiter!B125="","",'Ist-Stunden'!C125)</f>
        <v/>
      </c>
      <c r="F125" s="57">
        <f>IF(B125="","",Berechnung!AE125)</f>
        <v/>
      </c>
      <c r="G125" s="61">
        <f>IF(B125="","",Berechnung!P125)</f>
        <v/>
      </c>
      <c r="H125" s="61">
        <f>IF(B125="","",Berechnung!AC125)</f>
        <v/>
      </c>
      <c r="I125" s="61">
        <f>IF(B125="","",Berechnung!AD125)</f>
        <v/>
      </c>
      <c r="J125" s="36">
        <f>IF(B125="","",SUMPRODUCT(((Berechnung!D125:O125+Berechnung!Q125:AB125)&gt;0)*1))</f>
        <v/>
      </c>
      <c r="K125" s="62">
        <f>IF(B125="","",IF(N(D125)&gt;0,F125/D125,""))</f>
        <v/>
      </c>
      <c r="L125" s="40">
        <f>IF(B125="","",IF(N(E125)&gt;0,IF(Einstellungen!$C$10="Ja",F125/E125,F125/(E125+F125)),""))</f>
        <v/>
      </c>
      <c r="M125" s="63">
        <f>IF(L125="","",RANK(L125,$L$6:$L$305,0))</f>
        <v/>
      </c>
      <c r="N125" s="56">
        <f>IF(B125="","",IF(L125="","keine Ist-Std.",IF(L125&lt;=Einstellungen!$C$7,"unauffällig",IF(L125&lt;=Einstellungen!$C$8,"auffällig","kritisch"))))</f>
        <v/>
      </c>
      <c r="O125" s="64">
        <f>IF(L125="",-1,L125+ROW()/1000000000)</f>
        <v/>
      </c>
      <c r="P125" s="61">
        <f>IF(B125="","",Berechnung!AF125)</f>
        <v/>
      </c>
      <c r="Q125" s="57">
        <f>IF(B125="","",Berechnung!AG125)</f>
        <v/>
      </c>
      <c r="R125" s="57">
        <f>IF(B125="","",'Ist-Stunden'!D125)</f>
        <v/>
      </c>
      <c r="S125" s="59">
        <f>IF(B125="","",IF(N(R125)&gt;0,IF(Einstellungen!$C$10="Ja",Q125/R125,Q125/(R125+Q125)),""))</f>
        <v/>
      </c>
      <c r="T125" s="56">
        <f>IF(B125="","",IF(S125="","keine Ist-Std.",IF(S125&lt;=Einstellungen!$C$7,"unauffällig",IF(S125&lt;=Einstellungen!$C$8,"auffällig","kritisch"))))</f>
        <v/>
      </c>
    </row>
    <row r="126">
      <c r="A126" s="47">
        <f>IF(Mitarbeiter!B126="","",Mitarbeiter!A126)</f>
        <v/>
      </c>
      <c r="B126" s="48">
        <f>IF(Mitarbeiter!B126="","",Mitarbeiter!B126)</f>
        <v/>
      </c>
      <c r="C126" s="7">
        <f>IF(Mitarbeiter!B126="","",Mitarbeiter!G126)</f>
        <v/>
      </c>
      <c r="D126" s="57">
        <f>IF(Mitarbeiter!B126="","",Mitarbeiter!H126)</f>
        <v/>
      </c>
      <c r="E126" s="57">
        <f>IF(Mitarbeiter!B126="","",'Ist-Stunden'!C126)</f>
        <v/>
      </c>
      <c r="F126" s="57">
        <f>IF(B126="","",Berechnung!AE126)</f>
        <v/>
      </c>
      <c r="G126" s="61">
        <f>IF(B126="","",Berechnung!P126)</f>
        <v/>
      </c>
      <c r="H126" s="61">
        <f>IF(B126="","",Berechnung!AC126)</f>
        <v/>
      </c>
      <c r="I126" s="61">
        <f>IF(B126="","",Berechnung!AD126)</f>
        <v/>
      </c>
      <c r="J126" s="36">
        <f>IF(B126="","",SUMPRODUCT(((Berechnung!D126:O126+Berechnung!Q126:AB126)&gt;0)*1))</f>
        <v/>
      </c>
      <c r="K126" s="62">
        <f>IF(B126="","",IF(N(D126)&gt;0,F126/D126,""))</f>
        <v/>
      </c>
      <c r="L126" s="40">
        <f>IF(B126="","",IF(N(E126)&gt;0,IF(Einstellungen!$C$10="Ja",F126/E126,F126/(E126+F126)),""))</f>
        <v/>
      </c>
      <c r="M126" s="63">
        <f>IF(L126="","",RANK(L126,$L$6:$L$305,0))</f>
        <v/>
      </c>
      <c r="N126" s="56">
        <f>IF(B126="","",IF(L126="","keine Ist-Std.",IF(L126&lt;=Einstellungen!$C$7,"unauffällig",IF(L126&lt;=Einstellungen!$C$8,"auffällig","kritisch"))))</f>
        <v/>
      </c>
      <c r="O126" s="64">
        <f>IF(L126="",-1,L126+ROW()/1000000000)</f>
        <v/>
      </c>
      <c r="P126" s="61">
        <f>IF(B126="","",Berechnung!AF126)</f>
        <v/>
      </c>
      <c r="Q126" s="57">
        <f>IF(B126="","",Berechnung!AG126)</f>
        <v/>
      </c>
      <c r="R126" s="57">
        <f>IF(B126="","",'Ist-Stunden'!D126)</f>
        <v/>
      </c>
      <c r="S126" s="59">
        <f>IF(B126="","",IF(N(R126)&gt;0,IF(Einstellungen!$C$10="Ja",Q126/R126,Q126/(R126+Q126)),""))</f>
        <v/>
      </c>
      <c r="T126" s="56">
        <f>IF(B126="","",IF(S126="","keine Ist-Std.",IF(S126&lt;=Einstellungen!$C$7,"unauffällig",IF(S126&lt;=Einstellungen!$C$8,"auffällig","kritisch"))))</f>
        <v/>
      </c>
    </row>
    <row r="127">
      <c r="A127" s="47">
        <f>IF(Mitarbeiter!B127="","",Mitarbeiter!A127)</f>
        <v/>
      </c>
      <c r="B127" s="48">
        <f>IF(Mitarbeiter!B127="","",Mitarbeiter!B127)</f>
        <v/>
      </c>
      <c r="C127" s="7">
        <f>IF(Mitarbeiter!B127="","",Mitarbeiter!G127)</f>
        <v/>
      </c>
      <c r="D127" s="57">
        <f>IF(Mitarbeiter!B127="","",Mitarbeiter!H127)</f>
        <v/>
      </c>
      <c r="E127" s="57">
        <f>IF(Mitarbeiter!B127="","",'Ist-Stunden'!C127)</f>
        <v/>
      </c>
      <c r="F127" s="57">
        <f>IF(B127="","",Berechnung!AE127)</f>
        <v/>
      </c>
      <c r="G127" s="61">
        <f>IF(B127="","",Berechnung!P127)</f>
        <v/>
      </c>
      <c r="H127" s="61">
        <f>IF(B127="","",Berechnung!AC127)</f>
        <v/>
      </c>
      <c r="I127" s="61">
        <f>IF(B127="","",Berechnung!AD127)</f>
        <v/>
      </c>
      <c r="J127" s="36">
        <f>IF(B127="","",SUMPRODUCT(((Berechnung!D127:O127+Berechnung!Q127:AB127)&gt;0)*1))</f>
        <v/>
      </c>
      <c r="K127" s="62">
        <f>IF(B127="","",IF(N(D127)&gt;0,F127/D127,""))</f>
        <v/>
      </c>
      <c r="L127" s="40">
        <f>IF(B127="","",IF(N(E127)&gt;0,IF(Einstellungen!$C$10="Ja",F127/E127,F127/(E127+F127)),""))</f>
        <v/>
      </c>
      <c r="M127" s="63">
        <f>IF(L127="","",RANK(L127,$L$6:$L$305,0))</f>
        <v/>
      </c>
      <c r="N127" s="56">
        <f>IF(B127="","",IF(L127="","keine Ist-Std.",IF(L127&lt;=Einstellungen!$C$7,"unauffällig",IF(L127&lt;=Einstellungen!$C$8,"auffällig","kritisch"))))</f>
        <v/>
      </c>
      <c r="O127" s="64">
        <f>IF(L127="",-1,L127+ROW()/1000000000)</f>
        <v/>
      </c>
      <c r="P127" s="61">
        <f>IF(B127="","",Berechnung!AF127)</f>
        <v/>
      </c>
      <c r="Q127" s="57">
        <f>IF(B127="","",Berechnung!AG127)</f>
        <v/>
      </c>
      <c r="R127" s="57">
        <f>IF(B127="","",'Ist-Stunden'!D127)</f>
        <v/>
      </c>
      <c r="S127" s="59">
        <f>IF(B127="","",IF(N(R127)&gt;0,IF(Einstellungen!$C$10="Ja",Q127/R127,Q127/(R127+Q127)),""))</f>
        <v/>
      </c>
      <c r="T127" s="56">
        <f>IF(B127="","",IF(S127="","keine Ist-Std.",IF(S127&lt;=Einstellungen!$C$7,"unauffällig",IF(S127&lt;=Einstellungen!$C$8,"auffällig","kritisch"))))</f>
        <v/>
      </c>
    </row>
    <row r="128">
      <c r="A128" s="47">
        <f>IF(Mitarbeiter!B128="","",Mitarbeiter!A128)</f>
        <v/>
      </c>
      <c r="B128" s="48">
        <f>IF(Mitarbeiter!B128="","",Mitarbeiter!B128)</f>
        <v/>
      </c>
      <c r="C128" s="7">
        <f>IF(Mitarbeiter!B128="","",Mitarbeiter!G128)</f>
        <v/>
      </c>
      <c r="D128" s="57">
        <f>IF(Mitarbeiter!B128="","",Mitarbeiter!H128)</f>
        <v/>
      </c>
      <c r="E128" s="57">
        <f>IF(Mitarbeiter!B128="","",'Ist-Stunden'!C128)</f>
        <v/>
      </c>
      <c r="F128" s="57">
        <f>IF(B128="","",Berechnung!AE128)</f>
        <v/>
      </c>
      <c r="G128" s="61">
        <f>IF(B128="","",Berechnung!P128)</f>
        <v/>
      </c>
      <c r="H128" s="61">
        <f>IF(B128="","",Berechnung!AC128)</f>
        <v/>
      </c>
      <c r="I128" s="61">
        <f>IF(B128="","",Berechnung!AD128)</f>
        <v/>
      </c>
      <c r="J128" s="36">
        <f>IF(B128="","",SUMPRODUCT(((Berechnung!D128:O128+Berechnung!Q128:AB128)&gt;0)*1))</f>
        <v/>
      </c>
      <c r="K128" s="62">
        <f>IF(B128="","",IF(N(D128)&gt;0,F128/D128,""))</f>
        <v/>
      </c>
      <c r="L128" s="40">
        <f>IF(B128="","",IF(N(E128)&gt;0,IF(Einstellungen!$C$10="Ja",F128/E128,F128/(E128+F128)),""))</f>
        <v/>
      </c>
      <c r="M128" s="63">
        <f>IF(L128="","",RANK(L128,$L$6:$L$305,0))</f>
        <v/>
      </c>
      <c r="N128" s="56">
        <f>IF(B128="","",IF(L128="","keine Ist-Std.",IF(L128&lt;=Einstellungen!$C$7,"unauffällig",IF(L128&lt;=Einstellungen!$C$8,"auffällig","kritisch"))))</f>
        <v/>
      </c>
      <c r="O128" s="64">
        <f>IF(L128="",-1,L128+ROW()/1000000000)</f>
        <v/>
      </c>
      <c r="P128" s="61">
        <f>IF(B128="","",Berechnung!AF128)</f>
        <v/>
      </c>
      <c r="Q128" s="57">
        <f>IF(B128="","",Berechnung!AG128)</f>
        <v/>
      </c>
      <c r="R128" s="57">
        <f>IF(B128="","",'Ist-Stunden'!D128)</f>
        <v/>
      </c>
      <c r="S128" s="59">
        <f>IF(B128="","",IF(N(R128)&gt;0,IF(Einstellungen!$C$10="Ja",Q128/R128,Q128/(R128+Q128)),""))</f>
        <v/>
      </c>
      <c r="T128" s="56">
        <f>IF(B128="","",IF(S128="","keine Ist-Std.",IF(S128&lt;=Einstellungen!$C$7,"unauffällig",IF(S128&lt;=Einstellungen!$C$8,"auffällig","kritisch"))))</f>
        <v/>
      </c>
    </row>
    <row r="129">
      <c r="A129" s="47">
        <f>IF(Mitarbeiter!B129="","",Mitarbeiter!A129)</f>
        <v/>
      </c>
      <c r="B129" s="48">
        <f>IF(Mitarbeiter!B129="","",Mitarbeiter!B129)</f>
        <v/>
      </c>
      <c r="C129" s="7">
        <f>IF(Mitarbeiter!B129="","",Mitarbeiter!G129)</f>
        <v/>
      </c>
      <c r="D129" s="57">
        <f>IF(Mitarbeiter!B129="","",Mitarbeiter!H129)</f>
        <v/>
      </c>
      <c r="E129" s="57">
        <f>IF(Mitarbeiter!B129="","",'Ist-Stunden'!C129)</f>
        <v/>
      </c>
      <c r="F129" s="57">
        <f>IF(B129="","",Berechnung!AE129)</f>
        <v/>
      </c>
      <c r="G129" s="61">
        <f>IF(B129="","",Berechnung!P129)</f>
        <v/>
      </c>
      <c r="H129" s="61">
        <f>IF(B129="","",Berechnung!AC129)</f>
        <v/>
      </c>
      <c r="I129" s="61">
        <f>IF(B129="","",Berechnung!AD129)</f>
        <v/>
      </c>
      <c r="J129" s="36">
        <f>IF(B129="","",SUMPRODUCT(((Berechnung!D129:O129+Berechnung!Q129:AB129)&gt;0)*1))</f>
        <v/>
      </c>
      <c r="K129" s="62">
        <f>IF(B129="","",IF(N(D129)&gt;0,F129/D129,""))</f>
        <v/>
      </c>
      <c r="L129" s="40">
        <f>IF(B129="","",IF(N(E129)&gt;0,IF(Einstellungen!$C$10="Ja",F129/E129,F129/(E129+F129)),""))</f>
        <v/>
      </c>
      <c r="M129" s="63">
        <f>IF(L129="","",RANK(L129,$L$6:$L$305,0))</f>
        <v/>
      </c>
      <c r="N129" s="56">
        <f>IF(B129="","",IF(L129="","keine Ist-Std.",IF(L129&lt;=Einstellungen!$C$7,"unauffällig",IF(L129&lt;=Einstellungen!$C$8,"auffällig","kritisch"))))</f>
        <v/>
      </c>
      <c r="O129" s="64">
        <f>IF(L129="",-1,L129+ROW()/1000000000)</f>
        <v/>
      </c>
      <c r="P129" s="61">
        <f>IF(B129="","",Berechnung!AF129)</f>
        <v/>
      </c>
      <c r="Q129" s="57">
        <f>IF(B129="","",Berechnung!AG129)</f>
        <v/>
      </c>
      <c r="R129" s="57">
        <f>IF(B129="","",'Ist-Stunden'!D129)</f>
        <v/>
      </c>
      <c r="S129" s="59">
        <f>IF(B129="","",IF(N(R129)&gt;0,IF(Einstellungen!$C$10="Ja",Q129/R129,Q129/(R129+Q129)),""))</f>
        <v/>
      </c>
      <c r="T129" s="56">
        <f>IF(B129="","",IF(S129="","keine Ist-Std.",IF(S129&lt;=Einstellungen!$C$7,"unauffällig",IF(S129&lt;=Einstellungen!$C$8,"auffällig","kritisch"))))</f>
        <v/>
      </c>
    </row>
    <row r="130">
      <c r="A130" s="47">
        <f>IF(Mitarbeiter!B130="","",Mitarbeiter!A130)</f>
        <v/>
      </c>
      <c r="B130" s="48">
        <f>IF(Mitarbeiter!B130="","",Mitarbeiter!B130)</f>
        <v/>
      </c>
      <c r="C130" s="7">
        <f>IF(Mitarbeiter!B130="","",Mitarbeiter!G130)</f>
        <v/>
      </c>
      <c r="D130" s="57">
        <f>IF(Mitarbeiter!B130="","",Mitarbeiter!H130)</f>
        <v/>
      </c>
      <c r="E130" s="57">
        <f>IF(Mitarbeiter!B130="","",'Ist-Stunden'!C130)</f>
        <v/>
      </c>
      <c r="F130" s="57">
        <f>IF(B130="","",Berechnung!AE130)</f>
        <v/>
      </c>
      <c r="G130" s="61">
        <f>IF(B130="","",Berechnung!P130)</f>
        <v/>
      </c>
      <c r="H130" s="61">
        <f>IF(B130="","",Berechnung!AC130)</f>
        <v/>
      </c>
      <c r="I130" s="61">
        <f>IF(B130="","",Berechnung!AD130)</f>
        <v/>
      </c>
      <c r="J130" s="36">
        <f>IF(B130="","",SUMPRODUCT(((Berechnung!D130:O130+Berechnung!Q130:AB130)&gt;0)*1))</f>
        <v/>
      </c>
      <c r="K130" s="62">
        <f>IF(B130="","",IF(N(D130)&gt;0,F130/D130,""))</f>
        <v/>
      </c>
      <c r="L130" s="40">
        <f>IF(B130="","",IF(N(E130)&gt;0,IF(Einstellungen!$C$10="Ja",F130/E130,F130/(E130+F130)),""))</f>
        <v/>
      </c>
      <c r="M130" s="63">
        <f>IF(L130="","",RANK(L130,$L$6:$L$305,0))</f>
        <v/>
      </c>
      <c r="N130" s="56">
        <f>IF(B130="","",IF(L130="","keine Ist-Std.",IF(L130&lt;=Einstellungen!$C$7,"unauffällig",IF(L130&lt;=Einstellungen!$C$8,"auffällig","kritisch"))))</f>
        <v/>
      </c>
      <c r="O130" s="64">
        <f>IF(L130="",-1,L130+ROW()/1000000000)</f>
        <v/>
      </c>
      <c r="P130" s="61">
        <f>IF(B130="","",Berechnung!AF130)</f>
        <v/>
      </c>
      <c r="Q130" s="57">
        <f>IF(B130="","",Berechnung!AG130)</f>
        <v/>
      </c>
      <c r="R130" s="57">
        <f>IF(B130="","",'Ist-Stunden'!D130)</f>
        <v/>
      </c>
      <c r="S130" s="59">
        <f>IF(B130="","",IF(N(R130)&gt;0,IF(Einstellungen!$C$10="Ja",Q130/R130,Q130/(R130+Q130)),""))</f>
        <v/>
      </c>
      <c r="T130" s="56">
        <f>IF(B130="","",IF(S130="","keine Ist-Std.",IF(S130&lt;=Einstellungen!$C$7,"unauffällig",IF(S130&lt;=Einstellungen!$C$8,"auffällig","kritisch"))))</f>
        <v/>
      </c>
    </row>
    <row r="131">
      <c r="A131" s="47">
        <f>IF(Mitarbeiter!B131="","",Mitarbeiter!A131)</f>
        <v/>
      </c>
      <c r="B131" s="48">
        <f>IF(Mitarbeiter!B131="","",Mitarbeiter!B131)</f>
        <v/>
      </c>
      <c r="C131" s="7">
        <f>IF(Mitarbeiter!B131="","",Mitarbeiter!G131)</f>
        <v/>
      </c>
      <c r="D131" s="57">
        <f>IF(Mitarbeiter!B131="","",Mitarbeiter!H131)</f>
        <v/>
      </c>
      <c r="E131" s="57">
        <f>IF(Mitarbeiter!B131="","",'Ist-Stunden'!C131)</f>
        <v/>
      </c>
      <c r="F131" s="57">
        <f>IF(B131="","",Berechnung!AE131)</f>
        <v/>
      </c>
      <c r="G131" s="61">
        <f>IF(B131="","",Berechnung!P131)</f>
        <v/>
      </c>
      <c r="H131" s="61">
        <f>IF(B131="","",Berechnung!AC131)</f>
        <v/>
      </c>
      <c r="I131" s="61">
        <f>IF(B131="","",Berechnung!AD131)</f>
        <v/>
      </c>
      <c r="J131" s="36">
        <f>IF(B131="","",SUMPRODUCT(((Berechnung!D131:O131+Berechnung!Q131:AB131)&gt;0)*1))</f>
        <v/>
      </c>
      <c r="K131" s="62">
        <f>IF(B131="","",IF(N(D131)&gt;0,F131/D131,""))</f>
        <v/>
      </c>
      <c r="L131" s="40">
        <f>IF(B131="","",IF(N(E131)&gt;0,IF(Einstellungen!$C$10="Ja",F131/E131,F131/(E131+F131)),""))</f>
        <v/>
      </c>
      <c r="M131" s="63">
        <f>IF(L131="","",RANK(L131,$L$6:$L$305,0))</f>
        <v/>
      </c>
      <c r="N131" s="56">
        <f>IF(B131="","",IF(L131="","keine Ist-Std.",IF(L131&lt;=Einstellungen!$C$7,"unauffällig",IF(L131&lt;=Einstellungen!$C$8,"auffällig","kritisch"))))</f>
        <v/>
      </c>
      <c r="O131" s="64">
        <f>IF(L131="",-1,L131+ROW()/1000000000)</f>
        <v/>
      </c>
      <c r="P131" s="61">
        <f>IF(B131="","",Berechnung!AF131)</f>
        <v/>
      </c>
      <c r="Q131" s="57">
        <f>IF(B131="","",Berechnung!AG131)</f>
        <v/>
      </c>
      <c r="R131" s="57">
        <f>IF(B131="","",'Ist-Stunden'!D131)</f>
        <v/>
      </c>
      <c r="S131" s="59">
        <f>IF(B131="","",IF(N(R131)&gt;0,IF(Einstellungen!$C$10="Ja",Q131/R131,Q131/(R131+Q131)),""))</f>
        <v/>
      </c>
      <c r="T131" s="56">
        <f>IF(B131="","",IF(S131="","keine Ist-Std.",IF(S131&lt;=Einstellungen!$C$7,"unauffällig",IF(S131&lt;=Einstellungen!$C$8,"auffällig","kritisch"))))</f>
        <v/>
      </c>
    </row>
    <row r="132">
      <c r="A132" s="47">
        <f>IF(Mitarbeiter!B132="","",Mitarbeiter!A132)</f>
        <v/>
      </c>
      <c r="B132" s="48">
        <f>IF(Mitarbeiter!B132="","",Mitarbeiter!B132)</f>
        <v/>
      </c>
      <c r="C132" s="7">
        <f>IF(Mitarbeiter!B132="","",Mitarbeiter!G132)</f>
        <v/>
      </c>
      <c r="D132" s="57">
        <f>IF(Mitarbeiter!B132="","",Mitarbeiter!H132)</f>
        <v/>
      </c>
      <c r="E132" s="57">
        <f>IF(Mitarbeiter!B132="","",'Ist-Stunden'!C132)</f>
        <v/>
      </c>
      <c r="F132" s="57">
        <f>IF(B132="","",Berechnung!AE132)</f>
        <v/>
      </c>
      <c r="G132" s="61">
        <f>IF(B132="","",Berechnung!P132)</f>
        <v/>
      </c>
      <c r="H132" s="61">
        <f>IF(B132="","",Berechnung!AC132)</f>
        <v/>
      </c>
      <c r="I132" s="61">
        <f>IF(B132="","",Berechnung!AD132)</f>
        <v/>
      </c>
      <c r="J132" s="36">
        <f>IF(B132="","",SUMPRODUCT(((Berechnung!D132:O132+Berechnung!Q132:AB132)&gt;0)*1))</f>
        <v/>
      </c>
      <c r="K132" s="62">
        <f>IF(B132="","",IF(N(D132)&gt;0,F132/D132,""))</f>
        <v/>
      </c>
      <c r="L132" s="40">
        <f>IF(B132="","",IF(N(E132)&gt;0,IF(Einstellungen!$C$10="Ja",F132/E132,F132/(E132+F132)),""))</f>
        <v/>
      </c>
      <c r="M132" s="63">
        <f>IF(L132="","",RANK(L132,$L$6:$L$305,0))</f>
        <v/>
      </c>
      <c r="N132" s="56">
        <f>IF(B132="","",IF(L132="","keine Ist-Std.",IF(L132&lt;=Einstellungen!$C$7,"unauffällig",IF(L132&lt;=Einstellungen!$C$8,"auffällig","kritisch"))))</f>
        <v/>
      </c>
      <c r="O132" s="64">
        <f>IF(L132="",-1,L132+ROW()/1000000000)</f>
        <v/>
      </c>
      <c r="P132" s="61">
        <f>IF(B132="","",Berechnung!AF132)</f>
        <v/>
      </c>
      <c r="Q132" s="57">
        <f>IF(B132="","",Berechnung!AG132)</f>
        <v/>
      </c>
      <c r="R132" s="57">
        <f>IF(B132="","",'Ist-Stunden'!D132)</f>
        <v/>
      </c>
      <c r="S132" s="59">
        <f>IF(B132="","",IF(N(R132)&gt;0,IF(Einstellungen!$C$10="Ja",Q132/R132,Q132/(R132+Q132)),""))</f>
        <v/>
      </c>
      <c r="T132" s="56">
        <f>IF(B132="","",IF(S132="","keine Ist-Std.",IF(S132&lt;=Einstellungen!$C$7,"unauffällig",IF(S132&lt;=Einstellungen!$C$8,"auffällig","kritisch"))))</f>
        <v/>
      </c>
    </row>
    <row r="133">
      <c r="A133" s="47">
        <f>IF(Mitarbeiter!B133="","",Mitarbeiter!A133)</f>
        <v/>
      </c>
      <c r="B133" s="48">
        <f>IF(Mitarbeiter!B133="","",Mitarbeiter!B133)</f>
        <v/>
      </c>
      <c r="C133" s="7">
        <f>IF(Mitarbeiter!B133="","",Mitarbeiter!G133)</f>
        <v/>
      </c>
      <c r="D133" s="57">
        <f>IF(Mitarbeiter!B133="","",Mitarbeiter!H133)</f>
        <v/>
      </c>
      <c r="E133" s="57">
        <f>IF(Mitarbeiter!B133="","",'Ist-Stunden'!C133)</f>
        <v/>
      </c>
      <c r="F133" s="57">
        <f>IF(B133="","",Berechnung!AE133)</f>
        <v/>
      </c>
      <c r="G133" s="61">
        <f>IF(B133="","",Berechnung!P133)</f>
        <v/>
      </c>
      <c r="H133" s="61">
        <f>IF(B133="","",Berechnung!AC133)</f>
        <v/>
      </c>
      <c r="I133" s="61">
        <f>IF(B133="","",Berechnung!AD133)</f>
        <v/>
      </c>
      <c r="J133" s="36">
        <f>IF(B133="","",SUMPRODUCT(((Berechnung!D133:O133+Berechnung!Q133:AB133)&gt;0)*1))</f>
        <v/>
      </c>
      <c r="K133" s="62">
        <f>IF(B133="","",IF(N(D133)&gt;0,F133/D133,""))</f>
        <v/>
      </c>
      <c r="L133" s="40">
        <f>IF(B133="","",IF(N(E133)&gt;0,IF(Einstellungen!$C$10="Ja",F133/E133,F133/(E133+F133)),""))</f>
        <v/>
      </c>
      <c r="M133" s="63">
        <f>IF(L133="","",RANK(L133,$L$6:$L$305,0))</f>
        <v/>
      </c>
      <c r="N133" s="56">
        <f>IF(B133="","",IF(L133="","keine Ist-Std.",IF(L133&lt;=Einstellungen!$C$7,"unauffällig",IF(L133&lt;=Einstellungen!$C$8,"auffällig","kritisch"))))</f>
        <v/>
      </c>
      <c r="O133" s="64">
        <f>IF(L133="",-1,L133+ROW()/1000000000)</f>
        <v/>
      </c>
      <c r="P133" s="61">
        <f>IF(B133="","",Berechnung!AF133)</f>
        <v/>
      </c>
      <c r="Q133" s="57">
        <f>IF(B133="","",Berechnung!AG133)</f>
        <v/>
      </c>
      <c r="R133" s="57">
        <f>IF(B133="","",'Ist-Stunden'!D133)</f>
        <v/>
      </c>
      <c r="S133" s="59">
        <f>IF(B133="","",IF(N(R133)&gt;0,IF(Einstellungen!$C$10="Ja",Q133/R133,Q133/(R133+Q133)),""))</f>
        <v/>
      </c>
      <c r="T133" s="56">
        <f>IF(B133="","",IF(S133="","keine Ist-Std.",IF(S133&lt;=Einstellungen!$C$7,"unauffällig",IF(S133&lt;=Einstellungen!$C$8,"auffällig","kritisch"))))</f>
        <v/>
      </c>
    </row>
    <row r="134">
      <c r="A134" s="47">
        <f>IF(Mitarbeiter!B134="","",Mitarbeiter!A134)</f>
        <v/>
      </c>
      <c r="B134" s="48">
        <f>IF(Mitarbeiter!B134="","",Mitarbeiter!B134)</f>
        <v/>
      </c>
      <c r="C134" s="7">
        <f>IF(Mitarbeiter!B134="","",Mitarbeiter!G134)</f>
        <v/>
      </c>
      <c r="D134" s="57">
        <f>IF(Mitarbeiter!B134="","",Mitarbeiter!H134)</f>
        <v/>
      </c>
      <c r="E134" s="57">
        <f>IF(Mitarbeiter!B134="","",'Ist-Stunden'!C134)</f>
        <v/>
      </c>
      <c r="F134" s="57">
        <f>IF(B134="","",Berechnung!AE134)</f>
        <v/>
      </c>
      <c r="G134" s="61">
        <f>IF(B134="","",Berechnung!P134)</f>
        <v/>
      </c>
      <c r="H134" s="61">
        <f>IF(B134="","",Berechnung!AC134)</f>
        <v/>
      </c>
      <c r="I134" s="61">
        <f>IF(B134="","",Berechnung!AD134)</f>
        <v/>
      </c>
      <c r="J134" s="36">
        <f>IF(B134="","",SUMPRODUCT(((Berechnung!D134:O134+Berechnung!Q134:AB134)&gt;0)*1))</f>
        <v/>
      </c>
      <c r="K134" s="62">
        <f>IF(B134="","",IF(N(D134)&gt;0,F134/D134,""))</f>
        <v/>
      </c>
      <c r="L134" s="40">
        <f>IF(B134="","",IF(N(E134)&gt;0,IF(Einstellungen!$C$10="Ja",F134/E134,F134/(E134+F134)),""))</f>
        <v/>
      </c>
      <c r="M134" s="63">
        <f>IF(L134="","",RANK(L134,$L$6:$L$305,0))</f>
        <v/>
      </c>
      <c r="N134" s="56">
        <f>IF(B134="","",IF(L134="","keine Ist-Std.",IF(L134&lt;=Einstellungen!$C$7,"unauffällig",IF(L134&lt;=Einstellungen!$C$8,"auffällig","kritisch"))))</f>
        <v/>
      </c>
      <c r="O134" s="64">
        <f>IF(L134="",-1,L134+ROW()/1000000000)</f>
        <v/>
      </c>
      <c r="P134" s="61">
        <f>IF(B134="","",Berechnung!AF134)</f>
        <v/>
      </c>
      <c r="Q134" s="57">
        <f>IF(B134="","",Berechnung!AG134)</f>
        <v/>
      </c>
      <c r="R134" s="57">
        <f>IF(B134="","",'Ist-Stunden'!D134)</f>
        <v/>
      </c>
      <c r="S134" s="59">
        <f>IF(B134="","",IF(N(R134)&gt;0,IF(Einstellungen!$C$10="Ja",Q134/R134,Q134/(R134+Q134)),""))</f>
        <v/>
      </c>
      <c r="T134" s="56">
        <f>IF(B134="","",IF(S134="","keine Ist-Std.",IF(S134&lt;=Einstellungen!$C$7,"unauffällig",IF(S134&lt;=Einstellungen!$C$8,"auffällig","kritisch"))))</f>
        <v/>
      </c>
    </row>
    <row r="135">
      <c r="A135" s="47">
        <f>IF(Mitarbeiter!B135="","",Mitarbeiter!A135)</f>
        <v/>
      </c>
      <c r="B135" s="48">
        <f>IF(Mitarbeiter!B135="","",Mitarbeiter!B135)</f>
        <v/>
      </c>
      <c r="C135" s="7">
        <f>IF(Mitarbeiter!B135="","",Mitarbeiter!G135)</f>
        <v/>
      </c>
      <c r="D135" s="57">
        <f>IF(Mitarbeiter!B135="","",Mitarbeiter!H135)</f>
        <v/>
      </c>
      <c r="E135" s="57">
        <f>IF(Mitarbeiter!B135="","",'Ist-Stunden'!C135)</f>
        <v/>
      </c>
      <c r="F135" s="57">
        <f>IF(B135="","",Berechnung!AE135)</f>
        <v/>
      </c>
      <c r="G135" s="61">
        <f>IF(B135="","",Berechnung!P135)</f>
        <v/>
      </c>
      <c r="H135" s="61">
        <f>IF(B135="","",Berechnung!AC135)</f>
        <v/>
      </c>
      <c r="I135" s="61">
        <f>IF(B135="","",Berechnung!AD135)</f>
        <v/>
      </c>
      <c r="J135" s="36">
        <f>IF(B135="","",SUMPRODUCT(((Berechnung!D135:O135+Berechnung!Q135:AB135)&gt;0)*1))</f>
        <v/>
      </c>
      <c r="K135" s="62">
        <f>IF(B135="","",IF(N(D135)&gt;0,F135/D135,""))</f>
        <v/>
      </c>
      <c r="L135" s="40">
        <f>IF(B135="","",IF(N(E135)&gt;0,IF(Einstellungen!$C$10="Ja",F135/E135,F135/(E135+F135)),""))</f>
        <v/>
      </c>
      <c r="M135" s="63">
        <f>IF(L135="","",RANK(L135,$L$6:$L$305,0))</f>
        <v/>
      </c>
      <c r="N135" s="56">
        <f>IF(B135="","",IF(L135="","keine Ist-Std.",IF(L135&lt;=Einstellungen!$C$7,"unauffällig",IF(L135&lt;=Einstellungen!$C$8,"auffällig","kritisch"))))</f>
        <v/>
      </c>
      <c r="O135" s="64">
        <f>IF(L135="",-1,L135+ROW()/1000000000)</f>
        <v/>
      </c>
      <c r="P135" s="61">
        <f>IF(B135="","",Berechnung!AF135)</f>
        <v/>
      </c>
      <c r="Q135" s="57">
        <f>IF(B135="","",Berechnung!AG135)</f>
        <v/>
      </c>
      <c r="R135" s="57">
        <f>IF(B135="","",'Ist-Stunden'!D135)</f>
        <v/>
      </c>
      <c r="S135" s="59">
        <f>IF(B135="","",IF(N(R135)&gt;0,IF(Einstellungen!$C$10="Ja",Q135/R135,Q135/(R135+Q135)),""))</f>
        <v/>
      </c>
      <c r="T135" s="56">
        <f>IF(B135="","",IF(S135="","keine Ist-Std.",IF(S135&lt;=Einstellungen!$C$7,"unauffällig",IF(S135&lt;=Einstellungen!$C$8,"auffällig","kritisch"))))</f>
        <v/>
      </c>
    </row>
    <row r="136">
      <c r="A136" s="47">
        <f>IF(Mitarbeiter!B136="","",Mitarbeiter!A136)</f>
        <v/>
      </c>
      <c r="B136" s="48">
        <f>IF(Mitarbeiter!B136="","",Mitarbeiter!B136)</f>
        <v/>
      </c>
      <c r="C136" s="7">
        <f>IF(Mitarbeiter!B136="","",Mitarbeiter!G136)</f>
        <v/>
      </c>
      <c r="D136" s="57">
        <f>IF(Mitarbeiter!B136="","",Mitarbeiter!H136)</f>
        <v/>
      </c>
      <c r="E136" s="57">
        <f>IF(Mitarbeiter!B136="","",'Ist-Stunden'!C136)</f>
        <v/>
      </c>
      <c r="F136" s="57">
        <f>IF(B136="","",Berechnung!AE136)</f>
        <v/>
      </c>
      <c r="G136" s="61">
        <f>IF(B136="","",Berechnung!P136)</f>
        <v/>
      </c>
      <c r="H136" s="61">
        <f>IF(B136="","",Berechnung!AC136)</f>
        <v/>
      </c>
      <c r="I136" s="61">
        <f>IF(B136="","",Berechnung!AD136)</f>
        <v/>
      </c>
      <c r="J136" s="36">
        <f>IF(B136="","",SUMPRODUCT(((Berechnung!D136:O136+Berechnung!Q136:AB136)&gt;0)*1))</f>
        <v/>
      </c>
      <c r="K136" s="62">
        <f>IF(B136="","",IF(N(D136)&gt;0,F136/D136,""))</f>
        <v/>
      </c>
      <c r="L136" s="40">
        <f>IF(B136="","",IF(N(E136)&gt;0,IF(Einstellungen!$C$10="Ja",F136/E136,F136/(E136+F136)),""))</f>
        <v/>
      </c>
      <c r="M136" s="63">
        <f>IF(L136="","",RANK(L136,$L$6:$L$305,0))</f>
        <v/>
      </c>
      <c r="N136" s="56">
        <f>IF(B136="","",IF(L136="","keine Ist-Std.",IF(L136&lt;=Einstellungen!$C$7,"unauffällig",IF(L136&lt;=Einstellungen!$C$8,"auffällig","kritisch"))))</f>
        <v/>
      </c>
      <c r="O136" s="64">
        <f>IF(L136="",-1,L136+ROW()/1000000000)</f>
        <v/>
      </c>
      <c r="P136" s="61">
        <f>IF(B136="","",Berechnung!AF136)</f>
        <v/>
      </c>
      <c r="Q136" s="57">
        <f>IF(B136="","",Berechnung!AG136)</f>
        <v/>
      </c>
      <c r="R136" s="57">
        <f>IF(B136="","",'Ist-Stunden'!D136)</f>
        <v/>
      </c>
      <c r="S136" s="59">
        <f>IF(B136="","",IF(N(R136)&gt;0,IF(Einstellungen!$C$10="Ja",Q136/R136,Q136/(R136+Q136)),""))</f>
        <v/>
      </c>
      <c r="T136" s="56">
        <f>IF(B136="","",IF(S136="","keine Ist-Std.",IF(S136&lt;=Einstellungen!$C$7,"unauffällig",IF(S136&lt;=Einstellungen!$C$8,"auffällig","kritisch"))))</f>
        <v/>
      </c>
    </row>
    <row r="137">
      <c r="A137" s="47">
        <f>IF(Mitarbeiter!B137="","",Mitarbeiter!A137)</f>
        <v/>
      </c>
      <c r="B137" s="48">
        <f>IF(Mitarbeiter!B137="","",Mitarbeiter!B137)</f>
        <v/>
      </c>
      <c r="C137" s="7">
        <f>IF(Mitarbeiter!B137="","",Mitarbeiter!G137)</f>
        <v/>
      </c>
      <c r="D137" s="57">
        <f>IF(Mitarbeiter!B137="","",Mitarbeiter!H137)</f>
        <v/>
      </c>
      <c r="E137" s="57">
        <f>IF(Mitarbeiter!B137="","",'Ist-Stunden'!C137)</f>
        <v/>
      </c>
      <c r="F137" s="57">
        <f>IF(B137="","",Berechnung!AE137)</f>
        <v/>
      </c>
      <c r="G137" s="61">
        <f>IF(B137="","",Berechnung!P137)</f>
        <v/>
      </c>
      <c r="H137" s="61">
        <f>IF(B137="","",Berechnung!AC137)</f>
        <v/>
      </c>
      <c r="I137" s="61">
        <f>IF(B137="","",Berechnung!AD137)</f>
        <v/>
      </c>
      <c r="J137" s="36">
        <f>IF(B137="","",SUMPRODUCT(((Berechnung!D137:O137+Berechnung!Q137:AB137)&gt;0)*1))</f>
        <v/>
      </c>
      <c r="K137" s="62">
        <f>IF(B137="","",IF(N(D137)&gt;0,F137/D137,""))</f>
        <v/>
      </c>
      <c r="L137" s="40">
        <f>IF(B137="","",IF(N(E137)&gt;0,IF(Einstellungen!$C$10="Ja",F137/E137,F137/(E137+F137)),""))</f>
        <v/>
      </c>
      <c r="M137" s="63">
        <f>IF(L137="","",RANK(L137,$L$6:$L$305,0))</f>
        <v/>
      </c>
      <c r="N137" s="56">
        <f>IF(B137="","",IF(L137="","keine Ist-Std.",IF(L137&lt;=Einstellungen!$C$7,"unauffällig",IF(L137&lt;=Einstellungen!$C$8,"auffällig","kritisch"))))</f>
        <v/>
      </c>
      <c r="O137" s="64">
        <f>IF(L137="",-1,L137+ROW()/1000000000)</f>
        <v/>
      </c>
      <c r="P137" s="61">
        <f>IF(B137="","",Berechnung!AF137)</f>
        <v/>
      </c>
      <c r="Q137" s="57">
        <f>IF(B137="","",Berechnung!AG137)</f>
        <v/>
      </c>
      <c r="R137" s="57">
        <f>IF(B137="","",'Ist-Stunden'!D137)</f>
        <v/>
      </c>
      <c r="S137" s="59">
        <f>IF(B137="","",IF(N(R137)&gt;0,IF(Einstellungen!$C$10="Ja",Q137/R137,Q137/(R137+Q137)),""))</f>
        <v/>
      </c>
      <c r="T137" s="56">
        <f>IF(B137="","",IF(S137="","keine Ist-Std.",IF(S137&lt;=Einstellungen!$C$7,"unauffällig",IF(S137&lt;=Einstellungen!$C$8,"auffällig","kritisch"))))</f>
        <v/>
      </c>
    </row>
    <row r="138">
      <c r="A138" s="47">
        <f>IF(Mitarbeiter!B138="","",Mitarbeiter!A138)</f>
        <v/>
      </c>
      <c r="B138" s="48">
        <f>IF(Mitarbeiter!B138="","",Mitarbeiter!B138)</f>
        <v/>
      </c>
      <c r="C138" s="7">
        <f>IF(Mitarbeiter!B138="","",Mitarbeiter!G138)</f>
        <v/>
      </c>
      <c r="D138" s="57">
        <f>IF(Mitarbeiter!B138="","",Mitarbeiter!H138)</f>
        <v/>
      </c>
      <c r="E138" s="57">
        <f>IF(Mitarbeiter!B138="","",'Ist-Stunden'!C138)</f>
        <v/>
      </c>
      <c r="F138" s="57">
        <f>IF(B138="","",Berechnung!AE138)</f>
        <v/>
      </c>
      <c r="G138" s="61">
        <f>IF(B138="","",Berechnung!P138)</f>
        <v/>
      </c>
      <c r="H138" s="61">
        <f>IF(B138="","",Berechnung!AC138)</f>
        <v/>
      </c>
      <c r="I138" s="61">
        <f>IF(B138="","",Berechnung!AD138)</f>
        <v/>
      </c>
      <c r="J138" s="36">
        <f>IF(B138="","",SUMPRODUCT(((Berechnung!D138:O138+Berechnung!Q138:AB138)&gt;0)*1))</f>
        <v/>
      </c>
      <c r="K138" s="62">
        <f>IF(B138="","",IF(N(D138)&gt;0,F138/D138,""))</f>
        <v/>
      </c>
      <c r="L138" s="40">
        <f>IF(B138="","",IF(N(E138)&gt;0,IF(Einstellungen!$C$10="Ja",F138/E138,F138/(E138+F138)),""))</f>
        <v/>
      </c>
      <c r="M138" s="63">
        <f>IF(L138="","",RANK(L138,$L$6:$L$305,0))</f>
        <v/>
      </c>
      <c r="N138" s="56">
        <f>IF(B138="","",IF(L138="","keine Ist-Std.",IF(L138&lt;=Einstellungen!$C$7,"unauffällig",IF(L138&lt;=Einstellungen!$C$8,"auffällig","kritisch"))))</f>
        <v/>
      </c>
      <c r="O138" s="64">
        <f>IF(L138="",-1,L138+ROW()/1000000000)</f>
        <v/>
      </c>
      <c r="P138" s="61">
        <f>IF(B138="","",Berechnung!AF138)</f>
        <v/>
      </c>
      <c r="Q138" s="57">
        <f>IF(B138="","",Berechnung!AG138)</f>
        <v/>
      </c>
      <c r="R138" s="57">
        <f>IF(B138="","",'Ist-Stunden'!D138)</f>
        <v/>
      </c>
      <c r="S138" s="59">
        <f>IF(B138="","",IF(N(R138)&gt;0,IF(Einstellungen!$C$10="Ja",Q138/R138,Q138/(R138+Q138)),""))</f>
        <v/>
      </c>
      <c r="T138" s="56">
        <f>IF(B138="","",IF(S138="","keine Ist-Std.",IF(S138&lt;=Einstellungen!$C$7,"unauffällig",IF(S138&lt;=Einstellungen!$C$8,"auffällig","kritisch"))))</f>
        <v/>
      </c>
    </row>
    <row r="139">
      <c r="A139" s="47">
        <f>IF(Mitarbeiter!B139="","",Mitarbeiter!A139)</f>
        <v/>
      </c>
      <c r="B139" s="48">
        <f>IF(Mitarbeiter!B139="","",Mitarbeiter!B139)</f>
        <v/>
      </c>
      <c r="C139" s="7">
        <f>IF(Mitarbeiter!B139="","",Mitarbeiter!G139)</f>
        <v/>
      </c>
      <c r="D139" s="57">
        <f>IF(Mitarbeiter!B139="","",Mitarbeiter!H139)</f>
        <v/>
      </c>
      <c r="E139" s="57">
        <f>IF(Mitarbeiter!B139="","",'Ist-Stunden'!C139)</f>
        <v/>
      </c>
      <c r="F139" s="57">
        <f>IF(B139="","",Berechnung!AE139)</f>
        <v/>
      </c>
      <c r="G139" s="61">
        <f>IF(B139="","",Berechnung!P139)</f>
        <v/>
      </c>
      <c r="H139" s="61">
        <f>IF(B139="","",Berechnung!AC139)</f>
        <v/>
      </c>
      <c r="I139" s="61">
        <f>IF(B139="","",Berechnung!AD139)</f>
        <v/>
      </c>
      <c r="J139" s="36">
        <f>IF(B139="","",SUMPRODUCT(((Berechnung!D139:O139+Berechnung!Q139:AB139)&gt;0)*1))</f>
        <v/>
      </c>
      <c r="K139" s="62">
        <f>IF(B139="","",IF(N(D139)&gt;0,F139/D139,""))</f>
        <v/>
      </c>
      <c r="L139" s="40">
        <f>IF(B139="","",IF(N(E139)&gt;0,IF(Einstellungen!$C$10="Ja",F139/E139,F139/(E139+F139)),""))</f>
        <v/>
      </c>
      <c r="M139" s="63">
        <f>IF(L139="","",RANK(L139,$L$6:$L$305,0))</f>
        <v/>
      </c>
      <c r="N139" s="56">
        <f>IF(B139="","",IF(L139="","keine Ist-Std.",IF(L139&lt;=Einstellungen!$C$7,"unauffällig",IF(L139&lt;=Einstellungen!$C$8,"auffällig","kritisch"))))</f>
        <v/>
      </c>
      <c r="O139" s="64">
        <f>IF(L139="",-1,L139+ROW()/1000000000)</f>
        <v/>
      </c>
      <c r="P139" s="61">
        <f>IF(B139="","",Berechnung!AF139)</f>
        <v/>
      </c>
      <c r="Q139" s="57">
        <f>IF(B139="","",Berechnung!AG139)</f>
        <v/>
      </c>
      <c r="R139" s="57">
        <f>IF(B139="","",'Ist-Stunden'!D139)</f>
        <v/>
      </c>
      <c r="S139" s="59">
        <f>IF(B139="","",IF(N(R139)&gt;0,IF(Einstellungen!$C$10="Ja",Q139/R139,Q139/(R139+Q139)),""))</f>
        <v/>
      </c>
      <c r="T139" s="56">
        <f>IF(B139="","",IF(S139="","keine Ist-Std.",IF(S139&lt;=Einstellungen!$C$7,"unauffällig",IF(S139&lt;=Einstellungen!$C$8,"auffällig","kritisch"))))</f>
        <v/>
      </c>
    </row>
    <row r="140">
      <c r="A140" s="47">
        <f>IF(Mitarbeiter!B140="","",Mitarbeiter!A140)</f>
        <v/>
      </c>
      <c r="B140" s="48">
        <f>IF(Mitarbeiter!B140="","",Mitarbeiter!B140)</f>
        <v/>
      </c>
      <c r="C140" s="7">
        <f>IF(Mitarbeiter!B140="","",Mitarbeiter!G140)</f>
        <v/>
      </c>
      <c r="D140" s="57">
        <f>IF(Mitarbeiter!B140="","",Mitarbeiter!H140)</f>
        <v/>
      </c>
      <c r="E140" s="57">
        <f>IF(Mitarbeiter!B140="","",'Ist-Stunden'!C140)</f>
        <v/>
      </c>
      <c r="F140" s="57">
        <f>IF(B140="","",Berechnung!AE140)</f>
        <v/>
      </c>
      <c r="G140" s="61">
        <f>IF(B140="","",Berechnung!P140)</f>
        <v/>
      </c>
      <c r="H140" s="61">
        <f>IF(B140="","",Berechnung!AC140)</f>
        <v/>
      </c>
      <c r="I140" s="61">
        <f>IF(B140="","",Berechnung!AD140)</f>
        <v/>
      </c>
      <c r="J140" s="36">
        <f>IF(B140="","",SUMPRODUCT(((Berechnung!D140:O140+Berechnung!Q140:AB140)&gt;0)*1))</f>
        <v/>
      </c>
      <c r="K140" s="62">
        <f>IF(B140="","",IF(N(D140)&gt;0,F140/D140,""))</f>
        <v/>
      </c>
      <c r="L140" s="40">
        <f>IF(B140="","",IF(N(E140)&gt;0,IF(Einstellungen!$C$10="Ja",F140/E140,F140/(E140+F140)),""))</f>
        <v/>
      </c>
      <c r="M140" s="63">
        <f>IF(L140="","",RANK(L140,$L$6:$L$305,0))</f>
        <v/>
      </c>
      <c r="N140" s="56">
        <f>IF(B140="","",IF(L140="","keine Ist-Std.",IF(L140&lt;=Einstellungen!$C$7,"unauffällig",IF(L140&lt;=Einstellungen!$C$8,"auffällig","kritisch"))))</f>
        <v/>
      </c>
      <c r="O140" s="64">
        <f>IF(L140="",-1,L140+ROW()/1000000000)</f>
        <v/>
      </c>
      <c r="P140" s="61">
        <f>IF(B140="","",Berechnung!AF140)</f>
        <v/>
      </c>
      <c r="Q140" s="57">
        <f>IF(B140="","",Berechnung!AG140)</f>
        <v/>
      </c>
      <c r="R140" s="57">
        <f>IF(B140="","",'Ist-Stunden'!D140)</f>
        <v/>
      </c>
      <c r="S140" s="59">
        <f>IF(B140="","",IF(N(R140)&gt;0,IF(Einstellungen!$C$10="Ja",Q140/R140,Q140/(R140+Q140)),""))</f>
        <v/>
      </c>
      <c r="T140" s="56">
        <f>IF(B140="","",IF(S140="","keine Ist-Std.",IF(S140&lt;=Einstellungen!$C$7,"unauffällig",IF(S140&lt;=Einstellungen!$C$8,"auffällig","kritisch"))))</f>
        <v/>
      </c>
    </row>
    <row r="141">
      <c r="A141" s="47">
        <f>IF(Mitarbeiter!B141="","",Mitarbeiter!A141)</f>
        <v/>
      </c>
      <c r="B141" s="48">
        <f>IF(Mitarbeiter!B141="","",Mitarbeiter!B141)</f>
        <v/>
      </c>
      <c r="C141" s="7">
        <f>IF(Mitarbeiter!B141="","",Mitarbeiter!G141)</f>
        <v/>
      </c>
      <c r="D141" s="57">
        <f>IF(Mitarbeiter!B141="","",Mitarbeiter!H141)</f>
        <v/>
      </c>
      <c r="E141" s="57">
        <f>IF(Mitarbeiter!B141="","",'Ist-Stunden'!C141)</f>
        <v/>
      </c>
      <c r="F141" s="57">
        <f>IF(B141="","",Berechnung!AE141)</f>
        <v/>
      </c>
      <c r="G141" s="61">
        <f>IF(B141="","",Berechnung!P141)</f>
        <v/>
      </c>
      <c r="H141" s="61">
        <f>IF(B141="","",Berechnung!AC141)</f>
        <v/>
      </c>
      <c r="I141" s="61">
        <f>IF(B141="","",Berechnung!AD141)</f>
        <v/>
      </c>
      <c r="J141" s="36">
        <f>IF(B141="","",SUMPRODUCT(((Berechnung!D141:O141+Berechnung!Q141:AB141)&gt;0)*1))</f>
        <v/>
      </c>
      <c r="K141" s="62">
        <f>IF(B141="","",IF(N(D141)&gt;0,F141/D141,""))</f>
        <v/>
      </c>
      <c r="L141" s="40">
        <f>IF(B141="","",IF(N(E141)&gt;0,IF(Einstellungen!$C$10="Ja",F141/E141,F141/(E141+F141)),""))</f>
        <v/>
      </c>
      <c r="M141" s="63">
        <f>IF(L141="","",RANK(L141,$L$6:$L$305,0))</f>
        <v/>
      </c>
      <c r="N141" s="56">
        <f>IF(B141="","",IF(L141="","keine Ist-Std.",IF(L141&lt;=Einstellungen!$C$7,"unauffällig",IF(L141&lt;=Einstellungen!$C$8,"auffällig","kritisch"))))</f>
        <v/>
      </c>
      <c r="O141" s="64">
        <f>IF(L141="",-1,L141+ROW()/1000000000)</f>
        <v/>
      </c>
      <c r="P141" s="61">
        <f>IF(B141="","",Berechnung!AF141)</f>
        <v/>
      </c>
      <c r="Q141" s="57">
        <f>IF(B141="","",Berechnung!AG141)</f>
        <v/>
      </c>
      <c r="R141" s="57">
        <f>IF(B141="","",'Ist-Stunden'!D141)</f>
        <v/>
      </c>
      <c r="S141" s="59">
        <f>IF(B141="","",IF(N(R141)&gt;0,IF(Einstellungen!$C$10="Ja",Q141/R141,Q141/(R141+Q141)),""))</f>
        <v/>
      </c>
      <c r="T141" s="56">
        <f>IF(B141="","",IF(S141="","keine Ist-Std.",IF(S141&lt;=Einstellungen!$C$7,"unauffällig",IF(S141&lt;=Einstellungen!$C$8,"auffällig","kritisch"))))</f>
        <v/>
      </c>
    </row>
    <row r="142">
      <c r="A142" s="47">
        <f>IF(Mitarbeiter!B142="","",Mitarbeiter!A142)</f>
        <v/>
      </c>
      <c r="B142" s="48">
        <f>IF(Mitarbeiter!B142="","",Mitarbeiter!B142)</f>
        <v/>
      </c>
      <c r="C142" s="7">
        <f>IF(Mitarbeiter!B142="","",Mitarbeiter!G142)</f>
        <v/>
      </c>
      <c r="D142" s="57">
        <f>IF(Mitarbeiter!B142="","",Mitarbeiter!H142)</f>
        <v/>
      </c>
      <c r="E142" s="57">
        <f>IF(Mitarbeiter!B142="","",'Ist-Stunden'!C142)</f>
        <v/>
      </c>
      <c r="F142" s="57">
        <f>IF(B142="","",Berechnung!AE142)</f>
        <v/>
      </c>
      <c r="G142" s="61">
        <f>IF(B142="","",Berechnung!P142)</f>
        <v/>
      </c>
      <c r="H142" s="61">
        <f>IF(B142="","",Berechnung!AC142)</f>
        <v/>
      </c>
      <c r="I142" s="61">
        <f>IF(B142="","",Berechnung!AD142)</f>
        <v/>
      </c>
      <c r="J142" s="36">
        <f>IF(B142="","",SUMPRODUCT(((Berechnung!D142:O142+Berechnung!Q142:AB142)&gt;0)*1))</f>
        <v/>
      </c>
      <c r="K142" s="62">
        <f>IF(B142="","",IF(N(D142)&gt;0,F142/D142,""))</f>
        <v/>
      </c>
      <c r="L142" s="40">
        <f>IF(B142="","",IF(N(E142)&gt;0,IF(Einstellungen!$C$10="Ja",F142/E142,F142/(E142+F142)),""))</f>
        <v/>
      </c>
      <c r="M142" s="63">
        <f>IF(L142="","",RANK(L142,$L$6:$L$305,0))</f>
        <v/>
      </c>
      <c r="N142" s="56">
        <f>IF(B142="","",IF(L142="","keine Ist-Std.",IF(L142&lt;=Einstellungen!$C$7,"unauffällig",IF(L142&lt;=Einstellungen!$C$8,"auffällig","kritisch"))))</f>
        <v/>
      </c>
      <c r="O142" s="64">
        <f>IF(L142="",-1,L142+ROW()/1000000000)</f>
        <v/>
      </c>
      <c r="P142" s="61">
        <f>IF(B142="","",Berechnung!AF142)</f>
        <v/>
      </c>
      <c r="Q142" s="57">
        <f>IF(B142="","",Berechnung!AG142)</f>
        <v/>
      </c>
      <c r="R142" s="57">
        <f>IF(B142="","",'Ist-Stunden'!D142)</f>
        <v/>
      </c>
      <c r="S142" s="59">
        <f>IF(B142="","",IF(N(R142)&gt;0,IF(Einstellungen!$C$10="Ja",Q142/R142,Q142/(R142+Q142)),""))</f>
        <v/>
      </c>
      <c r="T142" s="56">
        <f>IF(B142="","",IF(S142="","keine Ist-Std.",IF(S142&lt;=Einstellungen!$C$7,"unauffällig",IF(S142&lt;=Einstellungen!$C$8,"auffällig","kritisch"))))</f>
        <v/>
      </c>
    </row>
    <row r="143">
      <c r="A143" s="47">
        <f>IF(Mitarbeiter!B143="","",Mitarbeiter!A143)</f>
        <v/>
      </c>
      <c r="B143" s="48">
        <f>IF(Mitarbeiter!B143="","",Mitarbeiter!B143)</f>
        <v/>
      </c>
      <c r="C143" s="7">
        <f>IF(Mitarbeiter!B143="","",Mitarbeiter!G143)</f>
        <v/>
      </c>
      <c r="D143" s="57">
        <f>IF(Mitarbeiter!B143="","",Mitarbeiter!H143)</f>
        <v/>
      </c>
      <c r="E143" s="57">
        <f>IF(Mitarbeiter!B143="","",'Ist-Stunden'!C143)</f>
        <v/>
      </c>
      <c r="F143" s="57">
        <f>IF(B143="","",Berechnung!AE143)</f>
        <v/>
      </c>
      <c r="G143" s="61">
        <f>IF(B143="","",Berechnung!P143)</f>
        <v/>
      </c>
      <c r="H143" s="61">
        <f>IF(B143="","",Berechnung!AC143)</f>
        <v/>
      </c>
      <c r="I143" s="61">
        <f>IF(B143="","",Berechnung!AD143)</f>
        <v/>
      </c>
      <c r="J143" s="36">
        <f>IF(B143="","",SUMPRODUCT(((Berechnung!D143:O143+Berechnung!Q143:AB143)&gt;0)*1))</f>
        <v/>
      </c>
      <c r="K143" s="62">
        <f>IF(B143="","",IF(N(D143)&gt;0,F143/D143,""))</f>
        <v/>
      </c>
      <c r="L143" s="40">
        <f>IF(B143="","",IF(N(E143)&gt;0,IF(Einstellungen!$C$10="Ja",F143/E143,F143/(E143+F143)),""))</f>
        <v/>
      </c>
      <c r="M143" s="63">
        <f>IF(L143="","",RANK(L143,$L$6:$L$305,0))</f>
        <v/>
      </c>
      <c r="N143" s="56">
        <f>IF(B143="","",IF(L143="","keine Ist-Std.",IF(L143&lt;=Einstellungen!$C$7,"unauffällig",IF(L143&lt;=Einstellungen!$C$8,"auffällig","kritisch"))))</f>
        <v/>
      </c>
      <c r="O143" s="64">
        <f>IF(L143="",-1,L143+ROW()/1000000000)</f>
        <v/>
      </c>
      <c r="P143" s="61">
        <f>IF(B143="","",Berechnung!AF143)</f>
        <v/>
      </c>
      <c r="Q143" s="57">
        <f>IF(B143="","",Berechnung!AG143)</f>
        <v/>
      </c>
      <c r="R143" s="57">
        <f>IF(B143="","",'Ist-Stunden'!D143)</f>
        <v/>
      </c>
      <c r="S143" s="59">
        <f>IF(B143="","",IF(N(R143)&gt;0,IF(Einstellungen!$C$10="Ja",Q143/R143,Q143/(R143+Q143)),""))</f>
        <v/>
      </c>
      <c r="T143" s="56">
        <f>IF(B143="","",IF(S143="","keine Ist-Std.",IF(S143&lt;=Einstellungen!$C$7,"unauffällig",IF(S143&lt;=Einstellungen!$C$8,"auffällig","kritisch"))))</f>
        <v/>
      </c>
    </row>
    <row r="144">
      <c r="A144" s="47">
        <f>IF(Mitarbeiter!B144="","",Mitarbeiter!A144)</f>
        <v/>
      </c>
      <c r="B144" s="48">
        <f>IF(Mitarbeiter!B144="","",Mitarbeiter!B144)</f>
        <v/>
      </c>
      <c r="C144" s="7">
        <f>IF(Mitarbeiter!B144="","",Mitarbeiter!G144)</f>
        <v/>
      </c>
      <c r="D144" s="57">
        <f>IF(Mitarbeiter!B144="","",Mitarbeiter!H144)</f>
        <v/>
      </c>
      <c r="E144" s="57">
        <f>IF(Mitarbeiter!B144="","",'Ist-Stunden'!C144)</f>
        <v/>
      </c>
      <c r="F144" s="57">
        <f>IF(B144="","",Berechnung!AE144)</f>
        <v/>
      </c>
      <c r="G144" s="61">
        <f>IF(B144="","",Berechnung!P144)</f>
        <v/>
      </c>
      <c r="H144" s="61">
        <f>IF(B144="","",Berechnung!AC144)</f>
        <v/>
      </c>
      <c r="I144" s="61">
        <f>IF(B144="","",Berechnung!AD144)</f>
        <v/>
      </c>
      <c r="J144" s="36">
        <f>IF(B144="","",SUMPRODUCT(((Berechnung!D144:O144+Berechnung!Q144:AB144)&gt;0)*1))</f>
        <v/>
      </c>
      <c r="K144" s="62">
        <f>IF(B144="","",IF(N(D144)&gt;0,F144/D144,""))</f>
        <v/>
      </c>
      <c r="L144" s="40">
        <f>IF(B144="","",IF(N(E144)&gt;0,IF(Einstellungen!$C$10="Ja",F144/E144,F144/(E144+F144)),""))</f>
        <v/>
      </c>
      <c r="M144" s="63">
        <f>IF(L144="","",RANK(L144,$L$6:$L$305,0))</f>
        <v/>
      </c>
      <c r="N144" s="56">
        <f>IF(B144="","",IF(L144="","keine Ist-Std.",IF(L144&lt;=Einstellungen!$C$7,"unauffällig",IF(L144&lt;=Einstellungen!$C$8,"auffällig","kritisch"))))</f>
        <v/>
      </c>
      <c r="O144" s="64">
        <f>IF(L144="",-1,L144+ROW()/1000000000)</f>
        <v/>
      </c>
      <c r="P144" s="61">
        <f>IF(B144="","",Berechnung!AF144)</f>
        <v/>
      </c>
      <c r="Q144" s="57">
        <f>IF(B144="","",Berechnung!AG144)</f>
        <v/>
      </c>
      <c r="R144" s="57">
        <f>IF(B144="","",'Ist-Stunden'!D144)</f>
        <v/>
      </c>
      <c r="S144" s="59">
        <f>IF(B144="","",IF(N(R144)&gt;0,IF(Einstellungen!$C$10="Ja",Q144/R144,Q144/(R144+Q144)),""))</f>
        <v/>
      </c>
      <c r="T144" s="56">
        <f>IF(B144="","",IF(S144="","keine Ist-Std.",IF(S144&lt;=Einstellungen!$C$7,"unauffällig",IF(S144&lt;=Einstellungen!$C$8,"auffällig","kritisch"))))</f>
        <v/>
      </c>
    </row>
    <row r="145">
      <c r="A145" s="47">
        <f>IF(Mitarbeiter!B145="","",Mitarbeiter!A145)</f>
        <v/>
      </c>
      <c r="B145" s="48">
        <f>IF(Mitarbeiter!B145="","",Mitarbeiter!B145)</f>
        <v/>
      </c>
      <c r="C145" s="7">
        <f>IF(Mitarbeiter!B145="","",Mitarbeiter!G145)</f>
        <v/>
      </c>
      <c r="D145" s="57">
        <f>IF(Mitarbeiter!B145="","",Mitarbeiter!H145)</f>
        <v/>
      </c>
      <c r="E145" s="57">
        <f>IF(Mitarbeiter!B145="","",'Ist-Stunden'!C145)</f>
        <v/>
      </c>
      <c r="F145" s="57">
        <f>IF(B145="","",Berechnung!AE145)</f>
        <v/>
      </c>
      <c r="G145" s="61">
        <f>IF(B145="","",Berechnung!P145)</f>
        <v/>
      </c>
      <c r="H145" s="61">
        <f>IF(B145="","",Berechnung!AC145)</f>
        <v/>
      </c>
      <c r="I145" s="61">
        <f>IF(B145="","",Berechnung!AD145)</f>
        <v/>
      </c>
      <c r="J145" s="36">
        <f>IF(B145="","",SUMPRODUCT(((Berechnung!D145:O145+Berechnung!Q145:AB145)&gt;0)*1))</f>
        <v/>
      </c>
      <c r="K145" s="62">
        <f>IF(B145="","",IF(N(D145)&gt;0,F145/D145,""))</f>
        <v/>
      </c>
      <c r="L145" s="40">
        <f>IF(B145="","",IF(N(E145)&gt;0,IF(Einstellungen!$C$10="Ja",F145/E145,F145/(E145+F145)),""))</f>
        <v/>
      </c>
      <c r="M145" s="63">
        <f>IF(L145="","",RANK(L145,$L$6:$L$305,0))</f>
        <v/>
      </c>
      <c r="N145" s="56">
        <f>IF(B145="","",IF(L145="","keine Ist-Std.",IF(L145&lt;=Einstellungen!$C$7,"unauffällig",IF(L145&lt;=Einstellungen!$C$8,"auffällig","kritisch"))))</f>
        <v/>
      </c>
      <c r="O145" s="64">
        <f>IF(L145="",-1,L145+ROW()/1000000000)</f>
        <v/>
      </c>
      <c r="P145" s="61">
        <f>IF(B145="","",Berechnung!AF145)</f>
        <v/>
      </c>
      <c r="Q145" s="57">
        <f>IF(B145="","",Berechnung!AG145)</f>
        <v/>
      </c>
      <c r="R145" s="57">
        <f>IF(B145="","",'Ist-Stunden'!D145)</f>
        <v/>
      </c>
      <c r="S145" s="59">
        <f>IF(B145="","",IF(N(R145)&gt;0,IF(Einstellungen!$C$10="Ja",Q145/R145,Q145/(R145+Q145)),""))</f>
        <v/>
      </c>
      <c r="T145" s="56">
        <f>IF(B145="","",IF(S145="","keine Ist-Std.",IF(S145&lt;=Einstellungen!$C$7,"unauffällig",IF(S145&lt;=Einstellungen!$C$8,"auffällig","kritisch"))))</f>
        <v/>
      </c>
    </row>
    <row r="146">
      <c r="A146" s="47">
        <f>IF(Mitarbeiter!B146="","",Mitarbeiter!A146)</f>
        <v/>
      </c>
      <c r="B146" s="48">
        <f>IF(Mitarbeiter!B146="","",Mitarbeiter!B146)</f>
        <v/>
      </c>
      <c r="C146" s="7">
        <f>IF(Mitarbeiter!B146="","",Mitarbeiter!G146)</f>
        <v/>
      </c>
      <c r="D146" s="57">
        <f>IF(Mitarbeiter!B146="","",Mitarbeiter!H146)</f>
        <v/>
      </c>
      <c r="E146" s="57">
        <f>IF(Mitarbeiter!B146="","",'Ist-Stunden'!C146)</f>
        <v/>
      </c>
      <c r="F146" s="57">
        <f>IF(B146="","",Berechnung!AE146)</f>
        <v/>
      </c>
      <c r="G146" s="61">
        <f>IF(B146="","",Berechnung!P146)</f>
        <v/>
      </c>
      <c r="H146" s="61">
        <f>IF(B146="","",Berechnung!AC146)</f>
        <v/>
      </c>
      <c r="I146" s="61">
        <f>IF(B146="","",Berechnung!AD146)</f>
        <v/>
      </c>
      <c r="J146" s="36">
        <f>IF(B146="","",SUMPRODUCT(((Berechnung!D146:O146+Berechnung!Q146:AB146)&gt;0)*1))</f>
        <v/>
      </c>
      <c r="K146" s="62">
        <f>IF(B146="","",IF(N(D146)&gt;0,F146/D146,""))</f>
        <v/>
      </c>
      <c r="L146" s="40">
        <f>IF(B146="","",IF(N(E146)&gt;0,IF(Einstellungen!$C$10="Ja",F146/E146,F146/(E146+F146)),""))</f>
        <v/>
      </c>
      <c r="M146" s="63">
        <f>IF(L146="","",RANK(L146,$L$6:$L$305,0))</f>
        <v/>
      </c>
      <c r="N146" s="56">
        <f>IF(B146="","",IF(L146="","keine Ist-Std.",IF(L146&lt;=Einstellungen!$C$7,"unauffällig",IF(L146&lt;=Einstellungen!$C$8,"auffällig","kritisch"))))</f>
        <v/>
      </c>
      <c r="O146" s="64">
        <f>IF(L146="",-1,L146+ROW()/1000000000)</f>
        <v/>
      </c>
      <c r="P146" s="61">
        <f>IF(B146="","",Berechnung!AF146)</f>
        <v/>
      </c>
      <c r="Q146" s="57">
        <f>IF(B146="","",Berechnung!AG146)</f>
        <v/>
      </c>
      <c r="R146" s="57">
        <f>IF(B146="","",'Ist-Stunden'!D146)</f>
        <v/>
      </c>
      <c r="S146" s="59">
        <f>IF(B146="","",IF(N(R146)&gt;0,IF(Einstellungen!$C$10="Ja",Q146/R146,Q146/(R146+Q146)),""))</f>
        <v/>
      </c>
      <c r="T146" s="56">
        <f>IF(B146="","",IF(S146="","keine Ist-Std.",IF(S146&lt;=Einstellungen!$C$7,"unauffällig",IF(S146&lt;=Einstellungen!$C$8,"auffällig","kritisch"))))</f>
        <v/>
      </c>
    </row>
    <row r="147">
      <c r="A147" s="47">
        <f>IF(Mitarbeiter!B147="","",Mitarbeiter!A147)</f>
        <v/>
      </c>
      <c r="B147" s="48">
        <f>IF(Mitarbeiter!B147="","",Mitarbeiter!B147)</f>
        <v/>
      </c>
      <c r="C147" s="7">
        <f>IF(Mitarbeiter!B147="","",Mitarbeiter!G147)</f>
        <v/>
      </c>
      <c r="D147" s="57">
        <f>IF(Mitarbeiter!B147="","",Mitarbeiter!H147)</f>
        <v/>
      </c>
      <c r="E147" s="57">
        <f>IF(Mitarbeiter!B147="","",'Ist-Stunden'!C147)</f>
        <v/>
      </c>
      <c r="F147" s="57">
        <f>IF(B147="","",Berechnung!AE147)</f>
        <v/>
      </c>
      <c r="G147" s="61">
        <f>IF(B147="","",Berechnung!P147)</f>
        <v/>
      </c>
      <c r="H147" s="61">
        <f>IF(B147="","",Berechnung!AC147)</f>
        <v/>
      </c>
      <c r="I147" s="61">
        <f>IF(B147="","",Berechnung!AD147)</f>
        <v/>
      </c>
      <c r="J147" s="36">
        <f>IF(B147="","",SUMPRODUCT(((Berechnung!D147:O147+Berechnung!Q147:AB147)&gt;0)*1))</f>
        <v/>
      </c>
      <c r="K147" s="62">
        <f>IF(B147="","",IF(N(D147)&gt;0,F147/D147,""))</f>
        <v/>
      </c>
      <c r="L147" s="40">
        <f>IF(B147="","",IF(N(E147)&gt;0,IF(Einstellungen!$C$10="Ja",F147/E147,F147/(E147+F147)),""))</f>
        <v/>
      </c>
      <c r="M147" s="63">
        <f>IF(L147="","",RANK(L147,$L$6:$L$305,0))</f>
        <v/>
      </c>
      <c r="N147" s="56">
        <f>IF(B147="","",IF(L147="","keine Ist-Std.",IF(L147&lt;=Einstellungen!$C$7,"unauffällig",IF(L147&lt;=Einstellungen!$C$8,"auffällig","kritisch"))))</f>
        <v/>
      </c>
      <c r="O147" s="64">
        <f>IF(L147="",-1,L147+ROW()/1000000000)</f>
        <v/>
      </c>
      <c r="P147" s="61">
        <f>IF(B147="","",Berechnung!AF147)</f>
        <v/>
      </c>
      <c r="Q147" s="57">
        <f>IF(B147="","",Berechnung!AG147)</f>
        <v/>
      </c>
      <c r="R147" s="57">
        <f>IF(B147="","",'Ist-Stunden'!D147)</f>
        <v/>
      </c>
      <c r="S147" s="59">
        <f>IF(B147="","",IF(N(R147)&gt;0,IF(Einstellungen!$C$10="Ja",Q147/R147,Q147/(R147+Q147)),""))</f>
        <v/>
      </c>
      <c r="T147" s="56">
        <f>IF(B147="","",IF(S147="","keine Ist-Std.",IF(S147&lt;=Einstellungen!$C$7,"unauffällig",IF(S147&lt;=Einstellungen!$C$8,"auffällig","kritisch"))))</f>
        <v/>
      </c>
    </row>
    <row r="148">
      <c r="A148" s="47">
        <f>IF(Mitarbeiter!B148="","",Mitarbeiter!A148)</f>
        <v/>
      </c>
      <c r="B148" s="48">
        <f>IF(Mitarbeiter!B148="","",Mitarbeiter!B148)</f>
        <v/>
      </c>
      <c r="C148" s="7">
        <f>IF(Mitarbeiter!B148="","",Mitarbeiter!G148)</f>
        <v/>
      </c>
      <c r="D148" s="57">
        <f>IF(Mitarbeiter!B148="","",Mitarbeiter!H148)</f>
        <v/>
      </c>
      <c r="E148" s="57">
        <f>IF(Mitarbeiter!B148="","",'Ist-Stunden'!C148)</f>
        <v/>
      </c>
      <c r="F148" s="57">
        <f>IF(B148="","",Berechnung!AE148)</f>
        <v/>
      </c>
      <c r="G148" s="61">
        <f>IF(B148="","",Berechnung!P148)</f>
        <v/>
      </c>
      <c r="H148" s="61">
        <f>IF(B148="","",Berechnung!AC148)</f>
        <v/>
      </c>
      <c r="I148" s="61">
        <f>IF(B148="","",Berechnung!AD148)</f>
        <v/>
      </c>
      <c r="J148" s="36">
        <f>IF(B148="","",SUMPRODUCT(((Berechnung!D148:O148+Berechnung!Q148:AB148)&gt;0)*1))</f>
        <v/>
      </c>
      <c r="K148" s="62">
        <f>IF(B148="","",IF(N(D148)&gt;0,F148/D148,""))</f>
        <v/>
      </c>
      <c r="L148" s="40">
        <f>IF(B148="","",IF(N(E148)&gt;0,IF(Einstellungen!$C$10="Ja",F148/E148,F148/(E148+F148)),""))</f>
        <v/>
      </c>
      <c r="M148" s="63">
        <f>IF(L148="","",RANK(L148,$L$6:$L$305,0))</f>
        <v/>
      </c>
      <c r="N148" s="56">
        <f>IF(B148="","",IF(L148="","keine Ist-Std.",IF(L148&lt;=Einstellungen!$C$7,"unauffällig",IF(L148&lt;=Einstellungen!$C$8,"auffällig","kritisch"))))</f>
        <v/>
      </c>
      <c r="O148" s="64">
        <f>IF(L148="",-1,L148+ROW()/1000000000)</f>
        <v/>
      </c>
      <c r="P148" s="61">
        <f>IF(B148="","",Berechnung!AF148)</f>
        <v/>
      </c>
      <c r="Q148" s="57">
        <f>IF(B148="","",Berechnung!AG148)</f>
        <v/>
      </c>
      <c r="R148" s="57">
        <f>IF(B148="","",'Ist-Stunden'!D148)</f>
        <v/>
      </c>
      <c r="S148" s="59">
        <f>IF(B148="","",IF(N(R148)&gt;0,IF(Einstellungen!$C$10="Ja",Q148/R148,Q148/(R148+Q148)),""))</f>
        <v/>
      </c>
      <c r="T148" s="56">
        <f>IF(B148="","",IF(S148="","keine Ist-Std.",IF(S148&lt;=Einstellungen!$C$7,"unauffällig",IF(S148&lt;=Einstellungen!$C$8,"auffällig","kritisch"))))</f>
        <v/>
      </c>
    </row>
    <row r="149">
      <c r="A149" s="47">
        <f>IF(Mitarbeiter!B149="","",Mitarbeiter!A149)</f>
        <v/>
      </c>
      <c r="B149" s="48">
        <f>IF(Mitarbeiter!B149="","",Mitarbeiter!B149)</f>
        <v/>
      </c>
      <c r="C149" s="7">
        <f>IF(Mitarbeiter!B149="","",Mitarbeiter!G149)</f>
        <v/>
      </c>
      <c r="D149" s="57">
        <f>IF(Mitarbeiter!B149="","",Mitarbeiter!H149)</f>
        <v/>
      </c>
      <c r="E149" s="57">
        <f>IF(Mitarbeiter!B149="","",'Ist-Stunden'!C149)</f>
        <v/>
      </c>
      <c r="F149" s="57">
        <f>IF(B149="","",Berechnung!AE149)</f>
        <v/>
      </c>
      <c r="G149" s="61">
        <f>IF(B149="","",Berechnung!P149)</f>
        <v/>
      </c>
      <c r="H149" s="61">
        <f>IF(B149="","",Berechnung!AC149)</f>
        <v/>
      </c>
      <c r="I149" s="61">
        <f>IF(B149="","",Berechnung!AD149)</f>
        <v/>
      </c>
      <c r="J149" s="36">
        <f>IF(B149="","",SUMPRODUCT(((Berechnung!D149:O149+Berechnung!Q149:AB149)&gt;0)*1))</f>
        <v/>
      </c>
      <c r="K149" s="62">
        <f>IF(B149="","",IF(N(D149)&gt;0,F149/D149,""))</f>
        <v/>
      </c>
      <c r="L149" s="40">
        <f>IF(B149="","",IF(N(E149)&gt;0,IF(Einstellungen!$C$10="Ja",F149/E149,F149/(E149+F149)),""))</f>
        <v/>
      </c>
      <c r="M149" s="63">
        <f>IF(L149="","",RANK(L149,$L$6:$L$305,0))</f>
        <v/>
      </c>
      <c r="N149" s="56">
        <f>IF(B149="","",IF(L149="","keine Ist-Std.",IF(L149&lt;=Einstellungen!$C$7,"unauffällig",IF(L149&lt;=Einstellungen!$C$8,"auffällig","kritisch"))))</f>
        <v/>
      </c>
      <c r="O149" s="64">
        <f>IF(L149="",-1,L149+ROW()/1000000000)</f>
        <v/>
      </c>
      <c r="P149" s="61">
        <f>IF(B149="","",Berechnung!AF149)</f>
        <v/>
      </c>
      <c r="Q149" s="57">
        <f>IF(B149="","",Berechnung!AG149)</f>
        <v/>
      </c>
      <c r="R149" s="57">
        <f>IF(B149="","",'Ist-Stunden'!D149)</f>
        <v/>
      </c>
      <c r="S149" s="59">
        <f>IF(B149="","",IF(N(R149)&gt;0,IF(Einstellungen!$C$10="Ja",Q149/R149,Q149/(R149+Q149)),""))</f>
        <v/>
      </c>
      <c r="T149" s="56">
        <f>IF(B149="","",IF(S149="","keine Ist-Std.",IF(S149&lt;=Einstellungen!$C$7,"unauffällig",IF(S149&lt;=Einstellungen!$C$8,"auffällig","kritisch"))))</f>
        <v/>
      </c>
    </row>
    <row r="150">
      <c r="A150" s="47">
        <f>IF(Mitarbeiter!B150="","",Mitarbeiter!A150)</f>
        <v/>
      </c>
      <c r="B150" s="48">
        <f>IF(Mitarbeiter!B150="","",Mitarbeiter!B150)</f>
        <v/>
      </c>
      <c r="C150" s="7">
        <f>IF(Mitarbeiter!B150="","",Mitarbeiter!G150)</f>
        <v/>
      </c>
      <c r="D150" s="57">
        <f>IF(Mitarbeiter!B150="","",Mitarbeiter!H150)</f>
        <v/>
      </c>
      <c r="E150" s="57">
        <f>IF(Mitarbeiter!B150="","",'Ist-Stunden'!C150)</f>
        <v/>
      </c>
      <c r="F150" s="57">
        <f>IF(B150="","",Berechnung!AE150)</f>
        <v/>
      </c>
      <c r="G150" s="61">
        <f>IF(B150="","",Berechnung!P150)</f>
        <v/>
      </c>
      <c r="H150" s="61">
        <f>IF(B150="","",Berechnung!AC150)</f>
        <v/>
      </c>
      <c r="I150" s="61">
        <f>IF(B150="","",Berechnung!AD150)</f>
        <v/>
      </c>
      <c r="J150" s="36">
        <f>IF(B150="","",SUMPRODUCT(((Berechnung!D150:O150+Berechnung!Q150:AB150)&gt;0)*1))</f>
        <v/>
      </c>
      <c r="K150" s="62">
        <f>IF(B150="","",IF(N(D150)&gt;0,F150/D150,""))</f>
        <v/>
      </c>
      <c r="L150" s="40">
        <f>IF(B150="","",IF(N(E150)&gt;0,IF(Einstellungen!$C$10="Ja",F150/E150,F150/(E150+F150)),""))</f>
        <v/>
      </c>
      <c r="M150" s="63">
        <f>IF(L150="","",RANK(L150,$L$6:$L$305,0))</f>
        <v/>
      </c>
      <c r="N150" s="56">
        <f>IF(B150="","",IF(L150="","keine Ist-Std.",IF(L150&lt;=Einstellungen!$C$7,"unauffällig",IF(L150&lt;=Einstellungen!$C$8,"auffällig","kritisch"))))</f>
        <v/>
      </c>
      <c r="O150" s="64">
        <f>IF(L150="",-1,L150+ROW()/1000000000)</f>
        <v/>
      </c>
      <c r="P150" s="61">
        <f>IF(B150="","",Berechnung!AF150)</f>
        <v/>
      </c>
      <c r="Q150" s="57">
        <f>IF(B150="","",Berechnung!AG150)</f>
        <v/>
      </c>
      <c r="R150" s="57">
        <f>IF(B150="","",'Ist-Stunden'!D150)</f>
        <v/>
      </c>
      <c r="S150" s="59">
        <f>IF(B150="","",IF(N(R150)&gt;0,IF(Einstellungen!$C$10="Ja",Q150/R150,Q150/(R150+Q150)),""))</f>
        <v/>
      </c>
      <c r="T150" s="56">
        <f>IF(B150="","",IF(S150="","keine Ist-Std.",IF(S150&lt;=Einstellungen!$C$7,"unauffällig",IF(S150&lt;=Einstellungen!$C$8,"auffällig","kritisch"))))</f>
        <v/>
      </c>
    </row>
    <row r="151">
      <c r="A151" s="47">
        <f>IF(Mitarbeiter!B151="","",Mitarbeiter!A151)</f>
        <v/>
      </c>
      <c r="B151" s="48">
        <f>IF(Mitarbeiter!B151="","",Mitarbeiter!B151)</f>
        <v/>
      </c>
      <c r="C151" s="7">
        <f>IF(Mitarbeiter!B151="","",Mitarbeiter!G151)</f>
        <v/>
      </c>
      <c r="D151" s="57">
        <f>IF(Mitarbeiter!B151="","",Mitarbeiter!H151)</f>
        <v/>
      </c>
      <c r="E151" s="57">
        <f>IF(Mitarbeiter!B151="","",'Ist-Stunden'!C151)</f>
        <v/>
      </c>
      <c r="F151" s="57">
        <f>IF(B151="","",Berechnung!AE151)</f>
        <v/>
      </c>
      <c r="G151" s="61">
        <f>IF(B151="","",Berechnung!P151)</f>
        <v/>
      </c>
      <c r="H151" s="61">
        <f>IF(B151="","",Berechnung!AC151)</f>
        <v/>
      </c>
      <c r="I151" s="61">
        <f>IF(B151="","",Berechnung!AD151)</f>
        <v/>
      </c>
      <c r="J151" s="36">
        <f>IF(B151="","",SUMPRODUCT(((Berechnung!D151:O151+Berechnung!Q151:AB151)&gt;0)*1))</f>
        <v/>
      </c>
      <c r="K151" s="62">
        <f>IF(B151="","",IF(N(D151)&gt;0,F151/D151,""))</f>
        <v/>
      </c>
      <c r="L151" s="40">
        <f>IF(B151="","",IF(N(E151)&gt;0,IF(Einstellungen!$C$10="Ja",F151/E151,F151/(E151+F151)),""))</f>
        <v/>
      </c>
      <c r="M151" s="63">
        <f>IF(L151="","",RANK(L151,$L$6:$L$305,0))</f>
        <v/>
      </c>
      <c r="N151" s="56">
        <f>IF(B151="","",IF(L151="","keine Ist-Std.",IF(L151&lt;=Einstellungen!$C$7,"unauffällig",IF(L151&lt;=Einstellungen!$C$8,"auffällig","kritisch"))))</f>
        <v/>
      </c>
      <c r="O151" s="64">
        <f>IF(L151="",-1,L151+ROW()/1000000000)</f>
        <v/>
      </c>
      <c r="P151" s="61">
        <f>IF(B151="","",Berechnung!AF151)</f>
        <v/>
      </c>
      <c r="Q151" s="57">
        <f>IF(B151="","",Berechnung!AG151)</f>
        <v/>
      </c>
      <c r="R151" s="57">
        <f>IF(B151="","",'Ist-Stunden'!D151)</f>
        <v/>
      </c>
      <c r="S151" s="59">
        <f>IF(B151="","",IF(N(R151)&gt;0,IF(Einstellungen!$C$10="Ja",Q151/R151,Q151/(R151+Q151)),""))</f>
        <v/>
      </c>
      <c r="T151" s="56">
        <f>IF(B151="","",IF(S151="","keine Ist-Std.",IF(S151&lt;=Einstellungen!$C$7,"unauffällig",IF(S151&lt;=Einstellungen!$C$8,"auffällig","kritisch"))))</f>
        <v/>
      </c>
    </row>
    <row r="152">
      <c r="A152" s="47">
        <f>IF(Mitarbeiter!B152="","",Mitarbeiter!A152)</f>
        <v/>
      </c>
      <c r="B152" s="48">
        <f>IF(Mitarbeiter!B152="","",Mitarbeiter!B152)</f>
        <v/>
      </c>
      <c r="C152" s="7">
        <f>IF(Mitarbeiter!B152="","",Mitarbeiter!G152)</f>
        <v/>
      </c>
      <c r="D152" s="57">
        <f>IF(Mitarbeiter!B152="","",Mitarbeiter!H152)</f>
        <v/>
      </c>
      <c r="E152" s="57">
        <f>IF(Mitarbeiter!B152="","",'Ist-Stunden'!C152)</f>
        <v/>
      </c>
      <c r="F152" s="57">
        <f>IF(B152="","",Berechnung!AE152)</f>
        <v/>
      </c>
      <c r="G152" s="61">
        <f>IF(B152="","",Berechnung!P152)</f>
        <v/>
      </c>
      <c r="H152" s="61">
        <f>IF(B152="","",Berechnung!AC152)</f>
        <v/>
      </c>
      <c r="I152" s="61">
        <f>IF(B152="","",Berechnung!AD152)</f>
        <v/>
      </c>
      <c r="J152" s="36">
        <f>IF(B152="","",SUMPRODUCT(((Berechnung!D152:O152+Berechnung!Q152:AB152)&gt;0)*1))</f>
        <v/>
      </c>
      <c r="K152" s="62">
        <f>IF(B152="","",IF(N(D152)&gt;0,F152/D152,""))</f>
        <v/>
      </c>
      <c r="L152" s="40">
        <f>IF(B152="","",IF(N(E152)&gt;0,IF(Einstellungen!$C$10="Ja",F152/E152,F152/(E152+F152)),""))</f>
        <v/>
      </c>
      <c r="M152" s="63">
        <f>IF(L152="","",RANK(L152,$L$6:$L$305,0))</f>
        <v/>
      </c>
      <c r="N152" s="56">
        <f>IF(B152="","",IF(L152="","keine Ist-Std.",IF(L152&lt;=Einstellungen!$C$7,"unauffällig",IF(L152&lt;=Einstellungen!$C$8,"auffällig","kritisch"))))</f>
        <v/>
      </c>
      <c r="O152" s="64">
        <f>IF(L152="",-1,L152+ROW()/1000000000)</f>
        <v/>
      </c>
      <c r="P152" s="61">
        <f>IF(B152="","",Berechnung!AF152)</f>
        <v/>
      </c>
      <c r="Q152" s="57">
        <f>IF(B152="","",Berechnung!AG152)</f>
        <v/>
      </c>
      <c r="R152" s="57">
        <f>IF(B152="","",'Ist-Stunden'!D152)</f>
        <v/>
      </c>
      <c r="S152" s="59">
        <f>IF(B152="","",IF(N(R152)&gt;0,IF(Einstellungen!$C$10="Ja",Q152/R152,Q152/(R152+Q152)),""))</f>
        <v/>
      </c>
      <c r="T152" s="56">
        <f>IF(B152="","",IF(S152="","keine Ist-Std.",IF(S152&lt;=Einstellungen!$C$7,"unauffällig",IF(S152&lt;=Einstellungen!$C$8,"auffällig","kritisch"))))</f>
        <v/>
      </c>
    </row>
    <row r="153">
      <c r="A153" s="47">
        <f>IF(Mitarbeiter!B153="","",Mitarbeiter!A153)</f>
        <v/>
      </c>
      <c r="B153" s="48">
        <f>IF(Mitarbeiter!B153="","",Mitarbeiter!B153)</f>
        <v/>
      </c>
      <c r="C153" s="7">
        <f>IF(Mitarbeiter!B153="","",Mitarbeiter!G153)</f>
        <v/>
      </c>
      <c r="D153" s="57">
        <f>IF(Mitarbeiter!B153="","",Mitarbeiter!H153)</f>
        <v/>
      </c>
      <c r="E153" s="57">
        <f>IF(Mitarbeiter!B153="","",'Ist-Stunden'!C153)</f>
        <v/>
      </c>
      <c r="F153" s="57">
        <f>IF(B153="","",Berechnung!AE153)</f>
        <v/>
      </c>
      <c r="G153" s="61">
        <f>IF(B153="","",Berechnung!P153)</f>
        <v/>
      </c>
      <c r="H153" s="61">
        <f>IF(B153="","",Berechnung!AC153)</f>
        <v/>
      </c>
      <c r="I153" s="61">
        <f>IF(B153="","",Berechnung!AD153)</f>
        <v/>
      </c>
      <c r="J153" s="36">
        <f>IF(B153="","",SUMPRODUCT(((Berechnung!D153:O153+Berechnung!Q153:AB153)&gt;0)*1))</f>
        <v/>
      </c>
      <c r="K153" s="62">
        <f>IF(B153="","",IF(N(D153)&gt;0,F153/D153,""))</f>
        <v/>
      </c>
      <c r="L153" s="40">
        <f>IF(B153="","",IF(N(E153)&gt;0,IF(Einstellungen!$C$10="Ja",F153/E153,F153/(E153+F153)),""))</f>
        <v/>
      </c>
      <c r="M153" s="63">
        <f>IF(L153="","",RANK(L153,$L$6:$L$305,0))</f>
        <v/>
      </c>
      <c r="N153" s="56">
        <f>IF(B153="","",IF(L153="","keine Ist-Std.",IF(L153&lt;=Einstellungen!$C$7,"unauffällig",IF(L153&lt;=Einstellungen!$C$8,"auffällig","kritisch"))))</f>
        <v/>
      </c>
      <c r="O153" s="64">
        <f>IF(L153="",-1,L153+ROW()/1000000000)</f>
        <v/>
      </c>
      <c r="P153" s="61">
        <f>IF(B153="","",Berechnung!AF153)</f>
        <v/>
      </c>
      <c r="Q153" s="57">
        <f>IF(B153="","",Berechnung!AG153)</f>
        <v/>
      </c>
      <c r="R153" s="57">
        <f>IF(B153="","",'Ist-Stunden'!D153)</f>
        <v/>
      </c>
      <c r="S153" s="59">
        <f>IF(B153="","",IF(N(R153)&gt;0,IF(Einstellungen!$C$10="Ja",Q153/R153,Q153/(R153+Q153)),""))</f>
        <v/>
      </c>
      <c r="T153" s="56">
        <f>IF(B153="","",IF(S153="","keine Ist-Std.",IF(S153&lt;=Einstellungen!$C$7,"unauffällig",IF(S153&lt;=Einstellungen!$C$8,"auffällig","kritisch"))))</f>
        <v/>
      </c>
    </row>
    <row r="154">
      <c r="A154" s="47">
        <f>IF(Mitarbeiter!B154="","",Mitarbeiter!A154)</f>
        <v/>
      </c>
      <c r="B154" s="48">
        <f>IF(Mitarbeiter!B154="","",Mitarbeiter!B154)</f>
        <v/>
      </c>
      <c r="C154" s="7">
        <f>IF(Mitarbeiter!B154="","",Mitarbeiter!G154)</f>
        <v/>
      </c>
      <c r="D154" s="57">
        <f>IF(Mitarbeiter!B154="","",Mitarbeiter!H154)</f>
        <v/>
      </c>
      <c r="E154" s="57">
        <f>IF(Mitarbeiter!B154="","",'Ist-Stunden'!C154)</f>
        <v/>
      </c>
      <c r="F154" s="57">
        <f>IF(B154="","",Berechnung!AE154)</f>
        <v/>
      </c>
      <c r="G154" s="61">
        <f>IF(B154="","",Berechnung!P154)</f>
        <v/>
      </c>
      <c r="H154" s="61">
        <f>IF(B154="","",Berechnung!AC154)</f>
        <v/>
      </c>
      <c r="I154" s="61">
        <f>IF(B154="","",Berechnung!AD154)</f>
        <v/>
      </c>
      <c r="J154" s="36">
        <f>IF(B154="","",SUMPRODUCT(((Berechnung!D154:O154+Berechnung!Q154:AB154)&gt;0)*1))</f>
        <v/>
      </c>
      <c r="K154" s="62">
        <f>IF(B154="","",IF(N(D154)&gt;0,F154/D154,""))</f>
        <v/>
      </c>
      <c r="L154" s="40">
        <f>IF(B154="","",IF(N(E154)&gt;0,IF(Einstellungen!$C$10="Ja",F154/E154,F154/(E154+F154)),""))</f>
        <v/>
      </c>
      <c r="M154" s="63">
        <f>IF(L154="","",RANK(L154,$L$6:$L$305,0))</f>
        <v/>
      </c>
      <c r="N154" s="56">
        <f>IF(B154="","",IF(L154="","keine Ist-Std.",IF(L154&lt;=Einstellungen!$C$7,"unauffällig",IF(L154&lt;=Einstellungen!$C$8,"auffällig","kritisch"))))</f>
        <v/>
      </c>
      <c r="O154" s="64">
        <f>IF(L154="",-1,L154+ROW()/1000000000)</f>
        <v/>
      </c>
      <c r="P154" s="61">
        <f>IF(B154="","",Berechnung!AF154)</f>
        <v/>
      </c>
      <c r="Q154" s="57">
        <f>IF(B154="","",Berechnung!AG154)</f>
        <v/>
      </c>
      <c r="R154" s="57">
        <f>IF(B154="","",'Ist-Stunden'!D154)</f>
        <v/>
      </c>
      <c r="S154" s="59">
        <f>IF(B154="","",IF(N(R154)&gt;0,IF(Einstellungen!$C$10="Ja",Q154/R154,Q154/(R154+Q154)),""))</f>
        <v/>
      </c>
      <c r="T154" s="56">
        <f>IF(B154="","",IF(S154="","keine Ist-Std.",IF(S154&lt;=Einstellungen!$C$7,"unauffällig",IF(S154&lt;=Einstellungen!$C$8,"auffällig","kritisch"))))</f>
        <v/>
      </c>
    </row>
    <row r="155">
      <c r="A155" s="47">
        <f>IF(Mitarbeiter!B155="","",Mitarbeiter!A155)</f>
        <v/>
      </c>
      <c r="B155" s="48">
        <f>IF(Mitarbeiter!B155="","",Mitarbeiter!B155)</f>
        <v/>
      </c>
      <c r="C155" s="7">
        <f>IF(Mitarbeiter!B155="","",Mitarbeiter!G155)</f>
        <v/>
      </c>
      <c r="D155" s="57">
        <f>IF(Mitarbeiter!B155="","",Mitarbeiter!H155)</f>
        <v/>
      </c>
      <c r="E155" s="57">
        <f>IF(Mitarbeiter!B155="","",'Ist-Stunden'!C155)</f>
        <v/>
      </c>
      <c r="F155" s="57">
        <f>IF(B155="","",Berechnung!AE155)</f>
        <v/>
      </c>
      <c r="G155" s="61">
        <f>IF(B155="","",Berechnung!P155)</f>
        <v/>
      </c>
      <c r="H155" s="61">
        <f>IF(B155="","",Berechnung!AC155)</f>
        <v/>
      </c>
      <c r="I155" s="61">
        <f>IF(B155="","",Berechnung!AD155)</f>
        <v/>
      </c>
      <c r="J155" s="36">
        <f>IF(B155="","",SUMPRODUCT(((Berechnung!D155:O155+Berechnung!Q155:AB155)&gt;0)*1))</f>
        <v/>
      </c>
      <c r="K155" s="62">
        <f>IF(B155="","",IF(N(D155)&gt;0,F155/D155,""))</f>
        <v/>
      </c>
      <c r="L155" s="40">
        <f>IF(B155="","",IF(N(E155)&gt;0,IF(Einstellungen!$C$10="Ja",F155/E155,F155/(E155+F155)),""))</f>
        <v/>
      </c>
      <c r="M155" s="63">
        <f>IF(L155="","",RANK(L155,$L$6:$L$305,0))</f>
        <v/>
      </c>
      <c r="N155" s="56">
        <f>IF(B155="","",IF(L155="","keine Ist-Std.",IF(L155&lt;=Einstellungen!$C$7,"unauffällig",IF(L155&lt;=Einstellungen!$C$8,"auffällig","kritisch"))))</f>
        <v/>
      </c>
      <c r="O155" s="64">
        <f>IF(L155="",-1,L155+ROW()/1000000000)</f>
        <v/>
      </c>
      <c r="P155" s="61">
        <f>IF(B155="","",Berechnung!AF155)</f>
        <v/>
      </c>
      <c r="Q155" s="57">
        <f>IF(B155="","",Berechnung!AG155)</f>
        <v/>
      </c>
      <c r="R155" s="57">
        <f>IF(B155="","",'Ist-Stunden'!D155)</f>
        <v/>
      </c>
      <c r="S155" s="59">
        <f>IF(B155="","",IF(N(R155)&gt;0,IF(Einstellungen!$C$10="Ja",Q155/R155,Q155/(R155+Q155)),""))</f>
        <v/>
      </c>
      <c r="T155" s="56">
        <f>IF(B155="","",IF(S155="","keine Ist-Std.",IF(S155&lt;=Einstellungen!$C$7,"unauffällig",IF(S155&lt;=Einstellungen!$C$8,"auffällig","kritisch"))))</f>
        <v/>
      </c>
    </row>
    <row r="156">
      <c r="A156" s="47">
        <f>IF(Mitarbeiter!B156="","",Mitarbeiter!A156)</f>
        <v/>
      </c>
      <c r="B156" s="48">
        <f>IF(Mitarbeiter!B156="","",Mitarbeiter!B156)</f>
        <v/>
      </c>
      <c r="C156" s="7">
        <f>IF(Mitarbeiter!B156="","",Mitarbeiter!G156)</f>
        <v/>
      </c>
      <c r="D156" s="57">
        <f>IF(Mitarbeiter!B156="","",Mitarbeiter!H156)</f>
        <v/>
      </c>
      <c r="E156" s="57">
        <f>IF(Mitarbeiter!B156="","",'Ist-Stunden'!C156)</f>
        <v/>
      </c>
      <c r="F156" s="57">
        <f>IF(B156="","",Berechnung!AE156)</f>
        <v/>
      </c>
      <c r="G156" s="61">
        <f>IF(B156="","",Berechnung!P156)</f>
        <v/>
      </c>
      <c r="H156" s="61">
        <f>IF(B156="","",Berechnung!AC156)</f>
        <v/>
      </c>
      <c r="I156" s="61">
        <f>IF(B156="","",Berechnung!AD156)</f>
        <v/>
      </c>
      <c r="J156" s="36">
        <f>IF(B156="","",SUMPRODUCT(((Berechnung!D156:O156+Berechnung!Q156:AB156)&gt;0)*1))</f>
        <v/>
      </c>
      <c r="K156" s="62">
        <f>IF(B156="","",IF(N(D156)&gt;0,F156/D156,""))</f>
        <v/>
      </c>
      <c r="L156" s="40">
        <f>IF(B156="","",IF(N(E156)&gt;0,IF(Einstellungen!$C$10="Ja",F156/E156,F156/(E156+F156)),""))</f>
        <v/>
      </c>
      <c r="M156" s="63">
        <f>IF(L156="","",RANK(L156,$L$6:$L$305,0))</f>
        <v/>
      </c>
      <c r="N156" s="56">
        <f>IF(B156="","",IF(L156="","keine Ist-Std.",IF(L156&lt;=Einstellungen!$C$7,"unauffällig",IF(L156&lt;=Einstellungen!$C$8,"auffällig","kritisch"))))</f>
        <v/>
      </c>
      <c r="O156" s="64">
        <f>IF(L156="",-1,L156+ROW()/1000000000)</f>
        <v/>
      </c>
      <c r="P156" s="61">
        <f>IF(B156="","",Berechnung!AF156)</f>
        <v/>
      </c>
      <c r="Q156" s="57">
        <f>IF(B156="","",Berechnung!AG156)</f>
        <v/>
      </c>
      <c r="R156" s="57">
        <f>IF(B156="","",'Ist-Stunden'!D156)</f>
        <v/>
      </c>
      <c r="S156" s="59">
        <f>IF(B156="","",IF(N(R156)&gt;0,IF(Einstellungen!$C$10="Ja",Q156/R156,Q156/(R156+Q156)),""))</f>
        <v/>
      </c>
      <c r="T156" s="56">
        <f>IF(B156="","",IF(S156="","keine Ist-Std.",IF(S156&lt;=Einstellungen!$C$7,"unauffällig",IF(S156&lt;=Einstellungen!$C$8,"auffällig","kritisch"))))</f>
        <v/>
      </c>
    </row>
    <row r="157">
      <c r="A157" s="47">
        <f>IF(Mitarbeiter!B157="","",Mitarbeiter!A157)</f>
        <v/>
      </c>
      <c r="B157" s="48">
        <f>IF(Mitarbeiter!B157="","",Mitarbeiter!B157)</f>
        <v/>
      </c>
      <c r="C157" s="7">
        <f>IF(Mitarbeiter!B157="","",Mitarbeiter!G157)</f>
        <v/>
      </c>
      <c r="D157" s="57">
        <f>IF(Mitarbeiter!B157="","",Mitarbeiter!H157)</f>
        <v/>
      </c>
      <c r="E157" s="57">
        <f>IF(Mitarbeiter!B157="","",'Ist-Stunden'!C157)</f>
        <v/>
      </c>
      <c r="F157" s="57">
        <f>IF(B157="","",Berechnung!AE157)</f>
        <v/>
      </c>
      <c r="G157" s="61">
        <f>IF(B157="","",Berechnung!P157)</f>
        <v/>
      </c>
      <c r="H157" s="61">
        <f>IF(B157="","",Berechnung!AC157)</f>
        <v/>
      </c>
      <c r="I157" s="61">
        <f>IF(B157="","",Berechnung!AD157)</f>
        <v/>
      </c>
      <c r="J157" s="36">
        <f>IF(B157="","",SUMPRODUCT(((Berechnung!D157:O157+Berechnung!Q157:AB157)&gt;0)*1))</f>
        <v/>
      </c>
      <c r="K157" s="62">
        <f>IF(B157="","",IF(N(D157)&gt;0,F157/D157,""))</f>
        <v/>
      </c>
      <c r="L157" s="40">
        <f>IF(B157="","",IF(N(E157)&gt;0,IF(Einstellungen!$C$10="Ja",F157/E157,F157/(E157+F157)),""))</f>
        <v/>
      </c>
      <c r="M157" s="63">
        <f>IF(L157="","",RANK(L157,$L$6:$L$305,0))</f>
        <v/>
      </c>
      <c r="N157" s="56">
        <f>IF(B157="","",IF(L157="","keine Ist-Std.",IF(L157&lt;=Einstellungen!$C$7,"unauffällig",IF(L157&lt;=Einstellungen!$C$8,"auffällig","kritisch"))))</f>
        <v/>
      </c>
      <c r="O157" s="64">
        <f>IF(L157="",-1,L157+ROW()/1000000000)</f>
        <v/>
      </c>
      <c r="P157" s="61">
        <f>IF(B157="","",Berechnung!AF157)</f>
        <v/>
      </c>
      <c r="Q157" s="57">
        <f>IF(B157="","",Berechnung!AG157)</f>
        <v/>
      </c>
      <c r="R157" s="57">
        <f>IF(B157="","",'Ist-Stunden'!D157)</f>
        <v/>
      </c>
      <c r="S157" s="59">
        <f>IF(B157="","",IF(N(R157)&gt;0,IF(Einstellungen!$C$10="Ja",Q157/R157,Q157/(R157+Q157)),""))</f>
        <v/>
      </c>
      <c r="T157" s="56">
        <f>IF(B157="","",IF(S157="","keine Ist-Std.",IF(S157&lt;=Einstellungen!$C$7,"unauffällig",IF(S157&lt;=Einstellungen!$C$8,"auffällig","kritisch"))))</f>
        <v/>
      </c>
    </row>
    <row r="158">
      <c r="A158" s="47">
        <f>IF(Mitarbeiter!B158="","",Mitarbeiter!A158)</f>
        <v/>
      </c>
      <c r="B158" s="48">
        <f>IF(Mitarbeiter!B158="","",Mitarbeiter!B158)</f>
        <v/>
      </c>
      <c r="C158" s="7">
        <f>IF(Mitarbeiter!B158="","",Mitarbeiter!G158)</f>
        <v/>
      </c>
      <c r="D158" s="57">
        <f>IF(Mitarbeiter!B158="","",Mitarbeiter!H158)</f>
        <v/>
      </c>
      <c r="E158" s="57">
        <f>IF(Mitarbeiter!B158="","",'Ist-Stunden'!C158)</f>
        <v/>
      </c>
      <c r="F158" s="57">
        <f>IF(B158="","",Berechnung!AE158)</f>
        <v/>
      </c>
      <c r="G158" s="61">
        <f>IF(B158="","",Berechnung!P158)</f>
        <v/>
      </c>
      <c r="H158" s="61">
        <f>IF(B158="","",Berechnung!AC158)</f>
        <v/>
      </c>
      <c r="I158" s="61">
        <f>IF(B158="","",Berechnung!AD158)</f>
        <v/>
      </c>
      <c r="J158" s="36">
        <f>IF(B158="","",SUMPRODUCT(((Berechnung!D158:O158+Berechnung!Q158:AB158)&gt;0)*1))</f>
        <v/>
      </c>
      <c r="K158" s="62">
        <f>IF(B158="","",IF(N(D158)&gt;0,F158/D158,""))</f>
        <v/>
      </c>
      <c r="L158" s="40">
        <f>IF(B158="","",IF(N(E158)&gt;0,IF(Einstellungen!$C$10="Ja",F158/E158,F158/(E158+F158)),""))</f>
        <v/>
      </c>
      <c r="M158" s="63">
        <f>IF(L158="","",RANK(L158,$L$6:$L$305,0))</f>
        <v/>
      </c>
      <c r="N158" s="56">
        <f>IF(B158="","",IF(L158="","keine Ist-Std.",IF(L158&lt;=Einstellungen!$C$7,"unauffällig",IF(L158&lt;=Einstellungen!$C$8,"auffällig","kritisch"))))</f>
        <v/>
      </c>
      <c r="O158" s="64">
        <f>IF(L158="",-1,L158+ROW()/1000000000)</f>
        <v/>
      </c>
      <c r="P158" s="61">
        <f>IF(B158="","",Berechnung!AF158)</f>
        <v/>
      </c>
      <c r="Q158" s="57">
        <f>IF(B158="","",Berechnung!AG158)</f>
        <v/>
      </c>
      <c r="R158" s="57">
        <f>IF(B158="","",'Ist-Stunden'!D158)</f>
        <v/>
      </c>
      <c r="S158" s="59">
        <f>IF(B158="","",IF(N(R158)&gt;0,IF(Einstellungen!$C$10="Ja",Q158/R158,Q158/(R158+Q158)),""))</f>
        <v/>
      </c>
      <c r="T158" s="56">
        <f>IF(B158="","",IF(S158="","keine Ist-Std.",IF(S158&lt;=Einstellungen!$C$7,"unauffällig",IF(S158&lt;=Einstellungen!$C$8,"auffällig","kritisch"))))</f>
        <v/>
      </c>
    </row>
    <row r="159">
      <c r="A159" s="47">
        <f>IF(Mitarbeiter!B159="","",Mitarbeiter!A159)</f>
        <v/>
      </c>
      <c r="B159" s="48">
        <f>IF(Mitarbeiter!B159="","",Mitarbeiter!B159)</f>
        <v/>
      </c>
      <c r="C159" s="7">
        <f>IF(Mitarbeiter!B159="","",Mitarbeiter!G159)</f>
        <v/>
      </c>
      <c r="D159" s="57">
        <f>IF(Mitarbeiter!B159="","",Mitarbeiter!H159)</f>
        <v/>
      </c>
      <c r="E159" s="57">
        <f>IF(Mitarbeiter!B159="","",'Ist-Stunden'!C159)</f>
        <v/>
      </c>
      <c r="F159" s="57">
        <f>IF(B159="","",Berechnung!AE159)</f>
        <v/>
      </c>
      <c r="G159" s="61">
        <f>IF(B159="","",Berechnung!P159)</f>
        <v/>
      </c>
      <c r="H159" s="61">
        <f>IF(B159="","",Berechnung!AC159)</f>
        <v/>
      </c>
      <c r="I159" s="61">
        <f>IF(B159="","",Berechnung!AD159)</f>
        <v/>
      </c>
      <c r="J159" s="36">
        <f>IF(B159="","",SUMPRODUCT(((Berechnung!D159:O159+Berechnung!Q159:AB159)&gt;0)*1))</f>
        <v/>
      </c>
      <c r="K159" s="62">
        <f>IF(B159="","",IF(N(D159)&gt;0,F159/D159,""))</f>
        <v/>
      </c>
      <c r="L159" s="40">
        <f>IF(B159="","",IF(N(E159)&gt;0,IF(Einstellungen!$C$10="Ja",F159/E159,F159/(E159+F159)),""))</f>
        <v/>
      </c>
      <c r="M159" s="63">
        <f>IF(L159="","",RANK(L159,$L$6:$L$305,0))</f>
        <v/>
      </c>
      <c r="N159" s="56">
        <f>IF(B159="","",IF(L159="","keine Ist-Std.",IF(L159&lt;=Einstellungen!$C$7,"unauffällig",IF(L159&lt;=Einstellungen!$C$8,"auffällig","kritisch"))))</f>
        <v/>
      </c>
      <c r="O159" s="64">
        <f>IF(L159="",-1,L159+ROW()/1000000000)</f>
        <v/>
      </c>
      <c r="P159" s="61">
        <f>IF(B159="","",Berechnung!AF159)</f>
        <v/>
      </c>
      <c r="Q159" s="57">
        <f>IF(B159="","",Berechnung!AG159)</f>
        <v/>
      </c>
      <c r="R159" s="57">
        <f>IF(B159="","",'Ist-Stunden'!D159)</f>
        <v/>
      </c>
      <c r="S159" s="59">
        <f>IF(B159="","",IF(N(R159)&gt;0,IF(Einstellungen!$C$10="Ja",Q159/R159,Q159/(R159+Q159)),""))</f>
        <v/>
      </c>
      <c r="T159" s="56">
        <f>IF(B159="","",IF(S159="","keine Ist-Std.",IF(S159&lt;=Einstellungen!$C$7,"unauffällig",IF(S159&lt;=Einstellungen!$C$8,"auffällig","kritisch"))))</f>
        <v/>
      </c>
    </row>
    <row r="160">
      <c r="A160" s="47">
        <f>IF(Mitarbeiter!B160="","",Mitarbeiter!A160)</f>
        <v/>
      </c>
      <c r="B160" s="48">
        <f>IF(Mitarbeiter!B160="","",Mitarbeiter!B160)</f>
        <v/>
      </c>
      <c r="C160" s="7">
        <f>IF(Mitarbeiter!B160="","",Mitarbeiter!G160)</f>
        <v/>
      </c>
      <c r="D160" s="57">
        <f>IF(Mitarbeiter!B160="","",Mitarbeiter!H160)</f>
        <v/>
      </c>
      <c r="E160" s="57">
        <f>IF(Mitarbeiter!B160="","",'Ist-Stunden'!C160)</f>
        <v/>
      </c>
      <c r="F160" s="57">
        <f>IF(B160="","",Berechnung!AE160)</f>
        <v/>
      </c>
      <c r="G160" s="61">
        <f>IF(B160="","",Berechnung!P160)</f>
        <v/>
      </c>
      <c r="H160" s="61">
        <f>IF(B160="","",Berechnung!AC160)</f>
        <v/>
      </c>
      <c r="I160" s="61">
        <f>IF(B160="","",Berechnung!AD160)</f>
        <v/>
      </c>
      <c r="J160" s="36">
        <f>IF(B160="","",SUMPRODUCT(((Berechnung!D160:O160+Berechnung!Q160:AB160)&gt;0)*1))</f>
        <v/>
      </c>
      <c r="K160" s="62">
        <f>IF(B160="","",IF(N(D160)&gt;0,F160/D160,""))</f>
        <v/>
      </c>
      <c r="L160" s="40">
        <f>IF(B160="","",IF(N(E160)&gt;0,IF(Einstellungen!$C$10="Ja",F160/E160,F160/(E160+F160)),""))</f>
        <v/>
      </c>
      <c r="M160" s="63">
        <f>IF(L160="","",RANK(L160,$L$6:$L$305,0))</f>
        <v/>
      </c>
      <c r="N160" s="56">
        <f>IF(B160="","",IF(L160="","keine Ist-Std.",IF(L160&lt;=Einstellungen!$C$7,"unauffällig",IF(L160&lt;=Einstellungen!$C$8,"auffällig","kritisch"))))</f>
        <v/>
      </c>
      <c r="O160" s="64">
        <f>IF(L160="",-1,L160+ROW()/1000000000)</f>
        <v/>
      </c>
      <c r="P160" s="61">
        <f>IF(B160="","",Berechnung!AF160)</f>
        <v/>
      </c>
      <c r="Q160" s="57">
        <f>IF(B160="","",Berechnung!AG160)</f>
        <v/>
      </c>
      <c r="R160" s="57">
        <f>IF(B160="","",'Ist-Stunden'!D160)</f>
        <v/>
      </c>
      <c r="S160" s="59">
        <f>IF(B160="","",IF(N(R160)&gt;0,IF(Einstellungen!$C$10="Ja",Q160/R160,Q160/(R160+Q160)),""))</f>
        <v/>
      </c>
      <c r="T160" s="56">
        <f>IF(B160="","",IF(S160="","keine Ist-Std.",IF(S160&lt;=Einstellungen!$C$7,"unauffällig",IF(S160&lt;=Einstellungen!$C$8,"auffällig","kritisch"))))</f>
        <v/>
      </c>
    </row>
    <row r="161">
      <c r="A161" s="47">
        <f>IF(Mitarbeiter!B161="","",Mitarbeiter!A161)</f>
        <v/>
      </c>
      <c r="B161" s="48">
        <f>IF(Mitarbeiter!B161="","",Mitarbeiter!B161)</f>
        <v/>
      </c>
      <c r="C161" s="7">
        <f>IF(Mitarbeiter!B161="","",Mitarbeiter!G161)</f>
        <v/>
      </c>
      <c r="D161" s="57">
        <f>IF(Mitarbeiter!B161="","",Mitarbeiter!H161)</f>
        <v/>
      </c>
      <c r="E161" s="57">
        <f>IF(Mitarbeiter!B161="","",'Ist-Stunden'!C161)</f>
        <v/>
      </c>
      <c r="F161" s="57">
        <f>IF(B161="","",Berechnung!AE161)</f>
        <v/>
      </c>
      <c r="G161" s="61">
        <f>IF(B161="","",Berechnung!P161)</f>
        <v/>
      </c>
      <c r="H161" s="61">
        <f>IF(B161="","",Berechnung!AC161)</f>
        <v/>
      </c>
      <c r="I161" s="61">
        <f>IF(B161="","",Berechnung!AD161)</f>
        <v/>
      </c>
      <c r="J161" s="36">
        <f>IF(B161="","",SUMPRODUCT(((Berechnung!D161:O161+Berechnung!Q161:AB161)&gt;0)*1))</f>
        <v/>
      </c>
      <c r="K161" s="62">
        <f>IF(B161="","",IF(N(D161)&gt;0,F161/D161,""))</f>
        <v/>
      </c>
      <c r="L161" s="40">
        <f>IF(B161="","",IF(N(E161)&gt;0,IF(Einstellungen!$C$10="Ja",F161/E161,F161/(E161+F161)),""))</f>
        <v/>
      </c>
      <c r="M161" s="63">
        <f>IF(L161="","",RANK(L161,$L$6:$L$305,0))</f>
        <v/>
      </c>
      <c r="N161" s="56">
        <f>IF(B161="","",IF(L161="","keine Ist-Std.",IF(L161&lt;=Einstellungen!$C$7,"unauffällig",IF(L161&lt;=Einstellungen!$C$8,"auffällig","kritisch"))))</f>
        <v/>
      </c>
      <c r="O161" s="64">
        <f>IF(L161="",-1,L161+ROW()/1000000000)</f>
        <v/>
      </c>
      <c r="P161" s="61">
        <f>IF(B161="","",Berechnung!AF161)</f>
        <v/>
      </c>
      <c r="Q161" s="57">
        <f>IF(B161="","",Berechnung!AG161)</f>
        <v/>
      </c>
      <c r="R161" s="57">
        <f>IF(B161="","",'Ist-Stunden'!D161)</f>
        <v/>
      </c>
      <c r="S161" s="59">
        <f>IF(B161="","",IF(N(R161)&gt;0,IF(Einstellungen!$C$10="Ja",Q161/R161,Q161/(R161+Q161)),""))</f>
        <v/>
      </c>
      <c r="T161" s="56">
        <f>IF(B161="","",IF(S161="","keine Ist-Std.",IF(S161&lt;=Einstellungen!$C$7,"unauffällig",IF(S161&lt;=Einstellungen!$C$8,"auffällig","kritisch"))))</f>
        <v/>
      </c>
    </row>
    <row r="162">
      <c r="A162" s="47">
        <f>IF(Mitarbeiter!B162="","",Mitarbeiter!A162)</f>
        <v/>
      </c>
      <c r="B162" s="48">
        <f>IF(Mitarbeiter!B162="","",Mitarbeiter!B162)</f>
        <v/>
      </c>
      <c r="C162" s="7">
        <f>IF(Mitarbeiter!B162="","",Mitarbeiter!G162)</f>
        <v/>
      </c>
      <c r="D162" s="57">
        <f>IF(Mitarbeiter!B162="","",Mitarbeiter!H162)</f>
        <v/>
      </c>
      <c r="E162" s="57">
        <f>IF(Mitarbeiter!B162="","",'Ist-Stunden'!C162)</f>
        <v/>
      </c>
      <c r="F162" s="57">
        <f>IF(B162="","",Berechnung!AE162)</f>
        <v/>
      </c>
      <c r="G162" s="61">
        <f>IF(B162="","",Berechnung!P162)</f>
        <v/>
      </c>
      <c r="H162" s="61">
        <f>IF(B162="","",Berechnung!AC162)</f>
        <v/>
      </c>
      <c r="I162" s="61">
        <f>IF(B162="","",Berechnung!AD162)</f>
        <v/>
      </c>
      <c r="J162" s="36">
        <f>IF(B162="","",SUMPRODUCT(((Berechnung!D162:O162+Berechnung!Q162:AB162)&gt;0)*1))</f>
        <v/>
      </c>
      <c r="K162" s="62">
        <f>IF(B162="","",IF(N(D162)&gt;0,F162/D162,""))</f>
        <v/>
      </c>
      <c r="L162" s="40">
        <f>IF(B162="","",IF(N(E162)&gt;0,IF(Einstellungen!$C$10="Ja",F162/E162,F162/(E162+F162)),""))</f>
        <v/>
      </c>
      <c r="M162" s="63">
        <f>IF(L162="","",RANK(L162,$L$6:$L$305,0))</f>
        <v/>
      </c>
      <c r="N162" s="56">
        <f>IF(B162="","",IF(L162="","keine Ist-Std.",IF(L162&lt;=Einstellungen!$C$7,"unauffällig",IF(L162&lt;=Einstellungen!$C$8,"auffällig","kritisch"))))</f>
        <v/>
      </c>
      <c r="O162" s="64">
        <f>IF(L162="",-1,L162+ROW()/1000000000)</f>
        <v/>
      </c>
      <c r="P162" s="61">
        <f>IF(B162="","",Berechnung!AF162)</f>
        <v/>
      </c>
      <c r="Q162" s="57">
        <f>IF(B162="","",Berechnung!AG162)</f>
        <v/>
      </c>
      <c r="R162" s="57">
        <f>IF(B162="","",'Ist-Stunden'!D162)</f>
        <v/>
      </c>
      <c r="S162" s="59">
        <f>IF(B162="","",IF(N(R162)&gt;0,IF(Einstellungen!$C$10="Ja",Q162/R162,Q162/(R162+Q162)),""))</f>
        <v/>
      </c>
      <c r="T162" s="56">
        <f>IF(B162="","",IF(S162="","keine Ist-Std.",IF(S162&lt;=Einstellungen!$C$7,"unauffällig",IF(S162&lt;=Einstellungen!$C$8,"auffällig","kritisch"))))</f>
        <v/>
      </c>
    </row>
    <row r="163">
      <c r="A163" s="47">
        <f>IF(Mitarbeiter!B163="","",Mitarbeiter!A163)</f>
        <v/>
      </c>
      <c r="B163" s="48">
        <f>IF(Mitarbeiter!B163="","",Mitarbeiter!B163)</f>
        <v/>
      </c>
      <c r="C163" s="7">
        <f>IF(Mitarbeiter!B163="","",Mitarbeiter!G163)</f>
        <v/>
      </c>
      <c r="D163" s="57">
        <f>IF(Mitarbeiter!B163="","",Mitarbeiter!H163)</f>
        <v/>
      </c>
      <c r="E163" s="57">
        <f>IF(Mitarbeiter!B163="","",'Ist-Stunden'!C163)</f>
        <v/>
      </c>
      <c r="F163" s="57">
        <f>IF(B163="","",Berechnung!AE163)</f>
        <v/>
      </c>
      <c r="G163" s="61">
        <f>IF(B163="","",Berechnung!P163)</f>
        <v/>
      </c>
      <c r="H163" s="61">
        <f>IF(B163="","",Berechnung!AC163)</f>
        <v/>
      </c>
      <c r="I163" s="61">
        <f>IF(B163="","",Berechnung!AD163)</f>
        <v/>
      </c>
      <c r="J163" s="36">
        <f>IF(B163="","",SUMPRODUCT(((Berechnung!D163:O163+Berechnung!Q163:AB163)&gt;0)*1))</f>
        <v/>
      </c>
      <c r="K163" s="62">
        <f>IF(B163="","",IF(N(D163)&gt;0,F163/D163,""))</f>
        <v/>
      </c>
      <c r="L163" s="40">
        <f>IF(B163="","",IF(N(E163)&gt;0,IF(Einstellungen!$C$10="Ja",F163/E163,F163/(E163+F163)),""))</f>
        <v/>
      </c>
      <c r="M163" s="63">
        <f>IF(L163="","",RANK(L163,$L$6:$L$305,0))</f>
        <v/>
      </c>
      <c r="N163" s="56">
        <f>IF(B163="","",IF(L163="","keine Ist-Std.",IF(L163&lt;=Einstellungen!$C$7,"unauffällig",IF(L163&lt;=Einstellungen!$C$8,"auffällig","kritisch"))))</f>
        <v/>
      </c>
      <c r="O163" s="64">
        <f>IF(L163="",-1,L163+ROW()/1000000000)</f>
        <v/>
      </c>
      <c r="P163" s="61">
        <f>IF(B163="","",Berechnung!AF163)</f>
        <v/>
      </c>
      <c r="Q163" s="57">
        <f>IF(B163="","",Berechnung!AG163)</f>
        <v/>
      </c>
      <c r="R163" s="57">
        <f>IF(B163="","",'Ist-Stunden'!D163)</f>
        <v/>
      </c>
      <c r="S163" s="59">
        <f>IF(B163="","",IF(N(R163)&gt;0,IF(Einstellungen!$C$10="Ja",Q163/R163,Q163/(R163+Q163)),""))</f>
        <v/>
      </c>
      <c r="T163" s="56">
        <f>IF(B163="","",IF(S163="","keine Ist-Std.",IF(S163&lt;=Einstellungen!$C$7,"unauffällig",IF(S163&lt;=Einstellungen!$C$8,"auffällig","kritisch"))))</f>
        <v/>
      </c>
    </row>
    <row r="164">
      <c r="A164" s="47">
        <f>IF(Mitarbeiter!B164="","",Mitarbeiter!A164)</f>
        <v/>
      </c>
      <c r="B164" s="48">
        <f>IF(Mitarbeiter!B164="","",Mitarbeiter!B164)</f>
        <v/>
      </c>
      <c r="C164" s="7">
        <f>IF(Mitarbeiter!B164="","",Mitarbeiter!G164)</f>
        <v/>
      </c>
      <c r="D164" s="57">
        <f>IF(Mitarbeiter!B164="","",Mitarbeiter!H164)</f>
        <v/>
      </c>
      <c r="E164" s="57">
        <f>IF(Mitarbeiter!B164="","",'Ist-Stunden'!C164)</f>
        <v/>
      </c>
      <c r="F164" s="57">
        <f>IF(B164="","",Berechnung!AE164)</f>
        <v/>
      </c>
      <c r="G164" s="61">
        <f>IF(B164="","",Berechnung!P164)</f>
        <v/>
      </c>
      <c r="H164" s="61">
        <f>IF(B164="","",Berechnung!AC164)</f>
        <v/>
      </c>
      <c r="I164" s="61">
        <f>IF(B164="","",Berechnung!AD164)</f>
        <v/>
      </c>
      <c r="J164" s="36">
        <f>IF(B164="","",SUMPRODUCT(((Berechnung!D164:O164+Berechnung!Q164:AB164)&gt;0)*1))</f>
        <v/>
      </c>
      <c r="K164" s="62">
        <f>IF(B164="","",IF(N(D164)&gt;0,F164/D164,""))</f>
        <v/>
      </c>
      <c r="L164" s="40">
        <f>IF(B164="","",IF(N(E164)&gt;0,IF(Einstellungen!$C$10="Ja",F164/E164,F164/(E164+F164)),""))</f>
        <v/>
      </c>
      <c r="M164" s="63">
        <f>IF(L164="","",RANK(L164,$L$6:$L$305,0))</f>
        <v/>
      </c>
      <c r="N164" s="56">
        <f>IF(B164="","",IF(L164="","keine Ist-Std.",IF(L164&lt;=Einstellungen!$C$7,"unauffällig",IF(L164&lt;=Einstellungen!$C$8,"auffällig","kritisch"))))</f>
        <v/>
      </c>
      <c r="O164" s="64">
        <f>IF(L164="",-1,L164+ROW()/1000000000)</f>
        <v/>
      </c>
      <c r="P164" s="61">
        <f>IF(B164="","",Berechnung!AF164)</f>
        <v/>
      </c>
      <c r="Q164" s="57">
        <f>IF(B164="","",Berechnung!AG164)</f>
        <v/>
      </c>
      <c r="R164" s="57">
        <f>IF(B164="","",'Ist-Stunden'!D164)</f>
        <v/>
      </c>
      <c r="S164" s="59">
        <f>IF(B164="","",IF(N(R164)&gt;0,IF(Einstellungen!$C$10="Ja",Q164/R164,Q164/(R164+Q164)),""))</f>
        <v/>
      </c>
      <c r="T164" s="56">
        <f>IF(B164="","",IF(S164="","keine Ist-Std.",IF(S164&lt;=Einstellungen!$C$7,"unauffällig",IF(S164&lt;=Einstellungen!$C$8,"auffällig","kritisch"))))</f>
        <v/>
      </c>
    </row>
    <row r="165">
      <c r="A165" s="47">
        <f>IF(Mitarbeiter!B165="","",Mitarbeiter!A165)</f>
        <v/>
      </c>
      <c r="B165" s="48">
        <f>IF(Mitarbeiter!B165="","",Mitarbeiter!B165)</f>
        <v/>
      </c>
      <c r="C165" s="7">
        <f>IF(Mitarbeiter!B165="","",Mitarbeiter!G165)</f>
        <v/>
      </c>
      <c r="D165" s="57">
        <f>IF(Mitarbeiter!B165="","",Mitarbeiter!H165)</f>
        <v/>
      </c>
      <c r="E165" s="57">
        <f>IF(Mitarbeiter!B165="","",'Ist-Stunden'!C165)</f>
        <v/>
      </c>
      <c r="F165" s="57">
        <f>IF(B165="","",Berechnung!AE165)</f>
        <v/>
      </c>
      <c r="G165" s="61">
        <f>IF(B165="","",Berechnung!P165)</f>
        <v/>
      </c>
      <c r="H165" s="61">
        <f>IF(B165="","",Berechnung!AC165)</f>
        <v/>
      </c>
      <c r="I165" s="61">
        <f>IF(B165="","",Berechnung!AD165)</f>
        <v/>
      </c>
      <c r="J165" s="36">
        <f>IF(B165="","",SUMPRODUCT(((Berechnung!D165:O165+Berechnung!Q165:AB165)&gt;0)*1))</f>
        <v/>
      </c>
      <c r="K165" s="62">
        <f>IF(B165="","",IF(N(D165)&gt;0,F165/D165,""))</f>
        <v/>
      </c>
      <c r="L165" s="40">
        <f>IF(B165="","",IF(N(E165)&gt;0,IF(Einstellungen!$C$10="Ja",F165/E165,F165/(E165+F165)),""))</f>
        <v/>
      </c>
      <c r="M165" s="63">
        <f>IF(L165="","",RANK(L165,$L$6:$L$305,0))</f>
        <v/>
      </c>
      <c r="N165" s="56">
        <f>IF(B165="","",IF(L165="","keine Ist-Std.",IF(L165&lt;=Einstellungen!$C$7,"unauffällig",IF(L165&lt;=Einstellungen!$C$8,"auffällig","kritisch"))))</f>
        <v/>
      </c>
      <c r="O165" s="64">
        <f>IF(L165="",-1,L165+ROW()/1000000000)</f>
        <v/>
      </c>
      <c r="P165" s="61">
        <f>IF(B165="","",Berechnung!AF165)</f>
        <v/>
      </c>
      <c r="Q165" s="57">
        <f>IF(B165="","",Berechnung!AG165)</f>
        <v/>
      </c>
      <c r="R165" s="57">
        <f>IF(B165="","",'Ist-Stunden'!D165)</f>
        <v/>
      </c>
      <c r="S165" s="59">
        <f>IF(B165="","",IF(N(R165)&gt;0,IF(Einstellungen!$C$10="Ja",Q165/R165,Q165/(R165+Q165)),""))</f>
        <v/>
      </c>
      <c r="T165" s="56">
        <f>IF(B165="","",IF(S165="","keine Ist-Std.",IF(S165&lt;=Einstellungen!$C$7,"unauffällig",IF(S165&lt;=Einstellungen!$C$8,"auffällig","kritisch"))))</f>
        <v/>
      </c>
    </row>
    <row r="166">
      <c r="A166" s="47">
        <f>IF(Mitarbeiter!B166="","",Mitarbeiter!A166)</f>
        <v/>
      </c>
      <c r="B166" s="48">
        <f>IF(Mitarbeiter!B166="","",Mitarbeiter!B166)</f>
        <v/>
      </c>
      <c r="C166" s="7">
        <f>IF(Mitarbeiter!B166="","",Mitarbeiter!G166)</f>
        <v/>
      </c>
      <c r="D166" s="57">
        <f>IF(Mitarbeiter!B166="","",Mitarbeiter!H166)</f>
        <v/>
      </c>
      <c r="E166" s="57">
        <f>IF(Mitarbeiter!B166="","",'Ist-Stunden'!C166)</f>
        <v/>
      </c>
      <c r="F166" s="57">
        <f>IF(B166="","",Berechnung!AE166)</f>
        <v/>
      </c>
      <c r="G166" s="61">
        <f>IF(B166="","",Berechnung!P166)</f>
        <v/>
      </c>
      <c r="H166" s="61">
        <f>IF(B166="","",Berechnung!AC166)</f>
        <v/>
      </c>
      <c r="I166" s="61">
        <f>IF(B166="","",Berechnung!AD166)</f>
        <v/>
      </c>
      <c r="J166" s="36">
        <f>IF(B166="","",SUMPRODUCT(((Berechnung!D166:O166+Berechnung!Q166:AB166)&gt;0)*1))</f>
        <v/>
      </c>
      <c r="K166" s="62">
        <f>IF(B166="","",IF(N(D166)&gt;0,F166/D166,""))</f>
        <v/>
      </c>
      <c r="L166" s="40">
        <f>IF(B166="","",IF(N(E166)&gt;0,IF(Einstellungen!$C$10="Ja",F166/E166,F166/(E166+F166)),""))</f>
        <v/>
      </c>
      <c r="M166" s="63">
        <f>IF(L166="","",RANK(L166,$L$6:$L$305,0))</f>
        <v/>
      </c>
      <c r="N166" s="56">
        <f>IF(B166="","",IF(L166="","keine Ist-Std.",IF(L166&lt;=Einstellungen!$C$7,"unauffällig",IF(L166&lt;=Einstellungen!$C$8,"auffällig","kritisch"))))</f>
        <v/>
      </c>
      <c r="O166" s="64">
        <f>IF(L166="",-1,L166+ROW()/1000000000)</f>
        <v/>
      </c>
      <c r="P166" s="61">
        <f>IF(B166="","",Berechnung!AF166)</f>
        <v/>
      </c>
      <c r="Q166" s="57">
        <f>IF(B166="","",Berechnung!AG166)</f>
        <v/>
      </c>
      <c r="R166" s="57">
        <f>IF(B166="","",'Ist-Stunden'!D166)</f>
        <v/>
      </c>
      <c r="S166" s="59">
        <f>IF(B166="","",IF(N(R166)&gt;0,IF(Einstellungen!$C$10="Ja",Q166/R166,Q166/(R166+Q166)),""))</f>
        <v/>
      </c>
      <c r="T166" s="56">
        <f>IF(B166="","",IF(S166="","keine Ist-Std.",IF(S166&lt;=Einstellungen!$C$7,"unauffällig",IF(S166&lt;=Einstellungen!$C$8,"auffällig","kritisch"))))</f>
        <v/>
      </c>
    </row>
    <row r="167">
      <c r="A167" s="47">
        <f>IF(Mitarbeiter!B167="","",Mitarbeiter!A167)</f>
        <v/>
      </c>
      <c r="B167" s="48">
        <f>IF(Mitarbeiter!B167="","",Mitarbeiter!B167)</f>
        <v/>
      </c>
      <c r="C167" s="7">
        <f>IF(Mitarbeiter!B167="","",Mitarbeiter!G167)</f>
        <v/>
      </c>
      <c r="D167" s="57">
        <f>IF(Mitarbeiter!B167="","",Mitarbeiter!H167)</f>
        <v/>
      </c>
      <c r="E167" s="57">
        <f>IF(Mitarbeiter!B167="","",'Ist-Stunden'!C167)</f>
        <v/>
      </c>
      <c r="F167" s="57">
        <f>IF(B167="","",Berechnung!AE167)</f>
        <v/>
      </c>
      <c r="G167" s="61">
        <f>IF(B167="","",Berechnung!P167)</f>
        <v/>
      </c>
      <c r="H167" s="61">
        <f>IF(B167="","",Berechnung!AC167)</f>
        <v/>
      </c>
      <c r="I167" s="61">
        <f>IF(B167="","",Berechnung!AD167)</f>
        <v/>
      </c>
      <c r="J167" s="36">
        <f>IF(B167="","",SUMPRODUCT(((Berechnung!D167:O167+Berechnung!Q167:AB167)&gt;0)*1))</f>
        <v/>
      </c>
      <c r="K167" s="62">
        <f>IF(B167="","",IF(N(D167)&gt;0,F167/D167,""))</f>
        <v/>
      </c>
      <c r="L167" s="40">
        <f>IF(B167="","",IF(N(E167)&gt;0,IF(Einstellungen!$C$10="Ja",F167/E167,F167/(E167+F167)),""))</f>
        <v/>
      </c>
      <c r="M167" s="63">
        <f>IF(L167="","",RANK(L167,$L$6:$L$305,0))</f>
        <v/>
      </c>
      <c r="N167" s="56">
        <f>IF(B167="","",IF(L167="","keine Ist-Std.",IF(L167&lt;=Einstellungen!$C$7,"unauffällig",IF(L167&lt;=Einstellungen!$C$8,"auffällig","kritisch"))))</f>
        <v/>
      </c>
      <c r="O167" s="64">
        <f>IF(L167="",-1,L167+ROW()/1000000000)</f>
        <v/>
      </c>
      <c r="P167" s="61">
        <f>IF(B167="","",Berechnung!AF167)</f>
        <v/>
      </c>
      <c r="Q167" s="57">
        <f>IF(B167="","",Berechnung!AG167)</f>
        <v/>
      </c>
      <c r="R167" s="57">
        <f>IF(B167="","",'Ist-Stunden'!D167)</f>
        <v/>
      </c>
      <c r="S167" s="59">
        <f>IF(B167="","",IF(N(R167)&gt;0,IF(Einstellungen!$C$10="Ja",Q167/R167,Q167/(R167+Q167)),""))</f>
        <v/>
      </c>
      <c r="T167" s="56">
        <f>IF(B167="","",IF(S167="","keine Ist-Std.",IF(S167&lt;=Einstellungen!$C$7,"unauffällig",IF(S167&lt;=Einstellungen!$C$8,"auffällig","kritisch"))))</f>
        <v/>
      </c>
    </row>
    <row r="168">
      <c r="A168" s="47">
        <f>IF(Mitarbeiter!B168="","",Mitarbeiter!A168)</f>
        <v/>
      </c>
      <c r="B168" s="48">
        <f>IF(Mitarbeiter!B168="","",Mitarbeiter!B168)</f>
        <v/>
      </c>
      <c r="C168" s="7">
        <f>IF(Mitarbeiter!B168="","",Mitarbeiter!G168)</f>
        <v/>
      </c>
      <c r="D168" s="57">
        <f>IF(Mitarbeiter!B168="","",Mitarbeiter!H168)</f>
        <v/>
      </c>
      <c r="E168" s="57">
        <f>IF(Mitarbeiter!B168="","",'Ist-Stunden'!C168)</f>
        <v/>
      </c>
      <c r="F168" s="57">
        <f>IF(B168="","",Berechnung!AE168)</f>
        <v/>
      </c>
      <c r="G168" s="61">
        <f>IF(B168="","",Berechnung!P168)</f>
        <v/>
      </c>
      <c r="H168" s="61">
        <f>IF(B168="","",Berechnung!AC168)</f>
        <v/>
      </c>
      <c r="I168" s="61">
        <f>IF(B168="","",Berechnung!AD168)</f>
        <v/>
      </c>
      <c r="J168" s="36">
        <f>IF(B168="","",SUMPRODUCT(((Berechnung!D168:O168+Berechnung!Q168:AB168)&gt;0)*1))</f>
        <v/>
      </c>
      <c r="K168" s="62">
        <f>IF(B168="","",IF(N(D168)&gt;0,F168/D168,""))</f>
        <v/>
      </c>
      <c r="L168" s="40">
        <f>IF(B168="","",IF(N(E168)&gt;0,IF(Einstellungen!$C$10="Ja",F168/E168,F168/(E168+F168)),""))</f>
        <v/>
      </c>
      <c r="M168" s="63">
        <f>IF(L168="","",RANK(L168,$L$6:$L$305,0))</f>
        <v/>
      </c>
      <c r="N168" s="56">
        <f>IF(B168="","",IF(L168="","keine Ist-Std.",IF(L168&lt;=Einstellungen!$C$7,"unauffällig",IF(L168&lt;=Einstellungen!$C$8,"auffällig","kritisch"))))</f>
        <v/>
      </c>
      <c r="O168" s="64">
        <f>IF(L168="",-1,L168+ROW()/1000000000)</f>
        <v/>
      </c>
      <c r="P168" s="61">
        <f>IF(B168="","",Berechnung!AF168)</f>
        <v/>
      </c>
      <c r="Q168" s="57">
        <f>IF(B168="","",Berechnung!AG168)</f>
        <v/>
      </c>
      <c r="R168" s="57">
        <f>IF(B168="","",'Ist-Stunden'!D168)</f>
        <v/>
      </c>
      <c r="S168" s="59">
        <f>IF(B168="","",IF(N(R168)&gt;0,IF(Einstellungen!$C$10="Ja",Q168/R168,Q168/(R168+Q168)),""))</f>
        <v/>
      </c>
      <c r="T168" s="56">
        <f>IF(B168="","",IF(S168="","keine Ist-Std.",IF(S168&lt;=Einstellungen!$C$7,"unauffällig",IF(S168&lt;=Einstellungen!$C$8,"auffällig","kritisch"))))</f>
        <v/>
      </c>
    </row>
    <row r="169">
      <c r="A169" s="47">
        <f>IF(Mitarbeiter!B169="","",Mitarbeiter!A169)</f>
        <v/>
      </c>
      <c r="B169" s="48">
        <f>IF(Mitarbeiter!B169="","",Mitarbeiter!B169)</f>
        <v/>
      </c>
      <c r="C169" s="7">
        <f>IF(Mitarbeiter!B169="","",Mitarbeiter!G169)</f>
        <v/>
      </c>
      <c r="D169" s="57">
        <f>IF(Mitarbeiter!B169="","",Mitarbeiter!H169)</f>
        <v/>
      </c>
      <c r="E169" s="57">
        <f>IF(Mitarbeiter!B169="","",'Ist-Stunden'!C169)</f>
        <v/>
      </c>
      <c r="F169" s="57">
        <f>IF(B169="","",Berechnung!AE169)</f>
        <v/>
      </c>
      <c r="G169" s="61">
        <f>IF(B169="","",Berechnung!P169)</f>
        <v/>
      </c>
      <c r="H169" s="61">
        <f>IF(B169="","",Berechnung!AC169)</f>
        <v/>
      </c>
      <c r="I169" s="61">
        <f>IF(B169="","",Berechnung!AD169)</f>
        <v/>
      </c>
      <c r="J169" s="36">
        <f>IF(B169="","",SUMPRODUCT(((Berechnung!D169:O169+Berechnung!Q169:AB169)&gt;0)*1))</f>
        <v/>
      </c>
      <c r="K169" s="62">
        <f>IF(B169="","",IF(N(D169)&gt;0,F169/D169,""))</f>
        <v/>
      </c>
      <c r="L169" s="40">
        <f>IF(B169="","",IF(N(E169)&gt;0,IF(Einstellungen!$C$10="Ja",F169/E169,F169/(E169+F169)),""))</f>
        <v/>
      </c>
      <c r="M169" s="63">
        <f>IF(L169="","",RANK(L169,$L$6:$L$305,0))</f>
        <v/>
      </c>
      <c r="N169" s="56">
        <f>IF(B169="","",IF(L169="","keine Ist-Std.",IF(L169&lt;=Einstellungen!$C$7,"unauffällig",IF(L169&lt;=Einstellungen!$C$8,"auffällig","kritisch"))))</f>
        <v/>
      </c>
      <c r="O169" s="64">
        <f>IF(L169="",-1,L169+ROW()/1000000000)</f>
        <v/>
      </c>
      <c r="P169" s="61">
        <f>IF(B169="","",Berechnung!AF169)</f>
        <v/>
      </c>
      <c r="Q169" s="57">
        <f>IF(B169="","",Berechnung!AG169)</f>
        <v/>
      </c>
      <c r="R169" s="57">
        <f>IF(B169="","",'Ist-Stunden'!D169)</f>
        <v/>
      </c>
      <c r="S169" s="59">
        <f>IF(B169="","",IF(N(R169)&gt;0,IF(Einstellungen!$C$10="Ja",Q169/R169,Q169/(R169+Q169)),""))</f>
        <v/>
      </c>
      <c r="T169" s="56">
        <f>IF(B169="","",IF(S169="","keine Ist-Std.",IF(S169&lt;=Einstellungen!$C$7,"unauffällig",IF(S169&lt;=Einstellungen!$C$8,"auffällig","kritisch"))))</f>
        <v/>
      </c>
    </row>
    <row r="170">
      <c r="A170" s="47">
        <f>IF(Mitarbeiter!B170="","",Mitarbeiter!A170)</f>
        <v/>
      </c>
      <c r="B170" s="48">
        <f>IF(Mitarbeiter!B170="","",Mitarbeiter!B170)</f>
        <v/>
      </c>
      <c r="C170" s="7">
        <f>IF(Mitarbeiter!B170="","",Mitarbeiter!G170)</f>
        <v/>
      </c>
      <c r="D170" s="57">
        <f>IF(Mitarbeiter!B170="","",Mitarbeiter!H170)</f>
        <v/>
      </c>
      <c r="E170" s="57">
        <f>IF(Mitarbeiter!B170="","",'Ist-Stunden'!C170)</f>
        <v/>
      </c>
      <c r="F170" s="57">
        <f>IF(B170="","",Berechnung!AE170)</f>
        <v/>
      </c>
      <c r="G170" s="61">
        <f>IF(B170="","",Berechnung!P170)</f>
        <v/>
      </c>
      <c r="H170" s="61">
        <f>IF(B170="","",Berechnung!AC170)</f>
        <v/>
      </c>
      <c r="I170" s="61">
        <f>IF(B170="","",Berechnung!AD170)</f>
        <v/>
      </c>
      <c r="J170" s="36">
        <f>IF(B170="","",SUMPRODUCT(((Berechnung!D170:O170+Berechnung!Q170:AB170)&gt;0)*1))</f>
        <v/>
      </c>
      <c r="K170" s="62">
        <f>IF(B170="","",IF(N(D170)&gt;0,F170/D170,""))</f>
        <v/>
      </c>
      <c r="L170" s="40">
        <f>IF(B170="","",IF(N(E170)&gt;0,IF(Einstellungen!$C$10="Ja",F170/E170,F170/(E170+F170)),""))</f>
        <v/>
      </c>
      <c r="M170" s="63">
        <f>IF(L170="","",RANK(L170,$L$6:$L$305,0))</f>
        <v/>
      </c>
      <c r="N170" s="56">
        <f>IF(B170="","",IF(L170="","keine Ist-Std.",IF(L170&lt;=Einstellungen!$C$7,"unauffällig",IF(L170&lt;=Einstellungen!$C$8,"auffällig","kritisch"))))</f>
        <v/>
      </c>
      <c r="O170" s="64">
        <f>IF(L170="",-1,L170+ROW()/1000000000)</f>
        <v/>
      </c>
      <c r="P170" s="61">
        <f>IF(B170="","",Berechnung!AF170)</f>
        <v/>
      </c>
      <c r="Q170" s="57">
        <f>IF(B170="","",Berechnung!AG170)</f>
        <v/>
      </c>
      <c r="R170" s="57">
        <f>IF(B170="","",'Ist-Stunden'!D170)</f>
        <v/>
      </c>
      <c r="S170" s="59">
        <f>IF(B170="","",IF(N(R170)&gt;0,IF(Einstellungen!$C$10="Ja",Q170/R170,Q170/(R170+Q170)),""))</f>
        <v/>
      </c>
      <c r="T170" s="56">
        <f>IF(B170="","",IF(S170="","keine Ist-Std.",IF(S170&lt;=Einstellungen!$C$7,"unauffällig",IF(S170&lt;=Einstellungen!$C$8,"auffällig","kritisch"))))</f>
        <v/>
      </c>
    </row>
    <row r="171">
      <c r="A171" s="47">
        <f>IF(Mitarbeiter!B171="","",Mitarbeiter!A171)</f>
        <v/>
      </c>
      <c r="B171" s="48">
        <f>IF(Mitarbeiter!B171="","",Mitarbeiter!B171)</f>
        <v/>
      </c>
      <c r="C171" s="7">
        <f>IF(Mitarbeiter!B171="","",Mitarbeiter!G171)</f>
        <v/>
      </c>
      <c r="D171" s="57">
        <f>IF(Mitarbeiter!B171="","",Mitarbeiter!H171)</f>
        <v/>
      </c>
      <c r="E171" s="57">
        <f>IF(Mitarbeiter!B171="","",'Ist-Stunden'!C171)</f>
        <v/>
      </c>
      <c r="F171" s="57">
        <f>IF(B171="","",Berechnung!AE171)</f>
        <v/>
      </c>
      <c r="G171" s="61">
        <f>IF(B171="","",Berechnung!P171)</f>
        <v/>
      </c>
      <c r="H171" s="61">
        <f>IF(B171="","",Berechnung!AC171)</f>
        <v/>
      </c>
      <c r="I171" s="61">
        <f>IF(B171="","",Berechnung!AD171)</f>
        <v/>
      </c>
      <c r="J171" s="36">
        <f>IF(B171="","",SUMPRODUCT(((Berechnung!D171:O171+Berechnung!Q171:AB171)&gt;0)*1))</f>
        <v/>
      </c>
      <c r="K171" s="62">
        <f>IF(B171="","",IF(N(D171)&gt;0,F171/D171,""))</f>
        <v/>
      </c>
      <c r="L171" s="40">
        <f>IF(B171="","",IF(N(E171)&gt;0,IF(Einstellungen!$C$10="Ja",F171/E171,F171/(E171+F171)),""))</f>
        <v/>
      </c>
      <c r="M171" s="63">
        <f>IF(L171="","",RANK(L171,$L$6:$L$305,0))</f>
        <v/>
      </c>
      <c r="N171" s="56">
        <f>IF(B171="","",IF(L171="","keine Ist-Std.",IF(L171&lt;=Einstellungen!$C$7,"unauffällig",IF(L171&lt;=Einstellungen!$C$8,"auffällig","kritisch"))))</f>
        <v/>
      </c>
      <c r="O171" s="64">
        <f>IF(L171="",-1,L171+ROW()/1000000000)</f>
        <v/>
      </c>
      <c r="P171" s="61">
        <f>IF(B171="","",Berechnung!AF171)</f>
        <v/>
      </c>
      <c r="Q171" s="57">
        <f>IF(B171="","",Berechnung!AG171)</f>
        <v/>
      </c>
      <c r="R171" s="57">
        <f>IF(B171="","",'Ist-Stunden'!D171)</f>
        <v/>
      </c>
      <c r="S171" s="59">
        <f>IF(B171="","",IF(N(R171)&gt;0,IF(Einstellungen!$C$10="Ja",Q171/R171,Q171/(R171+Q171)),""))</f>
        <v/>
      </c>
      <c r="T171" s="56">
        <f>IF(B171="","",IF(S171="","keine Ist-Std.",IF(S171&lt;=Einstellungen!$C$7,"unauffällig",IF(S171&lt;=Einstellungen!$C$8,"auffällig","kritisch"))))</f>
        <v/>
      </c>
    </row>
    <row r="172">
      <c r="A172" s="47">
        <f>IF(Mitarbeiter!B172="","",Mitarbeiter!A172)</f>
        <v/>
      </c>
      <c r="B172" s="48">
        <f>IF(Mitarbeiter!B172="","",Mitarbeiter!B172)</f>
        <v/>
      </c>
      <c r="C172" s="7">
        <f>IF(Mitarbeiter!B172="","",Mitarbeiter!G172)</f>
        <v/>
      </c>
      <c r="D172" s="57">
        <f>IF(Mitarbeiter!B172="","",Mitarbeiter!H172)</f>
        <v/>
      </c>
      <c r="E172" s="57">
        <f>IF(Mitarbeiter!B172="","",'Ist-Stunden'!C172)</f>
        <v/>
      </c>
      <c r="F172" s="57">
        <f>IF(B172="","",Berechnung!AE172)</f>
        <v/>
      </c>
      <c r="G172" s="61">
        <f>IF(B172="","",Berechnung!P172)</f>
        <v/>
      </c>
      <c r="H172" s="61">
        <f>IF(B172="","",Berechnung!AC172)</f>
        <v/>
      </c>
      <c r="I172" s="61">
        <f>IF(B172="","",Berechnung!AD172)</f>
        <v/>
      </c>
      <c r="J172" s="36">
        <f>IF(B172="","",SUMPRODUCT(((Berechnung!D172:O172+Berechnung!Q172:AB172)&gt;0)*1))</f>
        <v/>
      </c>
      <c r="K172" s="62">
        <f>IF(B172="","",IF(N(D172)&gt;0,F172/D172,""))</f>
        <v/>
      </c>
      <c r="L172" s="40">
        <f>IF(B172="","",IF(N(E172)&gt;0,IF(Einstellungen!$C$10="Ja",F172/E172,F172/(E172+F172)),""))</f>
        <v/>
      </c>
      <c r="M172" s="63">
        <f>IF(L172="","",RANK(L172,$L$6:$L$305,0))</f>
        <v/>
      </c>
      <c r="N172" s="56">
        <f>IF(B172="","",IF(L172="","keine Ist-Std.",IF(L172&lt;=Einstellungen!$C$7,"unauffällig",IF(L172&lt;=Einstellungen!$C$8,"auffällig","kritisch"))))</f>
        <v/>
      </c>
      <c r="O172" s="64">
        <f>IF(L172="",-1,L172+ROW()/1000000000)</f>
        <v/>
      </c>
      <c r="P172" s="61">
        <f>IF(B172="","",Berechnung!AF172)</f>
        <v/>
      </c>
      <c r="Q172" s="57">
        <f>IF(B172="","",Berechnung!AG172)</f>
        <v/>
      </c>
      <c r="R172" s="57">
        <f>IF(B172="","",'Ist-Stunden'!D172)</f>
        <v/>
      </c>
      <c r="S172" s="59">
        <f>IF(B172="","",IF(N(R172)&gt;0,IF(Einstellungen!$C$10="Ja",Q172/R172,Q172/(R172+Q172)),""))</f>
        <v/>
      </c>
      <c r="T172" s="56">
        <f>IF(B172="","",IF(S172="","keine Ist-Std.",IF(S172&lt;=Einstellungen!$C$7,"unauffällig",IF(S172&lt;=Einstellungen!$C$8,"auffällig","kritisch"))))</f>
        <v/>
      </c>
    </row>
    <row r="173">
      <c r="A173" s="47">
        <f>IF(Mitarbeiter!B173="","",Mitarbeiter!A173)</f>
        <v/>
      </c>
      <c r="B173" s="48">
        <f>IF(Mitarbeiter!B173="","",Mitarbeiter!B173)</f>
        <v/>
      </c>
      <c r="C173" s="7">
        <f>IF(Mitarbeiter!B173="","",Mitarbeiter!G173)</f>
        <v/>
      </c>
      <c r="D173" s="57">
        <f>IF(Mitarbeiter!B173="","",Mitarbeiter!H173)</f>
        <v/>
      </c>
      <c r="E173" s="57">
        <f>IF(Mitarbeiter!B173="","",'Ist-Stunden'!C173)</f>
        <v/>
      </c>
      <c r="F173" s="57">
        <f>IF(B173="","",Berechnung!AE173)</f>
        <v/>
      </c>
      <c r="G173" s="61">
        <f>IF(B173="","",Berechnung!P173)</f>
        <v/>
      </c>
      <c r="H173" s="61">
        <f>IF(B173="","",Berechnung!AC173)</f>
        <v/>
      </c>
      <c r="I173" s="61">
        <f>IF(B173="","",Berechnung!AD173)</f>
        <v/>
      </c>
      <c r="J173" s="36">
        <f>IF(B173="","",SUMPRODUCT(((Berechnung!D173:O173+Berechnung!Q173:AB173)&gt;0)*1))</f>
        <v/>
      </c>
      <c r="K173" s="62">
        <f>IF(B173="","",IF(N(D173)&gt;0,F173/D173,""))</f>
        <v/>
      </c>
      <c r="L173" s="40">
        <f>IF(B173="","",IF(N(E173)&gt;0,IF(Einstellungen!$C$10="Ja",F173/E173,F173/(E173+F173)),""))</f>
        <v/>
      </c>
      <c r="M173" s="63">
        <f>IF(L173="","",RANK(L173,$L$6:$L$305,0))</f>
        <v/>
      </c>
      <c r="N173" s="56">
        <f>IF(B173="","",IF(L173="","keine Ist-Std.",IF(L173&lt;=Einstellungen!$C$7,"unauffällig",IF(L173&lt;=Einstellungen!$C$8,"auffällig","kritisch"))))</f>
        <v/>
      </c>
      <c r="O173" s="64">
        <f>IF(L173="",-1,L173+ROW()/1000000000)</f>
        <v/>
      </c>
      <c r="P173" s="61">
        <f>IF(B173="","",Berechnung!AF173)</f>
        <v/>
      </c>
      <c r="Q173" s="57">
        <f>IF(B173="","",Berechnung!AG173)</f>
        <v/>
      </c>
      <c r="R173" s="57">
        <f>IF(B173="","",'Ist-Stunden'!D173)</f>
        <v/>
      </c>
      <c r="S173" s="59">
        <f>IF(B173="","",IF(N(R173)&gt;0,IF(Einstellungen!$C$10="Ja",Q173/R173,Q173/(R173+Q173)),""))</f>
        <v/>
      </c>
      <c r="T173" s="56">
        <f>IF(B173="","",IF(S173="","keine Ist-Std.",IF(S173&lt;=Einstellungen!$C$7,"unauffällig",IF(S173&lt;=Einstellungen!$C$8,"auffällig","kritisch"))))</f>
        <v/>
      </c>
    </row>
    <row r="174">
      <c r="A174" s="47">
        <f>IF(Mitarbeiter!B174="","",Mitarbeiter!A174)</f>
        <v/>
      </c>
      <c r="B174" s="48">
        <f>IF(Mitarbeiter!B174="","",Mitarbeiter!B174)</f>
        <v/>
      </c>
      <c r="C174" s="7">
        <f>IF(Mitarbeiter!B174="","",Mitarbeiter!G174)</f>
        <v/>
      </c>
      <c r="D174" s="57">
        <f>IF(Mitarbeiter!B174="","",Mitarbeiter!H174)</f>
        <v/>
      </c>
      <c r="E174" s="57">
        <f>IF(Mitarbeiter!B174="","",'Ist-Stunden'!C174)</f>
        <v/>
      </c>
      <c r="F174" s="57">
        <f>IF(B174="","",Berechnung!AE174)</f>
        <v/>
      </c>
      <c r="G174" s="61">
        <f>IF(B174="","",Berechnung!P174)</f>
        <v/>
      </c>
      <c r="H174" s="61">
        <f>IF(B174="","",Berechnung!AC174)</f>
        <v/>
      </c>
      <c r="I174" s="61">
        <f>IF(B174="","",Berechnung!AD174)</f>
        <v/>
      </c>
      <c r="J174" s="36">
        <f>IF(B174="","",SUMPRODUCT(((Berechnung!D174:O174+Berechnung!Q174:AB174)&gt;0)*1))</f>
        <v/>
      </c>
      <c r="K174" s="62">
        <f>IF(B174="","",IF(N(D174)&gt;0,F174/D174,""))</f>
        <v/>
      </c>
      <c r="L174" s="40">
        <f>IF(B174="","",IF(N(E174)&gt;0,IF(Einstellungen!$C$10="Ja",F174/E174,F174/(E174+F174)),""))</f>
        <v/>
      </c>
      <c r="M174" s="63">
        <f>IF(L174="","",RANK(L174,$L$6:$L$305,0))</f>
        <v/>
      </c>
      <c r="N174" s="56">
        <f>IF(B174="","",IF(L174="","keine Ist-Std.",IF(L174&lt;=Einstellungen!$C$7,"unauffällig",IF(L174&lt;=Einstellungen!$C$8,"auffällig","kritisch"))))</f>
        <v/>
      </c>
      <c r="O174" s="64">
        <f>IF(L174="",-1,L174+ROW()/1000000000)</f>
        <v/>
      </c>
      <c r="P174" s="61">
        <f>IF(B174="","",Berechnung!AF174)</f>
        <v/>
      </c>
      <c r="Q174" s="57">
        <f>IF(B174="","",Berechnung!AG174)</f>
        <v/>
      </c>
      <c r="R174" s="57">
        <f>IF(B174="","",'Ist-Stunden'!D174)</f>
        <v/>
      </c>
      <c r="S174" s="59">
        <f>IF(B174="","",IF(N(R174)&gt;0,IF(Einstellungen!$C$10="Ja",Q174/R174,Q174/(R174+Q174)),""))</f>
        <v/>
      </c>
      <c r="T174" s="56">
        <f>IF(B174="","",IF(S174="","keine Ist-Std.",IF(S174&lt;=Einstellungen!$C$7,"unauffällig",IF(S174&lt;=Einstellungen!$C$8,"auffällig","kritisch"))))</f>
        <v/>
      </c>
    </row>
    <row r="175">
      <c r="A175" s="47">
        <f>IF(Mitarbeiter!B175="","",Mitarbeiter!A175)</f>
        <v/>
      </c>
      <c r="B175" s="48">
        <f>IF(Mitarbeiter!B175="","",Mitarbeiter!B175)</f>
        <v/>
      </c>
      <c r="C175" s="7">
        <f>IF(Mitarbeiter!B175="","",Mitarbeiter!G175)</f>
        <v/>
      </c>
      <c r="D175" s="57">
        <f>IF(Mitarbeiter!B175="","",Mitarbeiter!H175)</f>
        <v/>
      </c>
      <c r="E175" s="57">
        <f>IF(Mitarbeiter!B175="","",'Ist-Stunden'!C175)</f>
        <v/>
      </c>
      <c r="F175" s="57">
        <f>IF(B175="","",Berechnung!AE175)</f>
        <v/>
      </c>
      <c r="G175" s="61">
        <f>IF(B175="","",Berechnung!P175)</f>
        <v/>
      </c>
      <c r="H175" s="61">
        <f>IF(B175="","",Berechnung!AC175)</f>
        <v/>
      </c>
      <c r="I175" s="61">
        <f>IF(B175="","",Berechnung!AD175)</f>
        <v/>
      </c>
      <c r="J175" s="36">
        <f>IF(B175="","",SUMPRODUCT(((Berechnung!D175:O175+Berechnung!Q175:AB175)&gt;0)*1))</f>
        <v/>
      </c>
      <c r="K175" s="62">
        <f>IF(B175="","",IF(N(D175)&gt;0,F175/D175,""))</f>
        <v/>
      </c>
      <c r="L175" s="40">
        <f>IF(B175="","",IF(N(E175)&gt;0,IF(Einstellungen!$C$10="Ja",F175/E175,F175/(E175+F175)),""))</f>
        <v/>
      </c>
      <c r="M175" s="63">
        <f>IF(L175="","",RANK(L175,$L$6:$L$305,0))</f>
        <v/>
      </c>
      <c r="N175" s="56">
        <f>IF(B175="","",IF(L175="","keine Ist-Std.",IF(L175&lt;=Einstellungen!$C$7,"unauffällig",IF(L175&lt;=Einstellungen!$C$8,"auffällig","kritisch"))))</f>
        <v/>
      </c>
      <c r="O175" s="64">
        <f>IF(L175="",-1,L175+ROW()/1000000000)</f>
        <v/>
      </c>
      <c r="P175" s="61">
        <f>IF(B175="","",Berechnung!AF175)</f>
        <v/>
      </c>
      <c r="Q175" s="57">
        <f>IF(B175="","",Berechnung!AG175)</f>
        <v/>
      </c>
      <c r="R175" s="57">
        <f>IF(B175="","",'Ist-Stunden'!D175)</f>
        <v/>
      </c>
      <c r="S175" s="59">
        <f>IF(B175="","",IF(N(R175)&gt;0,IF(Einstellungen!$C$10="Ja",Q175/R175,Q175/(R175+Q175)),""))</f>
        <v/>
      </c>
      <c r="T175" s="56">
        <f>IF(B175="","",IF(S175="","keine Ist-Std.",IF(S175&lt;=Einstellungen!$C$7,"unauffällig",IF(S175&lt;=Einstellungen!$C$8,"auffällig","kritisch"))))</f>
        <v/>
      </c>
    </row>
    <row r="176">
      <c r="A176" s="47">
        <f>IF(Mitarbeiter!B176="","",Mitarbeiter!A176)</f>
        <v/>
      </c>
      <c r="B176" s="48">
        <f>IF(Mitarbeiter!B176="","",Mitarbeiter!B176)</f>
        <v/>
      </c>
      <c r="C176" s="7">
        <f>IF(Mitarbeiter!B176="","",Mitarbeiter!G176)</f>
        <v/>
      </c>
      <c r="D176" s="57">
        <f>IF(Mitarbeiter!B176="","",Mitarbeiter!H176)</f>
        <v/>
      </c>
      <c r="E176" s="57">
        <f>IF(Mitarbeiter!B176="","",'Ist-Stunden'!C176)</f>
        <v/>
      </c>
      <c r="F176" s="57">
        <f>IF(B176="","",Berechnung!AE176)</f>
        <v/>
      </c>
      <c r="G176" s="61">
        <f>IF(B176="","",Berechnung!P176)</f>
        <v/>
      </c>
      <c r="H176" s="61">
        <f>IF(B176="","",Berechnung!AC176)</f>
        <v/>
      </c>
      <c r="I176" s="61">
        <f>IF(B176="","",Berechnung!AD176)</f>
        <v/>
      </c>
      <c r="J176" s="36">
        <f>IF(B176="","",SUMPRODUCT(((Berechnung!D176:O176+Berechnung!Q176:AB176)&gt;0)*1))</f>
        <v/>
      </c>
      <c r="K176" s="62">
        <f>IF(B176="","",IF(N(D176)&gt;0,F176/D176,""))</f>
        <v/>
      </c>
      <c r="L176" s="40">
        <f>IF(B176="","",IF(N(E176)&gt;0,IF(Einstellungen!$C$10="Ja",F176/E176,F176/(E176+F176)),""))</f>
        <v/>
      </c>
      <c r="M176" s="63">
        <f>IF(L176="","",RANK(L176,$L$6:$L$305,0))</f>
        <v/>
      </c>
      <c r="N176" s="56">
        <f>IF(B176="","",IF(L176="","keine Ist-Std.",IF(L176&lt;=Einstellungen!$C$7,"unauffällig",IF(L176&lt;=Einstellungen!$C$8,"auffällig","kritisch"))))</f>
        <v/>
      </c>
      <c r="O176" s="64">
        <f>IF(L176="",-1,L176+ROW()/1000000000)</f>
        <v/>
      </c>
      <c r="P176" s="61">
        <f>IF(B176="","",Berechnung!AF176)</f>
        <v/>
      </c>
      <c r="Q176" s="57">
        <f>IF(B176="","",Berechnung!AG176)</f>
        <v/>
      </c>
      <c r="R176" s="57">
        <f>IF(B176="","",'Ist-Stunden'!D176)</f>
        <v/>
      </c>
      <c r="S176" s="59">
        <f>IF(B176="","",IF(N(R176)&gt;0,IF(Einstellungen!$C$10="Ja",Q176/R176,Q176/(R176+Q176)),""))</f>
        <v/>
      </c>
      <c r="T176" s="56">
        <f>IF(B176="","",IF(S176="","keine Ist-Std.",IF(S176&lt;=Einstellungen!$C$7,"unauffällig",IF(S176&lt;=Einstellungen!$C$8,"auffällig","kritisch"))))</f>
        <v/>
      </c>
    </row>
    <row r="177">
      <c r="A177" s="47">
        <f>IF(Mitarbeiter!B177="","",Mitarbeiter!A177)</f>
        <v/>
      </c>
      <c r="B177" s="48">
        <f>IF(Mitarbeiter!B177="","",Mitarbeiter!B177)</f>
        <v/>
      </c>
      <c r="C177" s="7">
        <f>IF(Mitarbeiter!B177="","",Mitarbeiter!G177)</f>
        <v/>
      </c>
      <c r="D177" s="57">
        <f>IF(Mitarbeiter!B177="","",Mitarbeiter!H177)</f>
        <v/>
      </c>
      <c r="E177" s="57">
        <f>IF(Mitarbeiter!B177="","",'Ist-Stunden'!C177)</f>
        <v/>
      </c>
      <c r="F177" s="57">
        <f>IF(B177="","",Berechnung!AE177)</f>
        <v/>
      </c>
      <c r="G177" s="61">
        <f>IF(B177="","",Berechnung!P177)</f>
        <v/>
      </c>
      <c r="H177" s="61">
        <f>IF(B177="","",Berechnung!AC177)</f>
        <v/>
      </c>
      <c r="I177" s="61">
        <f>IF(B177="","",Berechnung!AD177)</f>
        <v/>
      </c>
      <c r="J177" s="36">
        <f>IF(B177="","",SUMPRODUCT(((Berechnung!D177:O177+Berechnung!Q177:AB177)&gt;0)*1))</f>
        <v/>
      </c>
      <c r="K177" s="62">
        <f>IF(B177="","",IF(N(D177)&gt;0,F177/D177,""))</f>
        <v/>
      </c>
      <c r="L177" s="40">
        <f>IF(B177="","",IF(N(E177)&gt;0,IF(Einstellungen!$C$10="Ja",F177/E177,F177/(E177+F177)),""))</f>
        <v/>
      </c>
      <c r="M177" s="63">
        <f>IF(L177="","",RANK(L177,$L$6:$L$305,0))</f>
        <v/>
      </c>
      <c r="N177" s="56">
        <f>IF(B177="","",IF(L177="","keine Ist-Std.",IF(L177&lt;=Einstellungen!$C$7,"unauffällig",IF(L177&lt;=Einstellungen!$C$8,"auffällig","kritisch"))))</f>
        <v/>
      </c>
      <c r="O177" s="64">
        <f>IF(L177="",-1,L177+ROW()/1000000000)</f>
        <v/>
      </c>
      <c r="P177" s="61">
        <f>IF(B177="","",Berechnung!AF177)</f>
        <v/>
      </c>
      <c r="Q177" s="57">
        <f>IF(B177="","",Berechnung!AG177)</f>
        <v/>
      </c>
      <c r="R177" s="57">
        <f>IF(B177="","",'Ist-Stunden'!D177)</f>
        <v/>
      </c>
      <c r="S177" s="59">
        <f>IF(B177="","",IF(N(R177)&gt;0,IF(Einstellungen!$C$10="Ja",Q177/R177,Q177/(R177+Q177)),""))</f>
        <v/>
      </c>
      <c r="T177" s="56">
        <f>IF(B177="","",IF(S177="","keine Ist-Std.",IF(S177&lt;=Einstellungen!$C$7,"unauffällig",IF(S177&lt;=Einstellungen!$C$8,"auffällig","kritisch"))))</f>
        <v/>
      </c>
    </row>
    <row r="178">
      <c r="A178" s="47">
        <f>IF(Mitarbeiter!B178="","",Mitarbeiter!A178)</f>
        <v/>
      </c>
      <c r="B178" s="48">
        <f>IF(Mitarbeiter!B178="","",Mitarbeiter!B178)</f>
        <v/>
      </c>
      <c r="C178" s="7">
        <f>IF(Mitarbeiter!B178="","",Mitarbeiter!G178)</f>
        <v/>
      </c>
      <c r="D178" s="57">
        <f>IF(Mitarbeiter!B178="","",Mitarbeiter!H178)</f>
        <v/>
      </c>
      <c r="E178" s="57">
        <f>IF(Mitarbeiter!B178="","",'Ist-Stunden'!C178)</f>
        <v/>
      </c>
      <c r="F178" s="57">
        <f>IF(B178="","",Berechnung!AE178)</f>
        <v/>
      </c>
      <c r="G178" s="61">
        <f>IF(B178="","",Berechnung!P178)</f>
        <v/>
      </c>
      <c r="H178" s="61">
        <f>IF(B178="","",Berechnung!AC178)</f>
        <v/>
      </c>
      <c r="I178" s="61">
        <f>IF(B178="","",Berechnung!AD178)</f>
        <v/>
      </c>
      <c r="J178" s="36">
        <f>IF(B178="","",SUMPRODUCT(((Berechnung!D178:O178+Berechnung!Q178:AB178)&gt;0)*1))</f>
        <v/>
      </c>
      <c r="K178" s="62">
        <f>IF(B178="","",IF(N(D178)&gt;0,F178/D178,""))</f>
        <v/>
      </c>
      <c r="L178" s="40">
        <f>IF(B178="","",IF(N(E178)&gt;0,IF(Einstellungen!$C$10="Ja",F178/E178,F178/(E178+F178)),""))</f>
        <v/>
      </c>
      <c r="M178" s="63">
        <f>IF(L178="","",RANK(L178,$L$6:$L$305,0))</f>
        <v/>
      </c>
      <c r="N178" s="56">
        <f>IF(B178="","",IF(L178="","keine Ist-Std.",IF(L178&lt;=Einstellungen!$C$7,"unauffällig",IF(L178&lt;=Einstellungen!$C$8,"auffällig","kritisch"))))</f>
        <v/>
      </c>
      <c r="O178" s="64">
        <f>IF(L178="",-1,L178+ROW()/1000000000)</f>
        <v/>
      </c>
      <c r="P178" s="61">
        <f>IF(B178="","",Berechnung!AF178)</f>
        <v/>
      </c>
      <c r="Q178" s="57">
        <f>IF(B178="","",Berechnung!AG178)</f>
        <v/>
      </c>
      <c r="R178" s="57">
        <f>IF(B178="","",'Ist-Stunden'!D178)</f>
        <v/>
      </c>
      <c r="S178" s="59">
        <f>IF(B178="","",IF(N(R178)&gt;0,IF(Einstellungen!$C$10="Ja",Q178/R178,Q178/(R178+Q178)),""))</f>
        <v/>
      </c>
      <c r="T178" s="56">
        <f>IF(B178="","",IF(S178="","keine Ist-Std.",IF(S178&lt;=Einstellungen!$C$7,"unauffällig",IF(S178&lt;=Einstellungen!$C$8,"auffällig","kritisch"))))</f>
        <v/>
      </c>
    </row>
    <row r="179">
      <c r="A179" s="47">
        <f>IF(Mitarbeiter!B179="","",Mitarbeiter!A179)</f>
        <v/>
      </c>
      <c r="B179" s="48">
        <f>IF(Mitarbeiter!B179="","",Mitarbeiter!B179)</f>
        <v/>
      </c>
      <c r="C179" s="7">
        <f>IF(Mitarbeiter!B179="","",Mitarbeiter!G179)</f>
        <v/>
      </c>
      <c r="D179" s="57">
        <f>IF(Mitarbeiter!B179="","",Mitarbeiter!H179)</f>
        <v/>
      </c>
      <c r="E179" s="57">
        <f>IF(Mitarbeiter!B179="","",'Ist-Stunden'!C179)</f>
        <v/>
      </c>
      <c r="F179" s="57">
        <f>IF(B179="","",Berechnung!AE179)</f>
        <v/>
      </c>
      <c r="G179" s="61">
        <f>IF(B179="","",Berechnung!P179)</f>
        <v/>
      </c>
      <c r="H179" s="61">
        <f>IF(B179="","",Berechnung!AC179)</f>
        <v/>
      </c>
      <c r="I179" s="61">
        <f>IF(B179="","",Berechnung!AD179)</f>
        <v/>
      </c>
      <c r="J179" s="36">
        <f>IF(B179="","",SUMPRODUCT(((Berechnung!D179:O179+Berechnung!Q179:AB179)&gt;0)*1))</f>
        <v/>
      </c>
      <c r="K179" s="62">
        <f>IF(B179="","",IF(N(D179)&gt;0,F179/D179,""))</f>
        <v/>
      </c>
      <c r="L179" s="40">
        <f>IF(B179="","",IF(N(E179)&gt;0,IF(Einstellungen!$C$10="Ja",F179/E179,F179/(E179+F179)),""))</f>
        <v/>
      </c>
      <c r="M179" s="63">
        <f>IF(L179="","",RANK(L179,$L$6:$L$305,0))</f>
        <v/>
      </c>
      <c r="N179" s="56">
        <f>IF(B179="","",IF(L179="","keine Ist-Std.",IF(L179&lt;=Einstellungen!$C$7,"unauffällig",IF(L179&lt;=Einstellungen!$C$8,"auffällig","kritisch"))))</f>
        <v/>
      </c>
      <c r="O179" s="64">
        <f>IF(L179="",-1,L179+ROW()/1000000000)</f>
        <v/>
      </c>
      <c r="P179" s="61">
        <f>IF(B179="","",Berechnung!AF179)</f>
        <v/>
      </c>
      <c r="Q179" s="57">
        <f>IF(B179="","",Berechnung!AG179)</f>
        <v/>
      </c>
      <c r="R179" s="57">
        <f>IF(B179="","",'Ist-Stunden'!D179)</f>
        <v/>
      </c>
      <c r="S179" s="59">
        <f>IF(B179="","",IF(N(R179)&gt;0,IF(Einstellungen!$C$10="Ja",Q179/R179,Q179/(R179+Q179)),""))</f>
        <v/>
      </c>
      <c r="T179" s="56">
        <f>IF(B179="","",IF(S179="","keine Ist-Std.",IF(S179&lt;=Einstellungen!$C$7,"unauffällig",IF(S179&lt;=Einstellungen!$C$8,"auffällig","kritisch"))))</f>
        <v/>
      </c>
    </row>
    <row r="180">
      <c r="A180" s="47">
        <f>IF(Mitarbeiter!B180="","",Mitarbeiter!A180)</f>
        <v/>
      </c>
      <c r="B180" s="48">
        <f>IF(Mitarbeiter!B180="","",Mitarbeiter!B180)</f>
        <v/>
      </c>
      <c r="C180" s="7">
        <f>IF(Mitarbeiter!B180="","",Mitarbeiter!G180)</f>
        <v/>
      </c>
      <c r="D180" s="57">
        <f>IF(Mitarbeiter!B180="","",Mitarbeiter!H180)</f>
        <v/>
      </c>
      <c r="E180" s="57">
        <f>IF(Mitarbeiter!B180="","",'Ist-Stunden'!C180)</f>
        <v/>
      </c>
      <c r="F180" s="57">
        <f>IF(B180="","",Berechnung!AE180)</f>
        <v/>
      </c>
      <c r="G180" s="61">
        <f>IF(B180="","",Berechnung!P180)</f>
        <v/>
      </c>
      <c r="H180" s="61">
        <f>IF(B180="","",Berechnung!AC180)</f>
        <v/>
      </c>
      <c r="I180" s="61">
        <f>IF(B180="","",Berechnung!AD180)</f>
        <v/>
      </c>
      <c r="J180" s="36">
        <f>IF(B180="","",SUMPRODUCT(((Berechnung!D180:O180+Berechnung!Q180:AB180)&gt;0)*1))</f>
        <v/>
      </c>
      <c r="K180" s="62">
        <f>IF(B180="","",IF(N(D180)&gt;0,F180/D180,""))</f>
        <v/>
      </c>
      <c r="L180" s="40">
        <f>IF(B180="","",IF(N(E180)&gt;0,IF(Einstellungen!$C$10="Ja",F180/E180,F180/(E180+F180)),""))</f>
        <v/>
      </c>
      <c r="M180" s="63">
        <f>IF(L180="","",RANK(L180,$L$6:$L$305,0))</f>
        <v/>
      </c>
      <c r="N180" s="56">
        <f>IF(B180="","",IF(L180="","keine Ist-Std.",IF(L180&lt;=Einstellungen!$C$7,"unauffällig",IF(L180&lt;=Einstellungen!$C$8,"auffällig","kritisch"))))</f>
        <v/>
      </c>
      <c r="O180" s="64">
        <f>IF(L180="",-1,L180+ROW()/1000000000)</f>
        <v/>
      </c>
      <c r="P180" s="61">
        <f>IF(B180="","",Berechnung!AF180)</f>
        <v/>
      </c>
      <c r="Q180" s="57">
        <f>IF(B180="","",Berechnung!AG180)</f>
        <v/>
      </c>
      <c r="R180" s="57">
        <f>IF(B180="","",'Ist-Stunden'!D180)</f>
        <v/>
      </c>
      <c r="S180" s="59">
        <f>IF(B180="","",IF(N(R180)&gt;0,IF(Einstellungen!$C$10="Ja",Q180/R180,Q180/(R180+Q180)),""))</f>
        <v/>
      </c>
      <c r="T180" s="56">
        <f>IF(B180="","",IF(S180="","keine Ist-Std.",IF(S180&lt;=Einstellungen!$C$7,"unauffällig",IF(S180&lt;=Einstellungen!$C$8,"auffällig","kritisch"))))</f>
        <v/>
      </c>
    </row>
    <row r="181">
      <c r="A181" s="47">
        <f>IF(Mitarbeiter!B181="","",Mitarbeiter!A181)</f>
        <v/>
      </c>
      <c r="B181" s="48">
        <f>IF(Mitarbeiter!B181="","",Mitarbeiter!B181)</f>
        <v/>
      </c>
      <c r="C181" s="7">
        <f>IF(Mitarbeiter!B181="","",Mitarbeiter!G181)</f>
        <v/>
      </c>
      <c r="D181" s="57">
        <f>IF(Mitarbeiter!B181="","",Mitarbeiter!H181)</f>
        <v/>
      </c>
      <c r="E181" s="57">
        <f>IF(Mitarbeiter!B181="","",'Ist-Stunden'!C181)</f>
        <v/>
      </c>
      <c r="F181" s="57">
        <f>IF(B181="","",Berechnung!AE181)</f>
        <v/>
      </c>
      <c r="G181" s="61">
        <f>IF(B181="","",Berechnung!P181)</f>
        <v/>
      </c>
      <c r="H181" s="61">
        <f>IF(B181="","",Berechnung!AC181)</f>
        <v/>
      </c>
      <c r="I181" s="61">
        <f>IF(B181="","",Berechnung!AD181)</f>
        <v/>
      </c>
      <c r="J181" s="36">
        <f>IF(B181="","",SUMPRODUCT(((Berechnung!D181:O181+Berechnung!Q181:AB181)&gt;0)*1))</f>
        <v/>
      </c>
      <c r="K181" s="62">
        <f>IF(B181="","",IF(N(D181)&gt;0,F181/D181,""))</f>
        <v/>
      </c>
      <c r="L181" s="40">
        <f>IF(B181="","",IF(N(E181)&gt;0,IF(Einstellungen!$C$10="Ja",F181/E181,F181/(E181+F181)),""))</f>
        <v/>
      </c>
      <c r="M181" s="63">
        <f>IF(L181="","",RANK(L181,$L$6:$L$305,0))</f>
        <v/>
      </c>
      <c r="N181" s="56">
        <f>IF(B181="","",IF(L181="","keine Ist-Std.",IF(L181&lt;=Einstellungen!$C$7,"unauffällig",IF(L181&lt;=Einstellungen!$C$8,"auffällig","kritisch"))))</f>
        <v/>
      </c>
      <c r="O181" s="64">
        <f>IF(L181="",-1,L181+ROW()/1000000000)</f>
        <v/>
      </c>
      <c r="P181" s="61">
        <f>IF(B181="","",Berechnung!AF181)</f>
        <v/>
      </c>
      <c r="Q181" s="57">
        <f>IF(B181="","",Berechnung!AG181)</f>
        <v/>
      </c>
      <c r="R181" s="57">
        <f>IF(B181="","",'Ist-Stunden'!D181)</f>
        <v/>
      </c>
      <c r="S181" s="59">
        <f>IF(B181="","",IF(N(R181)&gt;0,IF(Einstellungen!$C$10="Ja",Q181/R181,Q181/(R181+Q181)),""))</f>
        <v/>
      </c>
      <c r="T181" s="56">
        <f>IF(B181="","",IF(S181="","keine Ist-Std.",IF(S181&lt;=Einstellungen!$C$7,"unauffällig",IF(S181&lt;=Einstellungen!$C$8,"auffällig","kritisch"))))</f>
        <v/>
      </c>
    </row>
    <row r="182">
      <c r="A182" s="47">
        <f>IF(Mitarbeiter!B182="","",Mitarbeiter!A182)</f>
        <v/>
      </c>
      <c r="B182" s="48">
        <f>IF(Mitarbeiter!B182="","",Mitarbeiter!B182)</f>
        <v/>
      </c>
      <c r="C182" s="7">
        <f>IF(Mitarbeiter!B182="","",Mitarbeiter!G182)</f>
        <v/>
      </c>
      <c r="D182" s="57">
        <f>IF(Mitarbeiter!B182="","",Mitarbeiter!H182)</f>
        <v/>
      </c>
      <c r="E182" s="57">
        <f>IF(Mitarbeiter!B182="","",'Ist-Stunden'!C182)</f>
        <v/>
      </c>
      <c r="F182" s="57">
        <f>IF(B182="","",Berechnung!AE182)</f>
        <v/>
      </c>
      <c r="G182" s="61">
        <f>IF(B182="","",Berechnung!P182)</f>
        <v/>
      </c>
      <c r="H182" s="61">
        <f>IF(B182="","",Berechnung!AC182)</f>
        <v/>
      </c>
      <c r="I182" s="61">
        <f>IF(B182="","",Berechnung!AD182)</f>
        <v/>
      </c>
      <c r="J182" s="36">
        <f>IF(B182="","",SUMPRODUCT(((Berechnung!D182:O182+Berechnung!Q182:AB182)&gt;0)*1))</f>
        <v/>
      </c>
      <c r="K182" s="62">
        <f>IF(B182="","",IF(N(D182)&gt;0,F182/D182,""))</f>
        <v/>
      </c>
      <c r="L182" s="40">
        <f>IF(B182="","",IF(N(E182)&gt;0,IF(Einstellungen!$C$10="Ja",F182/E182,F182/(E182+F182)),""))</f>
        <v/>
      </c>
      <c r="M182" s="63">
        <f>IF(L182="","",RANK(L182,$L$6:$L$305,0))</f>
        <v/>
      </c>
      <c r="N182" s="56">
        <f>IF(B182="","",IF(L182="","keine Ist-Std.",IF(L182&lt;=Einstellungen!$C$7,"unauffällig",IF(L182&lt;=Einstellungen!$C$8,"auffällig","kritisch"))))</f>
        <v/>
      </c>
      <c r="O182" s="64">
        <f>IF(L182="",-1,L182+ROW()/1000000000)</f>
        <v/>
      </c>
      <c r="P182" s="61">
        <f>IF(B182="","",Berechnung!AF182)</f>
        <v/>
      </c>
      <c r="Q182" s="57">
        <f>IF(B182="","",Berechnung!AG182)</f>
        <v/>
      </c>
      <c r="R182" s="57">
        <f>IF(B182="","",'Ist-Stunden'!D182)</f>
        <v/>
      </c>
      <c r="S182" s="59">
        <f>IF(B182="","",IF(N(R182)&gt;0,IF(Einstellungen!$C$10="Ja",Q182/R182,Q182/(R182+Q182)),""))</f>
        <v/>
      </c>
      <c r="T182" s="56">
        <f>IF(B182="","",IF(S182="","keine Ist-Std.",IF(S182&lt;=Einstellungen!$C$7,"unauffällig",IF(S182&lt;=Einstellungen!$C$8,"auffällig","kritisch"))))</f>
        <v/>
      </c>
    </row>
    <row r="183">
      <c r="A183" s="47">
        <f>IF(Mitarbeiter!B183="","",Mitarbeiter!A183)</f>
        <v/>
      </c>
      <c r="B183" s="48">
        <f>IF(Mitarbeiter!B183="","",Mitarbeiter!B183)</f>
        <v/>
      </c>
      <c r="C183" s="7">
        <f>IF(Mitarbeiter!B183="","",Mitarbeiter!G183)</f>
        <v/>
      </c>
      <c r="D183" s="57">
        <f>IF(Mitarbeiter!B183="","",Mitarbeiter!H183)</f>
        <v/>
      </c>
      <c r="E183" s="57">
        <f>IF(Mitarbeiter!B183="","",'Ist-Stunden'!C183)</f>
        <v/>
      </c>
      <c r="F183" s="57">
        <f>IF(B183="","",Berechnung!AE183)</f>
        <v/>
      </c>
      <c r="G183" s="61">
        <f>IF(B183="","",Berechnung!P183)</f>
        <v/>
      </c>
      <c r="H183" s="61">
        <f>IF(B183="","",Berechnung!AC183)</f>
        <v/>
      </c>
      <c r="I183" s="61">
        <f>IF(B183="","",Berechnung!AD183)</f>
        <v/>
      </c>
      <c r="J183" s="36">
        <f>IF(B183="","",SUMPRODUCT(((Berechnung!D183:O183+Berechnung!Q183:AB183)&gt;0)*1))</f>
        <v/>
      </c>
      <c r="K183" s="62">
        <f>IF(B183="","",IF(N(D183)&gt;0,F183/D183,""))</f>
        <v/>
      </c>
      <c r="L183" s="40">
        <f>IF(B183="","",IF(N(E183)&gt;0,IF(Einstellungen!$C$10="Ja",F183/E183,F183/(E183+F183)),""))</f>
        <v/>
      </c>
      <c r="M183" s="63">
        <f>IF(L183="","",RANK(L183,$L$6:$L$305,0))</f>
        <v/>
      </c>
      <c r="N183" s="56">
        <f>IF(B183="","",IF(L183="","keine Ist-Std.",IF(L183&lt;=Einstellungen!$C$7,"unauffällig",IF(L183&lt;=Einstellungen!$C$8,"auffällig","kritisch"))))</f>
        <v/>
      </c>
      <c r="O183" s="64">
        <f>IF(L183="",-1,L183+ROW()/1000000000)</f>
        <v/>
      </c>
      <c r="P183" s="61">
        <f>IF(B183="","",Berechnung!AF183)</f>
        <v/>
      </c>
      <c r="Q183" s="57">
        <f>IF(B183="","",Berechnung!AG183)</f>
        <v/>
      </c>
      <c r="R183" s="57">
        <f>IF(B183="","",'Ist-Stunden'!D183)</f>
        <v/>
      </c>
      <c r="S183" s="59">
        <f>IF(B183="","",IF(N(R183)&gt;0,IF(Einstellungen!$C$10="Ja",Q183/R183,Q183/(R183+Q183)),""))</f>
        <v/>
      </c>
      <c r="T183" s="56">
        <f>IF(B183="","",IF(S183="","keine Ist-Std.",IF(S183&lt;=Einstellungen!$C$7,"unauffällig",IF(S183&lt;=Einstellungen!$C$8,"auffällig","kritisch"))))</f>
        <v/>
      </c>
    </row>
    <row r="184">
      <c r="A184" s="47">
        <f>IF(Mitarbeiter!B184="","",Mitarbeiter!A184)</f>
        <v/>
      </c>
      <c r="B184" s="48">
        <f>IF(Mitarbeiter!B184="","",Mitarbeiter!B184)</f>
        <v/>
      </c>
      <c r="C184" s="7">
        <f>IF(Mitarbeiter!B184="","",Mitarbeiter!G184)</f>
        <v/>
      </c>
      <c r="D184" s="57">
        <f>IF(Mitarbeiter!B184="","",Mitarbeiter!H184)</f>
        <v/>
      </c>
      <c r="E184" s="57">
        <f>IF(Mitarbeiter!B184="","",'Ist-Stunden'!C184)</f>
        <v/>
      </c>
      <c r="F184" s="57">
        <f>IF(B184="","",Berechnung!AE184)</f>
        <v/>
      </c>
      <c r="G184" s="61">
        <f>IF(B184="","",Berechnung!P184)</f>
        <v/>
      </c>
      <c r="H184" s="61">
        <f>IF(B184="","",Berechnung!AC184)</f>
        <v/>
      </c>
      <c r="I184" s="61">
        <f>IF(B184="","",Berechnung!AD184)</f>
        <v/>
      </c>
      <c r="J184" s="36">
        <f>IF(B184="","",SUMPRODUCT(((Berechnung!D184:O184+Berechnung!Q184:AB184)&gt;0)*1))</f>
        <v/>
      </c>
      <c r="K184" s="62">
        <f>IF(B184="","",IF(N(D184)&gt;0,F184/D184,""))</f>
        <v/>
      </c>
      <c r="L184" s="40">
        <f>IF(B184="","",IF(N(E184)&gt;0,IF(Einstellungen!$C$10="Ja",F184/E184,F184/(E184+F184)),""))</f>
        <v/>
      </c>
      <c r="M184" s="63">
        <f>IF(L184="","",RANK(L184,$L$6:$L$305,0))</f>
        <v/>
      </c>
      <c r="N184" s="56">
        <f>IF(B184="","",IF(L184="","keine Ist-Std.",IF(L184&lt;=Einstellungen!$C$7,"unauffällig",IF(L184&lt;=Einstellungen!$C$8,"auffällig","kritisch"))))</f>
        <v/>
      </c>
      <c r="O184" s="64">
        <f>IF(L184="",-1,L184+ROW()/1000000000)</f>
        <v/>
      </c>
      <c r="P184" s="61">
        <f>IF(B184="","",Berechnung!AF184)</f>
        <v/>
      </c>
      <c r="Q184" s="57">
        <f>IF(B184="","",Berechnung!AG184)</f>
        <v/>
      </c>
      <c r="R184" s="57">
        <f>IF(B184="","",'Ist-Stunden'!D184)</f>
        <v/>
      </c>
      <c r="S184" s="59">
        <f>IF(B184="","",IF(N(R184)&gt;0,IF(Einstellungen!$C$10="Ja",Q184/R184,Q184/(R184+Q184)),""))</f>
        <v/>
      </c>
      <c r="T184" s="56">
        <f>IF(B184="","",IF(S184="","keine Ist-Std.",IF(S184&lt;=Einstellungen!$C$7,"unauffällig",IF(S184&lt;=Einstellungen!$C$8,"auffällig","kritisch"))))</f>
        <v/>
      </c>
    </row>
    <row r="185">
      <c r="A185" s="47">
        <f>IF(Mitarbeiter!B185="","",Mitarbeiter!A185)</f>
        <v/>
      </c>
      <c r="B185" s="48">
        <f>IF(Mitarbeiter!B185="","",Mitarbeiter!B185)</f>
        <v/>
      </c>
      <c r="C185" s="7">
        <f>IF(Mitarbeiter!B185="","",Mitarbeiter!G185)</f>
        <v/>
      </c>
      <c r="D185" s="57">
        <f>IF(Mitarbeiter!B185="","",Mitarbeiter!H185)</f>
        <v/>
      </c>
      <c r="E185" s="57">
        <f>IF(Mitarbeiter!B185="","",'Ist-Stunden'!C185)</f>
        <v/>
      </c>
      <c r="F185" s="57">
        <f>IF(B185="","",Berechnung!AE185)</f>
        <v/>
      </c>
      <c r="G185" s="61">
        <f>IF(B185="","",Berechnung!P185)</f>
        <v/>
      </c>
      <c r="H185" s="61">
        <f>IF(B185="","",Berechnung!AC185)</f>
        <v/>
      </c>
      <c r="I185" s="61">
        <f>IF(B185="","",Berechnung!AD185)</f>
        <v/>
      </c>
      <c r="J185" s="36">
        <f>IF(B185="","",SUMPRODUCT(((Berechnung!D185:O185+Berechnung!Q185:AB185)&gt;0)*1))</f>
        <v/>
      </c>
      <c r="K185" s="62">
        <f>IF(B185="","",IF(N(D185)&gt;0,F185/D185,""))</f>
        <v/>
      </c>
      <c r="L185" s="40">
        <f>IF(B185="","",IF(N(E185)&gt;0,IF(Einstellungen!$C$10="Ja",F185/E185,F185/(E185+F185)),""))</f>
        <v/>
      </c>
      <c r="M185" s="63">
        <f>IF(L185="","",RANK(L185,$L$6:$L$305,0))</f>
        <v/>
      </c>
      <c r="N185" s="56">
        <f>IF(B185="","",IF(L185="","keine Ist-Std.",IF(L185&lt;=Einstellungen!$C$7,"unauffällig",IF(L185&lt;=Einstellungen!$C$8,"auffällig","kritisch"))))</f>
        <v/>
      </c>
      <c r="O185" s="64">
        <f>IF(L185="",-1,L185+ROW()/1000000000)</f>
        <v/>
      </c>
      <c r="P185" s="61">
        <f>IF(B185="","",Berechnung!AF185)</f>
        <v/>
      </c>
      <c r="Q185" s="57">
        <f>IF(B185="","",Berechnung!AG185)</f>
        <v/>
      </c>
      <c r="R185" s="57">
        <f>IF(B185="","",'Ist-Stunden'!D185)</f>
        <v/>
      </c>
      <c r="S185" s="59">
        <f>IF(B185="","",IF(N(R185)&gt;0,IF(Einstellungen!$C$10="Ja",Q185/R185,Q185/(R185+Q185)),""))</f>
        <v/>
      </c>
      <c r="T185" s="56">
        <f>IF(B185="","",IF(S185="","keine Ist-Std.",IF(S185&lt;=Einstellungen!$C$7,"unauffällig",IF(S185&lt;=Einstellungen!$C$8,"auffällig","kritisch"))))</f>
        <v/>
      </c>
    </row>
    <row r="186">
      <c r="A186" s="47">
        <f>IF(Mitarbeiter!B186="","",Mitarbeiter!A186)</f>
        <v/>
      </c>
      <c r="B186" s="48">
        <f>IF(Mitarbeiter!B186="","",Mitarbeiter!B186)</f>
        <v/>
      </c>
      <c r="C186" s="7">
        <f>IF(Mitarbeiter!B186="","",Mitarbeiter!G186)</f>
        <v/>
      </c>
      <c r="D186" s="57">
        <f>IF(Mitarbeiter!B186="","",Mitarbeiter!H186)</f>
        <v/>
      </c>
      <c r="E186" s="57">
        <f>IF(Mitarbeiter!B186="","",'Ist-Stunden'!C186)</f>
        <v/>
      </c>
      <c r="F186" s="57">
        <f>IF(B186="","",Berechnung!AE186)</f>
        <v/>
      </c>
      <c r="G186" s="61">
        <f>IF(B186="","",Berechnung!P186)</f>
        <v/>
      </c>
      <c r="H186" s="61">
        <f>IF(B186="","",Berechnung!AC186)</f>
        <v/>
      </c>
      <c r="I186" s="61">
        <f>IF(B186="","",Berechnung!AD186)</f>
        <v/>
      </c>
      <c r="J186" s="36">
        <f>IF(B186="","",SUMPRODUCT(((Berechnung!D186:O186+Berechnung!Q186:AB186)&gt;0)*1))</f>
        <v/>
      </c>
      <c r="K186" s="62">
        <f>IF(B186="","",IF(N(D186)&gt;0,F186/D186,""))</f>
        <v/>
      </c>
      <c r="L186" s="40">
        <f>IF(B186="","",IF(N(E186)&gt;0,IF(Einstellungen!$C$10="Ja",F186/E186,F186/(E186+F186)),""))</f>
        <v/>
      </c>
      <c r="M186" s="63">
        <f>IF(L186="","",RANK(L186,$L$6:$L$305,0))</f>
        <v/>
      </c>
      <c r="N186" s="56">
        <f>IF(B186="","",IF(L186="","keine Ist-Std.",IF(L186&lt;=Einstellungen!$C$7,"unauffällig",IF(L186&lt;=Einstellungen!$C$8,"auffällig","kritisch"))))</f>
        <v/>
      </c>
      <c r="O186" s="64">
        <f>IF(L186="",-1,L186+ROW()/1000000000)</f>
        <v/>
      </c>
      <c r="P186" s="61">
        <f>IF(B186="","",Berechnung!AF186)</f>
        <v/>
      </c>
      <c r="Q186" s="57">
        <f>IF(B186="","",Berechnung!AG186)</f>
        <v/>
      </c>
      <c r="R186" s="57">
        <f>IF(B186="","",'Ist-Stunden'!D186)</f>
        <v/>
      </c>
      <c r="S186" s="59">
        <f>IF(B186="","",IF(N(R186)&gt;0,IF(Einstellungen!$C$10="Ja",Q186/R186,Q186/(R186+Q186)),""))</f>
        <v/>
      </c>
      <c r="T186" s="56">
        <f>IF(B186="","",IF(S186="","keine Ist-Std.",IF(S186&lt;=Einstellungen!$C$7,"unauffällig",IF(S186&lt;=Einstellungen!$C$8,"auffällig","kritisch"))))</f>
        <v/>
      </c>
    </row>
    <row r="187">
      <c r="A187" s="47">
        <f>IF(Mitarbeiter!B187="","",Mitarbeiter!A187)</f>
        <v/>
      </c>
      <c r="B187" s="48">
        <f>IF(Mitarbeiter!B187="","",Mitarbeiter!B187)</f>
        <v/>
      </c>
      <c r="C187" s="7">
        <f>IF(Mitarbeiter!B187="","",Mitarbeiter!G187)</f>
        <v/>
      </c>
      <c r="D187" s="57">
        <f>IF(Mitarbeiter!B187="","",Mitarbeiter!H187)</f>
        <v/>
      </c>
      <c r="E187" s="57">
        <f>IF(Mitarbeiter!B187="","",'Ist-Stunden'!C187)</f>
        <v/>
      </c>
      <c r="F187" s="57">
        <f>IF(B187="","",Berechnung!AE187)</f>
        <v/>
      </c>
      <c r="G187" s="61">
        <f>IF(B187="","",Berechnung!P187)</f>
        <v/>
      </c>
      <c r="H187" s="61">
        <f>IF(B187="","",Berechnung!AC187)</f>
        <v/>
      </c>
      <c r="I187" s="61">
        <f>IF(B187="","",Berechnung!AD187)</f>
        <v/>
      </c>
      <c r="J187" s="36">
        <f>IF(B187="","",SUMPRODUCT(((Berechnung!D187:O187+Berechnung!Q187:AB187)&gt;0)*1))</f>
        <v/>
      </c>
      <c r="K187" s="62">
        <f>IF(B187="","",IF(N(D187)&gt;0,F187/D187,""))</f>
        <v/>
      </c>
      <c r="L187" s="40">
        <f>IF(B187="","",IF(N(E187)&gt;0,IF(Einstellungen!$C$10="Ja",F187/E187,F187/(E187+F187)),""))</f>
        <v/>
      </c>
      <c r="M187" s="63">
        <f>IF(L187="","",RANK(L187,$L$6:$L$305,0))</f>
        <v/>
      </c>
      <c r="N187" s="56">
        <f>IF(B187="","",IF(L187="","keine Ist-Std.",IF(L187&lt;=Einstellungen!$C$7,"unauffällig",IF(L187&lt;=Einstellungen!$C$8,"auffällig","kritisch"))))</f>
        <v/>
      </c>
      <c r="O187" s="64">
        <f>IF(L187="",-1,L187+ROW()/1000000000)</f>
        <v/>
      </c>
      <c r="P187" s="61">
        <f>IF(B187="","",Berechnung!AF187)</f>
        <v/>
      </c>
      <c r="Q187" s="57">
        <f>IF(B187="","",Berechnung!AG187)</f>
        <v/>
      </c>
      <c r="R187" s="57">
        <f>IF(B187="","",'Ist-Stunden'!D187)</f>
        <v/>
      </c>
      <c r="S187" s="59">
        <f>IF(B187="","",IF(N(R187)&gt;0,IF(Einstellungen!$C$10="Ja",Q187/R187,Q187/(R187+Q187)),""))</f>
        <v/>
      </c>
      <c r="T187" s="56">
        <f>IF(B187="","",IF(S187="","keine Ist-Std.",IF(S187&lt;=Einstellungen!$C$7,"unauffällig",IF(S187&lt;=Einstellungen!$C$8,"auffällig","kritisch"))))</f>
        <v/>
      </c>
    </row>
    <row r="188">
      <c r="A188" s="47">
        <f>IF(Mitarbeiter!B188="","",Mitarbeiter!A188)</f>
        <v/>
      </c>
      <c r="B188" s="48">
        <f>IF(Mitarbeiter!B188="","",Mitarbeiter!B188)</f>
        <v/>
      </c>
      <c r="C188" s="7">
        <f>IF(Mitarbeiter!B188="","",Mitarbeiter!G188)</f>
        <v/>
      </c>
      <c r="D188" s="57">
        <f>IF(Mitarbeiter!B188="","",Mitarbeiter!H188)</f>
        <v/>
      </c>
      <c r="E188" s="57">
        <f>IF(Mitarbeiter!B188="","",'Ist-Stunden'!C188)</f>
        <v/>
      </c>
      <c r="F188" s="57">
        <f>IF(B188="","",Berechnung!AE188)</f>
        <v/>
      </c>
      <c r="G188" s="61">
        <f>IF(B188="","",Berechnung!P188)</f>
        <v/>
      </c>
      <c r="H188" s="61">
        <f>IF(B188="","",Berechnung!AC188)</f>
        <v/>
      </c>
      <c r="I188" s="61">
        <f>IF(B188="","",Berechnung!AD188)</f>
        <v/>
      </c>
      <c r="J188" s="36">
        <f>IF(B188="","",SUMPRODUCT(((Berechnung!D188:O188+Berechnung!Q188:AB188)&gt;0)*1))</f>
        <v/>
      </c>
      <c r="K188" s="62">
        <f>IF(B188="","",IF(N(D188)&gt;0,F188/D188,""))</f>
        <v/>
      </c>
      <c r="L188" s="40">
        <f>IF(B188="","",IF(N(E188)&gt;0,IF(Einstellungen!$C$10="Ja",F188/E188,F188/(E188+F188)),""))</f>
        <v/>
      </c>
      <c r="M188" s="63">
        <f>IF(L188="","",RANK(L188,$L$6:$L$305,0))</f>
        <v/>
      </c>
      <c r="N188" s="56">
        <f>IF(B188="","",IF(L188="","keine Ist-Std.",IF(L188&lt;=Einstellungen!$C$7,"unauffällig",IF(L188&lt;=Einstellungen!$C$8,"auffällig","kritisch"))))</f>
        <v/>
      </c>
      <c r="O188" s="64">
        <f>IF(L188="",-1,L188+ROW()/1000000000)</f>
        <v/>
      </c>
      <c r="P188" s="61">
        <f>IF(B188="","",Berechnung!AF188)</f>
        <v/>
      </c>
      <c r="Q188" s="57">
        <f>IF(B188="","",Berechnung!AG188)</f>
        <v/>
      </c>
      <c r="R188" s="57">
        <f>IF(B188="","",'Ist-Stunden'!D188)</f>
        <v/>
      </c>
      <c r="S188" s="59">
        <f>IF(B188="","",IF(N(R188)&gt;0,IF(Einstellungen!$C$10="Ja",Q188/R188,Q188/(R188+Q188)),""))</f>
        <v/>
      </c>
      <c r="T188" s="56">
        <f>IF(B188="","",IF(S188="","keine Ist-Std.",IF(S188&lt;=Einstellungen!$C$7,"unauffällig",IF(S188&lt;=Einstellungen!$C$8,"auffällig","kritisch"))))</f>
        <v/>
      </c>
    </row>
    <row r="189">
      <c r="A189" s="47">
        <f>IF(Mitarbeiter!B189="","",Mitarbeiter!A189)</f>
        <v/>
      </c>
      <c r="B189" s="48">
        <f>IF(Mitarbeiter!B189="","",Mitarbeiter!B189)</f>
        <v/>
      </c>
      <c r="C189" s="7">
        <f>IF(Mitarbeiter!B189="","",Mitarbeiter!G189)</f>
        <v/>
      </c>
      <c r="D189" s="57">
        <f>IF(Mitarbeiter!B189="","",Mitarbeiter!H189)</f>
        <v/>
      </c>
      <c r="E189" s="57">
        <f>IF(Mitarbeiter!B189="","",'Ist-Stunden'!C189)</f>
        <v/>
      </c>
      <c r="F189" s="57">
        <f>IF(B189="","",Berechnung!AE189)</f>
        <v/>
      </c>
      <c r="G189" s="61">
        <f>IF(B189="","",Berechnung!P189)</f>
        <v/>
      </c>
      <c r="H189" s="61">
        <f>IF(B189="","",Berechnung!AC189)</f>
        <v/>
      </c>
      <c r="I189" s="61">
        <f>IF(B189="","",Berechnung!AD189)</f>
        <v/>
      </c>
      <c r="J189" s="36">
        <f>IF(B189="","",SUMPRODUCT(((Berechnung!D189:O189+Berechnung!Q189:AB189)&gt;0)*1))</f>
        <v/>
      </c>
      <c r="K189" s="62">
        <f>IF(B189="","",IF(N(D189)&gt;0,F189/D189,""))</f>
        <v/>
      </c>
      <c r="L189" s="40">
        <f>IF(B189="","",IF(N(E189)&gt;0,IF(Einstellungen!$C$10="Ja",F189/E189,F189/(E189+F189)),""))</f>
        <v/>
      </c>
      <c r="M189" s="63">
        <f>IF(L189="","",RANK(L189,$L$6:$L$305,0))</f>
        <v/>
      </c>
      <c r="N189" s="56">
        <f>IF(B189="","",IF(L189="","keine Ist-Std.",IF(L189&lt;=Einstellungen!$C$7,"unauffällig",IF(L189&lt;=Einstellungen!$C$8,"auffällig","kritisch"))))</f>
        <v/>
      </c>
      <c r="O189" s="64">
        <f>IF(L189="",-1,L189+ROW()/1000000000)</f>
        <v/>
      </c>
      <c r="P189" s="61">
        <f>IF(B189="","",Berechnung!AF189)</f>
        <v/>
      </c>
      <c r="Q189" s="57">
        <f>IF(B189="","",Berechnung!AG189)</f>
        <v/>
      </c>
      <c r="R189" s="57">
        <f>IF(B189="","",'Ist-Stunden'!D189)</f>
        <v/>
      </c>
      <c r="S189" s="59">
        <f>IF(B189="","",IF(N(R189)&gt;0,IF(Einstellungen!$C$10="Ja",Q189/R189,Q189/(R189+Q189)),""))</f>
        <v/>
      </c>
      <c r="T189" s="56">
        <f>IF(B189="","",IF(S189="","keine Ist-Std.",IF(S189&lt;=Einstellungen!$C$7,"unauffällig",IF(S189&lt;=Einstellungen!$C$8,"auffällig","kritisch"))))</f>
        <v/>
      </c>
    </row>
    <row r="190">
      <c r="A190" s="47">
        <f>IF(Mitarbeiter!B190="","",Mitarbeiter!A190)</f>
        <v/>
      </c>
      <c r="B190" s="48">
        <f>IF(Mitarbeiter!B190="","",Mitarbeiter!B190)</f>
        <v/>
      </c>
      <c r="C190" s="7">
        <f>IF(Mitarbeiter!B190="","",Mitarbeiter!G190)</f>
        <v/>
      </c>
      <c r="D190" s="57">
        <f>IF(Mitarbeiter!B190="","",Mitarbeiter!H190)</f>
        <v/>
      </c>
      <c r="E190" s="57">
        <f>IF(Mitarbeiter!B190="","",'Ist-Stunden'!C190)</f>
        <v/>
      </c>
      <c r="F190" s="57">
        <f>IF(B190="","",Berechnung!AE190)</f>
        <v/>
      </c>
      <c r="G190" s="61">
        <f>IF(B190="","",Berechnung!P190)</f>
        <v/>
      </c>
      <c r="H190" s="61">
        <f>IF(B190="","",Berechnung!AC190)</f>
        <v/>
      </c>
      <c r="I190" s="61">
        <f>IF(B190="","",Berechnung!AD190)</f>
        <v/>
      </c>
      <c r="J190" s="36">
        <f>IF(B190="","",SUMPRODUCT(((Berechnung!D190:O190+Berechnung!Q190:AB190)&gt;0)*1))</f>
        <v/>
      </c>
      <c r="K190" s="62">
        <f>IF(B190="","",IF(N(D190)&gt;0,F190/D190,""))</f>
        <v/>
      </c>
      <c r="L190" s="40">
        <f>IF(B190="","",IF(N(E190)&gt;0,IF(Einstellungen!$C$10="Ja",F190/E190,F190/(E190+F190)),""))</f>
        <v/>
      </c>
      <c r="M190" s="63">
        <f>IF(L190="","",RANK(L190,$L$6:$L$305,0))</f>
        <v/>
      </c>
      <c r="N190" s="56">
        <f>IF(B190="","",IF(L190="","keine Ist-Std.",IF(L190&lt;=Einstellungen!$C$7,"unauffällig",IF(L190&lt;=Einstellungen!$C$8,"auffällig","kritisch"))))</f>
        <v/>
      </c>
      <c r="O190" s="64">
        <f>IF(L190="",-1,L190+ROW()/1000000000)</f>
        <v/>
      </c>
      <c r="P190" s="61">
        <f>IF(B190="","",Berechnung!AF190)</f>
        <v/>
      </c>
      <c r="Q190" s="57">
        <f>IF(B190="","",Berechnung!AG190)</f>
        <v/>
      </c>
      <c r="R190" s="57">
        <f>IF(B190="","",'Ist-Stunden'!D190)</f>
        <v/>
      </c>
      <c r="S190" s="59">
        <f>IF(B190="","",IF(N(R190)&gt;0,IF(Einstellungen!$C$10="Ja",Q190/R190,Q190/(R190+Q190)),""))</f>
        <v/>
      </c>
      <c r="T190" s="56">
        <f>IF(B190="","",IF(S190="","keine Ist-Std.",IF(S190&lt;=Einstellungen!$C$7,"unauffällig",IF(S190&lt;=Einstellungen!$C$8,"auffällig","kritisch"))))</f>
        <v/>
      </c>
    </row>
    <row r="191">
      <c r="A191" s="47">
        <f>IF(Mitarbeiter!B191="","",Mitarbeiter!A191)</f>
        <v/>
      </c>
      <c r="B191" s="48">
        <f>IF(Mitarbeiter!B191="","",Mitarbeiter!B191)</f>
        <v/>
      </c>
      <c r="C191" s="7">
        <f>IF(Mitarbeiter!B191="","",Mitarbeiter!G191)</f>
        <v/>
      </c>
      <c r="D191" s="57">
        <f>IF(Mitarbeiter!B191="","",Mitarbeiter!H191)</f>
        <v/>
      </c>
      <c r="E191" s="57">
        <f>IF(Mitarbeiter!B191="","",'Ist-Stunden'!C191)</f>
        <v/>
      </c>
      <c r="F191" s="57">
        <f>IF(B191="","",Berechnung!AE191)</f>
        <v/>
      </c>
      <c r="G191" s="61">
        <f>IF(B191="","",Berechnung!P191)</f>
        <v/>
      </c>
      <c r="H191" s="61">
        <f>IF(B191="","",Berechnung!AC191)</f>
        <v/>
      </c>
      <c r="I191" s="61">
        <f>IF(B191="","",Berechnung!AD191)</f>
        <v/>
      </c>
      <c r="J191" s="36">
        <f>IF(B191="","",SUMPRODUCT(((Berechnung!D191:O191+Berechnung!Q191:AB191)&gt;0)*1))</f>
        <v/>
      </c>
      <c r="K191" s="62">
        <f>IF(B191="","",IF(N(D191)&gt;0,F191/D191,""))</f>
        <v/>
      </c>
      <c r="L191" s="40">
        <f>IF(B191="","",IF(N(E191)&gt;0,IF(Einstellungen!$C$10="Ja",F191/E191,F191/(E191+F191)),""))</f>
        <v/>
      </c>
      <c r="M191" s="63">
        <f>IF(L191="","",RANK(L191,$L$6:$L$305,0))</f>
        <v/>
      </c>
      <c r="N191" s="56">
        <f>IF(B191="","",IF(L191="","keine Ist-Std.",IF(L191&lt;=Einstellungen!$C$7,"unauffällig",IF(L191&lt;=Einstellungen!$C$8,"auffällig","kritisch"))))</f>
        <v/>
      </c>
      <c r="O191" s="64">
        <f>IF(L191="",-1,L191+ROW()/1000000000)</f>
        <v/>
      </c>
      <c r="P191" s="61">
        <f>IF(B191="","",Berechnung!AF191)</f>
        <v/>
      </c>
      <c r="Q191" s="57">
        <f>IF(B191="","",Berechnung!AG191)</f>
        <v/>
      </c>
      <c r="R191" s="57">
        <f>IF(B191="","",'Ist-Stunden'!D191)</f>
        <v/>
      </c>
      <c r="S191" s="59">
        <f>IF(B191="","",IF(N(R191)&gt;0,IF(Einstellungen!$C$10="Ja",Q191/R191,Q191/(R191+Q191)),""))</f>
        <v/>
      </c>
      <c r="T191" s="56">
        <f>IF(B191="","",IF(S191="","keine Ist-Std.",IF(S191&lt;=Einstellungen!$C$7,"unauffällig",IF(S191&lt;=Einstellungen!$C$8,"auffällig","kritisch"))))</f>
        <v/>
      </c>
    </row>
    <row r="192">
      <c r="A192" s="47">
        <f>IF(Mitarbeiter!B192="","",Mitarbeiter!A192)</f>
        <v/>
      </c>
      <c r="B192" s="48">
        <f>IF(Mitarbeiter!B192="","",Mitarbeiter!B192)</f>
        <v/>
      </c>
      <c r="C192" s="7">
        <f>IF(Mitarbeiter!B192="","",Mitarbeiter!G192)</f>
        <v/>
      </c>
      <c r="D192" s="57">
        <f>IF(Mitarbeiter!B192="","",Mitarbeiter!H192)</f>
        <v/>
      </c>
      <c r="E192" s="57">
        <f>IF(Mitarbeiter!B192="","",'Ist-Stunden'!C192)</f>
        <v/>
      </c>
      <c r="F192" s="57">
        <f>IF(B192="","",Berechnung!AE192)</f>
        <v/>
      </c>
      <c r="G192" s="61">
        <f>IF(B192="","",Berechnung!P192)</f>
        <v/>
      </c>
      <c r="H192" s="61">
        <f>IF(B192="","",Berechnung!AC192)</f>
        <v/>
      </c>
      <c r="I192" s="61">
        <f>IF(B192="","",Berechnung!AD192)</f>
        <v/>
      </c>
      <c r="J192" s="36">
        <f>IF(B192="","",SUMPRODUCT(((Berechnung!D192:O192+Berechnung!Q192:AB192)&gt;0)*1))</f>
        <v/>
      </c>
      <c r="K192" s="62">
        <f>IF(B192="","",IF(N(D192)&gt;0,F192/D192,""))</f>
        <v/>
      </c>
      <c r="L192" s="40">
        <f>IF(B192="","",IF(N(E192)&gt;0,IF(Einstellungen!$C$10="Ja",F192/E192,F192/(E192+F192)),""))</f>
        <v/>
      </c>
      <c r="M192" s="63">
        <f>IF(L192="","",RANK(L192,$L$6:$L$305,0))</f>
        <v/>
      </c>
      <c r="N192" s="56">
        <f>IF(B192="","",IF(L192="","keine Ist-Std.",IF(L192&lt;=Einstellungen!$C$7,"unauffällig",IF(L192&lt;=Einstellungen!$C$8,"auffällig","kritisch"))))</f>
        <v/>
      </c>
      <c r="O192" s="64">
        <f>IF(L192="",-1,L192+ROW()/1000000000)</f>
        <v/>
      </c>
      <c r="P192" s="61">
        <f>IF(B192="","",Berechnung!AF192)</f>
        <v/>
      </c>
      <c r="Q192" s="57">
        <f>IF(B192="","",Berechnung!AG192)</f>
        <v/>
      </c>
      <c r="R192" s="57">
        <f>IF(B192="","",'Ist-Stunden'!D192)</f>
        <v/>
      </c>
      <c r="S192" s="59">
        <f>IF(B192="","",IF(N(R192)&gt;0,IF(Einstellungen!$C$10="Ja",Q192/R192,Q192/(R192+Q192)),""))</f>
        <v/>
      </c>
      <c r="T192" s="56">
        <f>IF(B192="","",IF(S192="","keine Ist-Std.",IF(S192&lt;=Einstellungen!$C$7,"unauffällig",IF(S192&lt;=Einstellungen!$C$8,"auffällig","kritisch"))))</f>
        <v/>
      </c>
    </row>
    <row r="193">
      <c r="A193" s="47">
        <f>IF(Mitarbeiter!B193="","",Mitarbeiter!A193)</f>
        <v/>
      </c>
      <c r="B193" s="48">
        <f>IF(Mitarbeiter!B193="","",Mitarbeiter!B193)</f>
        <v/>
      </c>
      <c r="C193" s="7">
        <f>IF(Mitarbeiter!B193="","",Mitarbeiter!G193)</f>
        <v/>
      </c>
      <c r="D193" s="57">
        <f>IF(Mitarbeiter!B193="","",Mitarbeiter!H193)</f>
        <v/>
      </c>
      <c r="E193" s="57">
        <f>IF(Mitarbeiter!B193="","",'Ist-Stunden'!C193)</f>
        <v/>
      </c>
      <c r="F193" s="57">
        <f>IF(B193="","",Berechnung!AE193)</f>
        <v/>
      </c>
      <c r="G193" s="61">
        <f>IF(B193="","",Berechnung!P193)</f>
        <v/>
      </c>
      <c r="H193" s="61">
        <f>IF(B193="","",Berechnung!AC193)</f>
        <v/>
      </c>
      <c r="I193" s="61">
        <f>IF(B193="","",Berechnung!AD193)</f>
        <v/>
      </c>
      <c r="J193" s="36">
        <f>IF(B193="","",SUMPRODUCT(((Berechnung!D193:O193+Berechnung!Q193:AB193)&gt;0)*1))</f>
        <v/>
      </c>
      <c r="K193" s="62">
        <f>IF(B193="","",IF(N(D193)&gt;0,F193/D193,""))</f>
        <v/>
      </c>
      <c r="L193" s="40">
        <f>IF(B193="","",IF(N(E193)&gt;0,IF(Einstellungen!$C$10="Ja",F193/E193,F193/(E193+F193)),""))</f>
        <v/>
      </c>
      <c r="M193" s="63">
        <f>IF(L193="","",RANK(L193,$L$6:$L$305,0))</f>
        <v/>
      </c>
      <c r="N193" s="56">
        <f>IF(B193="","",IF(L193="","keine Ist-Std.",IF(L193&lt;=Einstellungen!$C$7,"unauffällig",IF(L193&lt;=Einstellungen!$C$8,"auffällig","kritisch"))))</f>
        <v/>
      </c>
      <c r="O193" s="64">
        <f>IF(L193="",-1,L193+ROW()/1000000000)</f>
        <v/>
      </c>
      <c r="P193" s="61">
        <f>IF(B193="","",Berechnung!AF193)</f>
        <v/>
      </c>
      <c r="Q193" s="57">
        <f>IF(B193="","",Berechnung!AG193)</f>
        <v/>
      </c>
      <c r="R193" s="57">
        <f>IF(B193="","",'Ist-Stunden'!D193)</f>
        <v/>
      </c>
      <c r="S193" s="59">
        <f>IF(B193="","",IF(N(R193)&gt;0,IF(Einstellungen!$C$10="Ja",Q193/R193,Q193/(R193+Q193)),""))</f>
        <v/>
      </c>
      <c r="T193" s="56">
        <f>IF(B193="","",IF(S193="","keine Ist-Std.",IF(S193&lt;=Einstellungen!$C$7,"unauffällig",IF(S193&lt;=Einstellungen!$C$8,"auffällig","kritisch"))))</f>
        <v/>
      </c>
    </row>
    <row r="194">
      <c r="A194" s="47">
        <f>IF(Mitarbeiter!B194="","",Mitarbeiter!A194)</f>
        <v/>
      </c>
      <c r="B194" s="48">
        <f>IF(Mitarbeiter!B194="","",Mitarbeiter!B194)</f>
        <v/>
      </c>
      <c r="C194" s="7">
        <f>IF(Mitarbeiter!B194="","",Mitarbeiter!G194)</f>
        <v/>
      </c>
      <c r="D194" s="57">
        <f>IF(Mitarbeiter!B194="","",Mitarbeiter!H194)</f>
        <v/>
      </c>
      <c r="E194" s="57">
        <f>IF(Mitarbeiter!B194="","",'Ist-Stunden'!C194)</f>
        <v/>
      </c>
      <c r="F194" s="57">
        <f>IF(B194="","",Berechnung!AE194)</f>
        <v/>
      </c>
      <c r="G194" s="61">
        <f>IF(B194="","",Berechnung!P194)</f>
        <v/>
      </c>
      <c r="H194" s="61">
        <f>IF(B194="","",Berechnung!AC194)</f>
        <v/>
      </c>
      <c r="I194" s="61">
        <f>IF(B194="","",Berechnung!AD194)</f>
        <v/>
      </c>
      <c r="J194" s="36">
        <f>IF(B194="","",SUMPRODUCT(((Berechnung!D194:O194+Berechnung!Q194:AB194)&gt;0)*1))</f>
        <v/>
      </c>
      <c r="K194" s="62">
        <f>IF(B194="","",IF(N(D194)&gt;0,F194/D194,""))</f>
        <v/>
      </c>
      <c r="L194" s="40">
        <f>IF(B194="","",IF(N(E194)&gt;0,IF(Einstellungen!$C$10="Ja",F194/E194,F194/(E194+F194)),""))</f>
        <v/>
      </c>
      <c r="M194" s="63">
        <f>IF(L194="","",RANK(L194,$L$6:$L$305,0))</f>
        <v/>
      </c>
      <c r="N194" s="56">
        <f>IF(B194="","",IF(L194="","keine Ist-Std.",IF(L194&lt;=Einstellungen!$C$7,"unauffällig",IF(L194&lt;=Einstellungen!$C$8,"auffällig","kritisch"))))</f>
        <v/>
      </c>
      <c r="O194" s="64">
        <f>IF(L194="",-1,L194+ROW()/1000000000)</f>
        <v/>
      </c>
      <c r="P194" s="61">
        <f>IF(B194="","",Berechnung!AF194)</f>
        <v/>
      </c>
      <c r="Q194" s="57">
        <f>IF(B194="","",Berechnung!AG194)</f>
        <v/>
      </c>
      <c r="R194" s="57">
        <f>IF(B194="","",'Ist-Stunden'!D194)</f>
        <v/>
      </c>
      <c r="S194" s="59">
        <f>IF(B194="","",IF(N(R194)&gt;0,IF(Einstellungen!$C$10="Ja",Q194/R194,Q194/(R194+Q194)),""))</f>
        <v/>
      </c>
      <c r="T194" s="56">
        <f>IF(B194="","",IF(S194="","keine Ist-Std.",IF(S194&lt;=Einstellungen!$C$7,"unauffällig",IF(S194&lt;=Einstellungen!$C$8,"auffällig","kritisch"))))</f>
        <v/>
      </c>
    </row>
    <row r="195">
      <c r="A195" s="47">
        <f>IF(Mitarbeiter!B195="","",Mitarbeiter!A195)</f>
        <v/>
      </c>
      <c r="B195" s="48">
        <f>IF(Mitarbeiter!B195="","",Mitarbeiter!B195)</f>
        <v/>
      </c>
      <c r="C195" s="7">
        <f>IF(Mitarbeiter!B195="","",Mitarbeiter!G195)</f>
        <v/>
      </c>
      <c r="D195" s="57">
        <f>IF(Mitarbeiter!B195="","",Mitarbeiter!H195)</f>
        <v/>
      </c>
      <c r="E195" s="57">
        <f>IF(Mitarbeiter!B195="","",'Ist-Stunden'!C195)</f>
        <v/>
      </c>
      <c r="F195" s="57">
        <f>IF(B195="","",Berechnung!AE195)</f>
        <v/>
      </c>
      <c r="G195" s="61">
        <f>IF(B195="","",Berechnung!P195)</f>
        <v/>
      </c>
      <c r="H195" s="61">
        <f>IF(B195="","",Berechnung!AC195)</f>
        <v/>
      </c>
      <c r="I195" s="61">
        <f>IF(B195="","",Berechnung!AD195)</f>
        <v/>
      </c>
      <c r="J195" s="36">
        <f>IF(B195="","",SUMPRODUCT(((Berechnung!D195:O195+Berechnung!Q195:AB195)&gt;0)*1))</f>
        <v/>
      </c>
      <c r="K195" s="62">
        <f>IF(B195="","",IF(N(D195)&gt;0,F195/D195,""))</f>
        <v/>
      </c>
      <c r="L195" s="40">
        <f>IF(B195="","",IF(N(E195)&gt;0,IF(Einstellungen!$C$10="Ja",F195/E195,F195/(E195+F195)),""))</f>
        <v/>
      </c>
      <c r="M195" s="63">
        <f>IF(L195="","",RANK(L195,$L$6:$L$305,0))</f>
        <v/>
      </c>
      <c r="N195" s="56">
        <f>IF(B195="","",IF(L195="","keine Ist-Std.",IF(L195&lt;=Einstellungen!$C$7,"unauffällig",IF(L195&lt;=Einstellungen!$C$8,"auffällig","kritisch"))))</f>
        <v/>
      </c>
      <c r="O195" s="64">
        <f>IF(L195="",-1,L195+ROW()/1000000000)</f>
        <v/>
      </c>
      <c r="P195" s="61">
        <f>IF(B195="","",Berechnung!AF195)</f>
        <v/>
      </c>
      <c r="Q195" s="57">
        <f>IF(B195="","",Berechnung!AG195)</f>
        <v/>
      </c>
      <c r="R195" s="57">
        <f>IF(B195="","",'Ist-Stunden'!D195)</f>
        <v/>
      </c>
      <c r="S195" s="59">
        <f>IF(B195="","",IF(N(R195)&gt;0,IF(Einstellungen!$C$10="Ja",Q195/R195,Q195/(R195+Q195)),""))</f>
        <v/>
      </c>
      <c r="T195" s="56">
        <f>IF(B195="","",IF(S195="","keine Ist-Std.",IF(S195&lt;=Einstellungen!$C$7,"unauffällig",IF(S195&lt;=Einstellungen!$C$8,"auffällig","kritisch"))))</f>
        <v/>
      </c>
    </row>
    <row r="196">
      <c r="A196" s="47">
        <f>IF(Mitarbeiter!B196="","",Mitarbeiter!A196)</f>
        <v/>
      </c>
      <c r="B196" s="48">
        <f>IF(Mitarbeiter!B196="","",Mitarbeiter!B196)</f>
        <v/>
      </c>
      <c r="C196" s="7">
        <f>IF(Mitarbeiter!B196="","",Mitarbeiter!G196)</f>
        <v/>
      </c>
      <c r="D196" s="57">
        <f>IF(Mitarbeiter!B196="","",Mitarbeiter!H196)</f>
        <v/>
      </c>
      <c r="E196" s="57">
        <f>IF(Mitarbeiter!B196="","",'Ist-Stunden'!C196)</f>
        <v/>
      </c>
      <c r="F196" s="57">
        <f>IF(B196="","",Berechnung!AE196)</f>
        <v/>
      </c>
      <c r="G196" s="61">
        <f>IF(B196="","",Berechnung!P196)</f>
        <v/>
      </c>
      <c r="H196" s="61">
        <f>IF(B196="","",Berechnung!AC196)</f>
        <v/>
      </c>
      <c r="I196" s="61">
        <f>IF(B196="","",Berechnung!AD196)</f>
        <v/>
      </c>
      <c r="J196" s="36">
        <f>IF(B196="","",SUMPRODUCT(((Berechnung!D196:O196+Berechnung!Q196:AB196)&gt;0)*1))</f>
        <v/>
      </c>
      <c r="K196" s="62">
        <f>IF(B196="","",IF(N(D196)&gt;0,F196/D196,""))</f>
        <v/>
      </c>
      <c r="L196" s="40">
        <f>IF(B196="","",IF(N(E196)&gt;0,IF(Einstellungen!$C$10="Ja",F196/E196,F196/(E196+F196)),""))</f>
        <v/>
      </c>
      <c r="M196" s="63">
        <f>IF(L196="","",RANK(L196,$L$6:$L$305,0))</f>
        <v/>
      </c>
      <c r="N196" s="56">
        <f>IF(B196="","",IF(L196="","keine Ist-Std.",IF(L196&lt;=Einstellungen!$C$7,"unauffällig",IF(L196&lt;=Einstellungen!$C$8,"auffällig","kritisch"))))</f>
        <v/>
      </c>
      <c r="O196" s="64">
        <f>IF(L196="",-1,L196+ROW()/1000000000)</f>
        <v/>
      </c>
      <c r="P196" s="61">
        <f>IF(B196="","",Berechnung!AF196)</f>
        <v/>
      </c>
      <c r="Q196" s="57">
        <f>IF(B196="","",Berechnung!AG196)</f>
        <v/>
      </c>
      <c r="R196" s="57">
        <f>IF(B196="","",'Ist-Stunden'!D196)</f>
        <v/>
      </c>
      <c r="S196" s="59">
        <f>IF(B196="","",IF(N(R196)&gt;0,IF(Einstellungen!$C$10="Ja",Q196/R196,Q196/(R196+Q196)),""))</f>
        <v/>
      </c>
      <c r="T196" s="56">
        <f>IF(B196="","",IF(S196="","keine Ist-Std.",IF(S196&lt;=Einstellungen!$C$7,"unauffällig",IF(S196&lt;=Einstellungen!$C$8,"auffällig","kritisch"))))</f>
        <v/>
      </c>
    </row>
    <row r="197">
      <c r="A197" s="47">
        <f>IF(Mitarbeiter!B197="","",Mitarbeiter!A197)</f>
        <v/>
      </c>
      <c r="B197" s="48">
        <f>IF(Mitarbeiter!B197="","",Mitarbeiter!B197)</f>
        <v/>
      </c>
      <c r="C197" s="7">
        <f>IF(Mitarbeiter!B197="","",Mitarbeiter!G197)</f>
        <v/>
      </c>
      <c r="D197" s="57">
        <f>IF(Mitarbeiter!B197="","",Mitarbeiter!H197)</f>
        <v/>
      </c>
      <c r="E197" s="57">
        <f>IF(Mitarbeiter!B197="","",'Ist-Stunden'!C197)</f>
        <v/>
      </c>
      <c r="F197" s="57">
        <f>IF(B197="","",Berechnung!AE197)</f>
        <v/>
      </c>
      <c r="G197" s="61">
        <f>IF(B197="","",Berechnung!P197)</f>
        <v/>
      </c>
      <c r="H197" s="61">
        <f>IF(B197="","",Berechnung!AC197)</f>
        <v/>
      </c>
      <c r="I197" s="61">
        <f>IF(B197="","",Berechnung!AD197)</f>
        <v/>
      </c>
      <c r="J197" s="36">
        <f>IF(B197="","",SUMPRODUCT(((Berechnung!D197:O197+Berechnung!Q197:AB197)&gt;0)*1))</f>
        <v/>
      </c>
      <c r="K197" s="62">
        <f>IF(B197="","",IF(N(D197)&gt;0,F197/D197,""))</f>
        <v/>
      </c>
      <c r="L197" s="40">
        <f>IF(B197="","",IF(N(E197)&gt;0,IF(Einstellungen!$C$10="Ja",F197/E197,F197/(E197+F197)),""))</f>
        <v/>
      </c>
      <c r="M197" s="63">
        <f>IF(L197="","",RANK(L197,$L$6:$L$305,0))</f>
        <v/>
      </c>
      <c r="N197" s="56">
        <f>IF(B197="","",IF(L197="","keine Ist-Std.",IF(L197&lt;=Einstellungen!$C$7,"unauffällig",IF(L197&lt;=Einstellungen!$C$8,"auffällig","kritisch"))))</f>
        <v/>
      </c>
      <c r="O197" s="64">
        <f>IF(L197="",-1,L197+ROW()/1000000000)</f>
        <v/>
      </c>
      <c r="P197" s="61">
        <f>IF(B197="","",Berechnung!AF197)</f>
        <v/>
      </c>
      <c r="Q197" s="57">
        <f>IF(B197="","",Berechnung!AG197)</f>
        <v/>
      </c>
      <c r="R197" s="57">
        <f>IF(B197="","",'Ist-Stunden'!D197)</f>
        <v/>
      </c>
      <c r="S197" s="59">
        <f>IF(B197="","",IF(N(R197)&gt;0,IF(Einstellungen!$C$10="Ja",Q197/R197,Q197/(R197+Q197)),""))</f>
        <v/>
      </c>
      <c r="T197" s="56">
        <f>IF(B197="","",IF(S197="","keine Ist-Std.",IF(S197&lt;=Einstellungen!$C$7,"unauffällig",IF(S197&lt;=Einstellungen!$C$8,"auffällig","kritisch"))))</f>
        <v/>
      </c>
    </row>
    <row r="198">
      <c r="A198" s="47">
        <f>IF(Mitarbeiter!B198="","",Mitarbeiter!A198)</f>
        <v/>
      </c>
      <c r="B198" s="48">
        <f>IF(Mitarbeiter!B198="","",Mitarbeiter!B198)</f>
        <v/>
      </c>
      <c r="C198" s="7">
        <f>IF(Mitarbeiter!B198="","",Mitarbeiter!G198)</f>
        <v/>
      </c>
      <c r="D198" s="57">
        <f>IF(Mitarbeiter!B198="","",Mitarbeiter!H198)</f>
        <v/>
      </c>
      <c r="E198" s="57">
        <f>IF(Mitarbeiter!B198="","",'Ist-Stunden'!C198)</f>
        <v/>
      </c>
      <c r="F198" s="57">
        <f>IF(B198="","",Berechnung!AE198)</f>
        <v/>
      </c>
      <c r="G198" s="61">
        <f>IF(B198="","",Berechnung!P198)</f>
        <v/>
      </c>
      <c r="H198" s="61">
        <f>IF(B198="","",Berechnung!AC198)</f>
        <v/>
      </c>
      <c r="I198" s="61">
        <f>IF(B198="","",Berechnung!AD198)</f>
        <v/>
      </c>
      <c r="J198" s="36">
        <f>IF(B198="","",SUMPRODUCT(((Berechnung!D198:O198+Berechnung!Q198:AB198)&gt;0)*1))</f>
        <v/>
      </c>
      <c r="K198" s="62">
        <f>IF(B198="","",IF(N(D198)&gt;0,F198/D198,""))</f>
        <v/>
      </c>
      <c r="L198" s="40">
        <f>IF(B198="","",IF(N(E198)&gt;0,IF(Einstellungen!$C$10="Ja",F198/E198,F198/(E198+F198)),""))</f>
        <v/>
      </c>
      <c r="M198" s="63">
        <f>IF(L198="","",RANK(L198,$L$6:$L$305,0))</f>
        <v/>
      </c>
      <c r="N198" s="56">
        <f>IF(B198="","",IF(L198="","keine Ist-Std.",IF(L198&lt;=Einstellungen!$C$7,"unauffällig",IF(L198&lt;=Einstellungen!$C$8,"auffällig","kritisch"))))</f>
        <v/>
      </c>
      <c r="O198" s="64">
        <f>IF(L198="",-1,L198+ROW()/1000000000)</f>
        <v/>
      </c>
      <c r="P198" s="61">
        <f>IF(B198="","",Berechnung!AF198)</f>
        <v/>
      </c>
      <c r="Q198" s="57">
        <f>IF(B198="","",Berechnung!AG198)</f>
        <v/>
      </c>
      <c r="R198" s="57">
        <f>IF(B198="","",'Ist-Stunden'!D198)</f>
        <v/>
      </c>
      <c r="S198" s="59">
        <f>IF(B198="","",IF(N(R198)&gt;0,IF(Einstellungen!$C$10="Ja",Q198/R198,Q198/(R198+Q198)),""))</f>
        <v/>
      </c>
      <c r="T198" s="56">
        <f>IF(B198="","",IF(S198="","keine Ist-Std.",IF(S198&lt;=Einstellungen!$C$7,"unauffällig",IF(S198&lt;=Einstellungen!$C$8,"auffällig","kritisch"))))</f>
        <v/>
      </c>
    </row>
    <row r="199">
      <c r="A199" s="47">
        <f>IF(Mitarbeiter!B199="","",Mitarbeiter!A199)</f>
        <v/>
      </c>
      <c r="B199" s="48">
        <f>IF(Mitarbeiter!B199="","",Mitarbeiter!B199)</f>
        <v/>
      </c>
      <c r="C199" s="7">
        <f>IF(Mitarbeiter!B199="","",Mitarbeiter!G199)</f>
        <v/>
      </c>
      <c r="D199" s="57">
        <f>IF(Mitarbeiter!B199="","",Mitarbeiter!H199)</f>
        <v/>
      </c>
      <c r="E199" s="57">
        <f>IF(Mitarbeiter!B199="","",'Ist-Stunden'!C199)</f>
        <v/>
      </c>
      <c r="F199" s="57">
        <f>IF(B199="","",Berechnung!AE199)</f>
        <v/>
      </c>
      <c r="G199" s="61">
        <f>IF(B199="","",Berechnung!P199)</f>
        <v/>
      </c>
      <c r="H199" s="61">
        <f>IF(B199="","",Berechnung!AC199)</f>
        <v/>
      </c>
      <c r="I199" s="61">
        <f>IF(B199="","",Berechnung!AD199)</f>
        <v/>
      </c>
      <c r="J199" s="36">
        <f>IF(B199="","",SUMPRODUCT(((Berechnung!D199:O199+Berechnung!Q199:AB199)&gt;0)*1))</f>
        <v/>
      </c>
      <c r="K199" s="62">
        <f>IF(B199="","",IF(N(D199)&gt;0,F199/D199,""))</f>
        <v/>
      </c>
      <c r="L199" s="40">
        <f>IF(B199="","",IF(N(E199)&gt;0,IF(Einstellungen!$C$10="Ja",F199/E199,F199/(E199+F199)),""))</f>
        <v/>
      </c>
      <c r="M199" s="63">
        <f>IF(L199="","",RANK(L199,$L$6:$L$305,0))</f>
        <v/>
      </c>
      <c r="N199" s="56">
        <f>IF(B199="","",IF(L199="","keine Ist-Std.",IF(L199&lt;=Einstellungen!$C$7,"unauffällig",IF(L199&lt;=Einstellungen!$C$8,"auffällig","kritisch"))))</f>
        <v/>
      </c>
      <c r="O199" s="64">
        <f>IF(L199="",-1,L199+ROW()/1000000000)</f>
        <v/>
      </c>
      <c r="P199" s="61">
        <f>IF(B199="","",Berechnung!AF199)</f>
        <v/>
      </c>
      <c r="Q199" s="57">
        <f>IF(B199="","",Berechnung!AG199)</f>
        <v/>
      </c>
      <c r="R199" s="57">
        <f>IF(B199="","",'Ist-Stunden'!D199)</f>
        <v/>
      </c>
      <c r="S199" s="59">
        <f>IF(B199="","",IF(N(R199)&gt;0,IF(Einstellungen!$C$10="Ja",Q199/R199,Q199/(R199+Q199)),""))</f>
        <v/>
      </c>
      <c r="T199" s="56">
        <f>IF(B199="","",IF(S199="","keine Ist-Std.",IF(S199&lt;=Einstellungen!$C$7,"unauffällig",IF(S199&lt;=Einstellungen!$C$8,"auffällig","kritisch"))))</f>
        <v/>
      </c>
    </row>
    <row r="200">
      <c r="A200" s="47">
        <f>IF(Mitarbeiter!B200="","",Mitarbeiter!A200)</f>
        <v/>
      </c>
      <c r="B200" s="48">
        <f>IF(Mitarbeiter!B200="","",Mitarbeiter!B200)</f>
        <v/>
      </c>
      <c r="C200" s="7">
        <f>IF(Mitarbeiter!B200="","",Mitarbeiter!G200)</f>
        <v/>
      </c>
      <c r="D200" s="57">
        <f>IF(Mitarbeiter!B200="","",Mitarbeiter!H200)</f>
        <v/>
      </c>
      <c r="E200" s="57">
        <f>IF(Mitarbeiter!B200="","",'Ist-Stunden'!C200)</f>
        <v/>
      </c>
      <c r="F200" s="57">
        <f>IF(B200="","",Berechnung!AE200)</f>
        <v/>
      </c>
      <c r="G200" s="61">
        <f>IF(B200="","",Berechnung!P200)</f>
        <v/>
      </c>
      <c r="H200" s="61">
        <f>IF(B200="","",Berechnung!AC200)</f>
        <v/>
      </c>
      <c r="I200" s="61">
        <f>IF(B200="","",Berechnung!AD200)</f>
        <v/>
      </c>
      <c r="J200" s="36">
        <f>IF(B200="","",SUMPRODUCT(((Berechnung!D200:O200+Berechnung!Q200:AB200)&gt;0)*1))</f>
        <v/>
      </c>
      <c r="K200" s="62">
        <f>IF(B200="","",IF(N(D200)&gt;0,F200/D200,""))</f>
        <v/>
      </c>
      <c r="L200" s="40">
        <f>IF(B200="","",IF(N(E200)&gt;0,IF(Einstellungen!$C$10="Ja",F200/E200,F200/(E200+F200)),""))</f>
        <v/>
      </c>
      <c r="M200" s="63">
        <f>IF(L200="","",RANK(L200,$L$6:$L$305,0))</f>
        <v/>
      </c>
      <c r="N200" s="56">
        <f>IF(B200="","",IF(L200="","keine Ist-Std.",IF(L200&lt;=Einstellungen!$C$7,"unauffällig",IF(L200&lt;=Einstellungen!$C$8,"auffällig","kritisch"))))</f>
        <v/>
      </c>
      <c r="O200" s="64">
        <f>IF(L200="",-1,L200+ROW()/1000000000)</f>
        <v/>
      </c>
      <c r="P200" s="61">
        <f>IF(B200="","",Berechnung!AF200)</f>
        <v/>
      </c>
      <c r="Q200" s="57">
        <f>IF(B200="","",Berechnung!AG200)</f>
        <v/>
      </c>
      <c r="R200" s="57">
        <f>IF(B200="","",'Ist-Stunden'!D200)</f>
        <v/>
      </c>
      <c r="S200" s="59">
        <f>IF(B200="","",IF(N(R200)&gt;0,IF(Einstellungen!$C$10="Ja",Q200/R200,Q200/(R200+Q200)),""))</f>
        <v/>
      </c>
      <c r="T200" s="56">
        <f>IF(B200="","",IF(S200="","keine Ist-Std.",IF(S200&lt;=Einstellungen!$C$7,"unauffällig",IF(S200&lt;=Einstellungen!$C$8,"auffällig","kritisch"))))</f>
        <v/>
      </c>
    </row>
    <row r="201">
      <c r="A201" s="47">
        <f>IF(Mitarbeiter!B201="","",Mitarbeiter!A201)</f>
        <v/>
      </c>
      <c r="B201" s="48">
        <f>IF(Mitarbeiter!B201="","",Mitarbeiter!B201)</f>
        <v/>
      </c>
      <c r="C201" s="7">
        <f>IF(Mitarbeiter!B201="","",Mitarbeiter!G201)</f>
        <v/>
      </c>
      <c r="D201" s="57">
        <f>IF(Mitarbeiter!B201="","",Mitarbeiter!H201)</f>
        <v/>
      </c>
      <c r="E201" s="57">
        <f>IF(Mitarbeiter!B201="","",'Ist-Stunden'!C201)</f>
        <v/>
      </c>
      <c r="F201" s="57">
        <f>IF(B201="","",Berechnung!AE201)</f>
        <v/>
      </c>
      <c r="G201" s="61">
        <f>IF(B201="","",Berechnung!P201)</f>
        <v/>
      </c>
      <c r="H201" s="61">
        <f>IF(B201="","",Berechnung!AC201)</f>
        <v/>
      </c>
      <c r="I201" s="61">
        <f>IF(B201="","",Berechnung!AD201)</f>
        <v/>
      </c>
      <c r="J201" s="36">
        <f>IF(B201="","",SUMPRODUCT(((Berechnung!D201:O201+Berechnung!Q201:AB201)&gt;0)*1))</f>
        <v/>
      </c>
      <c r="K201" s="62">
        <f>IF(B201="","",IF(N(D201)&gt;0,F201/D201,""))</f>
        <v/>
      </c>
      <c r="L201" s="40">
        <f>IF(B201="","",IF(N(E201)&gt;0,IF(Einstellungen!$C$10="Ja",F201/E201,F201/(E201+F201)),""))</f>
        <v/>
      </c>
      <c r="M201" s="63">
        <f>IF(L201="","",RANK(L201,$L$6:$L$305,0))</f>
        <v/>
      </c>
      <c r="N201" s="56">
        <f>IF(B201="","",IF(L201="","keine Ist-Std.",IF(L201&lt;=Einstellungen!$C$7,"unauffällig",IF(L201&lt;=Einstellungen!$C$8,"auffällig","kritisch"))))</f>
        <v/>
      </c>
      <c r="O201" s="64">
        <f>IF(L201="",-1,L201+ROW()/1000000000)</f>
        <v/>
      </c>
      <c r="P201" s="61">
        <f>IF(B201="","",Berechnung!AF201)</f>
        <v/>
      </c>
      <c r="Q201" s="57">
        <f>IF(B201="","",Berechnung!AG201)</f>
        <v/>
      </c>
      <c r="R201" s="57">
        <f>IF(B201="","",'Ist-Stunden'!D201)</f>
        <v/>
      </c>
      <c r="S201" s="59">
        <f>IF(B201="","",IF(N(R201)&gt;0,IF(Einstellungen!$C$10="Ja",Q201/R201,Q201/(R201+Q201)),""))</f>
        <v/>
      </c>
      <c r="T201" s="56">
        <f>IF(B201="","",IF(S201="","keine Ist-Std.",IF(S201&lt;=Einstellungen!$C$7,"unauffällig",IF(S201&lt;=Einstellungen!$C$8,"auffällig","kritisch"))))</f>
        <v/>
      </c>
    </row>
    <row r="202">
      <c r="A202" s="47">
        <f>IF(Mitarbeiter!B202="","",Mitarbeiter!A202)</f>
        <v/>
      </c>
      <c r="B202" s="48">
        <f>IF(Mitarbeiter!B202="","",Mitarbeiter!B202)</f>
        <v/>
      </c>
      <c r="C202" s="7">
        <f>IF(Mitarbeiter!B202="","",Mitarbeiter!G202)</f>
        <v/>
      </c>
      <c r="D202" s="57">
        <f>IF(Mitarbeiter!B202="","",Mitarbeiter!H202)</f>
        <v/>
      </c>
      <c r="E202" s="57">
        <f>IF(Mitarbeiter!B202="","",'Ist-Stunden'!C202)</f>
        <v/>
      </c>
      <c r="F202" s="57">
        <f>IF(B202="","",Berechnung!AE202)</f>
        <v/>
      </c>
      <c r="G202" s="61">
        <f>IF(B202="","",Berechnung!P202)</f>
        <v/>
      </c>
      <c r="H202" s="61">
        <f>IF(B202="","",Berechnung!AC202)</f>
        <v/>
      </c>
      <c r="I202" s="61">
        <f>IF(B202="","",Berechnung!AD202)</f>
        <v/>
      </c>
      <c r="J202" s="36">
        <f>IF(B202="","",SUMPRODUCT(((Berechnung!D202:O202+Berechnung!Q202:AB202)&gt;0)*1))</f>
        <v/>
      </c>
      <c r="K202" s="62">
        <f>IF(B202="","",IF(N(D202)&gt;0,F202/D202,""))</f>
        <v/>
      </c>
      <c r="L202" s="40">
        <f>IF(B202="","",IF(N(E202)&gt;0,IF(Einstellungen!$C$10="Ja",F202/E202,F202/(E202+F202)),""))</f>
        <v/>
      </c>
      <c r="M202" s="63">
        <f>IF(L202="","",RANK(L202,$L$6:$L$305,0))</f>
        <v/>
      </c>
      <c r="N202" s="56">
        <f>IF(B202="","",IF(L202="","keine Ist-Std.",IF(L202&lt;=Einstellungen!$C$7,"unauffällig",IF(L202&lt;=Einstellungen!$C$8,"auffällig","kritisch"))))</f>
        <v/>
      </c>
      <c r="O202" s="64">
        <f>IF(L202="",-1,L202+ROW()/1000000000)</f>
        <v/>
      </c>
      <c r="P202" s="61">
        <f>IF(B202="","",Berechnung!AF202)</f>
        <v/>
      </c>
      <c r="Q202" s="57">
        <f>IF(B202="","",Berechnung!AG202)</f>
        <v/>
      </c>
      <c r="R202" s="57">
        <f>IF(B202="","",'Ist-Stunden'!D202)</f>
        <v/>
      </c>
      <c r="S202" s="59">
        <f>IF(B202="","",IF(N(R202)&gt;0,IF(Einstellungen!$C$10="Ja",Q202/R202,Q202/(R202+Q202)),""))</f>
        <v/>
      </c>
      <c r="T202" s="56">
        <f>IF(B202="","",IF(S202="","keine Ist-Std.",IF(S202&lt;=Einstellungen!$C$7,"unauffällig",IF(S202&lt;=Einstellungen!$C$8,"auffällig","kritisch"))))</f>
        <v/>
      </c>
    </row>
    <row r="203">
      <c r="A203" s="47">
        <f>IF(Mitarbeiter!B203="","",Mitarbeiter!A203)</f>
        <v/>
      </c>
      <c r="B203" s="48">
        <f>IF(Mitarbeiter!B203="","",Mitarbeiter!B203)</f>
        <v/>
      </c>
      <c r="C203" s="7">
        <f>IF(Mitarbeiter!B203="","",Mitarbeiter!G203)</f>
        <v/>
      </c>
      <c r="D203" s="57">
        <f>IF(Mitarbeiter!B203="","",Mitarbeiter!H203)</f>
        <v/>
      </c>
      <c r="E203" s="57">
        <f>IF(Mitarbeiter!B203="","",'Ist-Stunden'!C203)</f>
        <v/>
      </c>
      <c r="F203" s="57">
        <f>IF(B203="","",Berechnung!AE203)</f>
        <v/>
      </c>
      <c r="G203" s="61">
        <f>IF(B203="","",Berechnung!P203)</f>
        <v/>
      </c>
      <c r="H203" s="61">
        <f>IF(B203="","",Berechnung!AC203)</f>
        <v/>
      </c>
      <c r="I203" s="61">
        <f>IF(B203="","",Berechnung!AD203)</f>
        <v/>
      </c>
      <c r="J203" s="36">
        <f>IF(B203="","",SUMPRODUCT(((Berechnung!D203:O203+Berechnung!Q203:AB203)&gt;0)*1))</f>
        <v/>
      </c>
      <c r="K203" s="62">
        <f>IF(B203="","",IF(N(D203)&gt;0,F203/D203,""))</f>
        <v/>
      </c>
      <c r="L203" s="40">
        <f>IF(B203="","",IF(N(E203)&gt;0,IF(Einstellungen!$C$10="Ja",F203/E203,F203/(E203+F203)),""))</f>
        <v/>
      </c>
      <c r="M203" s="63">
        <f>IF(L203="","",RANK(L203,$L$6:$L$305,0))</f>
        <v/>
      </c>
      <c r="N203" s="56">
        <f>IF(B203="","",IF(L203="","keine Ist-Std.",IF(L203&lt;=Einstellungen!$C$7,"unauffällig",IF(L203&lt;=Einstellungen!$C$8,"auffällig","kritisch"))))</f>
        <v/>
      </c>
      <c r="O203" s="64">
        <f>IF(L203="",-1,L203+ROW()/1000000000)</f>
        <v/>
      </c>
      <c r="P203" s="61">
        <f>IF(B203="","",Berechnung!AF203)</f>
        <v/>
      </c>
      <c r="Q203" s="57">
        <f>IF(B203="","",Berechnung!AG203)</f>
        <v/>
      </c>
      <c r="R203" s="57">
        <f>IF(B203="","",'Ist-Stunden'!D203)</f>
        <v/>
      </c>
      <c r="S203" s="59">
        <f>IF(B203="","",IF(N(R203)&gt;0,IF(Einstellungen!$C$10="Ja",Q203/R203,Q203/(R203+Q203)),""))</f>
        <v/>
      </c>
      <c r="T203" s="56">
        <f>IF(B203="","",IF(S203="","keine Ist-Std.",IF(S203&lt;=Einstellungen!$C$7,"unauffällig",IF(S203&lt;=Einstellungen!$C$8,"auffällig","kritisch"))))</f>
        <v/>
      </c>
    </row>
    <row r="204">
      <c r="A204" s="47">
        <f>IF(Mitarbeiter!B204="","",Mitarbeiter!A204)</f>
        <v/>
      </c>
      <c r="B204" s="48">
        <f>IF(Mitarbeiter!B204="","",Mitarbeiter!B204)</f>
        <v/>
      </c>
      <c r="C204" s="7">
        <f>IF(Mitarbeiter!B204="","",Mitarbeiter!G204)</f>
        <v/>
      </c>
      <c r="D204" s="57">
        <f>IF(Mitarbeiter!B204="","",Mitarbeiter!H204)</f>
        <v/>
      </c>
      <c r="E204" s="57">
        <f>IF(Mitarbeiter!B204="","",'Ist-Stunden'!C204)</f>
        <v/>
      </c>
      <c r="F204" s="57">
        <f>IF(B204="","",Berechnung!AE204)</f>
        <v/>
      </c>
      <c r="G204" s="61">
        <f>IF(B204="","",Berechnung!P204)</f>
        <v/>
      </c>
      <c r="H204" s="61">
        <f>IF(B204="","",Berechnung!AC204)</f>
        <v/>
      </c>
      <c r="I204" s="61">
        <f>IF(B204="","",Berechnung!AD204)</f>
        <v/>
      </c>
      <c r="J204" s="36">
        <f>IF(B204="","",SUMPRODUCT(((Berechnung!D204:O204+Berechnung!Q204:AB204)&gt;0)*1))</f>
        <v/>
      </c>
      <c r="K204" s="62">
        <f>IF(B204="","",IF(N(D204)&gt;0,F204/D204,""))</f>
        <v/>
      </c>
      <c r="L204" s="40">
        <f>IF(B204="","",IF(N(E204)&gt;0,IF(Einstellungen!$C$10="Ja",F204/E204,F204/(E204+F204)),""))</f>
        <v/>
      </c>
      <c r="M204" s="63">
        <f>IF(L204="","",RANK(L204,$L$6:$L$305,0))</f>
        <v/>
      </c>
      <c r="N204" s="56">
        <f>IF(B204="","",IF(L204="","keine Ist-Std.",IF(L204&lt;=Einstellungen!$C$7,"unauffällig",IF(L204&lt;=Einstellungen!$C$8,"auffällig","kritisch"))))</f>
        <v/>
      </c>
      <c r="O204" s="64">
        <f>IF(L204="",-1,L204+ROW()/1000000000)</f>
        <v/>
      </c>
      <c r="P204" s="61">
        <f>IF(B204="","",Berechnung!AF204)</f>
        <v/>
      </c>
      <c r="Q204" s="57">
        <f>IF(B204="","",Berechnung!AG204)</f>
        <v/>
      </c>
      <c r="R204" s="57">
        <f>IF(B204="","",'Ist-Stunden'!D204)</f>
        <v/>
      </c>
      <c r="S204" s="59">
        <f>IF(B204="","",IF(N(R204)&gt;0,IF(Einstellungen!$C$10="Ja",Q204/R204,Q204/(R204+Q204)),""))</f>
        <v/>
      </c>
      <c r="T204" s="56">
        <f>IF(B204="","",IF(S204="","keine Ist-Std.",IF(S204&lt;=Einstellungen!$C$7,"unauffällig",IF(S204&lt;=Einstellungen!$C$8,"auffällig","kritisch"))))</f>
        <v/>
      </c>
    </row>
    <row r="205">
      <c r="A205" s="47">
        <f>IF(Mitarbeiter!B205="","",Mitarbeiter!A205)</f>
        <v/>
      </c>
      <c r="B205" s="48">
        <f>IF(Mitarbeiter!B205="","",Mitarbeiter!B205)</f>
        <v/>
      </c>
      <c r="C205" s="7">
        <f>IF(Mitarbeiter!B205="","",Mitarbeiter!G205)</f>
        <v/>
      </c>
      <c r="D205" s="57">
        <f>IF(Mitarbeiter!B205="","",Mitarbeiter!H205)</f>
        <v/>
      </c>
      <c r="E205" s="57">
        <f>IF(Mitarbeiter!B205="","",'Ist-Stunden'!C205)</f>
        <v/>
      </c>
      <c r="F205" s="57">
        <f>IF(B205="","",Berechnung!AE205)</f>
        <v/>
      </c>
      <c r="G205" s="61">
        <f>IF(B205="","",Berechnung!P205)</f>
        <v/>
      </c>
      <c r="H205" s="61">
        <f>IF(B205="","",Berechnung!AC205)</f>
        <v/>
      </c>
      <c r="I205" s="61">
        <f>IF(B205="","",Berechnung!AD205)</f>
        <v/>
      </c>
      <c r="J205" s="36">
        <f>IF(B205="","",SUMPRODUCT(((Berechnung!D205:O205+Berechnung!Q205:AB205)&gt;0)*1))</f>
        <v/>
      </c>
      <c r="K205" s="62">
        <f>IF(B205="","",IF(N(D205)&gt;0,F205/D205,""))</f>
        <v/>
      </c>
      <c r="L205" s="40">
        <f>IF(B205="","",IF(N(E205)&gt;0,IF(Einstellungen!$C$10="Ja",F205/E205,F205/(E205+F205)),""))</f>
        <v/>
      </c>
      <c r="M205" s="63">
        <f>IF(L205="","",RANK(L205,$L$6:$L$305,0))</f>
        <v/>
      </c>
      <c r="N205" s="56">
        <f>IF(B205="","",IF(L205="","keine Ist-Std.",IF(L205&lt;=Einstellungen!$C$7,"unauffällig",IF(L205&lt;=Einstellungen!$C$8,"auffällig","kritisch"))))</f>
        <v/>
      </c>
      <c r="O205" s="64">
        <f>IF(L205="",-1,L205+ROW()/1000000000)</f>
        <v/>
      </c>
      <c r="P205" s="61">
        <f>IF(B205="","",Berechnung!AF205)</f>
        <v/>
      </c>
      <c r="Q205" s="57">
        <f>IF(B205="","",Berechnung!AG205)</f>
        <v/>
      </c>
      <c r="R205" s="57">
        <f>IF(B205="","",'Ist-Stunden'!D205)</f>
        <v/>
      </c>
      <c r="S205" s="59">
        <f>IF(B205="","",IF(N(R205)&gt;0,IF(Einstellungen!$C$10="Ja",Q205/R205,Q205/(R205+Q205)),""))</f>
        <v/>
      </c>
      <c r="T205" s="56">
        <f>IF(B205="","",IF(S205="","keine Ist-Std.",IF(S205&lt;=Einstellungen!$C$7,"unauffällig",IF(S205&lt;=Einstellungen!$C$8,"auffällig","kritisch"))))</f>
        <v/>
      </c>
    </row>
    <row r="206">
      <c r="A206" s="47">
        <f>IF(Mitarbeiter!B206="","",Mitarbeiter!A206)</f>
        <v/>
      </c>
      <c r="B206" s="48">
        <f>IF(Mitarbeiter!B206="","",Mitarbeiter!B206)</f>
        <v/>
      </c>
      <c r="C206" s="7">
        <f>IF(Mitarbeiter!B206="","",Mitarbeiter!G206)</f>
        <v/>
      </c>
      <c r="D206" s="57">
        <f>IF(Mitarbeiter!B206="","",Mitarbeiter!H206)</f>
        <v/>
      </c>
      <c r="E206" s="57">
        <f>IF(Mitarbeiter!B206="","",'Ist-Stunden'!C206)</f>
        <v/>
      </c>
      <c r="F206" s="57">
        <f>IF(B206="","",Berechnung!AE206)</f>
        <v/>
      </c>
      <c r="G206" s="61">
        <f>IF(B206="","",Berechnung!P206)</f>
        <v/>
      </c>
      <c r="H206" s="61">
        <f>IF(B206="","",Berechnung!AC206)</f>
        <v/>
      </c>
      <c r="I206" s="61">
        <f>IF(B206="","",Berechnung!AD206)</f>
        <v/>
      </c>
      <c r="J206" s="36">
        <f>IF(B206="","",SUMPRODUCT(((Berechnung!D206:O206+Berechnung!Q206:AB206)&gt;0)*1))</f>
        <v/>
      </c>
      <c r="K206" s="62">
        <f>IF(B206="","",IF(N(D206)&gt;0,F206/D206,""))</f>
        <v/>
      </c>
      <c r="L206" s="40">
        <f>IF(B206="","",IF(N(E206)&gt;0,IF(Einstellungen!$C$10="Ja",F206/E206,F206/(E206+F206)),""))</f>
        <v/>
      </c>
      <c r="M206" s="63">
        <f>IF(L206="","",RANK(L206,$L$6:$L$305,0))</f>
        <v/>
      </c>
      <c r="N206" s="56">
        <f>IF(B206="","",IF(L206="","keine Ist-Std.",IF(L206&lt;=Einstellungen!$C$7,"unauffällig",IF(L206&lt;=Einstellungen!$C$8,"auffällig","kritisch"))))</f>
        <v/>
      </c>
      <c r="O206" s="64">
        <f>IF(L206="",-1,L206+ROW()/1000000000)</f>
        <v/>
      </c>
      <c r="P206" s="61">
        <f>IF(B206="","",Berechnung!AF206)</f>
        <v/>
      </c>
      <c r="Q206" s="57">
        <f>IF(B206="","",Berechnung!AG206)</f>
        <v/>
      </c>
      <c r="R206" s="57">
        <f>IF(B206="","",'Ist-Stunden'!D206)</f>
        <v/>
      </c>
      <c r="S206" s="59">
        <f>IF(B206="","",IF(N(R206)&gt;0,IF(Einstellungen!$C$10="Ja",Q206/R206,Q206/(R206+Q206)),""))</f>
        <v/>
      </c>
      <c r="T206" s="56">
        <f>IF(B206="","",IF(S206="","keine Ist-Std.",IF(S206&lt;=Einstellungen!$C$7,"unauffällig",IF(S206&lt;=Einstellungen!$C$8,"auffällig","kritisch"))))</f>
        <v/>
      </c>
    </row>
    <row r="207">
      <c r="A207" s="47">
        <f>IF(Mitarbeiter!B207="","",Mitarbeiter!A207)</f>
        <v/>
      </c>
      <c r="B207" s="48">
        <f>IF(Mitarbeiter!B207="","",Mitarbeiter!B207)</f>
        <v/>
      </c>
      <c r="C207" s="7">
        <f>IF(Mitarbeiter!B207="","",Mitarbeiter!G207)</f>
        <v/>
      </c>
      <c r="D207" s="57">
        <f>IF(Mitarbeiter!B207="","",Mitarbeiter!H207)</f>
        <v/>
      </c>
      <c r="E207" s="57">
        <f>IF(Mitarbeiter!B207="","",'Ist-Stunden'!C207)</f>
        <v/>
      </c>
      <c r="F207" s="57">
        <f>IF(B207="","",Berechnung!AE207)</f>
        <v/>
      </c>
      <c r="G207" s="61">
        <f>IF(B207="","",Berechnung!P207)</f>
        <v/>
      </c>
      <c r="H207" s="61">
        <f>IF(B207="","",Berechnung!AC207)</f>
        <v/>
      </c>
      <c r="I207" s="61">
        <f>IF(B207="","",Berechnung!AD207)</f>
        <v/>
      </c>
      <c r="J207" s="36">
        <f>IF(B207="","",SUMPRODUCT(((Berechnung!D207:O207+Berechnung!Q207:AB207)&gt;0)*1))</f>
        <v/>
      </c>
      <c r="K207" s="62">
        <f>IF(B207="","",IF(N(D207)&gt;0,F207/D207,""))</f>
        <v/>
      </c>
      <c r="L207" s="40">
        <f>IF(B207="","",IF(N(E207)&gt;0,IF(Einstellungen!$C$10="Ja",F207/E207,F207/(E207+F207)),""))</f>
        <v/>
      </c>
      <c r="M207" s="63">
        <f>IF(L207="","",RANK(L207,$L$6:$L$305,0))</f>
        <v/>
      </c>
      <c r="N207" s="56">
        <f>IF(B207="","",IF(L207="","keine Ist-Std.",IF(L207&lt;=Einstellungen!$C$7,"unauffällig",IF(L207&lt;=Einstellungen!$C$8,"auffällig","kritisch"))))</f>
        <v/>
      </c>
      <c r="O207" s="64">
        <f>IF(L207="",-1,L207+ROW()/1000000000)</f>
        <v/>
      </c>
      <c r="P207" s="61">
        <f>IF(B207="","",Berechnung!AF207)</f>
        <v/>
      </c>
      <c r="Q207" s="57">
        <f>IF(B207="","",Berechnung!AG207)</f>
        <v/>
      </c>
      <c r="R207" s="57">
        <f>IF(B207="","",'Ist-Stunden'!D207)</f>
        <v/>
      </c>
      <c r="S207" s="59">
        <f>IF(B207="","",IF(N(R207)&gt;0,IF(Einstellungen!$C$10="Ja",Q207/R207,Q207/(R207+Q207)),""))</f>
        <v/>
      </c>
      <c r="T207" s="56">
        <f>IF(B207="","",IF(S207="","keine Ist-Std.",IF(S207&lt;=Einstellungen!$C$7,"unauffällig",IF(S207&lt;=Einstellungen!$C$8,"auffällig","kritisch"))))</f>
        <v/>
      </c>
    </row>
    <row r="208">
      <c r="A208" s="47">
        <f>IF(Mitarbeiter!B208="","",Mitarbeiter!A208)</f>
        <v/>
      </c>
      <c r="B208" s="48">
        <f>IF(Mitarbeiter!B208="","",Mitarbeiter!B208)</f>
        <v/>
      </c>
      <c r="C208" s="7">
        <f>IF(Mitarbeiter!B208="","",Mitarbeiter!G208)</f>
        <v/>
      </c>
      <c r="D208" s="57">
        <f>IF(Mitarbeiter!B208="","",Mitarbeiter!H208)</f>
        <v/>
      </c>
      <c r="E208" s="57">
        <f>IF(Mitarbeiter!B208="","",'Ist-Stunden'!C208)</f>
        <v/>
      </c>
      <c r="F208" s="57">
        <f>IF(B208="","",Berechnung!AE208)</f>
        <v/>
      </c>
      <c r="G208" s="61">
        <f>IF(B208="","",Berechnung!P208)</f>
        <v/>
      </c>
      <c r="H208" s="61">
        <f>IF(B208="","",Berechnung!AC208)</f>
        <v/>
      </c>
      <c r="I208" s="61">
        <f>IF(B208="","",Berechnung!AD208)</f>
        <v/>
      </c>
      <c r="J208" s="36">
        <f>IF(B208="","",SUMPRODUCT(((Berechnung!D208:O208+Berechnung!Q208:AB208)&gt;0)*1))</f>
        <v/>
      </c>
      <c r="K208" s="62">
        <f>IF(B208="","",IF(N(D208)&gt;0,F208/D208,""))</f>
        <v/>
      </c>
      <c r="L208" s="40">
        <f>IF(B208="","",IF(N(E208)&gt;0,IF(Einstellungen!$C$10="Ja",F208/E208,F208/(E208+F208)),""))</f>
        <v/>
      </c>
      <c r="M208" s="63">
        <f>IF(L208="","",RANK(L208,$L$6:$L$305,0))</f>
        <v/>
      </c>
      <c r="N208" s="56">
        <f>IF(B208="","",IF(L208="","keine Ist-Std.",IF(L208&lt;=Einstellungen!$C$7,"unauffällig",IF(L208&lt;=Einstellungen!$C$8,"auffällig","kritisch"))))</f>
        <v/>
      </c>
      <c r="O208" s="64">
        <f>IF(L208="",-1,L208+ROW()/1000000000)</f>
        <v/>
      </c>
      <c r="P208" s="61">
        <f>IF(B208="","",Berechnung!AF208)</f>
        <v/>
      </c>
      <c r="Q208" s="57">
        <f>IF(B208="","",Berechnung!AG208)</f>
        <v/>
      </c>
      <c r="R208" s="57">
        <f>IF(B208="","",'Ist-Stunden'!D208)</f>
        <v/>
      </c>
      <c r="S208" s="59">
        <f>IF(B208="","",IF(N(R208)&gt;0,IF(Einstellungen!$C$10="Ja",Q208/R208,Q208/(R208+Q208)),""))</f>
        <v/>
      </c>
      <c r="T208" s="56">
        <f>IF(B208="","",IF(S208="","keine Ist-Std.",IF(S208&lt;=Einstellungen!$C$7,"unauffällig",IF(S208&lt;=Einstellungen!$C$8,"auffällig","kritisch"))))</f>
        <v/>
      </c>
    </row>
    <row r="209">
      <c r="A209" s="47">
        <f>IF(Mitarbeiter!B209="","",Mitarbeiter!A209)</f>
        <v/>
      </c>
      <c r="B209" s="48">
        <f>IF(Mitarbeiter!B209="","",Mitarbeiter!B209)</f>
        <v/>
      </c>
      <c r="C209" s="7">
        <f>IF(Mitarbeiter!B209="","",Mitarbeiter!G209)</f>
        <v/>
      </c>
      <c r="D209" s="57">
        <f>IF(Mitarbeiter!B209="","",Mitarbeiter!H209)</f>
        <v/>
      </c>
      <c r="E209" s="57">
        <f>IF(Mitarbeiter!B209="","",'Ist-Stunden'!C209)</f>
        <v/>
      </c>
      <c r="F209" s="57">
        <f>IF(B209="","",Berechnung!AE209)</f>
        <v/>
      </c>
      <c r="G209" s="61">
        <f>IF(B209="","",Berechnung!P209)</f>
        <v/>
      </c>
      <c r="H209" s="61">
        <f>IF(B209="","",Berechnung!AC209)</f>
        <v/>
      </c>
      <c r="I209" s="61">
        <f>IF(B209="","",Berechnung!AD209)</f>
        <v/>
      </c>
      <c r="J209" s="36">
        <f>IF(B209="","",SUMPRODUCT(((Berechnung!D209:O209+Berechnung!Q209:AB209)&gt;0)*1))</f>
        <v/>
      </c>
      <c r="K209" s="62">
        <f>IF(B209="","",IF(N(D209)&gt;0,F209/D209,""))</f>
        <v/>
      </c>
      <c r="L209" s="40">
        <f>IF(B209="","",IF(N(E209)&gt;0,IF(Einstellungen!$C$10="Ja",F209/E209,F209/(E209+F209)),""))</f>
        <v/>
      </c>
      <c r="M209" s="63">
        <f>IF(L209="","",RANK(L209,$L$6:$L$305,0))</f>
        <v/>
      </c>
      <c r="N209" s="56">
        <f>IF(B209="","",IF(L209="","keine Ist-Std.",IF(L209&lt;=Einstellungen!$C$7,"unauffällig",IF(L209&lt;=Einstellungen!$C$8,"auffällig","kritisch"))))</f>
        <v/>
      </c>
      <c r="O209" s="64">
        <f>IF(L209="",-1,L209+ROW()/1000000000)</f>
        <v/>
      </c>
      <c r="P209" s="61">
        <f>IF(B209="","",Berechnung!AF209)</f>
        <v/>
      </c>
      <c r="Q209" s="57">
        <f>IF(B209="","",Berechnung!AG209)</f>
        <v/>
      </c>
      <c r="R209" s="57">
        <f>IF(B209="","",'Ist-Stunden'!D209)</f>
        <v/>
      </c>
      <c r="S209" s="59">
        <f>IF(B209="","",IF(N(R209)&gt;0,IF(Einstellungen!$C$10="Ja",Q209/R209,Q209/(R209+Q209)),""))</f>
        <v/>
      </c>
      <c r="T209" s="56">
        <f>IF(B209="","",IF(S209="","keine Ist-Std.",IF(S209&lt;=Einstellungen!$C$7,"unauffällig",IF(S209&lt;=Einstellungen!$C$8,"auffällig","kritisch"))))</f>
        <v/>
      </c>
    </row>
    <row r="210">
      <c r="A210" s="47">
        <f>IF(Mitarbeiter!B210="","",Mitarbeiter!A210)</f>
        <v/>
      </c>
      <c r="B210" s="48">
        <f>IF(Mitarbeiter!B210="","",Mitarbeiter!B210)</f>
        <v/>
      </c>
      <c r="C210" s="7">
        <f>IF(Mitarbeiter!B210="","",Mitarbeiter!G210)</f>
        <v/>
      </c>
      <c r="D210" s="57">
        <f>IF(Mitarbeiter!B210="","",Mitarbeiter!H210)</f>
        <v/>
      </c>
      <c r="E210" s="57">
        <f>IF(Mitarbeiter!B210="","",'Ist-Stunden'!C210)</f>
        <v/>
      </c>
      <c r="F210" s="57">
        <f>IF(B210="","",Berechnung!AE210)</f>
        <v/>
      </c>
      <c r="G210" s="61">
        <f>IF(B210="","",Berechnung!P210)</f>
        <v/>
      </c>
      <c r="H210" s="61">
        <f>IF(B210="","",Berechnung!AC210)</f>
        <v/>
      </c>
      <c r="I210" s="61">
        <f>IF(B210="","",Berechnung!AD210)</f>
        <v/>
      </c>
      <c r="J210" s="36">
        <f>IF(B210="","",SUMPRODUCT(((Berechnung!D210:O210+Berechnung!Q210:AB210)&gt;0)*1))</f>
        <v/>
      </c>
      <c r="K210" s="62">
        <f>IF(B210="","",IF(N(D210)&gt;0,F210/D210,""))</f>
        <v/>
      </c>
      <c r="L210" s="40">
        <f>IF(B210="","",IF(N(E210)&gt;0,IF(Einstellungen!$C$10="Ja",F210/E210,F210/(E210+F210)),""))</f>
        <v/>
      </c>
      <c r="M210" s="63">
        <f>IF(L210="","",RANK(L210,$L$6:$L$305,0))</f>
        <v/>
      </c>
      <c r="N210" s="56">
        <f>IF(B210="","",IF(L210="","keine Ist-Std.",IF(L210&lt;=Einstellungen!$C$7,"unauffällig",IF(L210&lt;=Einstellungen!$C$8,"auffällig","kritisch"))))</f>
        <v/>
      </c>
      <c r="O210" s="64">
        <f>IF(L210="",-1,L210+ROW()/1000000000)</f>
        <v/>
      </c>
      <c r="P210" s="61">
        <f>IF(B210="","",Berechnung!AF210)</f>
        <v/>
      </c>
      <c r="Q210" s="57">
        <f>IF(B210="","",Berechnung!AG210)</f>
        <v/>
      </c>
      <c r="R210" s="57">
        <f>IF(B210="","",'Ist-Stunden'!D210)</f>
        <v/>
      </c>
      <c r="S210" s="59">
        <f>IF(B210="","",IF(N(R210)&gt;0,IF(Einstellungen!$C$10="Ja",Q210/R210,Q210/(R210+Q210)),""))</f>
        <v/>
      </c>
      <c r="T210" s="56">
        <f>IF(B210="","",IF(S210="","keine Ist-Std.",IF(S210&lt;=Einstellungen!$C$7,"unauffällig",IF(S210&lt;=Einstellungen!$C$8,"auffällig","kritisch"))))</f>
        <v/>
      </c>
    </row>
    <row r="211">
      <c r="A211" s="47">
        <f>IF(Mitarbeiter!B211="","",Mitarbeiter!A211)</f>
        <v/>
      </c>
      <c r="B211" s="48">
        <f>IF(Mitarbeiter!B211="","",Mitarbeiter!B211)</f>
        <v/>
      </c>
      <c r="C211" s="7">
        <f>IF(Mitarbeiter!B211="","",Mitarbeiter!G211)</f>
        <v/>
      </c>
      <c r="D211" s="57">
        <f>IF(Mitarbeiter!B211="","",Mitarbeiter!H211)</f>
        <v/>
      </c>
      <c r="E211" s="57">
        <f>IF(Mitarbeiter!B211="","",'Ist-Stunden'!C211)</f>
        <v/>
      </c>
      <c r="F211" s="57">
        <f>IF(B211="","",Berechnung!AE211)</f>
        <v/>
      </c>
      <c r="G211" s="61">
        <f>IF(B211="","",Berechnung!P211)</f>
        <v/>
      </c>
      <c r="H211" s="61">
        <f>IF(B211="","",Berechnung!AC211)</f>
        <v/>
      </c>
      <c r="I211" s="61">
        <f>IF(B211="","",Berechnung!AD211)</f>
        <v/>
      </c>
      <c r="J211" s="36">
        <f>IF(B211="","",SUMPRODUCT(((Berechnung!D211:O211+Berechnung!Q211:AB211)&gt;0)*1))</f>
        <v/>
      </c>
      <c r="K211" s="62">
        <f>IF(B211="","",IF(N(D211)&gt;0,F211/D211,""))</f>
        <v/>
      </c>
      <c r="L211" s="40">
        <f>IF(B211="","",IF(N(E211)&gt;0,IF(Einstellungen!$C$10="Ja",F211/E211,F211/(E211+F211)),""))</f>
        <v/>
      </c>
      <c r="M211" s="63">
        <f>IF(L211="","",RANK(L211,$L$6:$L$305,0))</f>
        <v/>
      </c>
      <c r="N211" s="56">
        <f>IF(B211="","",IF(L211="","keine Ist-Std.",IF(L211&lt;=Einstellungen!$C$7,"unauffällig",IF(L211&lt;=Einstellungen!$C$8,"auffällig","kritisch"))))</f>
        <v/>
      </c>
      <c r="O211" s="64">
        <f>IF(L211="",-1,L211+ROW()/1000000000)</f>
        <v/>
      </c>
      <c r="P211" s="61">
        <f>IF(B211="","",Berechnung!AF211)</f>
        <v/>
      </c>
      <c r="Q211" s="57">
        <f>IF(B211="","",Berechnung!AG211)</f>
        <v/>
      </c>
      <c r="R211" s="57">
        <f>IF(B211="","",'Ist-Stunden'!D211)</f>
        <v/>
      </c>
      <c r="S211" s="59">
        <f>IF(B211="","",IF(N(R211)&gt;0,IF(Einstellungen!$C$10="Ja",Q211/R211,Q211/(R211+Q211)),""))</f>
        <v/>
      </c>
      <c r="T211" s="56">
        <f>IF(B211="","",IF(S211="","keine Ist-Std.",IF(S211&lt;=Einstellungen!$C$7,"unauffällig",IF(S211&lt;=Einstellungen!$C$8,"auffällig","kritisch"))))</f>
        <v/>
      </c>
    </row>
    <row r="212">
      <c r="A212" s="47">
        <f>IF(Mitarbeiter!B212="","",Mitarbeiter!A212)</f>
        <v/>
      </c>
      <c r="B212" s="48">
        <f>IF(Mitarbeiter!B212="","",Mitarbeiter!B212)</f>
        <v/>
      </c>
      <c r="C212" s="7">
        <f>IF(Mitarbeiter!B212="","",Mitarbeiter!G212)</f>
        <v/>
      </c>
      <c r="D212" s="57">
        <f>IF(Mitarbeiter!B212="","",Mitarbeiter!H212)</f>
        <v/>
      </c>
      <c r="E212" s="57">
        <f>IF(Mitarbeiter!B212="","",'Ist-Stunden'!C212)</f>
        <v/>
      </c>
      <c r="F212" s="57">
        <f>IF(B212="","",Berechnung!AE212)</f>
        <v/>
      </c>
      <c r="G212" s="61">
        <f>IF(B212="","",Berechnung!P212)</f>
        <v/>
      </c>
      <c r="H212" s="61">
        <f>IF(B212="","",Berechnung!AC212)</f>
        <v/>
      </c>
      <c r="I212" s="61">
        <f>IF(B212="","",Berechnung!AD212)</f>
        <v/>
      </c>
      <c r="J212" s="36">
        <f>IF(B212="","",SUMPRODUCT(((Berechnung!D212:O212+Berechnung!Q212:AB212)&gt;0)*1))</f>
        <v/>
      </c>
      <c r="K212" s="62">
        <f>IF(B212="","",IF(N(D212)&gt;0,F212/D212,""))</f>
        <v/>
      </c>
      <c r="L212" s="40">
        <f>IF(B212="","",IF(N(E212)&gt;0,IF(Einstellungen!$C$10="Ja",F212/E212,F212/(E212+F212)),""))</f>
        <v/>
      </c>
      <c r="M212" s="63">
        <f>IF(L212="","",RANK(L212,$L$6:$L$305,0))</f>
        <v/>
      </c>
      <c r="N212" s="56">
        <f>IF(B212="","",IF(L212="","keine Ist-Std.",IF(L212&lt;=Einstellungen!$C$7,"unauffällig",IF(L212&lt;=Einstellungen!$C$8,"auffällig","kritisch"))))</f>
        <v/>
      </c>
      <c r="O212" s="64">
        <f>IF(L212="",-1,L212+ROW()/1000000000)</f>
        <v/>
      </c>
      <c r="P212" s="61">
        <f>IF(B212="","",Berechnung!AF212)</f>
        <v/>
      </c>
      <c r="Q212" s="57">
        <f>IF(B212="","",Berechnung!AG212)</f>
        <v/>
      </c>
      <c r="R212" s="57">
        <f>IF(B212="","",'Ist-Stunden'!D212)</f>
        <v/>
      </c>
      <c r="S212" s="59">
        <f>IF(B212="","",IF(N(R212)&gt;0,IF(Einstellungen!$C$10="Ja",Q212/R212,Q212/(R212+Q212)),""))</f>
        <v/>
      </c>
      <c r="T212" s="56">
        <f>IF(B212="","",IF(S212="","keine Ist-Std.",IF(S212&lt;=Einstellungen!$C$7,"unauffällig",IF(S212&lt;=Einstellungen!$C$8,"auffällig","kritisch"))))</f>
        <v/>
      </c>
    </row>
    <row r="213">
      <c r="A213" s="47">
        <f>IF(Mitarbeiter!B213="","",Mitarbeiter!A213)</f>
        <v/>
      </c>
      <c r="B213" s="48">
        <f>IF(Mitarbeiter!B213="","",Mitarbeiter!B213)</f>
        <v/>
      </c>
      <c r="C213" s="7">
        <f>IF(Mitarbeiter!B213="","",Mitarbeiter!G213)</f>
        <v/>
      </c>
      <c r="D213" s="57">
        <f>IF(Mitarbeiter!B213="","",Mitarbeiter!H213)</f>
        <v/>
      </c>
      <c r="E213" s="57">
        <f>IF(Mitarbeiter!B213="","",'Ist-Stunden'!C213)</f>
        <v/>
      </c>
      <c r="F213" s="57">
        <f>IF(B213="","",Berechnung!AE213)</f>
        <v/>
      </c>
      <c r="G213" s="61">
        <f>IF(B213="","",Berechnung!P213)</f>
        <v/>
      </c>
      <c r="H213" s="61">
        <f>IF(B213="","",Berechnung!AC213)</f>
        <v/>
      </c>
      <c r="I213" s="61">
        <f>IF(B213="","",Berechnung!AD213)</f>
        <v/>
      </c>
      <c r="J213" s="36">
        <f>IF(B213="","",SUMPRODUCT(((Berechnung!D213:O213+Berechnung!Q213:AB213)&gt;0)*1))</f>
        <v/>
      </c>
      <c r="K213" s="62">
        <f>IF(B213="","",IF(N(D213)&gt;0,F213/D213,""))</f>
        <v/>
      </c>
      <c r="L213" s="40">
        <f>IF(B213="","",IF(N(E213)&gt;0,IF(Einstellungen!$C$10="Ja",F213/E213,F213/(E213+F213)),""))</f>
        <v/>
      </c>
      <c r="M213" s="63">
        <f>IF(L213="","",RANK(L213,$L$6:$L$305,0))</f>
        <v/>
      </c>
      <c r="N213" s="56">
        <f>IF(B213="","",IF(L213="","keine Ist-Std.",IF(L213&lt;=Einstellungen!$C$7,"unauffällig",IF(L213&lt;=Einstellungen!$C$8,"auffällig","kritisch"))))</f>
        <v/>
      </c>
      <c r="O213" s="64">
        <f>IF(L213="",-1,L213+ROW()/1000000000)</f>
        <v/>
      </c>
      <c r="P213" s="61">
        <f>IF(B213="","",Berechnung!AF213)</f>
        <v/>
      </c>
      <c r="Q213" s="57">
        <f>IF(B213="","",Berechnung!AG213)</f>
        <v/>
      </c>
      <c r="R213" s="57">
        <f>IF(B213="","",'Ist-Stunden'!D213)</f>
        <v/>
      </c>
      <c r="S213" s="59">
        <f>IF(B213="","",IF(N(R213)&gt;0,IF(Einstellungen!$C$10="Ja",Q213/R213,Q213/(R213+Q213)),""))</f>
        <v/>
      </c>
      <c r="T213" s="56">
        <f>IF(B213="","",IF(S213="","keine Ist-Std.",IF(S213&lt;=Einstellungen!$C$7,"unauffällig",IF(S213&lt;=Einstellungen!$C$8,"auffällig","kritisch"))))</f>
        <v/>
      </c>
    </row>
    <row r="214">
      <c r="A214" s="47">
        <f>IF(Mitarbeiter!B214="","",Mitarbeiter!A214)</f>
        <v/>
      </c>
      <c r="B214" s="48">
        <f>IF(Mitarbeiter!B214="","",Mitarbeiter!B214)</f>
        <v/>
      </c>
      <c r="C214" s="7">
        <f>IF(Mitarbeiter!B214="","",Mitarbeiter!G214)</f>
        <v/>
      </c>
      <c r="D214" s="57">
        <f>IF(Mitarbeiter!B214="","",Mitarbeiter!H214)</f>
        <v/>
      </c>
      <c r="E214" s="57">
        <f>IF(Mitarbeiter!B214="","",'Ist-Stunden'!C214)</f>
        <v/>
      </c>
      <c r="F214" s="57">
        <f>IF(B214="","",Berechnung!AE214)</f>
        <v/>
      </c>
      <c r="G214" s="61">
        <f>IF(B214="","",Berechnung!P214)</f>
        <v/>
      </c>
      <c r="H214" s="61">
        <f>IF(B214="","",Berechnung!AC214)</f>
        <v/>
      </c>
      <c r="I214" s="61">
        <f>IF(B214="","",Berechnung!AD214)</f>
        <v/>
      </c>
      <c r="J214" s="36">
        <f>IF(B214="","",SUMPRODUCT(((Berechnung!D214:O214+Berechnung!Q214:AB214)&gt;0)*1))</f>
        <v/>
      </c>
      <c r="K214" s="62">
        <f>IF(B214="","",IF(N(D214)&gt;0,F214/D214,""))</f>
        <v/>
      </c>
      <c r="L214" s="40">
        <f>IF(B214="","",IF(N(E214)&gt;0,IF(Einstellungen!$C$10="Ja",F214/E214,F214/(E214+F214)),""))</f>
        <v/>
      </c>
      <c r="M214" s="63">
        <f>IF(L214="","",RANK(L214,$L$6:$L$305,0))</f>
        <v/>
      </c>
      <c r="N214" s="56">
        <f>IF(B214="","",IF(L214="","keine Ist-Std.",IF(L214&lt;=Einstellungen!$C$7,"unauffällig",IF(L214&lt;=Einstellungen!$C$8,"auffällig","kritisch"))))</f>
        <v/>
      </c>
      <c r="O214" s="64">
        <f>IF(L214="",-1,L214+ROW()/1000000000)</f>
        <v/>
      </c>
      <c r="P214" s="61">
        <f>IF(B214="","",Berechnung!AF214)</f>
        <v/>
      </c>
      <c r="Q214" s="57">
        <f>IF(B214="","",Berechnung!AG214)</f>
        <v/>
      </c>
      <c r="R214" s="57">
        <f>IF(B214="","",'Ist-Stunden'!D214)</f>
        <v/>
      </c>
      <c r="S214" s="59">
        <f>IF(B214="","",IF(N(R214)&gt;0,IF(Einstellungen!$C$10="Ja",Q214/R214,Q214/(R214+Q214)),""))</f>
        <v/>
      </c>
      <c r="T214" s="56">
        <f>IF(B214="","",IF(S214="","keine Ist-Std.",IF(S214&lt;=Einstellungen!$C$7,"unauffällig",IF(S214&lt;=Einstellungen!$C$8,"auffällig","kritisch"))))</f>
        <v/>
      </c>
    </row>
    <row r="215">
      <c r="A215" s="47">
        <f>IF(Mitarbeiter!B215="","",Mitarbeiter!A215)</f>
        <v/>
      </c>
      <c r="B215" s="48">
        <f>IF(Mitarbeiter!B215="","",Mitarbeiter!B215)</f>
        <v/>
      </c>
      <c r="C215" s="7">
        <f>IF(Mitarbeiter!B215="","",Mitarbeiter!G215)</f>
        <v/>
      </c>
      <c r="D215" s="57">
        <f>IF(Mitarbeiter!B215="","",Mitarbeiter!H215)</f>
        <v/>
      </c>
      <c r="E215" s="57">
        <f>IF(Mitarbeiter!B215="","",'Ist-Stunden'!C215)</f>
        <v/>
      </c>
      <c r="F215" s="57">
        <f>IF(B215="","",Berechnung!AE215)</f>
        <v/>
      </c>
      <c r="G215" s="61">
        <f>IF(B215="","",Berechnung!P215)</f>
        <v/>
      </c>
      <c r="H215" s="61">
        <f>IF(B215="","",Berechnung!AC215)</f>
        <v/>
      </c>
      <c r="I215" s="61">
        <f>IF(B215="","",Berechnung!AD215)</f>
        <v/>
      </c>
      <c r="J215" s="36">
        <f>IF(B215="","",SUMPRODUCT(((Berechnung!D215:O215+Berechnung!Q215:AB215)&gt;0)*1))</f>
        <v/>
      </c>
      <c r="K215" s="62">
        <f>IF(B215="","",IF(N(D215)&gt;0,F215/D215,""))</f>
        <v/>
      </c>
      <c r="L215" s="40">
        <f>IF(B215="","",IF(N(E215)&gt;0,IF(Einstellungen!$C$10="Ja",F215/E215,F215/(E215+F215)),""))</f>
        <v/>
      </c>
      <c r="M215" s="63">
        <f>IF(L215="","",RANK(L215,$L$6:$L$305,0))</f>
        <v/>
      </c>
      <c r="N215" s="56">
        <f>IF(B215="","",IF(L215="","keine Ist-Std.",IF(L215&lt;=Einstellungen!$C$7,"unauffällig",IF(L215&lt;=Einstellungen!$C$8,"auffällig","kritisch"))))</f>
        <v/>
      </c>
      <c r="O215" s="64">
        <f>IF(L215="",-1,L215+ROW()/1000000000)</f>
        <v/>
      </c>
      <c r="P215" s="61">
        <f>IF(B215="","",Berechnung!AF215)</f>
        <v/>
      </c>
      <c r="Q215" s="57">
        <f>IF(B215="","",Berechnung!AG215)</f>
        <v/>
      </c>
      <c r="R215" s="57">
        <f>IF(B215="","",'Ist-Stunden'!D215)</f>
        <v/>
      </c>
      <c r="S215" s="59">
        <f>IF(B215="","",IF(N(R215)&gt;0,IF(Einstellungen!$C$10="Ja",Q215/R215,Q215/(R215+Q215)),""))</f>
        <v/>
      </c>
      <c r="T215" s="56">
        <f>IF(B215="","",IF(S215="","keine Ist-Std.",IF(S215&lt;=Einstellungen!$C$7,"unauffällig",IF(S215&lt;=Einstellungen!$C$8,"auffällig","kritisch"))))</f>
        <v/>
      </c>
    </row>
    <row r="216">
      <c r="A216" s="47">
        <f>IF(Mitarbeiter!B216="","",Mitarbeiter!A216)</f>
        <v/>
      </c>
      <c r="B216" s="48">
        <f>IF(Mitarbeiter!B216="","",Mitarbeiter!B216)</f>
        <v/>
      </c>
      <c r="C216" s="7">
        <f>IF(Mitarbeiter!B216="","",Mitarbeiter!G216)</f>
        <v/>
      </c>
      <c r="D216" s="57">
        <f>IF(Mitarbeiter!B216="","",Mitarbeiter!H216)</f>
        <v/>
      </c>
      <c r="E216" s="57">
        <f>IF(Mitarbeiter!B216="","",'Ist-Stunden'!C216)</f>
        <v/>
      </c>
      <c r="F216" s="57">
        <f>IF(B216="","",Berechnung!AE216)</f>
        <v/>
      </c>
      <c r="G216" s="61">
        <f>IF(B216="","",Berechnung!P216)</f>
        <v/>
      </c>
      <c r="H216" s="61">
        <f>IF(B216="","",Berechnung!AC216)</f>
        <v/>
      </c>
      <c r="I216" s="61">
        <f>IF(B216="","",Berechnung!AD216)</f>
        <v/>
      </c>
      <c r="J216" s="36">
        <f>IF(B216="","",SUMPRODUCT(((Berechnung!D216:O216+Berechnung!Q216:AB216)&gt;0)*1))</f>
        <v/>
      </c>
      <c r="K216" s="62">
        <f>IF(B216="","",IF(N(D216)&gt;0,F216/D216,""))</f>
        <v/>
      </c>
      <c r="L216" s="40">
        <f>IF(B216="","",IF(N(E216)&gt;0,IF(Einstellungen!$C$10="Ja",F216/E216,F216/(E216+F216)),""))</f>
        <v/>
      </c>
      <c r="M216" s="63">
        <f>IF(L216="","",RANK(L216,$L$6:$L$305,0))</f>
        <v/>
      </c>
      <c r="N216" s="56">
        <f>IF(B216="","",IF(L216="","keine Ist-Std.",IF(L216&lt;=Einstellungen!$C$7,"unauffällig",IF(L216&lt;=Einstellungen!$C$8,"auffällig","kritisch"))))</f>
        <v/>
      </c>
      <c r="O216" s="64">
        <f>IF(L216="",-1,L216+ROW()/1000000000)</f>
        <v/>
      </c>
      <c r="P216" s="61">
        <f>IF(B216="","",Berechnung!AF216)</f>
        <v/>
      </c>
      <c r="Q216" s="57">
        <f>IF(B216="","",Berechnung!AG216)</f>
        <v/>
      </c>
      <c r="R216" s="57">
        <f>IF(B216="","",'Ist-Stunden'!D216)</f>
        <v/>
      </c>
      <c r="S216" s="59">
        <f>IF(B216="","",IF(N(R216)&gt;0,IF(Einstellungen!$C$10="Ja",Q216/R216,Q216/(R216+Q216)),""))</f>
        <v/>
      </c>
      <c r="T216" s="56">
        <f>IF(B216="","",IF(S216="","keine Ist-Std.",IF(S216&lt;=Einstellungen!$C$7,"unauffällig",IF(S216&lt;=Einstellungen!$C$8,"auffällig","kritisch"))))</f>
        <v/>
      </c>
    </row>
    <row r="217">
      <c r="A217" s="47">
        <f>IF(Mitarbeiter!B217="","",Mitarbeiter!A217)</f>
        <v/>
      </c>
      <c r="B217" s="48">
        <f>IF(Mitarbeiter!B217="","",Mitarbeiter!B217)</f>
        <v/>
      </c>
      <c r="C217" s="7">
        <f>IF(Mitarbeiter!B217="","",Mitarbeiter!G217)</f>
        <v/>
      </c>
      <c r="D217" s="57">
        <f>IF(Mitarbeiter!B217="","",Mitarbeiter!H217)</f>
        <v/>
      </c>
      <c r="E217" s="57">
        <f>IF(Mitarbeiter!B217="","",'Ist-Stunden'!C217)</f>
        <v/>
      </c>
      <c r="F217" s="57">
        <f>IF(B217="","",Berechnung!AE217)</f>
        <v/>
      </c>
      <c r="G217" s="61">
        <f>IF(B217="","",Berechnung!P217)</f>
        <v/>
      </c>
      <c r="H217" s="61">
        <f>IF(B217="","",Berechnung!AC217)</f>
        <v/>
      </c>
      <c r="I217" s="61">
        <f>IF(B217="","",Berechnung!AD217)</f>
        <v/>
      </c>
      <c r="J217" s="36">
        <f>IF(B217="","",SUMPRODUCT(((Berechnung!D217:O217+Berechnung!Q217:AB217)&gt;0)*1))</f>
        <v/>
      </c>
      <c r="K217" s="62">
        <f>IF(B217="","",IF(N(D217)&gt;0,F217/D217,""))</f>
        <v/>
      </c>
      <c r="L217" s="40">
        <f>IF(B217="","",IF(N(E217)&gt;0,IF(Einstellungen!$C$10="Ja",F217/E217,F217/(E217+F217)),""))</f>
        <v/>
      </c>
      <c r="M217" s="63">
        <f>IF(L217="","",RANK(L217,$L$6:$L$305,0))</f>
        <v/>
      </c>
      <c r="N217" s="56">
        <f>IF(B217="","",IF(L217="","keine Ist-Std.",IF(L217&lt;=Einstellungen!$C$7,"unauffällig",IF(L217&lt;=Einstellungen!$C$8,"auffällig","kritisch"))))</f>
        <v/>
      </c>
      <c r="O217" s="64">
        <f>IF(L217="",-1,L217+ROW()/1000000000)</f>
        <v/>
      </c>
      <c r="P217" s="61">
        <f>IF(B217="","",Berechnung!AF217)</f>
        <v/>
      </c>
      <c r="Q217" s="57">
        <f>IF(B217="","",Berechnung!AG217)</f>
        <v/>
      </c>
      <c r="R217" s="57">
        <f>IF(B217="","",'Ist-Stunden'!D217)</f>
        <v/>
      </c>
      <c r="S217" s="59">
        <f>IF(B217="","",IF(N(R217)&gt;0,IF(Einstellungen!$C$10="Ja",Q217/R217,Q217/(R217+Q217)),""))</f>
        <v/>
      </c>
      <c r="T217" s="56">
        <f>IF(B217="","",IF(S217="","keine Ist-Std.",IF(S217&lt;=Einstellungen!$C$7,"unauffällig",IF(S217&lt;=Einstellungen!$C$8,"auffällig","kritisch"))))</f>
        <v/>
      </c>
    </row>
    <row r="218">
      <c r="A218" s="47">
        <f>IF(Mitarbeiter!B218="","",Mitarbeiter!A218)</f>
        <v/>
      </c>
      <c r="B218" s="48">
        <f>IF(Mitarbeiter!B218="","",Mitarbeiter!B218)</f>
        <v/>
      </c>
      <c r="C218" s="7">
        <f>IF(Mitarbeiter!B218="","",Mitarbeiter!G218)</f>
        <v/>
      </c>
      <c r="D218" s="57">
        <f>IF(Mitarbeiter!B218="","",Mitarbeiter!H218)</f>
        <v/>
      </c>
      <c r="E218" s="57">
        <f>IF(Mitarbeiter!B218="","",'Ist-Stunden'!C218)</f>
        <v/>
      </c>
      <c r="F218" s="57">
        <f>IF(B218="","",Berechnung!AE218)</f>
        <v/>
      </c>
      <c r="G218" s="61">
        <f>IF(B218="","",Berechnung!P218)</f>
        <v/>
      </c>
      <c r="H218" s="61">
        <f>IF(B218="","",Berechnung!AC218)</f>
        <v/>
      </c>
      <c r="I218" s="61">
        <f>IF(B218="","",Berechnung!AD218)</f>
        <v/>
      </c>
      <c r="J218" s="36">
        <f>IF(B218="","",SUMPRODUCT(((Berechnung!D218:O218+Berechnung!Q218:AB218)&gt;0)*1))</f>
        <v/>
      </c>
      <c r="K218" s="62">
        <f>IF(B218="","",IF(N(D218)&gt;0,F218/D218,""))</f>
        <v/>
      </c>
      <c r="L218" s="40">
        <f>IF(B218="","",IF(N(E218)&gt;0,IF(Einstellungen!$C$10="Ja",F218/E218,F218/(E218+F218)),""))</f>
        <v/>
      </c>
      <c r="M218" s="63">
        <f>IF(L218="","",RANK(L218,$L$6:$L$305,0))</f>
        <v/>
      </c>
      <c r="N218" s="56">
        <f>IF(B218="","",IF(L218="","keine Ist-Std.",IF(L218&lt;=Einstellungen!$C$7,"unauffällig",IF(L218&lt;=Einstellungen!$C$8,"auffällig","kritisch"))))</f>
        <v/>
      </c>
      <c r="O218" s="64">
        <f>IF(L218="",-1,L218+ROW()/1000000000)</f>
        <v/>
      </c>
      <c r="P218" s="61">
        <f>IF(B218="","",Berechnung!AF218)</f>
        <v/>
      </c>
      <c r="Q218" s="57">
        <f>IF(B218="","",Berechnung!AG218)</f>
        <v/>
      </c>
      <c r="R218" s="57">
        <f>IF(B218="","",'Ist-Stunden'!D218)</f>
        <v/>
      </c>
      <c r="S218" s="59">
        <f>IF(B218="","",IF(N(R218)&gt;0,IF(Einstellungen!$C$10="Ja",Q218/R218,Q218/(R218+Q218)),""))</f>
        <v/>
      </c>
      <c r="T218" s="56">
        <f>IF(B218="","",IF(S218="","keine Ist-Std.",IF(S218&lt;=Einstellungen!$C$7,"unauffällig",IF(S218&lt;=Einstellungen!$C$8,"auffällig","kritisch"))))</f>
        <v/>
      </c>
    </row>
    <row r="219">
      <c r="A219" s="47">
        <f>IF(Mitarbeiter!B219="","",Mitarbeiter!A219)</f>
        <v/>
      </c>
      <c r="B219" s="48">
        <f>IF(Mitarbeiter!B219="","",Mitarbeiter!B219)</f>
        <v/>
      </c>
      <c r="C219" s="7">
        <f>IF(Mitarbeiter!B219="","",Mitarbeiter!G219)</f>
        <v/>
      </c>
      <c r="D219" s="57">
        <f>IF(Mitarbeiter!B219="","",Mitarbeiter!H219)</f>
        <v/>
      </c>
      <c r="E219" s="57">
        <f>IF(Mitarbeiter!B219="","",'Ist-Stunden'!C219)</f>
        <v/>
      </c>
      <c r="F219" s="57">
        <f>IF(B219="","",Berechnung!AE219)</f>
        <v/>
      </c>
      <c r="G219" s="61">
        <f>IF(B219="","",Berechnung!P219)</f>
        <v/>
      </c>
      <c r="H219" s="61">
        <f>IF(B219="","",Berechnung!AC219)</f>
        <v/>
      </c>
      <c r="I219" s="61">
        <f>IF(B219="","",Berechnung!AD219)</f>
        <v/>
      </c>
      <c r="J219" s="36">
        <f>IF(B219="","",SUMPRODUCT(((Berechnung!D219:O219+Berechnung!Q219:AB219)&gt;0)*1))</f>
        <v/>
      </c>
      <c r="K219" s="62">
        <f>IF(B219="","",IF(N(D219)&gt;0,F219/D219,""))</f>
        <v/>
      </c>
      <c r="L219" s="40">
        <f>IF(B219="","",IF(N(E219)&gt;0,IF(Einstellungen!$C$10="Ja",F219/E219,F219/(E219+F219)),""))</f>
        <v/>
      </c>
      <c r="M219" s="63">
        <f>IF(L219="","",RANK(L219,$L$6:$L$305,0))</f>
        <v/>
      </c>
      <c r="N219" s="56">
        <f>IF(B219="","",IF(L219="","keine Ist-Std.",IF(L219&lt;=Einstellungen!$C$7,"unauffällig",IF(L219&lt;=Einstellungen!$C$8,"auffällig","kritisch"))))</f>
        <v/>
      </c>
      <c r="O219" s="64">
        <f>IF(L219="",-1,L219+ROW()/1000000000)</f>
        <v/>
      </c>
      <c r="P219" s="61">
        <f>IF(B219="","",Berechnung!AF219)</f>
        <v/>
      </c>
      <c r="Q219" s="57">
        <f>IF(B219="","",Berechnung!AG219)</f>
        <v/>
      </c>
      <c r="R219" s="57">
        <f>IF(B219="","",'Ist-Stunden'!D219)</f>
        <v/>
      </c>
      <c r="S219" s="59">
        <f>IF(B219="","",IF(N(R219)&gt;0,IF(Einstellungen!$C$10="Ja",Q219/R219,Q219/(R219+Q219)),""))</f>
        <v/>
      </c>
      <c r="T219" s="56">
        <f>IF(B219="","",IF(S219="","keine Ist-Std.",IF(S219&lt;=Einstellungen!$C$7,"unauffällig",IF(S219&lt;=Einstellungen!$C$8,"auffällig","kritisch"))))</f>
        <v/>
      </c>
    </row>
    <row r="220">
      <c r="A220" s="47">
        <f>IF(Mitarbeiter!B220="","",Mitarbeiter!A220)</f>
        <v/>
      </c>
      <c r="B220" s="48">
        <f>IF(Mitarbeiter!B220="","",Mitarbeiter!B220)</f>
        <v/>
      </c>
      <c r="C220" s="7">
        <f>IF(Mitarbeiter!B220="","",Mitarbeiter!G220)</f>
        <v/>
      </c>
      <c r="D220" s="57">
        <f>IF(Mitarbeiter!B220="","",Mitarbeiter!H220)</f>
        <v/>
      </c>
      <c r="E220" s="57">
        <f>IF(Mitarbeiter!B220="","",'Ist-Stunden'!C220)</f>
        <v/>
      </c>
      <c r="F220" s="57">
        <f>IF(B220="","",Berechnung!AE220)</f>
        <v/>
      </c>
      <c r="G220" s="61">
        <f>IF(B220="","",Berechnung!P220)</f>
        <v/>
      </c>
      <c r="H220" s="61">
        <f>IF(B220="","",Berechnung!AC220)</f>
        <v/>
      </c>
      <c r="I220" s="61">
        <f>IF(B220="","",Berechnung!AD220)</f>
        <v/>
      </c>
      <c r="J220" s="36">
        <f>IF(B220="","",SUMPRODUCT(((Berechnung!D220:O220+Berechnung!Q220:AB220)&gt;0)*1))</f>
        <v/>
      </c>
      <c r="K220" s="62">
        <f>IF(B220="","",IF(N(D220)&gt;0,F220/D220,""))</f>
        <v/>
      </c>
      <c r="L220" s="40">
        <f>IF(B220="","",IF(N(E220)&gt;0,IF(Einstellungen!$C$10="Ja",F220/E220,F220/(E220+F220)),""))</f>
        <v/>
      </c>
      <c r="M220" s="63">
        <f>IF(L220="","",RANK(L220,$L$6:$L$305,0))</f>
        <v/>
      </c>
      <c r="N220" s="56">
        <f>IF(B220="","",IF(L220="","keine Ist-Std.",IF(L220&lt;=Einstellungen!$C$7,"unauffällig",IF(L220&lt;=Einstellungen!$C$8,"auffällig","kritisch"))))</f>
        <v/>
      </c>
      <c r="O220" s="64">
        <f>IF(L220="",-1,L220+ROW()/1000000000)</f>
        <v/>
      </c>
      <c r="P220" s="61">
        <f>IF(B220="","",Berechnung!AF220)</f>
        <v/>
      </c>
      <c r="Q220" s="57">
        <f>IF(B220="","",Berechnung!AG220)</f>
        <v/>
      </c>
      <c r="R220" s="57">
        <f>IF(B220="","",'Ist-Stunden'!D220)</f>
        <v/>
      </c>
      <c r="S220" s="59">
        <f>IF(B220="","",IF(N(R220)&gt;0,IF(Einstellungen!$C$10="Ja",Q220/R220,Q220/(R220+Q220)),""))</f>
        <v/>
      </c>
      <c r="T220" s="56">
        <f>IF(B220="","",IF(S220="","keine Ist-Std.",IF(S220&lt;=Einstellungen!$C$7,"unauffällig",IF(S220&lt;=Einstellungen!$C$8,"auffällig","kritisch"))))</f>
        <v/>
      </c>
    </row>
    <row r="221">
      <c r="A221" s="47">
        <f>IF(Mitarbeiter!B221="","",Mitarbeiter!A221)</f>
        <v/>
      </c>
      <c r="B221" s="48">
        <f>IF(Mitarbeiter!B221="","",Mitarbeiter!B221)</f>
        <v/>
      </c>
      <c r="C221" s="7">
        <f>IF(Mitarbeiter!B221="","",Mitarbeiter!G221)</f>
        <v/>
      </c>
      <c r="D221" s="57">
        <f>IF(Mitarbeiter!B221="","",Mitarbeiter!H221)</f>
        <v/>
      </c>
      <c r="E221" s="57">
        <f>IF(Mitarbeiter!B221="","",'Ist-Stunden'!C221)</f>
        <v/>
      </c>
      <c r="F221" s="57">
        <f>IF(B221="","",Berechnung!AE221)</f>
        <v/>
      </c>
      <c r="G221" s="61">
        <f>IF(B221="","",Berechnung!P221)</f>
        <v/>
      </c>
      <c r="H221" s="61">
        <f>IF(B221="","",Berechnung!AC221)</f>
        <v/>
      </c>
      <c r="I221" s="61">
        <f>IF(B221="","",Berechnung!AD221)</f>
        <v/>
      </c>
      <c r="J221" s="36">
        <f>IF(B221="","",SUMPRODUCT(((Berechnung!D221:O221+Berechnung!Q221:AB221)&gt;0)*1))</f>
        <v/>
      </c>
      <c r="K221" s="62">
        <f>IF(B221="","",IF(N(D221)&gt;0,F221/D221,""))</f>
        <v/>
      </c>
      <c r="L221" s="40">
        <f>IF(B221="","",IF(N(E221)&gt;0,IF(Einstellungen!$C$10="Ja",F221/E221,F221/(E221+F221)),""))</f>
        <v/>
      </c>
      <c r="M221" s="63">
        <f>IF(L221="","",RANK(L221,$L$6:$L$305,0))</f>
        <v/>
      </c>
      <c r="N221" s="56">
        <f>IF(B221="","",IF(L221="","keine Ist-Std.",IF(L221&lt;=Einstellungen!$C$7,"unauffällig",IF(L221&lt;=Einstellungen!$C$8,"auffällig","kritisch"))))</f>
        <v/>
      </c>
      <c r="O221" s="64">
        <f>IF(L221="",-1,L221+ROW()/1000000000)</f>
        <v/>
      </c>
      <c r="P221" s="61">
        <f>IF(B221="","",Berechnung!AF221)</f>
        <v/>
      </c>
      <c r="Q221" s="57">
        <f>IF(B221="","",Berechnung!AG221)</f>
        <v/>
      </c>
      <c r="R221" s="57">
        <f>IF(B221="","",'Ist-Stunden'!D221)</f>
        <v/>
      </c>
      <c r="S221" s="59">
        <f>IF(B221="","",IF(N(R221)&gt;0,IF(Einstellungen!$C$10="Ja",Q221/R221,Q221/(R221+Q221)),""))</f>
        <v/>
      </c>
      <c r="T221" s="56">
        <f>IF(B221="","",IF(S221="","keine Ist-Std.",IF(S221&lt;=Einstellungen!$C$7,"unauffällig",IF(S221&lt;=Einstellungen!$C$8,"auffällig","kritisch"))))</f>
        <v/>
      </c>
    </row>
    <row r="222">
      <c r="A222" s="47">
        <f>IF(Mitarbeiter!B222="","",Mitarbeiter!A222)</f>
        <v/>
      </c>
      <c r="B222" s="48">
        <f>IF(Mitarbeiter!B222="","",Mitarbeiter!B222)</f>
        <v/>
      </c>
      <c r="C222" s="7">
        <f>IF(Mitarbeiter!B222="","",Mitarbeiter!G222)</f>
        <v/>
      </c>
      <c r="D222" s="57">
        <f>IF(Mitarbeiter!B222="","",Mitarbeiter!H222)</f>
        <v/>
      </c>
      <c r="E222" s="57">
        <f>IF(Mitarbeiter!B222="","",'Ist-Stunden'!C222)</f>
        <v/>
      </c>
      <c r="F222" s="57">
        <f>IF(B222="","",Berechnung!AE222)</f>
        <v/>
      </c>
      <c r="G222" s="61">
        <f>IF(B222="","",Berechnung!P222)</f>
        <v/>
      </c>
      <c r="H222" s="61">
        <f>IF(B222="","",Berechnung!AC222)</f>
        <v/>
      </c>
      <c r="I222" s="61">
        <f>IF(B222="","",Berechnung!AD222)</f>
        <v/>
      </c>
      <c r="J222" s="36">
        <f>IF(B222="","",SUMPRODUCT(((Berechnung!D222:O222+Berechnung!Q222:AB222)&gt;0)*1))</f>
        <v/>
      </c>
      <c r="K222" s="62">
        <f>IF(B222="","",IF(N(D222)&gt;0,F222/D222,""))</f>
        <v/>
      </c>
      <c r="L222" s="40">
        <f>IF(B222="","",IF(N(E222)&gt;0,IF(Einstellungen!$C$10="Ja",F222/E222,F222/(E222+F222)),""))</f>
        <v/>
      </c>
      <c r="M222" s="63">
        <f>IF(L222="","",RANK(L222,$L$6:$L$305,0))</f>
        <v/>
      </c>
      <c r="N222" s="56">
        <f>IF(B222="","",IF(L222="","keine Ist-Std.",IF(L222&lt;=Einstellungen!$C$7,"unauffällig",IF(L222&lt;=Einstellungen!$C$8,"auffällig","kritisch"))))</f>
        <v/>
      </c>
      <c r="O222" s="64">
        <f>IF(L222="",-1,L222+ROW()/1000000000)</f>
        <v/>
      </c>
      <c r="P222" s="61">
        <f>IF(B222="","",Berechnung!AF222)</f>
        <v/>
      </c>
      <c r="Q222" s="57">
        <f>IF(B222="","",Berechnung!AG222)</f>
        <v/>
      </c>
      <c r="R222" s="57">
        <f>IF(B222="","",'Ist-Stunden'!D222)</f>
        <v/>
      </c>
      <c r="S222" s="59">
        <f>IF(B222="","",IF(N(R222)&gt;0,IF(Einstellungen!$C$10="Ja",Q222/R222,Q222/(R222+Q222)),""))</f>
        <v/>
      </c>
      <c r="T222" s="56">
        <f>IF(B222="","",IF(S222="","keine Ist-Std.",IF(S222&lt;=Einstellungen!$C$7,"unauffällig",IF(S222&lt;=Einstellungen!$C$8,"auffällig","kritisch"))))</f>
        <v/>
      </c>
    </row>
    <row r="223">
      <c r="A223" s="47">
        <f>IF(Mitarbeiter!B223="","",Mitarbeiter!A223)</f>
        <v/>
      </c>
      <c r="B223" s="48">
        <f>IF(Mitarbeiter!B223="","",Mitarbeiter!B223)</f>
        <v/>
      </c>
      <c r="C223" s="7">
        <f>IF(Mitarbeiter!B223="","",Mitarbeiter!G223)</f>
        <v/>
      </c>
      <c r="D223" s="57">
        <f>IF(Mitarbeiter!B223="","",Mitarbeiter!H223)</f>
        <v/>
      </c>
      <c r="E223" s="57">
        <f>IF(Mitarbeiter!B223="","",'Ist-Stunden'!C223)</f>
        <v/>
      </c>
      <c r="F223" s="57">
        <f>IF(B223="","",Berechnung!AE223)</f>
        <v/>
      </c>
      <c r="G223" s="61">
        <f>IF(B223="","",Berechnung!P223)</f>
        <v/>
      </c>
      <c r="H223" s="61">
        <f>IF(B223="","",Berechnung!AC223)</f>
        <v/>
      </c>
      <c r="I223" s="61">
        <f>IF(B223="","",Berechnung!AD223)</f>
        <v/>
      </c>
      <c r="J223" s="36">
        <f>IF(B223="","",SUMPRODUCT(((Berechnung!D223:O223+Berechnung!Q223:AB223)&gt;0)*1))</f>
        <v/>
      </c>
      <c r="K223" s="62">
        <f>IF(B223="","",IF(N(D223)&gt;0,F223/D223,""))</f>
        <v/>
      </c>
      <c r="L223" s="40">
        <f>IF(B223="","",IF(N(E223)&gt;0,IF(Einstellungen!$C$10="Ja",F223/E223,F223/(E223+F223)),""))</f>
        <v/>
      </c>
      <c r="M223" s="63">
        <f>IF(L223="","",RANK(L223,$L$6:$L$305,0))</f>
        <v/>
      </c>
      <c r="N223" s="56">
        <f>IF(B223="","",IF(L223="","keine Ist-Std.",IF(L223&lt;=Einstellungen!$C$7,"unauffällig",IF(L223&lt;=Einstellungen!$C$8,"auffällig","kritisch"))))</f>
        <v/>
      </c>
      <c r="O223" s="64">
        <f>IF(L223="",-1,L223+ROW()/1000000000)</f>
        <v/>
      </c>
      <c r="P223" s="61">
        <f>IF(B223="","",Berechnung!AF223)</f>
        <v/>
      </c>
      <c r="Q223" s="57">
        <f>IF(B223="","",Berechnung!AG223)</f>
        <v/>
      </c>
      <c r="R223" s="57">
        <f>IF(B223="","",'Ist-Stunden'!D223)</f>
        <v/>
      </c>
      <c r="S223" s="59">
        <f>IF(B223="","",IF(N(R223)&gt;0,IF(Einstellungen!$C$10="Ja",Q223/R223,Q223/(R223+Q223)),""))</f>
        <v/>
      </c>
      <c r="T223" s="56">
        <f>IF(B223="","",IF(S223="","keine Ist-Std.",IF(S223&lt;=Einstellungen!$C$7,"unauffällig",IF(S223&lt;=Einstellungen!$C$8,"auffällig","kritisch"))))</f>
        <v/>
      </c>
    </row>
    <row r="224">
      <c r="A224" s="47">
        <f>IF(Mitarbeiter!B224="","",Mitarbeiter!A224)</f>
        <v/>
      </c>
      <c r="B224" s="48">
        <f>IF(Mitarbeiter!B224="","",Mitarbeiter!B224)</f>
        <v/>
      </c>
      <c r="C224" s="7">
        <f>IF(Mitarbeiter!B224="","",Mitarbeiter!G224)</f>
        <v/>
      </c>
      <c r="D224" s="57">
        <f>IF(Mitarbeiter!B224="","",Mitarbeiter!H224)</f>
        <v/>
      </c>
      <c r="E224" s="57">
        <f>IF(Mitarbeiter!B224="","",'Ist-Stunden'!C224)</f>
        <v/>
      </c>
      <c r="F224" s="57">
        <f>IF(B224="","",Berechnung!AE224)</f>
        <v/>
      </c>
      <c r="G224" s="61">
        <f>IF(B224="","",Berechnung!P224)</f>
        <v/>
      </c>
      <c r="H224" s="61">
        <f>IF(B224="","",Berechnung!AC224)</f>
        <v/>
      </c>
      <c r="I224" s="61">
        <f>IF(B224="","",Berechnung!AD224)</f>
        <v/>
      </c>
      <c r="J224" s="36">
        <f>IF(B224="","",SUMPRODUCT(((Berechnung!D224:O224+Berechnung!Q224:AB224)&gt;0)*1))</f>
        <v/>
      </c>
      <c r="K224" s="62">
        <f>IF(B224="","",IF(N(D224)&gt;0,F224/D224,""))</f>
        <v/>
      </c>
      <c r="L224" s="40">
        <f>IF(B224="","",IF(N(E224)&gt;0,IF(Einstellungen!$C$10="Ja",F224/E224,F224/(E224+F224)),""))</f>
        <v/>
      </c>
      <c r="M224" s="63">
        <f>IF(L224="","",RANK(L224,$L$6:$L$305,0))</f>
        <v/>
      </c>
      <c r="N224" s="56">
        <f>IF(B224="","",IF(L224="","keine Ist-Std.",IF(L224&lt;=Einstellungen!$C$7,"unauffällig",IF(L224&lt;=Einstellungen!$C$8,"auffällig","kritisch"))))</f>
        <v/>
      </c>
      <c r="O224" s="64">
        <f>IF(L224="",-1,L224+ROW()/1000000000)</f>
        <v/>
      </c>
      <c r="P224" s="61">
        <f>IF(B224="","",Berechnung!AF224)</f>
        <v/>
      </c>
      <c r="Q224" s="57">
        <f>IF(B224="","",Berechnung!AG224)</f>
        <v/>
      </c>
      <c r="R224" s="57">
        <f>IF(B224="","",'Ist-Stunden'!D224)</f>
        <v/>
      </c>
      <c r="S224" s="59">
        <f>IF(B224="","",IF(N(R224)&gt;0,IF(Einstellungen!$C$10="Ja",Q224/R224,Q224/(R224+Q224)),""))</f>
        <v/>
      </c>
      <c r="T224" s="56">
        <f>IF(B224="","",IF(S224="","keine Ist-Std.",IF(S224&lt;=Einstellungen!$C$7,"unauffällig",IF(S224&lt;=Einstellungen!$C$8,"auffällig","kritisch"))))</f>
        <v/>
      </c>
    </row>
    <row r="225">
      <c r="A225" s="47">
        <f>IF(Mitarbeiter!B225="","",Mitarbeiter!A225)</f>
        <v/>
      </c>
      <c r="B225" s="48">
        <f>IF(Mitarbeiter!B225="","",Mitarbeiter!B225)</f>
        <v/>
      </c>
      <c r="C225" s="7">
        <f>IF(Mitarbeiter!B225="","",Mitarbeiter!G225)</f>
        <v/>
      </c>
      <c r="D225" s="57">
        <f>IF(Mitarbeiter!B225="","",Mitarbeiter!H225)</f>
        <v/>
      </c>
      <c r="E225" s="57">
        <f>IF(Mitarbeiter!B225="","",'Ist-Stunden'!C225)</f>
        <v/>
      </c>
      <c r="F225" s="57">
        <f>IF(B225="","",Berechnung!AE225)</f>
        <v/>
      </c>
      <c r="G225" s="61">
        <f>IF(B225="","",Berechnung!P225)</f>
        <v/>
      </c>
      <c r="H225" s="61">
        <f>IF(B225="","",Berechnung!AC225)</f>
        <v/>
      </c>
      <c r="I225" s="61">
        <f>IF(B225="","",Berechnung!AD225)</f>
        <v/>
      </c>
      <c r="J225" s="36">
        <f>IF(B225="","",SUMPRODUCT(((Berechnung!D225:O225+Berechnung!Q225:AB225)&gt;0)*1))</f>
        <v/>
      </c>
      <c r="K225" s="62">
        <f>IF(B225="","",IF(N(D225)&gt;0,F225/D225,""))</f>
        <v/>
      </c>
      <c r="L225" s="40">
        <f>IF(B225="","",IF(N(E225)&gt;0,IF(Einstellungen!$C$10="Ja",F225/E225,F225/(E225+F225)),""))</f>
        <v/>
      </c>
      <c r="M225" s="63">
        <f>IF(L225="","",RANK(L225,$L$6:$L$305,0))</f>
        <v/>
      </c>
      <c r="N225" s="56">
        <f>IF(B225="","",IF(L225="","keine Ist-Std.",IF(L225&lt;=Einstellungen!$C$7,"unauffällig",IF(L225&lt;=Einstellungen!$C$8,"auffällig","kritisch"))))</f>
        <v/>
      </c>
      <c r="O225" s="64">
        <f>IF(L225="",-1,L225+ROW()/1000000000)</f>
        <v/>
      </c>
      <c r="P225" s="61">
        <f>IF(B225="","",Berechnung!AF225)</f>
        <v/>
      </c>
      <c r="Q225" s="57">
        <f>IF(B225="","",Berechnung!AG225)</f>
        <v/>
      </c>
      <c r="R225" s="57">
        <f>IF(B225="","",'Ist-Stunden'!D225)</f>
        <v/>
      </c>
      <c r="S225" s="59">
        <f>IF(B225="","",IF(N(R225)&gt;0,IF(Einstellungen!$C$10="Ja",Q225/R225,Q225/(R225+Q225)),""))</f>
        <v/>
      </c>
      <c r="T225" s="56">
        <f>IF(B225="","",IF(S225="","keine Ist-Std.",IF(S225&lt;=Einstellungen!$C$7,"unauffällig",IF(S225&lt;=Einstellungen!$C$8,"auffällig","kritisch"))))</f>
        <v/>
      </c>
    </row>
    <row r="226">
      <c r="A226" s="47">
        <f>IF(Mitarbeiter!B226="","",Mitarbeiter!A226)</f>
        <v/>
      </c>
      <c r="B226" s="48">
        <f>IF(Mitarbeiter!B226="","",Mitarbeiter!B226)</f>
        <v/>
      </c>
      <c r="C226" s="7">
        <f>IF(Mitarbeiter!B226="","",Mitarbeiter!G226)</f>
        <v/>
      </c>
      <c r="D226" s="57">
        <f>IF(Mitarbeiter!B226="","",Mitarbeiter!H226)</f>
        <v/>
      </c>
      <c r="E226" s="57">
        <f>IF(Mitarbeiter!B226="","",'Ist-Stunden'!C226)</f>
        <v/>
      </c>
      <c r="F226" s="57">
        <f>IF(B226="","",Berechnung!AE226)</f>
        <v/>
      </c>
      <c r="G226" s="61">
        <f>IF(B226="","",Berechnung!P226)</f>
        <v/>
      </c>
      <c r="H226" s="61">
        <f>IF(B226="","",Berechnung!AC226)</f>
        <v/>
      </c>
      <c r="I226" s="61">
        <f>IF(B226="","",Berechnung!AD226)</f>
        <v/>
      </c>
      <c r="J226" s="36">
        <f>IF(B226="","",SUMPRODUCT(((Berechnung!D226:O226+Berechnung!Q226:AB226)&gt;0)*1))</f>
        <v/>
      </c>
      <c r="K226" s="62">
        <f>IF(B226="","",IF(N(D226)&gt;0,F226/D226,""))</f>
        <v/>
      </c>
      <c r="L226" s="40">
        <f>IF(B226="","",IF(N(E226)&gt;0,IF(Einstellungen!$C$10="Ja",F226/E226,F226/(E226+F226)),""))</f>
        <v/>
      </c>
      <c r="M226" s="63">
        <f>IF(L226="","",RANK(L226,$L$6:$L$305,0))</f>
        <v/>
      </c>
      <c r="N226" s="56">
        <f>IF(B226="","",IF(L226="","keine Ist-Std.",IF(L226&lt;=Einstellungen!$C$7,"unauffällig",IF(L226&lt;=Einstellungen!$C$8,"auffällig","kritisch"))))</f>
        <v/>
      </c>
      <c r="O226" s="64">
        <f>IF(L226="",-1,L226+ROW()/1000000000)</f>
        <v/>
      </c>
      <c r="P226" s="61">
        <f>IF(B226="","",Berechnung!AF226)</f>
        <v/>
      </c>
      <c r="Q226" s="57">
        <f>IF(B226="","",Berechnung!AG226)</f>
        <v/>
      </c>
      <c r="R226" s="57">
        <f>IF(B226="","",'Ist-Stunden'!D226)</f>
        <v/>
      </c>
      <c r="S226" s="59">
        <f>IF(B226="","",IF(N(R226)&gt;0,IF(Einstellungen!$C$10="Ja",Q226/R226,Q226/(R226+Q226)),""))</f>
        <v/>
      </c>
      <c r="T226" s="56">
        <f>IF(B226="","",IF(S226="","keine Ist-Std.",IF(S226&lt;=Einstellungen!$C$7,"unauffällig",IF(S226&lt;=Einstellungen!$C$8,"auffällig","kritisch"))))</f>
        <v/>
      </c>
    </row>
    <row r="227">
      <c r="A227" s="47">
        <f>IF(Mitarbeiter!B227="","",Mitarbeiter!A227)</f>
        <v/>
      </c>
      <c r="B227" s="48">
        <f>IF(Mitarbeiter!B227="","",Mitarbeiter!B227)</f>
        <v/>
      </c>
      <c r="C227" s="7">
        <f>IF(Mitarbeiter!B227="","",Mitarbeiter!G227)</f>
        <v/>
      </c>
      <c r="D227" s="57">
        <f>IF(Mitarbeiter!B227="","",Mitarbeiter!H227)</f>
        <v/>
      </c>
      <c r="E227" s="57">
        <f>IF(Mitarbeiter!B227="","",'Ist-Stunden'!C227)</f>
        <v/>
      </c>
      <c r="F227" s="57">
        <f>IF(B227="","",Berechnung!AE227)</f>
        <v/>
      </c>
      <c r="G227" s="61">
        <f>IF(B227="","",Berechnung!P227)</f>
        <v/>
      </c>
      <c r="H227" s="61">
        <f>IF(B227="","",Berechnung!AC227)</f>
        <v/>
      </c>
      <c r="I227" s="61">
        <f>IF(B227="","",Berechnung!AD227)</f>
        <v/>
      </c>
      <c r="J227" s="36">
        <f>IF(B227="","",SUMPRODUCT(((Berechnung!D227:O227+Berechnung!Q227:AB227)&gt;0)*1))</f>
        <v/>
      </c>
      <c r="K227" s="62">
        <f>IF(B227="","",IF(N(D227)&gt;0,F227/D227,""))</f>
        <v/>
      </c>
      <c r="L227" s="40">
        <f>IF(B227="","",IF(N(E227)&gt;0,IF(Einstellungen!$C$10="Ja",F227/E227,F227/(E227+F227)),""))</f>
        <v/>
      </c>
      <c r="M227" s="63">
        <f>IF(L227="","",RANK(L227,$L$6:$L$305,0))</f>
        <v/>
      </c>
      <c r="N227" s="56">
        <f>IF(B227="","",IF(L227="","keine Ist-Std.",IF(L227&lt;=Einstellungen!$C$7,"unauffällig",IF(L227&lt;=Einstellungen!$C$8,"auffällig","kritisch"))))</f>
        <v/>
      </c>
      <c r="O227" s="64">
        <f>IF(L227="",-1,L227+ROW()/1000000000)</f>
        <v/>
      </c>
      <c r="P227" s="61">
        <f>IF(B227="","",Berechnung!AF227)</f>
        <v/>
      </c>
      <c r="Q227" s="57">
        <f>IF(B227="","",Berechnung!AG227)</f>
        <v/>
      </c>
      <c r="R227" s="57">
        <f>IF(B227="","",'Ist-Stunden'!D227)</f>
        <v/>
      </c>
      <c r="S227" s="59">
        <f>IF(B227="","",IF(N(R227)&gt;0,IF(Einstellungen!$C$10="Ja",Q227/R227,Q227/(R227+Q227)),""))</f>
        <v/>
      </c>
      <c r="T227" s="56">
        <f>IF(B227="","",IF(S227="","keine Ist-Std.",IF(S227&lt;=Einstellungen!$C$7,"unauffällig",IF(S227&lt;=Einstellungen!$C$8,"auffällig","kritisch"))))</f>
        <v/>
      </c>
    </row>
    <row r="228">
      <c r="A228" s="47">
        <f>IF(Mitarbeiter!B228="","",Mitarbeiter!A228)</f>
        <v/>
      </c>
      <c r="B228" s="48">
        <f>IF(Mitarbeiter!B228="","",Mitarbeiter!B228)</f>
        <v/>
      </c>
      <c r="C228" s="7">
        <f>IF(Mitarbeiter!B228="","",Mitarbeiter!G228)</f>
        <v/>
      </c>
      <c r="D228" s="57">
        <f>IF(Mitarbeiter!B228="","",Mitarbeiter!H228)</f>
        <v/>
      </c>
      <c r="E228" s="57">
        <f>IF(Mitarbeiter!B228="","",'Ist-Stunden'!C228)</f>
        <v/>
      </c>
      <c r="F228" s="57">
        <f>IF(B228="","",Berechnung!AE228)</f>
        <v/>
      </c>
      <c r="G228" s="61">
        <f>IF(B228="","",Berechnung!P228)</f>
        <v/>
      </c>
      <c r="H228" s="61">
        <f>IF(B228="","",Berechnung!AC228)</f>
        <v/>
      </c>
      <c r="I228" s="61">
        <f>IF(B228="","",Berechnung!AD228)</f>
        <v/>
      </c>
      <c r="J228" s="36">
        <f>IF(B228="","",SUMPRODUCT(((Berechnung!D228:O228+Berechnung!Q228:AB228)&gt;0)*1))</f>
        <v/>
      </c>
      <c r="K228" s="62">
        <f>IF(B228="","",IF(N(D228)&gt;0,F228/D228,""))</f>
        <v/>
      </c>
      <c r="L228" s="40">
        <f>IF(B228="","",IF(N(E228)&gt;0,IF(Einstellungen!$C$10="Ja",F228/E228,F228/(E228+F228)),""))</f>
        <v/>
      </c>
      <c r="M228" s="63">
        <f>IF(L228="","",RANK(L228,$L$6:$L$305,0))</f>
        <v/>
      </c>
      <c r="N228" s="56">
        <f>IF(B228="","",IF(L228="","keine Ist-Std.",IF(L228&lt;=Einstellungen!$C$7,"unauffällig",IF(L228&lt;=Einstellungen!$C$8,"auffällig","kritisch"))))</f>
        <v/>
      </c>
      <c r="O228" s="64">
        <f>IF(L228="",-1,L228+ROW()/1000000000)</f>
        <v/>
      </c>
      <c r="P228" s="61">
        <f>IF(B228="","",Berechnung!AF228)</f>
        <v/>
      </c>
      <c r="Q228" s="57">
        <f>IF(B228="","",Berechnung!AG228)</f>
        <v/>
      </c>
      <c r="R228" s="57">
        <f>IF(B228="","",'Ist-Stunden'!D228)</f>
        <v/>
      </c>
      <c r="S228" s="59">
        <f>IF(B228="","",IF(N(R228)&gt;0,IF(Einstellungen!$C$10="Ja",Q228/R228,Q228/(R228+Q228)),""))</f>
        <v/>
      </c>
      <c r="T228" s="56">
        <f>IF(B228="","",IF(S228="","keine Ist-Std.",IF(S228&lt;=Einstellungen!$C$7,"unauffällig",IF(S228&lt;=Einstellungen!$C$8,"auffällig","kritisch"))))</f>
        <v/>
      </c>
    </row>
    <row r="229">
      <c r="A229" s="47">
        <f>IF(Mitarbeiter!B229="","",Mitarbeiter!A229)</f>
        <v/>
      </c>
      <c r="B229" s="48">
        <f>IF(Mitarbeiter!B229="","",Mitarbeiter!B229)</f>
        <v/>
      </c>
      <c r="C229" s="7">
        <f>IF(Mitarbeiter!B229="","",Mitarbeiter!G229)</f>
        <v/>
      </c>
      <c r="D229" s="57">
        <f>IF(Mitarbeiter!B229="","",Mitarbeiter!H229)</f>
        <v/>
      </c>
      <c r="E229" s="57">
        <f>IF(Mitarbeiter!B229="","",'Ist-Stunden'!C229)</f>
        <v/>
      </c>
      <c r="F229" s="57">
        <f>IF(B229="","",Berechnung!AE229)</f>
        <v/>
      </c>
      <c r="G229" s="61">
        <f>IF(B229="","",Berechnung!P229)</f>
        <v/>
      </c>
      <c r="H229" s="61">
        <f>IF(B229="","",Berechnung!AC229)</f>
        <v/>
      </c>
      <c r="I229" s="61">
        <f>IF(B229="","",Berechnung!AD229)</f>
        <v/>
      </c>
      <c r="J229" s="36">
        <f>IF(B229="","",SUMPRODUCT(((Berechnung!D229:O229+Berechnung!Q229:AB229)&gt;0)*1))</f>
        <v/>
      </c>
      <c r="K229" s="62">
        <f>IF(B229="","",IF(N(D229)&gt;0,F229/D229,""))</f>
        <v/>
      </c>
      <c r="L229" s="40">
        <f>IF(B229="","",IF(N(E229)&gt;0,IF(Einstellungen!$C$10="Ja",F229/E229,F229/(E229+F229)),""))</f>
        <v/>
      </c>
      <c r="M229" s="63">
        <f>IF(L229="","",RANK(L229,$L$6:$L$305,0))</f>
        <v/>
      </c>
      <c r="N229" s="56">
        <f>IF(B229="","",IF(L229="","keine Ist-Std.",IF(L229&lt;=Einstellungen!$C$7,"unauffällig",IF(L229&lt;=Einstellungen!$C$8,"auffällig","kritisch"))))</f>
        <v/>
      </c>
      <c r="O229" s="64">
        <f>IF(L229="",-1,L229+ROW()/1000000000)</f>
        <v/>
      </c>
      <c r="P229" s="61">
        <f>IF(B229="","",Berechnung!AF229)</f>
        <v/>
      </c>
      <c r="Q229" s="57">
        <f>IF(B229="","",Berechnung!AG229)</f>
        <v/>
      </c>
      <c r="R229" s="57">
        <f>IF(B229="","",'Ist-Stunden'!D229)</f>
        <v/>
      </c>
      <c r="S229" s="59">
        <f>IF(B229="","",IF(N(R229)&gt;0,IF(Einstellungen!$C$10="Ja",Q229/R229,Q229/(R229+Q229)),""))</f>
        <v/>
      </c>
      <c r="T229" s="56">
        <f>IF(B229="","",IF(S229="","keine Ist-Std.",IF(S229&lt;=Einstellungen!$C$7,"unauffällig",IF(S229&lt;=Einstellungen!$C$8,"auffällig","kritisch"))))</f>
        <v/>
      </c>
    </row>
    <row r="230">
      <c r="A230" s="47">
        <f>IF(Mitarbeiter!B230="","",Mitarbeiter!A230)</f>
        <v/>
      </c>
      <c r="B230" s="48">
        <f>IF(Mitarbeiter!B230="","",Mitarbeiter!B230)</f>
        <v/>
      </c>
      <c r="C230" s="7">
        <f>IF(Mitarbeiter!B230="","",Mitarbeiter!G230)</f>
        <v/>
      </c>
      <c r="D230" s="57">
        <f>IF(Mitarbeiter!B230="","",Mitarbeiter!H230)</f>
        <v/>
      </c>
      <c r="E230" s="57">
        <f>IF(Mitarbeiter!B230="","",'Ist-Stunden'!C230)</f>
        <v/>
      </c>
      <c r="F230" s="57">
        <f>IF(B230="","",Berechnung!AE230)</f>
        <v/>
      </c>
      <c r="G230" s="61">
        <f>IF(B230="","",Berechnung!P230)</f>
        <v/>
      </c>
      <c r="H230" s="61">
        <f>IF(B230="","",Berechnung!AC230)</f>
        <v/>
      </c>
      <c r="I230" s="61">
        <f>IF(B230="","",Berechnung!AD230)</f>
        <v/>
      </c>
      <c r="J230" s="36">
        <f>IF(B230="","",SUMPRODUCT(((Berechnung!D230:O230+Berechnung!Q230:AB230)&gt;0)*1))</f>
        <v/>
      </c>
      <c r="K230" s="62">
        <f>IF(B230="","",IF(N(D230)&gt;0,F230/D230,""))</f>
        <v/>
      </c>
      <c r="L230" s="40">
        <f>IF(B230="","",IF(N(E230)&gt;0,IF(Einstellungen!$C$10="Ja",F230/E230,F230/(E230+F230)),""))</f>
        <v/>
      </c>
      <c r="M230" s="63">
        <f>IF(L230="","",RANK(L230,$L$6:$L$305,0))</f>
        <v/>
      </c>
      <c r="N230" s="56">
        <f>IF(B230="","",IF(L230="","keine Ist-Std.",IF(L230&lt;=Einstellungen!$C$7,"unauffällig",IF(L230&lt;=Einstellungen!$C$8,"auffällig","kritisch"))))</f>
        <v/>
      </c>
      <c r="O230" s="64">
        <f>IF(L230="",-1,L230+ROW()/1000000000)</f>
        <v/>
      </c>
      <c r="P230" s="61">
        <f>IF(B230="","",Berechnung!AF230)</f>
        <v/>
      </c>
      <c r="Q230" s="57">
        <f>IF(B230="","",Berechnung!AG230)</f>
        <v/>
      </c>
      <c r="R230" s="57">
        <f>IF(B230="","",'Ist-Stunden'!D230)</f>
        <v/>
      </c>
      <c r="S230" s="59">
        <f>IF(B230="","",IF(N(R230)&gt;0,IF(Einstellungen!$C$10="Ja",Q230/R230,Q230/(R230+Q230)),""))</f>
        <v/>
      </c>
      <c r="T230" s="56">
        <f>IF(B230="","",IF(S230="","keine Ist-Std.",IF(S230&lt;=Einstellungen!$C$7,"unauffällig",IF(S230&lt;=Einstellungen!$C$8,"auffällig","kritisch"))))</f>
        <v/>
      </c>
    </row>
    <row r="231">
      <c r="A231" s="47">
        <f>IF(Mitarbeiter!B231="","",Mitarbeiter!A231)</f>
        <v/>
      </c>
      <c r="B231" s="48">
        <f>IF(Mitarbeiter!B231="","",Mitarbeiter!B231)</f>
        <v/>
      </c>
      <c r="C231" s="7">
        <f>IF(Mitarbeiter!B231="","",Mitarbeiter!G231)</f>
        <v/>
      </c>
      <c r="D231" s="57">
        <f>IF(Mitarbeiter!B231="","",Mitarbeiter!H231)</f>
        <v/>
      </c>
      <c r="E231" s="57">
        <f>IF(Mitarbeiter!B231="","",'Ist-Stunden'!C231)</f>
        <v/>
      </c>
      <c r="F231" s="57">
        <f>IF(B231="","",Berechnung!AE231)</f>
        <v/>
      </c>
      <c r="G231" s="61">
        <f>IF(B231="","",Berechnung!P231)</f>
        <v/>
      </c>
      <c r="H231" s="61">
        <f>IF(B231="","",Berechnung!AC231)</f>
        <v/>
      </c>
      <c r="I231" s="61">
        <f>IF(B231="","",Berechnung!AD231)</f>
        <v/>
      </c>
      <c r="J231" s="36">
        <f>IF(B231="","",SUMPRODUCT(((Berechnung!D231:O231+Berechnung!Q231:AB231)&gt;0)*1))</f>
        <v/>
      </c>
      <c r="K231" s="62">
        <f>IF(B231="","",IF(N(D231)&gt;0,F231/D231,""))</f>
        <v/>
      </c>
      <c r="L231" s="40">
        <f>IF(B231="","",IF(N(E231)&gt;0,IF(Einstellungen!$C$10="Ja",F231/E231,F231/(E231+F231)),""))</f>
        <v/>
      </c>
      <c r="M231" s="63">
        <f>IF(L231="","",RANK(L231,$L$6:$L$305,0))</f>
        <v/>
      </c>
      <c r="N231" s="56">
        <f>IF(B231="","",IF(L231="","keine Ist-Std.",IF(L231&lt;=Einstellungen!$C$7,"unauffällig",IF(L231&lt;=Einstellungen!$C$8,"auffällig","kritisch"))))</f>
        <v/>
      </c>
      <c r="O231" s="64">
        <f>IF(L231="",-1,L231+ROW()/1000000000)</f>
        <v/>
      </c>
      <c r="P231" s="61">
        <f>IF(B231="","",Berechnung!AF231)</f>
        <v/>
      </c>
      <c r="Q231" s="57">
        <f>IF(B231="","",Berechnung!AG231)</f>
        <v/>
      </c>
      <c r="R231" s="57">
        <f>IF(B231="","",'Ist-Stunden'!D231)</f>
        <v/>
      </c>
      <c r="S231" s="59">
        <f>IF(B231="","",IF(N(R231)&gt;0,IF(Einstellungen!$C$10="Ja",Q231/R231,Q231/(R231+Q231)),""))</f>
        <v/>
      </c>
      <c r="T231" s="56">
        <f>IF(B231="","",IF(S231="","keine Ist-Std.",IF(S231&lt;=Einstellungen!$C$7,"unauffällig",IF(S231&lt;=Einstellungen!$C$8,"auffällig","kritisch"))))</f>
        <v/>
      </c>
    </row>
    <row r="232">
      <c r="A232" s="47">
        <f>IF(Mitarbeiter!B232="","",Mitarbeiter!A232)</f>
        <v/>
      </c>
      <c r="B232" s="48">
        <f>IF(Mitarbeiter!B232="","",Mitarbeiter!B232)</f>
        <v/>
      </c>
      <c r="C232" s="7">
        <f>IF(Mitarbeiter!B232="","",Mitarbeiter!G232)</f>
        <v/>
      </c>
      <c r="D232" s="57">
        <f>IF(Mitarbeiter!B232="","",Mitarbeiter!H232)</f>
        <v/>
      </c>
      <c r="E232" s="57">
        <f>IF(Mitarbeiter!B232="","",'Ist-Stunden'!C232)</f>
        <v/>
      </c>
      <c r="F232" s="57">
        <f>IF(B232="","",Berechnung!AE232)</f>
        <v/>
      </c>
      <c r="G232" s="61">
        <f>IF(B232="","",Berechnung!P232)</f>
        <v/>
      </c>
      <c r="H232" s="61">
        <f>IF(B232="","",Berechnung!AC232)</f>
        <v/>
      </c>
      <c r="I232" s="61">
        <f>IF(B232="","",Berechnung!AD232)</f>
        <v/>
      </c>
      <c r="J232" s="36">
        <f>IF(B232="","",SUMPRODUCT(((Berechnung!D232:O232+Berechnung!Q232:AB232)&gt;0)*1))</f>
        <v/>
      </c>
      <c r="K232" s="62">
        <f>IF(B232="","",IF(N(D232)&gt;0,F232/D232,""))</f>
        <v/>
      </c>
      <c r="L232" s="40">
        <f>IF(B232="","",IF(N(E232)&gt;0,IF(Einstellungen!$C$10="Ja",F232/E232,F232/(E232+F232)),""))</f>
        <v/>
      </c>
      <c r="M232" s="63">
        <f>IF(L232="","",RANK(L232,$L$6:$L$305,0))</f>
        <v/>
      </c>
      <c r="N232" s="56">
        <f>IF(B232="","",IF(L232="","keine Ist-Std.",IF(L232&lt;=Einstellungen!$C$7,"unauffällig",IF(L232&lt;=Einstellungen!$C$8,"auffällig","kritisch"))))</f>
        <v/>
      </c>
      <c r="O232" s="64">
        <f>IF(L232="",-1,L232+ROW()/1000000000)</f>
        <v/>
      </c>
      <c r="P232" s="61">
        <f>IF(B232="","",Berechnung!AF232)</f>
        <v/>
      </c>
      <c r="Q232" s="57">
        <f>IF(B232="","",Berechnung!AG232)</f>
        <v/>
      </c>
      <c r="R232" s="57">
        <f>IF(B232="","",'Ist-Stunden'!D232)</f>
        <v/>
      </c>
      <c r="S232" s="59">
        <f>IF(B232="","",IF(N(R232)&gt;0,IF(Einstellungen!$C$10="Ja",Q232/R232,Q232/(R232+Q232)),""))</f>
        <v/>
      </c>
      <c r="T232" s="56">
        <f>IF(B232="","",IF(S232="","keine Ist-Std.",IF(S232&lt;=Einstellungen!$C$7,"unauffällig",IF(S232&lt;=Einstellungen!$C$8,"auffällig","kritisch"))))</f>
        <v/>
      </c>
    </row>
    <row r="233">
      <c r="A233" s="47">
        <f>IF(Mitarbeiter!B233="","",Mitarbeiter!A233)</f>
        <v/>
      </c>
      <c r="B233" s="48">
        <f>IF(Mitarbeiter!B233="","",Mitarbeiter!B233)</f>
        <v/>
      </c>
      <c r="C233" s="7">
        <f>IF(Mitarbeiter!B233="","",Mitarbeiter!G233)</f>
        <v/>
      </c>
      <c r="D233" s="57">
        <f>IF(Mitarbeiter!B233="","",Mitarbeiter!H233)</f>
        <v/>
      </c>
      <c r="E233" s="57">
        <f>IF(Mitarbeiter!B233="","",'Ist-Stunden'!C233)</f>
        <v/>
      </c>
      <c r="F233" s="57">
        <f>IF(B233="","",Berechnung!AE233)</f>
        <v/>
      </c>
      <c r="G233" s="61">
        <f>IF(B233="","",Berechnung!P233)</f>
        <v/>
      </c>
      <c r="H233" s="61">
        <f>IF(B233="","",Berechnung!AC233)</f>
        <v/>
      </c>
      <c r="I233" s="61">
        <f>IF(B233="","",Berechnung!AD233)</f>
        <v/>
      </c>
      <c r="J233" s="36">
        <f>IF(B233="","",SUMPRODUCT(((Berechnung!D233:O233+Berechnung!Q233:AB233)&gt;0)*1))</f>
        <v/>
      </c>
      <c r="K233" s="62">
        <f>IF(B233="","",IF(N(D233)&gt;0,F233/D233,""))</f>
        <v/>
      </c>
      <c r="L233" s="40">
        <f>IF(B233="","",IF(N(E233)&gt;0,IF(Einstellungen!$C$10="Ja",F233/E233,F233/(E233+F233)),""))</f>
        <v/>
      </c>
      <c r="M233" s="63">
        <f>IF(L233="","",RANK(L233,$L$6:$L$305,0))</f>
        <v/>
      </c>
      <c r="N233" s="56">
        <f>IF(B233="","",IF(L233="","keine Ist-Std.",IF(L233&lt;=Einstellungen!$C$7,"unauffällig",IF(L233&lt;=Einstellungen!$C$8,"auffällig","kritisch"))))</f>
        <v/>
      </c>
      <c r="O233" s="64">
        <f>IF(L233="",-1,L233+ROW()/1000000000)</f>
        <v/>
      </c>
      <c r="P233" s="61">
        <f>IF(B233="","",Berechnung!AF233)</f>
        <v/>
      </c>
      <c r="Q233" s="57">
        <f>IF(B233="","",Berechnung!AG233)</f>
        <v/>
      </c>
      <c r="R233" s="57">
        <f>IF(B233="","",'Ist-Stunden'!D233)</f>
        <v/>
      </c>
      <c r="S233" s="59">
        <f>IF(B233="","",IF(N(R233)&gt;0,IF(Einstellungen!$C$10="Ja",Q233/R233,Q233/(R233+Q233)),""))</f>
        <v/>
      </c>
      <c r="T233" s="56">
        <f>IF(B233="","",IF(S233="","keine Ist-Std.",IF(S233&lt;=Einstellungen!$C$7,"unauffällig",IF(S233&lt;=Einstellungen!$C$8,"auffällig","kritisch"))))</f>
        <v/>
      </c>
    </row>
    <row r="234">
      <c r="A234" s="47">
        <f>IF(Mitarbeiter!B234="","",Mitarbeiter!A234)</f>
        <v/>
      </c>
      <c r="B234" s="48">
        <f>IF(Mitarbeiter!B234="","",Mitarbeiter!B234)</f>
        <v/>
      </c>
      <c r="C234" s="7">
        <f>IF(Mitarbeiter!B234="","",Mitarbeiter!G234)</f>
        <v/>
      </c>
      <c r="D234" s="57">
        <f>IF(Mitarbeiter!B234="","",Mitarbeiter!H234)</f>
        <v/>
      </c>
      <c r="E234" s="57">
        <f>IF(Mitarbeiter!B234="","",'Ist-Stunden'!C234)</f>
        <v/>
      </c>
      <c r="F234" s="57">
        <f>IF(B234="","",Berechnung!AE234)</f>
        <v/>
      </c>
      <c r="G234" s="61">
        <f>IF(B234="","",Berechnung!P234)</f>
        <v/>
      </c>
      <c r="H234" s="61">
        <f>IF(B234="","",Berechnung!AC234)</f>
        <v/>
      </c>
      <c r="I234" s="61">
        <f>IF(B234="","",Berechnung!AD234)</f>
        <v/>
      </c>
      <c r="J234" s="36">
        <f>IF(B234="","",SUMPRODUCT(((Berechnung!D234:O234+Berechnung!Q234:AB234)&gt;0)*1))</f>
        <v/>
      </c>
      <c r="K234" s="62">
        <f>IF(B234="","",IF(N(D234)&gt;0,F234/D234,""))</f>
        <v/>
      </c>
      <c r="L234" s="40">
        <f>IF(B234="","",IF(N(E234)&gt;0,IF(Einstellungen!$C$10="Ja",F234/E234,F234/(E234+F234)),""))</f>
        <v/>
      </c>
      <c r="M234" s="63">
        <f>IF(L234="","",RANK(L234,$L$6:$L$305,0))</f>
        <v/>
      </c>
      <c r="N234" s="56">
        <f>IF(B234="","",IF(L234="","keine Ist-Std.",IF(L234&lt;=Einstellungen!$C$7,"unauffällig",IF(L234&lt;=Einstellungen!$C$8,"auffällig","kritisch"))))</f>
        <v/>
      </c>
      <c r="O234" s="64">
        <f>IF(L234="",-1,L234+ROW()/1000000000)</f>
        <v/>
      </c>
      <c r="P234" s="61">
        <f>IF(B234="","",Berechnung!AF234)</f>
        <v/>
      </c>
      <c r="Q234" s="57">
        <f>IF(B234="","",Berechnung!AG234)</f>
        <v/>
      </c>
      <c r="R234" s="57">
        <f>IF(B234="","",'Ist-Stunden'!D234)</f>
        <v/>
      </c>
      <c r="S234" s="59">
        <f>IF(B234="","",IF(N(R234)&gt;0,IF(Einstellungen!$C$10="Ja",Q234/R234,Q234/(R234+Q234)),""))</f>
        <v/>
      </c>
      <c r="T234" s="56">
        <f>IF(B234="","",IF(S234="","keine Ist-Std.",IF(S234&lt;=Einstellungen!$C$7,"unauffällig",IF(S234&lt;=Einstellungen!$C$8,"auffällig","kritisch"))))</f>
        <v/>
      </c>
    </row>
    <row r="235">
      <c r="A235" s="47">
        <f>IF(Mitarbeiter!B235="","",Mitarbeiter!A235)</f>
        <v/>
      </c>
      <c r="B235" s="48">
        <f>IF(Mitarbeiter!B235="","",Mitarbeiter!B235)</f>
        <v/>
      </c>
      <c r="C235" s="7">
        <f>IF(Mitarbeiter!B235="","",Mitarbeiter!G235)</f>
        <v/>
      </c>
      <c r="D235" s="57">
        <f>IF(Mitarbeiter!B235="","",Mitarbeiter!H235)</f>
        <v/>
      </c>
      <c r="E235" s="57">
        <f>IF(Mitarbeiter!B235="","",'Ist-Stunden'!C235)</f>
        <v/>
      </c>
      <c r="F235" s="57">
        <f>IF(B235="","",Berechnung!AE235)</f>
        <v/>
      </c>
      <c r="G235" s="61">
        <f>IF(B235="","",Berechnung!P235)</f>
        <v/>
      </c>
      <c r="H235" s="61">
        <f>IF(B235="","",Berechnung!AC235)</f>
        <v/>
      </c>
      <c r="I235" s="61">
        <f>IF(B235="","",Berechnung!AD235)</f>
        <v/>
      </c>
      <c r="J235" s="36">
        <f>IF(B235="","",SUMPRODUCT(((Berechnung!D235:O235+Berechnung!Q235:AB235)&gt;0)*1))</f>
        <v/>
      </c>
      <c r="K235" s="62">
        <f>IF(B235="","",IF(N(D235)&gt;0,F235/D235,""))</f>
        <v/>
      </c>
      <c r="L235" s="40">
        <f>IF(B235="","",IF(N(E235)&gt;0,IF(Einstellungen!$C$10="Ja",F235/E235,F235/(E235+F235)),""))</f>
        <v/>
      </c>
      <c r="M235" s="63">
        <f>IF(L235="","",RANK(L235,$L$6:$L$305,0))</f>
        <v/>
      </c>
      <c r="N235" s="56">
        <f>IF(B235="","",IF(L235="","keine Ist-Std.",IF(L235&lt;=Einstellungen!$C$7,"unauffällig",IF(L235&lt;=Einstellungen!$C$8,"auffällig","kritisch"))))</f>
        <v/>
      </c>
      <c r="O235" s="64">
        <f>IF(L235="",-1,L235+ROW()/1000000000)</f>
        <v/>
      </c>
      <c r="P235" s="61">
        <f>IF(B235="","",Berechnung!AF235)</f>
        <v/>
      </c>
      <c r="Q235" s="57">
        <f>IF(B235="","",Berechnung!AG235)</f>
        <v/>
      </c>
      <c r="R235" s="57">
        <f>IF(B235="","",'Ist-Stunden'!D235)</f>
        <v/>
      </c>
      <c r="S235" s="59">
        <f>IF(B235="","",IF(N(R235)&gt;0,IF(Einstellungen!$C$10="Ja",Q235/R235,Q235/(R235+Q235)),""))</f>
        <v/>
      </c>
      <c r="T235" s="56">
        <f>IF(B235="","",IF(S235="","keine Ist-Std.",IF(S235&lt;=Einstellungen!$C$7,"unauffällig",IF(S235&lt;=Einstellungen!$C$8,"auffällig","kritisch"))))</f>
        <v/>
      </c>
    </row>
    <row r="236">
      <c r="A236" s="47">
        <f>IF(Mitarbeiter!B236="","",Mitarbeiter!A236)</f>
        <v/>
      </c>
      <c r="B236" s="48">
        <f>IF(Mitarbeiter!B236="","",Mitarbeiter!B236)</f>
        <v/>
      </c>
      <c r="C236" s="7">
        <f>IF(Mitarbeiter!B236="","",Mitarbeiter!G236)</f>
        <v/>
      </c>
      <c r="D236" s="57">
        <f>IF(Mitarbeiter!B236="","",Mitarbeiter!H236)</f>
        <v/>
      </c>
      <c r="E236" s="57">
        <f>IF(Mitarbeiter!B236="","",'Ist-Stunden'!C236)</f>
        <v/>
      </c>
      <c r="F236" s="57">
        <f>IF(B236="","",Berechnung!AE236)</f>
        <v/>
      </c>
      <c r="G236" s="61">
        <f>IF(B236="","",Berechnung!P236)</f>
        <v/>
      </c>
      <c r="H236" s="61">
        <f>IF(B236="","",Berechnung!AC236)</f>
        <v/>
      </c>
      <c r="I236" s="61">
        <f>IF(B236="","",Berechnung!AD236)</f>
        <v/>
      </c>
      <c r="J236" s="36">
        <f>IF(B236="","",SUMPRODUCT(((Berechnung!D236:O236+Berechnung!Q236:AB236)&gt;0)*1))</f>
        <v/>
      </c>
      <c r="K236" s="62">
        <f>IF(B236="","",IF(N(D236)&gt;0,F236/D236,""))</f>
        <v/>
      </c>
      <c r="L236" s="40">
        <f>IF(B236="","",IF(N(E236)&gt;0,IF(Einstellungen!$C$10="Ja",F236/E236,F236/(E236+F236)),""))</f>
        <v/>
      </c>
      <c r="M236" s="63">
        <f>IF(L236="","",RANK(L236,$L$6:$L$305,0))</f>
        <v/>
      </c>
      <c r="N236" s="56">
        <f>IF(B236="","",IF(L236="","keine Ist-Std.",IF(L236&lt;=Einstellungen!$C$7,"unauffällig",IF(L236&lt;=Einstellungen!$C$8,"auffällig","kritisch"))))</f>
        <v/>
      </c>
      <c r="O236" s="64">
        <f>IF(L236="",-1,L236+ROW()/1000000000)</f>
        <v/>
      </c>
      <c r="P236" s="61">
        <f>IF(B236="","",Berechnung!AF236)</f>
        <v/>
      </c>
      <c r="Q236" s="57">
        <f>IF(B236="","",Berechnung!AG236)</f>
        <v/>
      </c>
      <c r="R236" s="57">
        <f>IF(B236="","",'Ist-Stunden'!D236)</f>
        <v/>
      </c>
      <c r="S236" s="59">
        <f>IF(B236="","",IF(N(R236)&gt;0,IF(Einstellungen!$C$10="Ja",Q236/R236,Q236/(R236+Q236)),""))</f>
        <v/>
      </c>
      <c r="T236" s="56">
        <f>IF(B236="","",IF(S236="","keine Ist-Std.",IF(S236&lt;=Einstellungen!$C$7,"unauffällig",IF(S236&lt;=Einstellungen!$C$8,"auffällig","kritisch"))))</f>
        <v/>
      </c>
    </row>
    <row r="237">
      <c r="A237" s="47">
        <f>IF(Mitarbeiter!B237="","",Mitarbeiter!A237)</f>
        <v/>
      </c>
      <c r="B237" s="48">
        <f>IF(Mitarbeiter!B237="","",Mitarbeiter!B237)</f>
        <v/>
      </c>
      <c r="C237" s="7">
        <f>IF(Mitarbeiter!B237="","",Mitarbeiter!G237)</f>
        <v/>
      </c>
      <c r="D237" s="57">
        <f>IF(Mitarbeiter!B237="","",Mitarbeiter!H237)</f>
        <v/>
      </c>
      <c r="E237" s="57">
        <f>IF(Mitarbeiter!B237="","",'Ist-Stunden'!C237)</f>
        <v/>
      </c>
      <c r="F237" s="57">
        <f>IF(B237="","",Berechnung!AE237)</f>
        <v/>
      </c>
      <c r="G237" s="61">
        <f>IF(B237="","",Berechnung!P237)</f>
        <v/>
      </c>
      <c r="H237" s="61">
        <f>IF(B237="","",Berechnung!AC237)</f>
        <v/>
      </c>
      <c r="I237" s="61">
        <f>IF(B237="","",Berechnung!AD237)</f>
        <v/>
      </c>
      <c r="J237" s="36">
        <f>IF(B237="","",SUMPRODUCT(((Berechnung!D237:O237+Berechnung!Q237:AB237)&gt;0)*1))</f>
        <v/>
      </c>
      <c r="K237" s="62">
        <f>IF(B237="","",IF(N(D237)&gt;0,F237/D237,""))</f>
        <v/>
      </c>
      <c r="L237" s="40">
        <f>IF(B237="","",IF(N(E237)&gt;0,IF(Einstellungen!$C$10="Ja",F237/E237,F237/(E237+F237)),""))</f>
        <v/>
      </c>
      <c r="M237" s="63">
        <f>IF(L237="","",RANK(L237,$L$6:$L$305,0))</f>
        <v/>
      </c>
      <c r="N237" s="56">
        <f>IF(B237="","",IF(L237="","keine Ist-Std.",IF(L237&lt;=Einstellungen!$C$7,"unauffällig",IF(L237&lt;=Einstellungen!$C$8,"auffällig","kritisch"))))</f>
        <v/>
      </c>
      <c r="O237" s="64">
        <f>IF(L237="",-1,L237+ROW()/1000000000)</f>
        <v/>
      </c>
      <c r="P237" s="61">
        <f>IF(B237="","",Berechnung!AF237)</f>
        <v/>
      </c>
      <c r="Q237" s="57">
        <f>IF(B237="","",Berechnung!AG237)</f>
        <v/>
      </c>
      <c r="R237" s="57">
        <f>IF(B237="","",'Ist-Stunden'!D237)</f>
        <v/>
      </c>
      <c r="S237" s="59">
        <f>IF(B237="","",IF(N(R237)&gt;0,IF(Einstellungen!$C$10="Ja",Q237/R237,Q237/(R237+Q237)),""))</f>
        <v/>
      </c>
      <c r="T237" s="56">
        <f>IF(B237="","",IF(S237="","keine Ist-Std.",IF(S237&lt;=Einstellungen!$C$7,"unauffällig",IF(S237&lt;=Einstellungen!$C$8,"auffällig","kritisch"))))</f>
        <v/>
      </c>
    </row>
    <row r="238">
      <c r="A238" s="47">
        <f>IF(Mitarbeiter!B238="","",Mitarbeiter!A238)</f>
        <v/>
      </c>
      <c r="B238" s="48">
        <f>IF(Mitarbeiter!B238="","",Mitarbeiter!B238)</f>
        <v/>
      </c>
      <c r="C238" s="7">
        <f>IF(Mitarbeiter!B238="","",Mitarbeiter!G238)</f>
        <v/>
      </c>
      <c r="D238" s="57">
        <f>IF(Mitarbeiter!B238="","",Mitarbeiter!H238)</f>
        <v/>
      </c>
      <c r="E238" s="57">
        <f>IF(Mitarbeiter!B238="","",'Ist-Stunden'!C238)</f>
        <v/>
      </c>
      <c r="F238" s="57">
        <f>IF(B238="","",Berechnung!AE238)</f>
        <v/>
      </c>
      <c r="G238" s="61">
        <f>IF(B238="","",Berechnung!P238)</f>
        <v/>
      </c>
      <c r="H238" s="61">
        <f>IF(B238="","",Berechnung!AC238)</f>
        <v/>
      </c>
      <c r="I238" s="61">
        <f>IF(B238="","",Berechnung!AD238)</f>
        <v/>
      </c>
      <c r="J238" s="36">
        <f>IF(B238="","",SUMPRODUCT(((Berechnung!D238:O238+Berechnung!Q238:AB238)&gt;0)*1))</f>
        <v/>
      </c>
      <c r="K238" s="62">
        <f>IF(B238="","",IF(N(D238)&gt;0,F238/D238,""))</f>
        <v/>
      </c>
      <c r="L238" s="40">
        <f>IF(B238="","",IF(N(E238)&gt;0,IF(Einstellungen!$C$10="Ja",F238/E238,F238/(E238+F238)),""))</f>
        <v/>
      </c>
      <c r="M238" s="63">
        <f>IF(L238="","",RANK(L238,$L$6:$L$305,0))</f>
        <v/>
      </c>
      <c r="N238" s="56">
        <f>IF(B238="","",IF(L238="","keine Ist-Std.",IF(L238&lt;=Einstellungen!$C$7,"unauffällig",IF(L238&lt;=Einstellungen!$C$8,"auffällig","kritisch"))))</f>
        <v/>
      </c>
      <c r="O238" s="64">
        <f>IF(L238="",-1,L238+ROW()/1000000000)</f>
        <v/>
      </c>
      <c r="P238" s="61">
        <f>IF(B238="","",Berechnung!AF238)</f>
        <v/>
      </c>
      <c r="Q238" s="57">
        <f>IF(B238="","",Berechnung!AG238)</f>
        <v/>
      </c>
      <c r="R238" s="57">
        <f>IF(B238="","",'Ist-Stunden'!D238)</f>
        <v/>
      </c>
      <c r="S238" s="59">
        <f>IF(B238="","",IF(N(R238)&gt;0,IF(Einstellungen!$C$10="Ja",Q238/R238,Q238/(R238+Q238)),""))</f>
        <v/>
      </c>
      <c r="T238" s="56">
        <f>IF(B238="","",IF(S238="","keine Ist-Std.",IF(S238&lt;=Einstellungen!$C$7,"unauffällig",IF(S238&lt;=Einstellungen!$C$8,"auffällig","kritisch"))))</f>
        <v/>
      </c>
    </row>
    <row r="239">
      <c r="A239" s="47">
        <f>IF(Mitarbeiter!B239="","",Mitarbeiter!A239)</f>
        <v/>
      </c>
      <c r="B239" s="48">
        <f>IF(Mitarbeiter!B239="","",Mitarbeiter!B239)</f>
        <v/>
      </c>
      <c r="C239" s="7">
        <f>IF(Mitarbeiter!B239="","",Mitarbeiter!G239)</f>
        <v/>
      </c>
      <c r="D239" s="57">
        <f>IF(Mitarbeiter!B239="","",Mitarbeiter!H239)</f>
        <v/>
      </c>
      <c r="E239" s="57">
        <f>IF(Mitarbeiter!B239="","",'Ist-Stunden'!C239)</f>
        <v/>
      </c>
      <c r="F239" s="57">
        <f>IF(B239="","",Berechnung!AE239)</f>
        <v/>
      </c>
      <c r="G239" s="61">
        <f>IF(B239="","",Berechnung!P239)</f>
        <v/>
      </c>
      <c r="H239" s="61">
        <f>IF(B239="","",Berechnung!AC239)</f>
        <v/>
      </c>
      <c r="I239" s="61">
        <f>IF(B239="","",Berechnung!AD239)</f>
        <v/>
      </c>
      <c r="J239" s="36">
        <f>IF(B239="","",SUMPRODUCT(((Berechnung!D239:O239+Berechnung!Q239:AB239)&gt;0)*1))</f>
        <v/>
      </c>
      <c r="K239" s="62">
        <f>IF(B239="","",IF(N(D239)&gt;0,F239/D239,""))</f>
        <v/>
      </c>
      <c r="L239" s="40">
        <f>IF(B239="","",IF(N(E239)&gt;0,IF(Einstellungen!$C$10="Ja",F239/E239,F239/(E239+F239)),""))</f>
        <v/>
      </c>
      <c r="M239" s="63">
        <f>IF(L239="","",RANK(L239,$L$6:$L$305,0))</f>
        <v/>
      </c>
      <c r="N239" s="56">
        <f>IF(B239="","",IF(L239="","keine Ist-Std.",IF(L239&lt;=Einstellungen!$C$7,"unauffällig",IF(L239&lt;=Einstellungen!$C$8,"auffällig","kritisch"))))</f>
        <v/>
      </c>
      <c r="O239" s="64">
        <f>IF(L239="",-1,L239+ROW()/1000000000)</f>
        <v/>
      </c>
      <c r="P239" s="61">
        <f>IF(B239="","",Berechnung!AF239)</f>
        <v/>
      </c>
      <c r="Q239" s="57">
        <f>IF(B239="","",Berechnung!AG239)</f>
        <v/>
      </c>
      <c r="R239" s="57">
        <f>IF(B239="","",'Ist-Stunden'!D239)</f>
        <v/>
      </c>
      <c r="S239" s="59">
        <f>IF(B239="","",IF(N(R239)&gt;0,IF(Einstellungen!$C$10="Ja",Q239/R239,Q239/(R239+Q239)),""))</f>
        <v/>
      </c>
      <c r="T239" s="56">
        <f>IF(B239="","",IF(S239="","keine Ist-Std.",IF(S239&lt;=Einstellungen!$C$7,"unauffällig",IF(S239&lt;=Einstellungen!$C$8,"auffällig","kritisch"))))</f>
        <v/>
      </c>
    </row>
    <row r="240">
      <c r="A240" s="47">
        <f>IF(Mitarbeiter!B240="","",Mitarbeiter!A240)</f>
        <v/>
      </c>
      <c r="B240" s="48">
        <f>IF(Mitarbeiter!B240="","",Mitarbeiter!B240)</f>
        <v/>
      </c>
      <c r="C240" s="7">
        <f>IF(Mitarbeiter!B240="","",Mitarbeiter!G240)</f>
        <v/>
      </c>
      <c r="D240" s="57">
        <f>IF(Mitarbeiter!B240="","",Mitarbeiter!H240)</f>
        <v/>
      </c>
      <c r="E240" s="57">
        <f>IF(Mitarbeiter!B240="","",'Ist-Stunden'!C240)</f>
        <v/>
      </c>
      <c r="F240" s="57">
        <f>IF(B240="","",Berechnung!AE240)</f>
        <v/>
      </c>
      <c r="G240" s="61">
        <f>IF(B240="","",Berechnung!P240)</f>
        <v/>
      </c>
      <c r="H240" s="61">
        <f>IF(B240="","",Berechnung!AC240)</f>
        <v/>
      </c>
      <c r="I240" s="61">
        <f>IF(B240="","",Berechnung!AD240)</f>
        <v/>
      </c>
      <c r="J240" s="36">
        <f>IF(B240="","",SUMPRODUCT(((Berechnung!D240:O240+Berechnung!Q240:AB240)&gt;0)*1))</f>
        <v/>
      </c>
      <c r="K240" s="62">
        <f>IF(B240="","",IF(N(D240)&gt;0,F240/D240,""))</f>
        <v/>
      </c>
      <c r="L240" s="40">
        <f>IF(B240="","",IF(N(E240)&gt;0,IF(Einstellungen!$C$10="Ja",F240/E240,F240/(E240+F240)),""))</f>
        <v/>
      </c>
      <c r="M240" s="63">
        <f>IF(L240="","",RANK(L240,$L$6:$L$305,0))</f>
        <v/>
      </c>
      <c r="N240" s="56">
        <f>IF(B240="","",IF(L240="","keine Ist-Std.",IF(L240&lt;=Einstellungen!$C$7,"unauffällig",IF(L240&lt;=Einstellungen!$C$8,"auffällig","kritisch"))))</f>
        <v/>
      </c>
      <c r="O240" s="64">
        <f>IF(L240="",-1,L240+ROW()/1000000000)</f>
        <v/>
      </c>
      <c r="P240" s="61">
        <f>IF(B240="","",Berechnung!AF240)</f>
        <v/>
      </c>
      <c r="Q240" s="57">
        <f>IF(B240="","",Berechnung!AG240)</f>
        <v/>
      </c>
      <c r="R240" s="57">
        <f>IF(B240="","",'Ist-Stunden'!D240)</f>
        <v/>
      </c>
      <c r="S240" s="59">
        <f>IF(B240="","",IF(N(R240)&gt;0,IF(Einstellungen!$C$10="Ja",Q240/R240,Q240/(R240+Q240)),""))</f>
        <v/>
      </c>
      <c r="T240" s="56">
        <f>IF(B240="","",IF(S240="","keine Ist-Std.",IF(S240&lt;=Einstellungen!$C$7,"unauffällig",IF(S240&lt;=Einstellungen!$C$8,"auffällig","kritisch"))))</f>
        <v/>
      </c>
    </row>
    <row r="241">
      <c r="A241" s="47">
        <f>IF(Mitarbeiter!B241="","",Mitarbeiter!A241)</f>
        <v/>
      </c>
      <c r="B241" s="48">
        <f>IF(Mitarbeiter!B241="","",Mitarbeiter!B241)</f>
        <v/>
      </c>
      <c r="C241" s="7">
        <f>IF(Mitarbeiter!B241="","",Mitarbeiter!G241)</f>
        <v/>
      </c>
      <c r="D241" s="57">
        <f>IF(Mitarbeiter!B241="","",Mitarbeiter!H241)</f>
        <v/>
      </c>
      <c r="E241" s="57">
        <f>IF(Mitarbeiter!B241="","",'Ist-Stunden'!C241)</f>
        <v/>
      </c>
      <c r="F241" s="57">
        <f>IF(B241="","",Berechnung!AE241)</f>
        <v/>
      </c>
      <c r="G241" s="61">
        <f>IF(B241="","",Berechnung!P241)</f>
        <v/>
      </c>
      <c r="H241" s="61">
        <f>IF(B241="","",Berechnung!AC241)</f>
        <v/>
      </c>
      <c r="I241" s="61">
        <f>IF(B241="","",Berechnung!AD241)</f>
        <v/>
      </c>
      <c r="J241" s="36">
        <f>IF(B241="","",SUMPRODUCT(((Berechnung!D241:O241+Berechnung!Q241:AB241)&gt;0)*1))</f>
        <v/>
      </c>
      <c r="K241" s="62">
        <f>IF(B241="","",IF(N(D241)&gt;0,F241/D241,""))</f>
        <v/>
      </c>
      <c r="L241" s="40">
        <f>IF(B241="","",IF(N(E241)&gt;0,IF(Einstellungen!$C$10="Ja",F241/E241,F241/(E241+F241)),""))</f>
        <v/>
      </c>
      <c r="M241" s="63">
        <f>IF(L241="","",RANK(L241,$L$6:$L$305,0))</f>
        <v/>
      </c>
      <c r="N241" s="56">
        <f>IF(B241="","",IF(L241="","keine Ist-Std.",IF(L241&lt;=Einstellungen!$C$7,"unauffällig",IF(L241&lt;=Einstellungen!$C$8,"auffällig","kritisch"))))</f>
        <v/>
      </c>
      <c r="O241" s="64">
        <f>IF(L241="",-1,L241+ROW()/1000000000)</f>
        <v/>
      </c>
      <c r="P241" s="61">
        <f>IF(B241="","",Berechnung!AF241)</f>
        <v/>
      </c>
      <c r="Q241" s="57">
        <f>IF(B241="","",Berechnung!AG241)</f>
        <v/>
      </c>
      <c r="R241" s="57">
        <f>IF(B241="","",'Ist-Stunden'!D241)</f>
        <v/>
      </c>
      <c r="S241" s="59">
        <f>IF(B241="","",IF(N(R241)&gt;0,IF(Einstellungen!$C$10="Ja",Q241/R241,Q241/(R241+Q241)),""))</f>
        <v/>
      </c>
      <c r="T241" s="56">
        <f>IF(B241="","",IF(S241="","keine Ist-Std.",IF(S241&lt;=Einstellungen!$C$7,"unauffällig",IF(S241&lt;=Einstellungen!$C$8,"auffällig","kritisch"))))</f>
        <v/>
      </c>
    </row>
    <row r="242">
      <c r="A242" s="47">
        <f>IF(Mitarbeiter!B242="","",Mitarbeiter!A242)</f>
        <v/>
      </c>
      <c r="B242" s="48">
        <f>IF(Mitarbeiter!B242="","",Mitarbeiter!B242)</f>
        <v/>
      </c>
      <c r="C242" s="7">
        <f>IF(Mitarbeiter!B242="","",Mitarbeiter!G242)</f>
        <v/>
      </c>
      <c r="D242" s="57">
        <f>IF(Mitarbeiter!B242="","",Mitarbeiter!H242)</f>
        <v/>
      </c>
      <c r="E242" s="57">
        <f>IF(Mitarbeiter!B242="","",'Ist-Stunden'!C242)</f>
        <v/>
      </c>
      <c r="F242" s="57">
        <f>IF(B242="","",Berechnung!AE242)</f>
        <v/>
      </c>
      <c r="G242" s="61">
        <f>IF(B242="","",Berechnung!P242)</f>
        <v/>
      </c>
      <c r="H242" s="61">
        <f>IF(B242="","",Berechnung!AC242)</f>
        <v/>
      </c>
      <c r="I242" s="61">
        <f>IF(B242="","",Berechnung!AD242)</f>
        <v/>
      </c>
      <c r="J242" s="36">
        <f>IF(B242="","",SUMPRODUCT(((Berechnung!D242:O242+Berechnung!Q242:AB242)&gt;0)*1))</f>
        <v/>
      </c>
      <c r="K242" s="62">
        <f>IF(B242="","",IF(N(D242)&gt;0,F242/D242,""))</f>
        <v/>
      </c>
      <c r="L242" s="40">
        <f>IF(B242="","",IF(N(E242)&gt;0,IF(Einstellungen!$C$10="Ja",F242/E242,F242/(E242+F242)),""))</f>
        <v/>
      </c>
      <c r="M242" s="63">
        <f>IF(L242="","",RANK(L242,$L$6:$L$305,0))</f>
        <v/>
      </c>
      <c r="N242" s="56">
        <f>IF(B242="","",IF(L242="","keine Ist-Std.",IF(L242&lt;=Einstellungen!$C$7,"unauffällig",IF(L242&lt;=Einstellungen!$C$8,"auffällig","kritisch"))))</f>
        <v/>
      </c>
      <c r="O242" s="64">
        <f>IF(L242="",-1,L242+ROW()/1000000000)</f>
        <v/>
      </c>
      <c r="P242" s="61">
        <f>IF(B242="","",Berechnung!AF242)</f>
        <v/>
      </c>
      <c r="Q242" s="57">
        <f>IF(B242="","",Berechnung!AG242)</f>
        <v/>
      </c>
      <c r="R242" s="57">
        <f>IF(B242="","",'Ist-Stunden'!D242)</f>
        <v/>
      </c>
      <c r="S242" s="59">
        <f>IF(B242="","",IF(N(R242)&gt;0,IF(Einstellungen!$C$10="Ja",Q242/R242,Q242/(R242+Q242)),""))</f>
        <v/>
      </c>
      <c r="T242" s="56">
        <f>IF(B242="","",IF(S242="","keine Ist-Std.",IF(S242&lt;=Einstellungen!$C$7,"unauffällig",IF(S242&lt;=Einstellungen!$C$8,"auffällig","kritisch"))))</f>
        <v/>
      </c>
    </row>
    <row r="243">
      <c r="A243" s="47">
        <f>IF(Mitarbeiter!B243="","",Mitarbeiter!A243)</f>
        <v/>
      </c>
      <c r="B243" s="48">
        <f>IF(Mitarbeiter!B243="","",Mitarbeiter!B243)</f>
        <v/>
      </c>
      <c r="C243" s="7">
        <f>IF(Mitarbeiter!B243="","",Mitarbeiter!G243)</f>
        <v/>
      </c>
      <c r="D243" s="57">
        <f>IF(Mitarbeiter!B243="","",Mitarbeiter!H243)</f>
        <v/>
      </c>
      <c r="E243" s="57">
        <f>IF(Mitarbeiter!B243="","",'Ist-Stunden'!C243)</f>
        <v/>
      </c>
      <c r="F243" s="57">
        <f>IF(B243="","",Berechnung!AE243)</f>
        <v/>
      </c>
      <c r="G243" s="61">
        <f>IF(B243="","",Berechnung!P243)</f>
        <v/>
      </c>
      <c r="H243" s="61">
        <f>IF(B243="","",Berechnung!AC243)</f>
        <v/>
      </c>
      <c r="I243" s="61">
        <f>IF(B243="","",Berechnung!AD243)</f>
        <v/>
      </c>
      <c r="J243" s="36">
        <f>IF(B243="","",SUMPRODUCT(((Berechnung!D243:O243+Berechnung!Q243:AB243)&gt;0)*1))</f>
        <v/>
      </c>
      <c r="K243" s="62">
        <f>IF(B243="","",IF(N(D243)&gt;0,F243/D243,""))</f>
        <v/>
      </c>
      <c r="L243" s="40">
        <f>IF(B243="","",IF(N(E243)&gt;0,IF(Einstellungen!$C$10="Ja",F243/E243,F243/(E243+F243)),""))</f>
        <v/>
      </c>
      <c r="M243" s="63">
        <f>IF(L243="","",RANK(L243,$L$6:$L$305,0))</f>
        <v/>
      </c>
      <c r="N243" s="56">
        <f>IF(B243="","",IF(L243="","keine Ist-Std.",IF(L243&lt;=Einstellungen!$C$7,"unauffällig",IF(L243&lt;=Einstellungen!$C$8,"auffällig","kritisch"))))</f>
        <v/>
      </c>
      <c r="O243" s="64">
        <f>IF(L243="",-1,L243+ROW()/1000000000)</f>
        <v/>
      </c>
      <c r="P243" s="61">
        <f>IF(B243="","",Berechnung!AF243)</f>
        <v/>
      </c>
      <c r="Q243" s="57">
        <f>IF(B243="","",Berechnung!AG243)</f>
        <v/>
      </c>
      <c r="R243" s="57">
        <f>IF(B243="","",'Ist-Stunden'!D243)</f>
        <v/>
      </c>
      <c r="S243" s="59">
        <f>IF(B243="","",IF(N(R243)&gt;0,IF(Einstellungen!$C$10="Ja",Q243/R243,Q243/(R243+Q243)),""))</f>
        <v/>
      </c>
      <c r="T243" s="56">
        <f>IF(B243="","",IF(S243="","keine Ist-Std.",IF(S243&lt;=Einstellungen!$C$7,"unauffällig",IF(S243&lt;=Einstellungen!$C$8,"auffällig","kritisch"))))</f>
        <v/>
      </c>
    </row>
    <row r="244">
      <c r="A244" s="47">
        <f>IF(Mitarbeiter!B244="","",Mitarbeiter!A244)</f>
        <v/>
      </c>
      <c r="B244" s="48">
        <f>IF(Mitarbeiter!B244="","",Mitarbeiter!B244)</f>
        <v/>
      </c>
      <c r="C244" s="7">
        <f>IF(Mitarbeiter!B244="","",Mitarbeiter!G244)</f>
        <v/>
      </c>
      <c r="D244" s="57">
        <f>IF(Mitarbeiter!B244="","",Mitarbeiter!H244)</f>
        <v/>
      </c>
      <c r="E244" s="57">
        <f>IF(Mitarbeiter!B244="","",'Ist-Stunden'!C244)</f>
        <v/>
      </c>
      <c r="F244" s="57">
        <f>IF(B244="","",Berechnung!AE244)</f>
        <v/>
      </c>
      <c r="G244" s="61">
        <f>IF(B244="","",Berechnung!P244)</f>
        <v/>
      </c>
      <c r="H244" s="61">
        <f>IF(B244="","",Berechnung!AC244)</f>
        <v/>
      </c>
      <c r="I244" s="61">
        <f>IF(B244="","",Berechnung!AD244)</f>
        <v/>
      </c>
      <c r="J244" s="36">
        <f>IF(B244="","",SUMPRODUCT(((Berechnung!D244:O244+Berechnung!Q244:AB244)&gt;0)*1))</f>
        <v/>
      </c>
      <c r="K244" s="62">
        <f>IF(B244="","",IF(N(D244)&gt;0,F244/D244,""))</f>
        <v/>
      </c>
      <c r="L244" s="40">
        <f>IF(B244="","",IF(N(E244)&gt;0,IF(Einstellungen!$C$10="Ja",F244/E244,F244/(E244+F244)),""))</f>
        <v/>
      </c>
      <c r="M244" s="63">
        <f>IF(L244="","",RANK(L244,$L$6:$L$305,0))</f>
        <v/>
      </c>
      <c r="N244" s="56">
        <f>IF(B244="","",IF(L244="","keine Ist-Std.",IF(L244&lt;=Einstellungen!$C$7,"unauffällig",IF(L244&lt;=Einstellungen!$C$8,"auffällig","kritisch"))))</f>
        <v/>
      </c>
      <c r="O244" s="64">
        <f>IF(L244="",-1,L244+ROW()/1000000000)</f>
        <v/>
      </c>
      <c r="P244" s="61">
        <f>IF(B244="","",Berechnung!AF244)</f>
        <v/>
      </c>
      <c r="Q244" s="57">
        <f>IF(B244="","",Berechnung!AG244)</f>
        <v/>
      </c>
      <c r="R244" s="57">
        <f>IF(B244="","",'Ist-Stunden'!D244)</f>
        <v/>
      </c>
      <c r="S244" s="59">
        <f>IF(B244="","",IF(N(R244)&gt;0,IF(Einstellungen!$C$10="Ja",Q244/R244,Q244/(R244+Q244)),""))</f>
        <v/>
      </c>
      <c r="T244" s="56">
        <f>IF(B244="","",IF(S244="","keine Ist-Std.",IF(S244&lt;=Einstellungen!$C$7,"unauffällig",IF(S244&lt;=Einstellungen!$C$8,"auffällig","kritisch"))))</f>
        <v/>
      </c>
    </row>
    <row r="245">
      <c r="A245" s="47">
        <f>IF(Mitarbeiter!B245="","",Mitarbeiter!A245)</f>
        <v/>
      </c>
      <c r="B245" s="48">
        <f>IF(Mitarbeiter!B245="","",Mitarbeiter!B245)</f>
        <v/>
      </c>
      <c r="C245" s="7">
        <f>IF(Mitarbeiter!B245="","",Mitarbeiter!G245)</f>
        <v/>
      </c>
      <c r="D245" s="57">
        <f>IF(Mitarbeiter!B245="","",Mitarbeiter!H245)</f>
        <v/>
      </c>
      <c r="E245" s="57">
        <f>IF(Mitarbeiter!B245="","",'Ist-Stunden'!C245)</f>
        <v/>
      </c>
      <c r="F245" s="57">
        <f>IF(B245="","",Berechnung!AE245)</f>
        <v/>
      </c>
      <c r="G245" s="61">
        <f>IF(B245="","",Berechnung!P245)</f>
        <v/>
      </c>
      <c r="H245" s="61">
        <f>IF(B245="","",Berechnung!AC245)</f>
        <v/>
      </c>
      <c r="I245" s="61">
        <f>IF(B245="","",Berechnung!AD245)</f>
        <v/>
      </c>
      <c r="J245" s="36">
        <f>IF(B245="","",SUMPRODUCT(((Berechnung!D245:O245+Berechnung!Q245:AB245)&gt;0)*1))</f>
        <v/>
      </c>
      <c r="K245" s="62">
        <f>IF(B245="","",IF(N(D245)&gt;0,F245/D245,""))</f>
        <v/>
      </c>
      <c r="L245" s="40">
        <f>IF(B245="","",IF(N(E245)&gt;0,IF(Einstellungen!$C$10="Ja",F245/E245,F245/(E245+F245)),""))</f>
        <v/>
      </c>
      <c r="M245" s="63">
        <f>IF(L245="","",RANK(L245,$L$6:$L$305,0))</f>
        <v/>
      </c>
      <c r="N245" s="56">
        <f>IF(B245="","",IF(L245="","keine Ist-Std.",IF(L245&lt;=Einstellungen!$C$7,"unauffällig",IF(L245&lt;=Einstellungen!$C$8,"auffällig","kritisch"))))</f>
        <v/>
      </c>
      <c r="O245" s="64">
        <f>IF(L245="",-1,L245+ROW()/1000000000)</f>
        <v/>
      </c>
      <c r="P245" s="61">
        <f>IF(B245="","",Berechnung!AF245)</f>
        <v/>
      </c>
      <c r="Q245" s="57">
        <f>IF(B245="","",Berechnung!AG245)</f>
        <v/>
      </c>
      <c r="R245" s="57">
        <f>IF(B245="","",'Ist-Stunden'!D245)</f>
        <v/>
      </c>
      <c r="S245" s="59">
        <f>IF(B245="","",IF(N(R245)&gt;0,IF(Einstellungen!$C$10="Ja",Q245/R245,Q245/(R245+Q245)),""))</f>
        <v/>
      </c>
      <c r="T245" s="56">
        <f>IF(B245="","",IF(S245="","keine Ist-Std.",IF(S245&lt;=Einstellungen!$C$7,"unauffällig",IF(S245&lt;=Einstellungen!$C$8,"auffällig","kritisch"))))</f>
        <v/>
      </c>
    </row>
    <row r="246">
      <c r="A246" s="47">
        <f>IF(Mitarbeiter!B246="","",Mitarbeiter!A246)</f>
        <v/>
      </c>
      <c r="B246" s="48">
        <f>IF(Mitarbeiter!B246="","",Mitarbeiter!B246)</f>
        <v/>
      </c>
      <c r="C246" s="7">
        <f>IF(Mitarbeiter!B246="","",Mitarbeiter!G246)</f>
        <v/>
      </c>
      <c r="D246" s="57">
        <f>IF(Mitarbeiter!B246="","",Mitarbeiter!H246)</f>
        <v/>
      </c>
      <c r="E246" s="57">
        <f>IF(Mitarbeiter!B246="","",'Ist-Stunden'!C246)</f>
        <v/>
      </c>
      <c r="F246" s="57">
        <f>IF(B246="","",Berechnung!AE246)</f>
        <v/>
      </c>
      <c r="G246" s="61">
        <f>IF(B246="","",Berechnung!P246)</f>
        <v/>
      </c>
      <c r="H246" s="61">
        <f>IF(B246="","",Berechnung!AC246)</f>
        <v/>
      </c>
      <c r="I246" s="61">
        <f>IF(B246="","",Berechnung!AD246)</f>
        <v/>
      </c>
      <c r="J246" s="36">
        <f>IF(B246="","",SUMPRODUCT(((Berechnung!D246:O246+Berechnung!Q246:AB246)&gt;0)*1))</f>
        <v/>
      </c>
      <c r="K246" s="62">
        <f>IF(B246="","",IF(N(D246)&gt;0,F246/D246,""))</f>
        <v/>
      </c>
      <c r="L246" s="40">
        <f>IF(B246="","",IF(N(E246)&gt;0,IF(Einstellungen!$C$10="Ja",F246/E246,F246/(E246+F246)),""))</f>
        <v/>
      </c>
      <c r="M246" s="63">
        <f>IF(L246="","",RANK(L246,$L$6:$L$305,0))</f>
        <v/>
      </c>
      <c r="N246" s="56">
        <f>IF(B246="","",IF(L246="","keine Ist-Std.",IF(L246&lt;=Einstellungen!$C$7,"unauffällig",IF(L246&lt;=Einstellungen!$C$8,"auffällig","kritisch"))))</f>
        <v/>
      </c>
      <c r="O246" s="64">
        <f>IF(L246="",-1,L246+ROW()/1000000000)</f>
        <v/>
      </c>
      <c r="P246" s="61">
        <f>IF(B246="","",Berechnung!AF246)</f>
        <v/>
      </c>
      <c r="Q246" s="57">
        <f>IF(B246="","",Berechnung!AG246)</f>
        <v/>
      </c>
      <c r="R246" s="57">
        <f>IF(B246="","",'Ist-Stunden'!D246)</f>
        <v/>
      </c>
      <c r="S246" s="59">
        <f>IF(B246="","",IF(N(R246)&gt;0,IF(Einstellungen!$C$10="Ja",Q246/R246,Q246/(R246+Q246)),""))</f>
        <v/>
      </c>
      <c r="T246" s="56">
        <f>IF(B246="","",IF(S246="","keine Ist-Std.",IF(S246&lt;=Einstellungen!$C$7,"unauffällig",IF(S246&lt;=Einstellungen!$C$8,"auffällig","kritisch"))))</f>
        <v/>
      </c>
    </row>
    <row r="247">
      <c r="A247" s="47">
        <f>IF(Mitarbeiter!B247="","",Mitarbeiter!A247)</f>
        <v/>
      </c>
      <c r="B247" s="48">
        <f>IF(Mitarbeiter!B247="","",Mitarbeiter!B247)</f>
        <v/>
      </c>
      <c r="C247" s="7">
        <f>IF(Mitarbeiter!B247="","",Mitarbeiter!G247)</f>
        <v/>
      </c>
      <c r="D247" s="57">
        <f>IF(Mitarbeiter!B247="","",Mitarbeiter!H247)</f>
        <v/>
      </c>
      <c r="E247" s="57">
        <f>IF(Mitarbeiter!B247="","",'Ist-Stunden'!C247)</f>
        <v/>
      </c>
      <c r="F247" s="57">
        <f>IF(B247="","",Berechnung!AE247)</f>
        <v/>
      </c>
      <c r="G247" s="61">
        <f>IF(B247="","",Berechnung!P247)</f>
        <v/>
      </c>
      <c r="H247" s="61">
        <f>IF(B247="","",Berechnung!AC247)</f>
        <v/>
      </c>
      <c r="I247" s="61">
        <f>IF(B247="","",Berechnung!AD247)</f>
        <v/>
      </c>
      <c r="J247" s="36">
        <f>IF(B247="","",SUMPRODUCT(((Berechnung!D247:O247+Berechnung!Q247:AB247)&gt;0)*1))</f>
        <v/>
      </c>
      <c r="K247" s="62">
        <f>IF(B247="","",IF(N(D247)&gt;0,F247/D247,""))</f>
        <v/>
      </c>
      <c r="L247" s="40">
        <f>IF(B247="","",IF(N(E247)&gt;0,IF(Einstellungen!$C$10="Ja",F247/E247,F247/(E247+F247)),""))</f>
        <v/>
      </c>
      <c r="M247" s="63">
        <f>IF(L247="","",RANK(L247,$L$6:$L$305,0))</f>
        <v/>
      </c>
      <c r="N247" s="56">
        <f>IF(B247="","",IF(L247="","keine Ist-Std.",IF(L247&lt;=Einstellungen!$C$7,"unauffällig",IF(L247&lt;=Einstellungen!$C$8,"auffällig","kritisch"))))</f>
        <v/>
      </c>
      <c r="O247" s="64">
        <f>IF(L247="",-1,L247+ROW()/1000000000)</f>
        <v/>
      </c>
      <c r="P247" s="61">
        <f>IF(B247="","",Berechnung!AF247)</f>
        <v/>
      </c>
      <c r="Q247" s="57">
        <f>IF(B247="","",Berechnung!AG247)</f>
        <v/>
      </c>
      <c r="R247" s="57">
        <f>IF(B247="","",'Ist-Stunden'!D247)</f>
        <v/>
      </c>
      <c r="S247" s="59">
        <f>IF(B247="","",IF(N(R247)&gt;0,IF(Einstellungen!$C$10="Ja",Q247/R247,Q247/(R247+Q247)),""))</f>
        <v/>
      </c>
      <c r="T247" s="56">
        <f>IF(B247="","",IF(S247="","keine Ist-Std.",IF(S247&lt;=Einstellungen!$C$7,"unauffällig",IF(S247&lt;=Einstellungen!$C$8,"auffällig","kritisch"))))</f>
        <v/>
      </c>
    </row>
    <row r="248">
      <c r="A248" s="47">
        <f>IF(Mitarbeiter!B248="","",Mitarbeiter!A248)</f>
        <v/>
      </c>
      <c r="B248" s="48">
        <f>IF(Mitarbeiter!B248="","",Mitarbeiter!B248)</f>
        <v/>
      </c>
      <c r="C248" s="7">
        <f>IF(Mitarbeiter!B248="","",Mitarbeiter!G248)</f>
        <v/>
      </c>
      <c r="D248" s="57">
        <f>IF(Mitarbeiter!B248="","",Mitarbeiter!H248)</f>
        <v/>
      </c>
      <c r="E248" s="57">
        <f>IF(Mitarbeiter!B248="","",'Ist-Stunden'!C248)</f>
        <v/>
      </c>
      <c r="F248" s="57">
        <f>IF(B248="","",Berechnung!AE248)</f>
        <v/>
      </c>
      <c r="G248" s="61">
        <f>IF(B248="","",Berechnung!P248)</f>
        <v/>
      </c>
      <c r="H248" s="61">
        <f>IF(B248="","",Berechnung!AC248)</f>
        <v/>
      </c>
      <c r="I248" s="61">
        <f>IF(B248="","",Berechnung!AD248)</f>
        <v/>
      </c>
      <c r="J248" s="36">
        <f>IF(B248="","",SUMPRODUCT(((Berechnung!D248:O248+Berechnung!Q248:AB248)&gt;0)*1))</f>
        <v/>
      </c>
      <c r="K248" s="62">
        <f>IF(B248="","",IF(N(D248)&gt;0,F248/D248,""))</f>
        <v/>
      </c>
      <c r="L248" s="40">
        <f>IF(B248="","",IF(N(E248)&gt;0,IF(Einstellungen!$C$10="Ja",F248/E248,F248/(E248+F248)),""))</f>
        <v/>
      </c>
      <c r="M248" s="63">
        <f>IF(L248="","",RANK(L248,$L$6:$L$305,0))</f>
        <v/>
      </c>
      <c r="N248" s="56">
        <f>IF(B248="","",IF(L248="","keine Ist-Std.",IF(L248&lt;=Einstellungen!$C$7,"unauffällig",IF(L248&lt;=Einstellungen!$C$8,"auffällig","kritisch"))))</f>
        <v/>
      </c>
      <c r="O248" s="64">
        <f>IF(L248="",-1,L248+ROW()/1000000000)</f>
        <v/>
      </c>
      <c r="P248" s="61">
        <f>IF(B248="","",Berechnung!AF248)</f>
        <v/>
      </c>
      <c r="Q248" s="57">
        <f>IF(B248="","",Berechnung!AG248)</f>
        <v/>
      </c>
      <c r="R248" s="57">
        <f>IF(B248="","",'Ist-Stunden'!D248)</f>
        <v/>
      </c>
      <c r="S248" s="59">
        <f>IF(B248="","",IF(N(R248)&gt;0,IF(Einstellungen!$C$10="Ja",Q248/R248,Q248/(R248+Q248)),""))</f>
        <v/>
      </c>
      <c r="T248" s="56">
        <f>IF(B248="","",IF(S248="","keine Ist-Std.",IF(S248&lt;=Einstellungen!$C$7,"unauffällig",IF(S248&lt;=Einstellungen!$C$8,"auffällig","kritisch"))))</f>
        <v/>
      </c>
    </row>
    <row r="249">
      <c r="A249" s="47">
        <f>IF(Mitarbeiter!B249="","",Mitarbeiter!A249)</f>
        <v/>
      </c>
      <c r="B249" s="48">
        <f>IF(Mitarbeiter!B249="","",Mitarbeiter!B249)</f>
        <v/>
      </c>
      <c r="C249" s="7">
        <f>IF(Mitarbeiter!B249="","",Mitarbeiter!G249)</f>
        <v/>
      </c>
      <c r="D249" s="57">
        <f>IF(Mitarbeiter!B249="","",Mitarbeiter!H249)</f>
        <v/>
      </c>
      <c r="E249" s="57">
        <f>IF(Mitarbeiter!B249="","",'Ist-Stunden'!C249)</f>
        <v/>
      </c>
      <c r="F249" s="57">
        <f>IF(B249="","",Berechnung!AE249)</f>
        <v/>
      </c>
      <c r="G249" s="61">
        <f>IF(B249="","",Berechnung!P249)</f>
        <v/>
      </c>
      <c r="H249" s="61">
        <f>IF(B249="","",Berechnung!AC249)</f>
        <v/>
      </c>
      <c r="I249" s="61">
        <f>IF(B249="","",Berechnung!AD249)</f>
        <v/>
      </c>
      <c r="J249" s="36">
        <f>IF(B249="","",SUMPRODUCT(((Berechnung!D249:O249+Berechnung!Q249:AB249)&gt;0)*1))</f>
        <v/>
      </c>
      <c r="K249" s="62">
        <f>IF(B249="","",IF(N(D249)&gt;0,F249/D249,""))</f>
        <v/>
      </c>
      <c r="L249" s="40">
        <f>IF(B249="","",IF(N(E249)&gt;0,IF(Einstellungen!$C$10="Ja",F249/E249,F249/(E249+F249)),""))</f>
        <v/>
      </c>
      <c r="M249" s="63">
        <f>IF(L249="","",RANK(L249,$L$6:$L$305,0))</f>
        <v/>
      </c>
      <c r="N249" s="56">
        <f>IF(B249="","",IF(L249="","keine Ist-Std.",IF(L249&lt;=Einstellungen!$C$7,"unauffällig",IF(L249&lt;=Einstellungen!$C$8,"auffällig","kritisch"))))</f>
        <v/>
      </c>
      <c r="O249" s="64">
        <f>IF(L249="",-1,L249+ROW()/1000000000)</f>
        <v/>
      </c>
      <c r="P249" s="61">
        <f>IF(B249="","",Berechnung!AF249)</f>
        <v/>
      </c>
      <c r="Q249" s="57">
        <f>IF(B249="","",Berechnung!AG249)</f>
        <v/>
      </c>
      <c r="R249" s="57">
        <f>IF(B249="","",'Ist-Stunden'!D249)</f>
        <v/>
      </c>
      <c r="S249" s="59">
        <f>IF(B249="","",IF(N(R249)&gt;0,IF(Einstellungen!$C$10="Ja",Q249/R249,Q249/(R249+Q249)),""))</f>
        <v/>
      </c>
      <c r="T249" s="56">
        <f>IF(B249="","",IF(S249="","keine Ist-Std.",IF(S249&lt;=Einstellungen!$C$7,"unauffällig",IF(S249&lt;=Einstellungen!$C$8,"auffällig","kritisch"))))</f>
        <v/>
      </c>
    </row>
    <row r="250">
      <c r="A250" s="47">
        <f>IF(Mitarbeiter!B250="","",Mitarbeiter!A250)</f>
        <v/>
      </c>
      <c r="B250" s="48">
        <f>IF(Mitarbeiter!B250="","",Mitarbeiter!B250)</f>
        <v/>
      </c>
      <c r="C250" s="7">
        <f>IF(Mitarbeiter!B250="","",Mitarbeiter!G250)</f>
        <v/>
      </c>
      <c r="D250" s="57">
        <f>IF(Mitarbeiter!B250="","",Mitarbeiter!H250)</f>
        <v/>
      </c>
      <c r="E250" s="57">
        <f>IF(Mitarbeiter!B250="","",'Ist-Stunden'!C250)</f>
        <v/>
      </c>
      <c r="F250" s="57">
        <f>IF(B250="","",Berechnung!AE250)</f>
        <v/>
      </c>
      <c r="G250" s="61">
        <f>IF(B250="","",Berechnung!P250)</f>
        <v/>
      </c>
      <c r="H250" s="61">
        <f>IF(B250="","",Berechnung!AC250)</f>
        <v/>
      </c>
      <c r="I250" s="61">
        <f>IF(B250="","",Berechnung!AD250)</f>
        <v/>
      </c>
      <c r="J250" s="36">
        <f>IF(B250="","",SUMPRODUCT(((Berechnung!D250:O250+Berechnung!Q250:AB250)&gt;0)*1))</f>
        <v/>
      </c>
      <c r="K250" s="62">
        <f>IF(B250="","",IF(N(D250)&gt;0,F250/D250,""))</f>
        <v/>
      </c>
      <c r="L250" s="40">
        <f>IF(B250="","",IF(N(E250)&gt;0,IF(Einstellungen!$C$10="Ja",F250/E250,F250/(E250+F250)),""))</f>
        <v/>
      </c>
      <c r="M250" s="63">
        <f>IF(L250="","",RANK(L250,$L$6:$L$305,0))</f>
        <v/>
      </c>
      <c r="N250" s="56">
        <f>IF(B250="","",IF(L250="","keine Ist-Std.",IF(L250&lt;=Einstellungen!$C$7,"unauffällig",IF(L250&lt;=Einstellungen!$C$8,"auffällig","kritisch"))))</f>
        <v/>
      </c>
      <c r="O250" s="64">
        <f>IF(L250="",-1,L250+ROW()/1000000000)</f>
        <v/>
      </c>
      <c r="P250" s="61">
        <f>IF(B250="","",Berechnung!AF250)</f>
        <v/>
      </c>
      <c r="Q250" s="57">
        <f>IF(B250="","",Berechnung!AG250)</f>
        <v/>
      </c>
      <c r="R250" s="57">
        <f>IF(B250="","",'Ist-Stunden'!D250)</f>
        <v/>
      </c>
      <c r="S250" s="59">
        <f>IF(B250="","",IF(N(R250)&gt;0,IF(Einstellungen!$C$10="Ja",Q250/R250,Q250/(R250+Q250)),""))</f>
        <v/>
      </c>
      <c r="T250" s="56">
        <f>IF(B250="","",IF(S250="","keine Ist-Std.",IF(S250&lt;=Einstellungen!$C$7,"unauffällig",IF(S250&lt;=Einstellungen!$C$8,"auffällig","kritisch"))))</f>
        <v/>
      </c>
    </row>
    <row r="251">
      <c r="A251" s="47">
        <f>IF(Mitarbeiter!B251="","",Mitarbeiter!A251)</f>
        <v/>
      </c>
      <c r="B251" s="48">
        <f>IF(Mitarbeiter!B251="","",Mitarbeiter!B251)</f>
        <v/>
      </c>
      <c r="C251" s="7">
        <f>IF(Mitarbeiter!B251="","",Mitarbeiter!G251)</f>
        <v/>
      </c>
      <c r="D251" s="57">
        <f>IF(Mitarbeiter!B251="","",Mitarbeiter!H251)</f>
        <v/>
      </c>
      <c r="E251" s="57">
        <f>IF(Mitarbeiter!B251="","",'Ist-Stunden'!C251)</f>
        <v/>
      </c>
      <c r="F251" s="57">
        <f>IF(B251="","",Berechnung!AE251)</f>
        <v/>
      </c>
      <c r="G251" s="61">
        <f>IF(B251="","",Berechnung!P251)</f>
        <v/>
      </c>
      <c r="H251" s="61">
        <f>IF(B251="","",Berechnung!AC251)</f>
        <v/>
      </c>
      <c r="I251" s="61">
        <f>IF(B251="","",Berechnung!AD251)</f>
        <v/>
      </c>
      <c r="J251" s="36">
        <f>IF(B251="","",SUMPRODUCT(((Berechnung!D251:O251+Berechnung!Q251:AB251)&gt;0)*1))</f>
        <v/>
      </c>
      <c r="K251" s="62">
        <f>IF(B251="","",IF(N(D251)&gt;0,F251/D251,""))</f>
        <v/>
      </c>
      <c r="L251" s="40">
        <f>IF(B251="","",IF(N(E251)&gt;0,IF(Einstellungen!$C$10="Ja",F251/E251,F251/(E251+F251)),""))</f>
        <v/>
      </c>
      <c r="M251" s="63">
        <f>IF(L251="","",RANK(L251,$L$6:$L$305,0))</f>
        <v/>
      </c>
      <c r="N251" s="56">
        <f>IF(B251="","",IF(L251="","keine Ist-Std.",IF(L251&lt;=Einstellungen!$C$7,"unauffällig",IF(L251&lt;=Einstellungen!$C$8,"auffällig","kritisch"))))</f>
        <v/>
      </c>
      <c r="O251" s="64">
        <f>IF(L251="",-1,L251+ROW()/1000000000)</f>
        <v/>
      </c>
      <c r="P251" s="61">
        <f>IF(B251="","",Berechnung!AF251)</f>
        <v/>
      </c>
      <c r="Q251" s="57">
        <f>IF(B251="","",Berechnung!AG251)</f>
        <v/>
      </c>
      <c r="R251" s="57">
        <f>IF(B251="","",'Ist-Stunden'!D251)</f>
        <v/>
      </c>
      <c r="S251" s="59">
        <f>IF(B251="","",IF(N(R251)&gt;0,IF(Einstellungen!$C$10="Ja",Q251/R251,Q251/(R251+Q251)),""))</f>
        <v/>
      </c>
      <c r="T251" s="56">
        <f>IF(B251="","",IF(S251="","keine Ist-Std.",IF(S251&lt;=Einstellungen!$C$7,"unauffällig",IF(S251&lt;=Einstellungen!$C$8,"auffällig","kritisch"))))</f>
        <v/>
      </c>
    </row>
    <row r="252">
      <c r="A252" s="47">
        <f>IF(Mitarbeiter!B252="","",Mitarbeiter!A252)</f>
        <v/>
      </c>
      <c r="B252" s="48">
        <f>IF(Mitarbeiter!B252="","",Mitarbeiter!B252)</f>
        <v/>
      </c>
      <c r="C252" s="7">
        <f>IF(Mitarbeiter!B252="","",Mitarbeiter!G252)</f>
        <v/>
      </c>
      <c r="D252" s="57">
        <f>IF(Mitarbeiter!B252="","",Mitarbeiter!H252)</f>
        <v/>
      </c>
      <c r="E252" s="57">
        <f>IF(Mitarbeiter!B252="","",'Ist-Stunden'!C252)</f>
        <v/>
      </c>
      <c r="F252" s="57">
        <f>IF(B252="","",Berechnung!AE252)</f>
        <v/>
      </c>
      <c r="G252" s="61">
        <f>IF(B252="","",Berechnung!P252)</f>
        <v/>
      </c>
      <c r="H252" s="61">
        <f>IF(B252="","",Berechnung!AC252)</f>
        <v/>
      </c>
      <c r="I252" s="61">
        <f>IF(B252="","",Berechnung!AD252)</f>
        <v/>
      </c>
      <c r="J252" s="36">
        <f>IF(B252="","",SUMPRODUCT(((Berechnung!D252:O252+Berechnung!Q252:AB252)&gt;0)*1))</f>
        <v/>
      </c>
      <c r="K252" s="62">
        <f>IF(B252="","",IF(N(D252)&gt;0,F252/D252,""))</f>
        <v/>
      </c>
      <c r="L252" s="40">
        <f>IF(B252="","",IF(N(E252)&gt;0,IF(Einstellungen!$C$10="Ja",F252/E252,F252/(E252+F252)),""))</f>
        <v/>
      </c>
      <c r="M252" s="63">
        <f>IF(L252="","",RANK(L252,$L$6:$L$305,0))</f>
        <v/>
      </c>
      <c r="N252" s="56">
        <f>IF(B252="","",IF(L252="","keine Ist-Std.",IF(L252&lt;=Einstellungen!$C$7,"unauffällig",IF(L252&lt;=Einstellungen!$C$8,"auffällig","kritisch"))))</f>
        <v/>
      </c>
      <c r="O252" s="64">
        <f>IF(L252="",-1,L252+ROW()/1000000000)</f>
        <v/>
      </c>
      <c r="P252" s="61">
        <f>IF(B252="","",Berechnung!AF252)</f>
        <v/>
      </c>
      <c r="Q252" s="57">
        <f>IF(B252="","",Berechnung!AG252)</f>
        <v/>
      </c>
      <c r="R252" s="57">
        <f>IF(B252="","",'Ist-Stunden'!D252)</f>
        <v/>
      </c>
      <c r="S252" s="59">
        <f>IF(B252="","",IF(N(R252)&gt;0,IF(Einstellungen!$C$10="Ja",Q252/R252,Q252/(R252+Q252)),""))</f>
        <v/>
      </c>
      <c r="T252" s="56">
        <f>IF(B252="","",IF(S252="","keine Ist-Std.",IF(S252&lt;=Einstellungen!$C$7,"unauffällig",IF(S252&lt;=Einstellungen!$C$8,"auffällig","kritisch"))))</f>
        <v/>
      </c>
    </row>
    <row r="253">
      <c r="A253" s="47">
        <f>IF(Mitarbeiter!B253="","",Mitarbeiter!A253)</f>
        <v/>
      </c>
      <c r="B253" s="48">
        <f>IF(Mitarbeiter!B253="","",Mitarbeiter!B253)</f>
        <v/>
      </c>
      <c r="C253" s="7">
        <f>IF(Mitarbeiter!B253="","",Mitarbeiter!G253)</f>
        <v/>
      </c>
      <c r="D253" s="57">
        <f>IF(Mitarbeiter!B253="","",Mitarbeiter!H253)</f>
        <v/>
      </c>
      <c r="E253" s="57">
        <f>IF(Mitarbeiter!B253="","",'Ist-Stunden'!C253)</f>
        <v/>
      </c>
      <c r="F253" s="57">
        <f>IF(B253="","",Berechnung!AE253)</f>
        <v/>
      </c>
      <c r="G253" s="61">
        <f>IF(B253="","",Berechnung!P253)</f>
        <v/>
      </c>
      <c r="H253" s="61">
        <f>IF(B253="","",Berechnung!AC253)</f>
        <v/>
      </c>
      <c r="I253" s="61">
        <f>IF(B253="","",Berechnung!AD253)</f>
        <v/>
      </c>
      <c r="J253" s="36">
        <f>IF(B253="","",SUMPRODUCT(((Berechnung!D253:O253+Berechnung!Q253:AB253)&gt;0)*1))</f>
        <v/>
      </c>
      <c r="K253" s="62">
        <f>IF(B253="","",IF(N(D253)&gt;0,F253/D253,""))</f>
        <v/>
      </c>
      <c r="L253" s="40">
        <f>IF(B253="","",IF(N(E253)&gt;0,IF(Einstellungen!$C$10="Ja",F253/E253,F253/(E253+F253)),""))</f>
        <v/>
      </c>
      <c r="M253" s="63">
        <f>IF(L253="","",RANK(L253,$L$6:$L$305,0))</f>
        <v/>
      </c>
      <c r="N253" s="56">
        <f>IF(B253="","",IF(L253="","keine Ist-Std.",IF(L253&lt;=Einstellungen!$C$7,"unauffällig",IF(L253&lt;=Einstellungen!$C$8,"auffällig","kritisch"))))</f>
        <v/>
      </c>
      <c r="O253" s="64">
        <f>IF(L253="",-1,L253+ROW()/1000000000)</f>
        <v/>
      </c>
      <c r="P253" s="61">
        <f>IF(B253="","",Berechnung!AF253)</f>
        <v/>
      </c>
      <c r="Q253" s="57">
        <f>IF(B253="","",Berechnung!AG253)</f>
        <v/>
      </c>
      <c r="R253" s="57">
        <f>IF(B253="","",'Ist-Stunden'!D253)</f>
        <v/>
      </c>
      <c r="S253" s="59">
        <f>IF(B253="","",IF(N(R253)&gt;0,IF(Einstellungen!$C$10="Ja",Q253/R253,Q253/(R253+Q253)),""))</f>
        <v/>
      </c>
      <c r="T253" s="56">
        <f>IF(B253="","",IF(S253="","keine Ist-Std.",IF(S253&lt;=Einstellungen!$C$7,"unauffällig",IF(S253&lt;=Einstellungen!$C$8,"auffällig","kritisch"))))</f>
        <v/>
      </c>
    </row>
    <row r="254">
      <c r="A254" s="47">
        <f>IF(Mitarbeiter!B254="","",Mitarbeiter!A254)</f>
        <v/>
      </c>
      <c r="B254" s="48">
        <f>IF(Mitarbeiter!B254="","",Mitarbeiter!B254)</f>
        <v/>
      </c>
      <c r="C254" s="7">
        <f>IF(Mitarbeiter!B254="","",Mitarbeiter!G254)</f>
        <v/>
      </c>
      <c r="D254" s="57">
        <f>IF(Mitarbeiter!B254="","",Mitarbeiter!H254)</f>
        <v/>
      </c>
      <c r="E254" s="57">
        <f>IF(Mitarbeiter!B254="","",'Ist-Stunden'!C254)</f>
        <v/>
      </c>
      <c r="F254" s="57">
        <f>IF(B254="","",Berechnung!AE254)</f>
        <v/>
      </c>
      <c r="G254" s="61">
        <f>IF(B254="","",Berechnung!P254)</f>
        <v/>
      </c>
      <c r="H254" s="61">
        <f>IF(B254="","",Berechnung!AC254)</f>
        <v/>
      </c>
      <c r="I254" s="61">
        <f>IF(B254="","",Berechnung!AD254)</f>
        <v/>
      </c>
      <c r="J254" s="36">
        <f>IF(B254="","",SUMPRODUCT(((Berechnung!D254:O254+Berechnung!Q254:AB254)&gt;0)*1))</f>
        <v/>
      </c>
      <c r="K254" s="62">
        <f>IF(B254="","",IF(N(D254)&gt;0,F254/D254,""))</f>
        <v/>
      </c>
      <c r="L254" s="40">
        <f>IF(B254="","",IF(N(E254)&gt;0,IF(Einstellungen!$C$10="Ja",F254/E254,F254/(E254+F254)),""))</f>
        <v/>
      </c>
      <c r="M254" s="63">
        <f>IF(L254="","",RANK(L254,$L$6:$L$305,0))</f>
        <v/>
      </c>
      <c r="N254" s="56">
        <f>IF(B254="","",IF(L254="","keine Ist-Std.",IF(L254&lt;=Einstellungen!$C$7,"unauffällig",IF(L254&lt;=Einstellungen!$C$8,"auffällig","kritisch"))))</f>
        <v/>
      </c>
      <c r="O254" s="64">
        <f>IF(L254="",-1,L254+ROW()/1000000000)</f>
        <v/>
      </c>
      <c r="P254" s="61">
        <f>IF(B254="","",Berechnung!AF254)</f>
        <v/>
      </c>
      <c r="Q254" s="57">
        <f>IF(B254="","",Berechnung!AG254)</f>
        <v/>
      </c>
      <c r="R254" s="57">
        <f>IF(B254="","",'Ist-Stunden'!D254)</f>
        <v/>
      </c>
      <c r="S254" s="59">
        <f>IF(B254="","",IF(N(R254)&gt;0,IF(Einstellungen!$C$10="Ja",Q254/R254,Q254/(R254+Q254)),""))</f>
        <v/>
      </c>
      <c r="T254" s="56">
        <f>IF(B254="","",IF(S254="","keine Ist-Std.",IF(S254&lt;=Einstellungen!$C$7,"unauffällig",IF(S254&lt;=Einstellungen!$C$8,"auffällig","kritisch"))))</f>
        <v/>
      </c>
    </row>
    <row r="255">
      <c r="A255" s="47">
        <f>IF(Mitarbeiter!B255="","",Mitarbeiter!A255)</f>
        <v/>
      </c>
      <c r="B255" s="48">
        <f>IF(Mitarbeiter!B255="","",Mitarbeiter!B255)</f>
        <v/>
      </c>
      <c r="C255" s="7">
        <f>IF(Mitarbeiter!B255="","",Mitarbeiter!G255)</f>
        <v/>
      </c>
      <c r="D255" s="57">
        <f>IF(Mitarbeiter!B255="","",Mitarbeiter!H255)</f>
        <v/>
      </c>
      <c r="E255" s="57">
        <f>IF(Mitarbeiter!B255="","",'Ist-Stunden'!C255)</f>
        <v/>
      </c>
      <c r="F255" s="57">
        <f>IF(B255="","",Berechnung!AE255)</f>
        <v/>
      </c>
      <c r="G255" s="61">
        <f>IF(B255="","",Berechnung!P255)</f>
        <v/>
      </c>
      <c r="H255" s="61">
        <f>IF(B255="","",Berechnung!AC255)</f>
        <v/>
      </c>
      <c r="I255" s="61">
        <f>IF(B255="","",Berechnung!AD255)</f>
        <v/>
      </c>
      <c r="J255" s="36">
        <f>IF(B255="","",SUMPRODUCT(((Berechnung!D255:O255+Berechnung!Q255:AB255)&gt;0)*1))</f>
        <v/>
      </c>
      <c r="K255" s="62">
        <f>IF(B255="","",IF(N(D255)&gt;0,F255/D255,""))</f>
        <v/>
      </c>
      <c r="L255" s="40">
        <f>IF(B255="","",IF(N(E255)&gt;0,IF(Einstellungen!$C$10="Ja",F255/E255,F255/(E255+F255)),""))</f>
        <v/>
      </c>
      <c r="M255" s="63">
        <f>IF(L255="","",RANK(L255,$L$6:$L$305,0))</f>
        <v/>
      </c>
      <c r="N255" s="56">
        <f>IF(B255="","",IF(L255="","keine Ist-Std.",IF(L255&lt;=Einstellungen!$C$7,"unauffällig",IF(L255&lt;=Einstellungen!$C$8,"auffällig","kritisch"))))</f>
        <v/>
      </c>
      <c r="O255" s="64">
        <f>IF(L255="",-1,L255+ROW()/1000000000)</f>
        <v/>
      </c>
      <c r="P255" s="61">
        <f>IF(B255="","",Berechnung!AF255)</f>
        <v/>
      </c>
      <c r="Q255" s="57">
        <f>IF(B255="","",Berechnung!AG255)</f>
        <v/>
      </c>
      <c r="R255" s="57">
        <f>IF(B255="","",'Ist-Stunden'!D255)</f>
        <v/>
      </c>
      <c r="S255" s="59">
        <f>IF(B255="","",IF(N(R255)&gt;0,IF(Einstellungen!$C$10="Ja",Q255/R255,Q255/(R255+Q255)),""))</f>
        <v/>
      </c>
      <c r="T255" s="56">
        <f>IF(B255="","",IF(S255="","keine Ist-Std.",IF(S255&lt;=Einstellungen!$C$7,"unauffällig",IF(S255&lt;=Einstellungen!$C$8,"auffällig","kritisch"))))</f>
        <v/>
      </c>
    </row>
    <row r="256">
      <c r="A256" s="47">
        <f>IF(Mitarbeiter!B256="","",Mitarbeiter!A256)</f>
        <v/>
      </c>
      <c r="B256" s="48">
        <f>IF(Mitarbeiter!B256="","",Mitarbeiter!B256)</f>
        <v/>
      </c>
      <c r="C256" s="7">
        <f>IF(Mitarbeiter!B256="","",Mitarbeiter!G256)</f>
        <v/>
      </c>
      <c r="D256" s="57">
        <f>IF(Mitarbeiter!B256="","",Mitarbeiter!H256)</f>
        <v/>
      </c>
      <c r="E256" s="57">
        <f>IF(Mitarbeiter!B256="","",'Ist-Stunden'!C256)</f>
        <v/>
      </c>
      <c r="F256" s="57">
        <f>IF(B256="","",Berechnung!AE256)</f>
        <v/>
      </c>
      <c r="G256" s="61">
        <f>IF(B256="","",Berechnung!P256)</f>
        <v/>
      </c>
      <c r="H256" s="61">
        <f>IF(B256="","",Berechnung!AC256)</f>
        <v/>
      </c>
      <c r="I256" s="61">
        <f>IF(B256="","",Berechnung!AD256)</f>
        <v/>
      </c>
      <c r="J256" s="36">
        <f>IF(B256="","",SUMPRODUCT(((Berechnung!D256:O256+Berechnung!Q256:AB256)&gt;0)*1))</f>
        <v/>
      </c>
      <c r="K256" s="62">
        <f>IF(B256="","",IF(N(D256)&gt;0,F256/D256,""))</f>
        <v/>
      </c>
      <c r="L256" s="40">
        <f>IF(B256="","",IF(N(E256)&gt;0,IF(Einstellungen!$C$10="Ja",F256/E256,F256/(E256+F256)),""))</f>
        <v/>
      </c>
      <c r="M256" s="63">
        <f>IF(L256="","",RANK(L256,$L$6:$L$305,0))</f>
        <v/>
      </c>
      <c r="N256" s="56">
        <f>IF(B256="","",IF(L256="","keine Ist-Std.",IF(L256&lt;=Einstellungen!$C$7,"unauffällig",IF(L256&lt;=Einstellungen!$C$8,"auffällig","kritisch"))))</f>
        <v/>
      </c>
      <c r="O256" s="64">
        <f>IF(L256="",-1,L256+ROW()/1000000000)</f>
        <v/>
      </c>
      <c r="P256" s="61">
        <f>IF(B256="","",Berechnung!AF256)</f>
        <v/>
      </c>
      <c r="Q256" s="57">
        <f>IF(B256="","",Berechnung!AG256)</f>
        <v/>
      </c>
      <c r="R256" s="57">
        <f>IF(B256="","",'Ist-Stunden'!D256)</f>
        <v/>
      </c>
      <c r="S256" s="59">
        <f>IF(B256="","",IF(N(R256)&gt;0,IF(Einstellungen!$C$10="Ja",Q256/R256,Q256/(R256+Q256)),""))</f>
        <v/>
      </c>
      <c r="T256" s="56">
        <f>IF(B256="","",IF(S256="","keine Ist-Std.",IF(S256&lt;=Einstellungen!$C$7,"unauffällig",IF(S256&lt;=Einstellungen!$C$8,"auffällig","kritisch"))))</f>
        <v/>
      </c>
    </row>
    <row r="257">
      <c r="A257" s="47">
        <f>IF(Mitarbeiter!B257="","",Mitarbeiter!A257)</f>
        <v/>
      </c>
      <c r="B257" s="48">
        <f>IF(Mitarbeiter!B257="","",Mitarbeiter!B257)</f>
        <v/>
      </c>
      <c r="C257" s="7">
        <f>IF(Mitarbeiter!B257="","",Mitarbeiter!G257)</f>
        <v/>
      </c>
      <c r="D257" s="57">
        <f>IF(Mitarbeiter!B257="","",Mitarbeiter!H257)</f>
        <v/>
      </c>
      <c r="E257" s="57">
        <f>IF(Mitarbeiter!B257="","",'Ist-Stunden'!C257)</f>
        <v/>
      </c>
      <c r="F257" s="57">
        <f>IF(B257="","",Berechnung!AE257)</f>
        <v/>
      </c>
      <c r="G257" s="61">
        <f>IF(B257="","",Berechnung!P257)</f>
        <v/>
      </c>
      <c r="H257" s="61">
        <f>IF(B257="","",Berechnung!AC257)</f>
        <v/>
      </c>
      <c r="I257" s="61">
        <f>IF(B257="","",Berechnung!AD257)</f>
        <v/>
      </c>
      <c r="J257" s="36">
        <f>IF(B257="","",SUMPRODUCT(((Berechnung!D257:O257+Berechnung!Q257:AB257)&gt;0)*1))</f>
        <v/>
      </c>
      <c r="K257" s="62">
        <f>IF(B257="","",IF(N(D257)&gt;0,F257/D257,""))</f>
        <v/>
      </c>
      <c r="L257" s="40">
        <f>IF(B257="","",IF(N(E257)&gt;0,IF(Einstellungen!$C$10="Ja",F257/E257,F257/(E257+F257)),""))</f>
        <v/>
      </c>
      <c r="M257" s="63">
        <f>IF(L257="","",RANK(L257,$L$6:$L$305,0))</f>
        <v/>
      </c>
      <c r="N257" s="56">
        <f>IF(B257="","",IF(L257="","keine Ist-Std.",IF(L257&lt;=Einstellungen!$C$7,"unauffällig",IF(L257&lt;=Einstellungen!$C$8,"auffällig","kritisch"))))</f>
        <v/>
      </c>
      <c r="O257" s="64">
        <f>IF(L257="",-1,L257+ROW()/1000000000)</f>
        <v/>
      </c>
      <c r="P257" s="61">
        <f>IF(B257="","",Berechnung!AF257)</f>
        <v/>
      </c>
      <c r="Q257" s="57">
        <f>IF(B257="","",Berechnung!AG257)</f>
        <v/>
      </c>
      <c r="R257" s="57">
        <f>IF(B257="","",'Ist-Stunden'!D257)</f>
        <v/>
      </c>
      <c r="S257" s="59">
        <f>IF(B257="","",IF(N(R257)&gt;0,IF(Einstellungen!$C$10="Ja",Q257/R257,Q257/(R257+Q257)),""))</f>
        <v/>
      </c>
      <c r="T257" s="56">
        <f>IF(B257="","",IF(S257="","keine Ist-Std.",IF(S257&lt;=Einstellungen!$C$7,"unauffällig",IF(S257&lt;=Einstellungen!$C$8,"auffällig","kritisch"))))</f>
        <v/>
      </c>
    </row>
    <row r="258">
      <c r="A258" s="47">
        <f>IF(Mitarbeiter!B258="","",Mitarbeiter!A258)</f>
        <v/>
      </c>
      <c r="B258" s="48">
        <f>IF(Mitarbeiter!B258="","",Mitarbeiter!B258)</f>
        <v/>
      </c>
      <c r="C258" s="7">
        <f>IF(Mitarbeiter!B258="","",Mitarbeiter!G258)</f>
        <v/>
      </c>
      <c r="D258" s="57">
        <f>IF(Mitarbeiter!B258="","",Mitarbeiter!H258)</f>
        <v/>
      </c>
      <c r="E258" s="57">
        <f>IF(Mitarbeiter!B258="","",'Ist-Stunden'!C258)</f>
        <v/>
      </c>
      <c r="F258" s="57">
        <f>IF(B258="","",Berechnung!AE258)</f>
        <v/>
      </c>
      <c r="G258" s="61">
        <f>IF(B258="","",Berechnung!P258)</f>
        <v/>
      </c>
      <c r="H258" s="61">
        <f>IF(B258="","",Berechnung!AC258)</f>
        <v/>
      </c>
      <c r="I258" s="61">
        <f>IF(B258="","",Berechnung!AD258)</f>
        <v/>
      </c>
      <c r="J258" s="36">
        <f>IF(B258="","",SUMPRODUCT(((Berechnung!D258:O258+Berechnung!Q258:AB258)&gt;0)*1))</f>
        <v/>
      </c>
      <c r="K258" s="62">
        <f>IF(B258="","",IF(N(D258)&gt;0,F258/D258,""))</f>
        <v/>
      </c>
      <c r="L258" s="40">
        <f>IF(B258="","",IF(N(E258)&gt;0,IF(Einstellungen!$C$10="Ja",F258/E258,F258/(E258+F258)),""))</f>
        <v/>
      </c>
      <c r="M258" s="63">
        <f>IF(L258="","",RANK(L258,$L$6:$L$305,0))</f>
        <v/>
      </c>
      <c r="N258" s="56">
        <f>IF(B258="","",IF(L258="","keine Ist-Std.",IF(L258&lt;=Einstellungen!$C$7,"unauffällig",IF(L258&lt;=Einstellungen!$C$8,"auffällig","kritisch"))))</f>
        <v/>
      </c>
      <c r="O258" s="64">
        <f>IF(L258="",-1,L258+ROW()/1000000000)</f>
        <v/>
      </c>
      <c r="P258" s="61">
        <f>IF(B258="","",Berechnung!AF258)</f>
        <v/>
      </c>
      <c r="Q258" s="57">
        <f>IF(B258="","",Berechnung!AG258)</f>
        <v/>
      </c>
      <c r="R258" s="57">
        <f>IF(B258="","",'Ist-Stunden'!D258)</f>
        <v/>
      </c>
      <c r="S258" s="59">
        <f>IF(B258="","",IF(N(R258)&gt;0,IF(Einstellungen!$C$10="Ja",Q258/R258,Q258/(R258+Q258)),""))</f>
        <v/>
      </c>
      <c r="T258" s="56">
        <f>IF(B258="","",IF(S258="","keine Ist-Std.",IF(S258&lt;=Einstellungen!$C$7,"unauffällig",IF(S258&lt;=Einstellungen!$C$8,"auffällig","kritisch"))))</f>
        <v/>
      </c>
    </row>
    <row r="259">
      <c r="A259" s="47">
        <f>IF(Mitarbeiter!B259="","",Mitarbeiter!A259)</f>
        <v/>
      </c>
      <c r="B259" s="48">
        <f>IF(Mitarbeiter!B259="","",Mitarbeiter!B259)</f>
        <v/>
      </c>
      <c r="C259" s="7">
        <f>IF(Mitarbeiter!B259="","",Mitarbeiter!G259)</f>
        <v/>
      </c>
      <c r="D259" s="57">
        <f>IF(Mitarbeiter!B259="","",Mitarbeiter!H259)</f>
        <v/>
      </c>
      <c r="E259" s="57">
        <f>IF(Mitarbeiter!B259="","",'Ist-Stunden'!C259)</f>
        <v/>
      </c>
      <c r="F259" s="57">
        <f>IF(B259="","",Berechnung!AE259)</f>
        <v/>
      </c>
      <c r="G259" s="61">
        <f>IF(B259="","",Berechnung!P259)</f>
        <v/>
      </c>
      <c r="H259" s="61">
        <f>IF(B259="","",Berechnung!AC259)</f>
        <v/>
      </c>
      <c r="I259" s="61">
        <f>IF(B259="","",Berechnung!AD259)</f>
        <v/>
      </c>
      <c r="J259" s="36">
        <f>IF(B259="","",SUMPRODUCT(((Berechnung!D259:O259+Berechnung!Q259:AB259)&gt;0)*1))</f>
        <v/>
      </c>
      <c r="K259" s="62">
        <f>IF(B259="","",IF(N(D259)&gt;0,F259/D259,""))</f>
        <v/>
      </c>
      <c r="L259" s="40">
        <f>IF(B259="","",IF(N(E259)&gt;0,IF(Einstellungen!$C$10="Ja",F259/E259,F259/(E259+F259)),""))</f>
        <v/>
      </c>
      <c r="M259" s="63">
        <f>IF(L259="","",RANK(L259,$L$6:$L$305,0))</f>
        <v/>
      </c>
      <c r="N259" s="56">
        <f>IF(B259="","",IF(L259="","keine Ist-Std.",IF(L259&lt;=Einstellungen!$C$7,"unauffällig",IF(L259&lt;=Einstellungen!$C$8,"auffällig","kritisch"))))</f>
        <v/>
      </c>
      <c r="O259" s="64">
        <f>IF(L259="",-1,L259+ROW()/1000000000)</f>
        <v/>
      </c>
      <c r="P259" s="61">
        <f>IF(B259="","",Berechnung!AF259)</f>
        <v/>
      </c>
      <c r="Q259" s="57">
        <f>IF(B259="","",Berechnung!AG259)</f>
        <v/>
      </c>
      <c r="R259" s="57">
        <f>IF(B259="","",'Ist-Stunden'!D259)</f>
        <v/>
      </c>
      <c r="S259" s="59">
        <f>IF(B259="","",IF(N(R259)&gt;0,IF(Einstellungen!$C$10="Ja",Q259/R259,Q259/(R259+Q259)),""))</f>
        <v/>
      </c>
      <c r="T259" s="56">
        <f>IF(B259="","",IF(S259="","keine Ist-Std.",IF(S259&lt;=Einstellungen!$C$7,"unauffällig",IF(S259&lt;=Einstellungen!$C$8,"auffällig","kritisch"))))</f>
        <v/>
      </c>
    </row>
    <row r="260">
      <c r="A260" s="47">
        <f>IF(Mitarbeiter!B260="","",Mitarbeiter!A260)</f>
        <v/>
      </c>
      <c r="B260" s="48">
        <f>IF(Mitarbeiter!B260="","",Mitarbeiter!B260)</f>
        <v/>
      </c>
      <c r="C260" s="7">
        <f>IF(Mitarbeiter!B260="","",Mitarbeiter!G260)</f>
        <v/>
      </c>
      <c r="D260" s="57">
        <f>IF(Mitarbeiter!B260="","",Mitarbeiter!H260)</f>
        <v/>
      </c>
      <c r="E260" s="57">
        <f>IF(Mitarbeiter!B260="","",'Ist-Stunden'!C260)</f>
        <v/>
      </c>
      <c r="F260" s="57">
        <f>IF(B260="","",Berechnung!AE260)</f>
        <v/>
      </c>
      <c r="G260" s="61">
        <f>IF(B260="","",Berechnung!P260)</f>
        <v/>
      </c>
      <c r="H260" s="61">
        <f>IF(B260="","",Berechnung!AC260)</f>
        <v/>
      </c>
      <c r="I260" s="61">
        <f>IF(B260="","",Berechnung!AD260)</f>
        <v/>
      </c>
      <c r="J260" s="36">
        <f>IF(B260="","",SUMPRODUCT(((Berechnung!D260:O260+Berechnung!Q260:AB260)&gt;0)*1))</f>
        <v/>
      </c>
      <c r="K260" s="62">
        <f>IF(B260="","",IF(N(D260)&gt;0,F260/D260,""))</f>
        <v/>
      </c>
      <c r="L260" s="40">
        <f>IF(B260="","",IF(N(E260)&gt;0,IF(Einstellungen!$C$10="Ja",F260/E260,F260/(E260+F260)),""))</f>
        <v/>
      </c>
      <c r="M260" s="63">
        <f>IF(L260="","",RANK(L260,$L$6:$L$305,0))</f>
        <v/>
      </c>
      <c r="N260" s="56">
        <f>IF(B260="","",IF(L260="","keine Ist-Std.",IF(L260&lt;=Einstellungen!$C$7,"unauffällig",IF(L260&lt;=Einstellungen!$C$8,"auffällig","kritisch"))))</f>
        <v/>
      </c>
      <c r="O260" s="64">
        <f>IF(L260="",-1,L260+ROW()/1000000000)</f>
        <v/>
      </c>
      <c r="P260" s="61">
        <f>IF(B260="","",Berechnung!AF260)</f>
        <v/>
      </c>
      <c r="Q260" s="57">
        <f>IF(B260="","",Berechnung!AG260)</f>
        <v/>
      </c>
      <c r="R260" s="57">
        <f>IF(B260="","",'Ist-Stunden'!D260)</f>
        <v/>
      </c>
      <c r="S260" s="59">
        <f>IF(B260="","",IF(N(R260)&gt;0,IF(Einstellungen!$C$10="Ja",Q260/R260,Q260/(R260+Q260)),""))</f>
        <v/>
      </c>
      <c r="T260" s="56">
        <f>IF(B260="","",IF(S260="","keine Ist-Std.",IF(S260&lt;=Einstellungen!$C$7,"unauffällig",IF(S260&lt;=Einstellungen!$C$8,"auffällig","kritisch"))))</f>
        <v/>
      </c>
    </row>
    <row r="261">
      <c r="A261" s="47">
        <f>IF(Mitarbeiter!B261="","",Mitarbeiter!A261)</f>
        <v/>
      </c>
      <c r="B261" s="48">
        <f>IF(Mitarbeiter!B261="","",Mitarbeiter!B261)</f>
        <v/>
      </c>
      <c r="C261" s="7">
        <f>IF(Mitarbeiter!B261="","",Mitarbeiter!G261)</f>
        <v/>
      </c>
      <c r="D261" s="57">
        <f>IF(Mitarbeiter!B261="","",Mitarbeiter!H261)</f>
        <v/>
      </c>
      <c r="E261" s="57">
        <f>IF(Mitarbeiter!B261="","",'Ist-Stunden'!C261)</f>
        <v/>
      </c>
      <c r="F261" s="57">
        <f>IF(B261="","",Berechnung!AE261)</f>
        <v/>
      </c>
      <c r="G261" s="61">
        <f>IF(B261="","",Berechnung!P261)</f>
        <v/>
      </c>
      <c r="H261" s="61">
        <f>IF(B261="","",Berechnung!AC261)</f>
        <v/>
      </c>
      <c r="I261" s="61">
        <f>IF(B261="","",Berechnung!AD261)</f>
        <v/>
      </c>
      <c r="J261" s="36">
        <f>IF(B261="","",SUMPRODUCT(((Berechnung!D261:O261+Berechnung!Q261:AB261)&gt;0)*1))</f>
        <v/>
      </c>
      <c r="K261" s="62">
        <f>IF(B261="","",IF(N(D261)&gt;0,F261/D261,""))</f>
        <v/>
      </c>
      <c r="L261" s="40">
        <f>IF(B261="","",IF(N(E261)&gt;0,IF(Einstellungen!$C$10="Ja",F261/E261,F261/(E261+F261)),""))</f>
        <v/>
      </c>
      <c r="M261" s="63">
        <f>IF(L261="","",RANK(L261,$L$6:$L$305,0))</f>
        <v/>
      </c>
      <c r="N261" s="56">
        <f>IF(B261="","",IF(L261="","keine Ist-Std.",IF(L261&lt;=Einstellungen!$C$7,"unauffällig",IF(L261&lt;=Einstellungen!$C$8,"auffällig","kritisch"))))</f>
        <v/>
      </c>
      <c r="O261" s="64">
        <f>IF(L261="",-1,L261+ROW()/1000000000)</f>
        <v/>
      </c>
      <c r="P261" s="61">
        <f>IF(B261="","",Berechnung!AF261)</f>
        <v/>
      </c>
      <c r="Q261" s="57">
        <f>IF(B261="","",Berechnung!AG261)</f>
        <v/>
      </c>
      <c r="R261" s="57">
        <f>IF(B261="","",'Ist-Stunden'!D261)</f>
        <v/>
      </c>
      <c r="S261" s="59">
        <f>IF(B261="","",IF(N(R261)&gt;0,IF(Einstellungen!$C$10="Ja",Q261/R261,Q261/(R261+Q261)),""))</f>
        <v/>
      </c>
      <c r="T261" s="56">
        <f>IF(B261="","",IF(S261="","keine Ist-Std.",IF(S261&lt;=Einstellungen!$C$7,"unauffällig",IF(S261&lt;=Einstellungen!$C$8,"auffällig","kritisch"))))</f>
        <v/>
      </c>
    </row>
    <row r="262">
      <c r="A262" s="47">
        <f>IF(Mitarbeiter!B262="","",Mitarbeiter!A262)</f>
        <v/>
      </c>
      <c r="B262" s="48">
        <f>IF(Mitarbeiter!B262="","",Mitarbeiter!B262)</f>
        <v/>
      </c>
      <c r="C262" s="7">
        <f>IF(Mitarbeiter!B262="","",Mitarbeiter!G262)</f>
        <v/>
      </c>
      <c r="D262" s="57">
        <f>IF(Mitarbeiter!B262="","",Mitarbeiter!H262)</f>
        <v/>
      </c>
      <c r="E262" s="57">
        <f>IF(Mitarbeiter!B262="","",'Ist-Stunden'!C262)</f>
        <v/>
      </c>
      <c r="F262" s="57">
        <f>IF(B262="","",Berechnung!AE262)</f>
        <v/>
      </c>
      <c r="G262" s="61">
        <f>IF(B262="","",Berechnung!P262)</f>
        <v/>
      </c>
      <c r="H262" s="61">
        <f>IF(B262="","",Berechnung!AC262)</f>
        <v/>
      </c>
      <c r="I262" s="61">
        <f>IF(B262="","",Berechnung!AD262)</f>
        <v/>
      </c>
      <c r="J262" s="36">
        <f>IF(B262="","",SUMPRODUCT(((Berechnung!D262:O262+Berechnung!Q262:AB262)&gt;0)*1))</f>
        <v/>
      </c>
      <c r="K262" s="62">
        <f>IF(B262="","",IF(N(D262)&gt;0,F262/D262,""))</f>
        <v/>
      </c>
      <c r="L262" s="40">
        <f>IF(B262="","",IF(N(E262)&gt;0,IF(Einstellungen!$C$10="Ja",F262/E262,F262/(E262+F262)),""))</f>
        <v/>
      </c>
      <c r="M262" s="63">
        <f>IF(L262="","",RANK(L262,$L$6:$L$305,0))</f>
        <v/>
      </c>
      <c r="N262" s="56">
        <f>IF(B262="","",IF(L262="","keine Ist-Std.",IF(L262&lt;=Einstellungen!$C$7,"unauffällig",IF(L262&lt;=Einstellungen!$C$8,"auffällig","kritisch"))))</f>
        <v/>
      </c>
      <c r="O262" s="64">
        <f>IF(L262="",-1,L262+ROW()/1000000000)</f>
        <v/>
      </c>
      <c r="P262" s="61">
        <f>IF(B262="","",Berechnung!AF262)</f>
        <v/>
      </c>
      <c r="Q262" s="57">
        <f>IF(B262="","",Berechnung!AG262)</f>
        <v/>
      </c>
      <c r="R262" s="57">
        <f>IF(B262="","",'Ist-Stunden'!D262)</f>
        <v/>
      </c>
      <c r="S262" s="59">
        <f>IF(B262="","",IF(N(R262)&gt;0,IF(Einstellungen!$C$10="Ja",Q262/R262,Q262/(R262+Q262)),""))</f>
        <v/>
      </c>
      <c r="T262" s="56">
        <f>IF(B262="","",IF(S262="","keine Ist-Std.",IF(S262&lt;=Einstellungen!$C$7,"unauffällig",IF(S262&lt;=Einstellungen!$C$8,"auffällig","kritisch"))))</f>
        <v/>
      </c>
    </row>
    <row r="263">
      <c r="A263" s="47">
        <f>IF(Mitarbeiter!B263="","",Mitarbeiter!A263)</f>
        <v/>
      </c>
      <c r="B263" s="48">
        <f>IF(Mitarbeiter!B263="","",Mitarbeiter!B263)</f>
        <v/>
      </c>
      <c r="C263" s="7">
        <f>IF(Mitarbeiter!B263="","",Mitarbeiter!G263)</f>
        <v/>
      </c>
      <c r="D263" s="57">
        <f>IF(Mitarbeiter!B263="","",Mitarbeiter!H263)</f>
        <v/>
      </c>
      <c r="E263" s="57">
        <f>IF(Mitarbeiter!B263="","",'Ist-Stunden'!C263)</f>
        <v/>
      </c>
      <c r="F263" s="57">
        <f>IF(B263="","",Berechnung!AE263)</f>
        <v/>
      </c>
      <c r="G263" s="61">
        <f>IF(B263="","",Berechnung!P263)</f>
        <v/>
      </c>
      <c r="H263" s="61">
        <f>IF(B263="","",Berechnung!AC263)</f>
        <v/>
      </c>
      <c r="I263" s="61">
        <f>IF(B263="","",Berechnung!AD263)</f>
        <v/>
      </c>
      <c r="J263" s="36">
        <f>IF(B263="","",SUMPRODUCT(((Berechnung!D263:O263+Berechnung!Q263:AB263)&gt;0)*1))</f>
        <v/>
      </c>
      <c r="K263" s="62">
        <f>IF(B263="","",IF(N(D263)&gt;0,F263/D263,""))</f>
        <v/>
      </c>
      <c r="L263" s="40">
        <f>IF(B263="","",IF(N(E263)&gt;0,IF(Einstellungen!$C$10="Ja",F263/E263,F263/(E263+F263)),""))</f>
        <v/>
      </c>
      <c r="M263" s="63">
        <f>IF(L263="","",RANK(L263,$L$6:$L$305,0))</f>
        <v/>
      </c>
      <c r="N263" s="56">
        <f>IF(B263="","",IF(L263="","keine Ist-Std.",IF(L263&lt;=Einstellungen!$C$7,"unauffällig",IF(L263&lt;=Einstellungen!$C$8,"auffällig","kritisch"))))</f>
        <v/>
      </c>
      <c r="O263" s="64">
        <f>IF(L263="",-1,L263+ROW()/1000000000)</f>
        <v/>
      </c>
      <c r="P263" s="61">
        <f>IF(B263="","",Berechnung!AF263)</f>
        <v/>
      </c>
      <c r="Q263" s="57">
        <f>IF(B263="","",Berechnung!AG263)</f>
        <v/>
      </c>
      <c r="R263" s="57">
        <f>IF(B263="","",'Ist-Stunden'!D263)</f>
        <v/>
      </c>
      <c r="S263" s="59">
        <f>IF(B263="","",IF(N(R263)&gt;0,IF(Einstellungen!$C$10="Ja",Q263/R263,Q263/(R263+Q263)),""))</f>
        <v/>
      </c>
      <c r="T263" s="56">
        <f>IF(B263="","",IF(S263="","keine Ist-Std.",IF(S263&lt;=Einstellungen!$C$7,"unauffällig",IF(S263&lt;=Einstellungen!$C$8,"auffällig","kritisch"))))</f>
        <v/>
      </c>
    </row>
    <row r="264">
      <c r="A264" s="47">
        <f>IF(Mitarbeiter!B264="","",Mitarbeiter!A264)</f>
        <v/>
      </c>
      <c r="B264" s="48">
        <f>IF(Mitarbeiter!B264="","",Mitarbeiter!B264)</f>
        <v/>
      </c>
      <c r="C264" s="7">
        <f>IF(Mitarbeiter!B264="","",Mitarbeiter!G264)</f>
        <v/>
      </c>
      <c r="D264" s="57">
        <f>IF(Mitarbeiter!B264="","",Mitarbeiter!H264)</f>
        <v/>
      </c>
      <c r="E264" s="57">
        <f>IF(Mitarbeiter!B264="","",'Ist-Stunden'!C264)</f>
        <v/>
      </c>
      <c r="F264" s="57">
        <f>IF(B264="","",Berechnung!AE264)</f>
        <v/>
      </c>
      <c r="G264" s="61">
        <f>IF(B264="","",Berechnung!P264)</f>
        <v/>
      </c>
      <c r="H264" s="61">
        <f>IF(B264="","",Berechnung!AC264)</f>
        <v/>
      </c>
      <c r="I264" s="61">
        <f>IF(B264="","",Berechnung!AD264)</f>
        <v/>
      </c>
      <c r="J264" s="36">
        <f>IF(B264="","",SUMPRODUCT(((Berechnung!D264:O264+Berechnung!Q264:AB264)&gt;0)*1))</f>
        <v/>
      </c>
      <c r="K264" s="62">
        <f>IF(B264="","",IF(N(D264)&gt;0,F264/D264,""))</f>
        <v/>
      </c>
      <c r="L264" s="40">
        <f>IF(B264="","",IF(N(E264)&gt;0,IF(Einstellungen!$C$10="Ja",F264/E264,F264/(E264+F264)),""))</f>
        <v/>
      </c>
      <c r="M264" s="63">
        <f>IF(L264="","",RANK(L264,$L$6:$L$305,0))</f>
        <v/>
      </c>
      <c r="N264" s="56">
        <f>IF(B264="","",IF(L264="","keine Ist-Std.",IF(L264&lt;=Einstellungen!$C$7,"unauffällig",IF(L264&lt;=Einstellungen!$C$8,"auffällig","kritisch"))))</f>
        <v/>
      </c>
      <c r="O264" s="64">
        <f>IF(L264="",-1,L264+ROW()/1000000000)</f>
        <v/>
      </c>
      <c r="P264" s="61">
        <f>IF(B264="","",Berechnung!AF264)</f>
        <v/>
      </c>
      <c r="Q264" s="57">
        <f>IF(B264="","",Berechnung!AG264)</f>
        <v/>
      </c>
      <c r="R264" s="57">
        <f>IF(B264="","",'Ist-Stunden'!D264)</f>
        <v/>
      </c>
      <c r="S264" s="59">
        <f>IF(B264="","",IF(N(R264)&gt;0,IF(Einstellungen!$C$10="Ja",Q264/R264,Q264/(R264+Q264)),""))</f>
        <v/>
      </c>
      <c r="T264" s="56">
        <f>IF(B264="","",IF(S264="","keine Ist-Std.",IF(S264&lt;=Einstellungen!$C$7,"unauffällig",IF(S264&lt;=Einstellungen!$C$8,"auffällig","kritisch"))))</f>
        <v/>
      </c>
    </row>
    <row r="265">
      <c r="A265" s="47">
        <f>IF(Mitarbeiter!B265="","",Mitarbeiter!A265)</f>
        <v/>
      </c>
      <c r="B265" s="48">
        <f>IF(Mitarbeiter!B265="","",Mitarbeiter!B265)</f>
        <v/>
      </c>
      <c r="C265" s="7">
        <f>IF(Mitarbeiter!B265="","",Mitarbeiter!G265)</f>
        <v/>
      </c>
      <c r="D265" s="57">
        <f>IF(Mitarbeiter!B265="","",Mitarbeiter!H265)</f>
        <v/>
      </c>
      <c r="E265" s="57">
        <f>IF(Mitarbeiter!B265="","",'Ist-Stunden'!C265)</f>
        <v/>
      </c>
      <c r="F265" s="57">
        <f>IF(B265="","",Berechnung!AE265)</f>
        <v/>
      </c>
      <c r="G265" s="61">
        <f>IF(B265="","",Berechnung!P265)</f>
        <v/>
      </c>
      <c r="H265" s="61">
        <f>IF(B265="","",Berechnung!AC265)</f>
        <v/>
      </c>
      <c r="I265" s="61">
        <f>IF(B265="","",Berechnung!AD265)</f>
        <v/>
      </c>
      <c r="J265" s="36">
        <f>IF(B265="","",SUMPRODUCT(((Berechnung!D265:O265+Berechnung!Q265:AB265)&gt;0)*1))</f>
        <v/>
      </c>
      <c r="K265" s="62">
        <f>IF(B265="","",IF(N(D265)&gt;0,F265/D265,""))</f>
        <v/>
      </c>
      <c r="L265" s="40">
        <f>IF(B265="","",IF(N(E265)&gt;0,IF(Einstellungen!$C$10="Ja",F265/E265,F265/(E265+F265)),""))</f>
        <v/>
      </c>
      <c r="M265" s="63">
        <f>IF(L265="","",RANK(L265,$L$6:$L$305,0))</f>
        <v/>
      </c>
      <c r="N265" s="56">
        <f>IF(B265="","",IF(L265="","keine Ist-Std.",IF(L265&lt;=Einstellungen!$C$7,"unauffällig",IF(L265&lt;=Einstellungen!$C$8,"auffällig","kritisch"))))</f>
        <v/>
      </c>
      <c r="O265" s="64">
        <f>IF(L265="",-1,L265+ROW()/1000000000)</f>
        <v/>
      </c>
      <c r="P265" s="61">
        <f>IF(B265="","",Berechnung!AF265)</f>
        <v/>
      </c>
      <c r="Q265" s="57">
        <f>IF(B265="","",Berechnung!AG265)</f>
        <v/>
      </c>
      <c r="R265" s="57">
        <f>IF(B265="","",'Ist-Stunden'!D265)</f>
        <v/>
      </c>
      <c r="S265" s="59">
        <f>IF(B265="","",IF(N(R265)&gt;0,IF(Einstellungen!$C$10="Ja",Q265/R265,Q265/(R265+Q265)),""))</f>
        <v/>
      </c>
      <c r="T265" s="56">
        <f>IF(B265="","",IF(S265="","keine Ist-Std.",IF(S265&lt;=Einstellungen!$C$7,"unauffällig",IF(S265&lt;=Einstellungen!$C$8,"auffällig","kritisch"))))</f>
        <v/>
      </c>
    </row>
    <row r="266">
      <c r="A266" s="47">
        <f>IF(Mitarbeiter!B266="","",Mitarbeiter!A266)</f>
        <v/>
      </c>
      <c r="B266" s="48">
        <f>IF(Mitarbeiter!B266="","",Mitarbeiter!B266)</f>
        <v/>
      </c>
      <c r="C266" s="7">
        <f>IF(Mitarbeiter!B266="","",Mitarbeiter!G266)</f>
        <v/>
      </c>
      <c r="D266" s="57">
        <f>IF(Mitarbeiter!B266="","",Mitarbeiter!H266)</f>
        <v/>
      </c>
      <c r="E266" s="57">
        <f>IF(Mitarbeiter!B266="","",'Ist-Stunden'!C266)</f>
        <v/>
      </c>
      <c r="F266" s="57">
        <f>IF(B266="","",Berechnung!AE266)</f>
        <v/>
      </c>
      <c r="G266" s="61">
        <f>IF(B266="","",Berechnung!P266)</f>
        <v/>
      </c>
      <c r="H266" s="61">
        <f>IF(B266="","",Berechnung!AC266)</f>
        <v/>
      </c>
      <c r="I266" s="61">
        <f>IF(B266="","",Berechnung!AD266)</f>
        <v/>
      </c>
      <c r="J266" s="36">
        <f>IF(B266="","",SUMPRODUCT(((Berechnung!D266:O266+Berechnung!Q266:AB266)&gt;0)*1))</f>
        <v/>
      </c>
      <c r="K266" s="62">
        <f>IF(B266="","",IF(N(D266)&gt;0,F266/D266,""))</f>
        <v/>
      </c>
      <c r="L266" s="40">
        <f>IF(B266="","",IF(N(E266)&gt;0,IF(Einstellungen!$C$10="Ja",F266/E266,F266/(E266+F266)),""))</f>
        <v/>
      </c>
      <c r="M266" s="63">
        <f>IF(L266="","",RANK(L266,$L$6:$L$305,0))</f>
        <v/>
      </c>
      <c r="N266" s="56">
        <f>IF(B266="","",IF(L266="","keine Ist-Std.",IF(L266&lt;=Einstellungen!$C$7,"unauffällig",IF(L266&lt;=Einstellungen!$C$8,"auffällig","kritisch"))))</f>
        <v/>
      </c>
      <c r="O266" s="64">
        <f>IF(L266="",-1,L266+ROW()/1000000000)</f>
        <v/>
      </c>
      <c r="P266" s="61">
        <f>IF(B266="","",Berechnung!AF266)</f>
        <v/>
      </c>
      <c r="Q266" s="57">
        <f>IF(B266="","",Berechnung!AG266)</f>
        <v/>
      </c>
      <c r="R266" s="57">
        <f>IF(B266="","",'Ist-Stunden'!D266)</f>
        <v/>
      </c>
      <c r="S266" s="59">
        <f>IF(B266="","",IF(N(R266)&gt;0,IF(Einstellungen!$C$10="Ja",Q266/R266,Q266/(R266+Q266)),""))</f>
        <v/>
      </c>
      <c r="T266" s="56">
        <f>IF(B266="","",IF(S266="","keine Ist-Std.",IF(S266&lt;=Einstellungen!$C$7,"unauffällig",IF(S266&lt;=Einstellungen!$C$8,"auffällig","kritisch"))))</f>
        <v/>
      </c>
    </row>
    <row r="267">
      <c r="A267" s="47">
        <f>IF(Mitarbeiter!B267="","",Mitarbeiter!A267)</f>
        <v/>
      </c>
      <c r="B267" s="48">
        <f>IF(Mitarbeiter!B267="","",Mitarbeiter!B267)</f>
        <v/>
      </c>
      <c r="C267" s="7">
        <f>IF(Mitarbeiter!B267="","",Mitarbeiter!G267)</f>
        <v/>
      </c>
      <c r="D267" s="57">
        <f>IF(Mitarbeiter!B267="","",Mitarbeiter!H267)</f>
        <v/>
      </c>
      <c r="E267" s="57">
        <f>IF(Mitarbeiter!B267="","",'Ist-Stunden'!C267)</f>
        <v/>
      </c>
      <c r="F267" s="57">
        <f>IF(B267="","",Berechnung!AE267)</f>
        <v/>
      </c>
      <c r="G267" s="61">
        <f>IF(B267="","",Berechnung!P267)</f>
        <v/>
      </c>
      <c r="H267" s="61">
        <f>IF(B267="","",Berechnung!AC267)</f>
        <v/>
      </c>
      <c r="I267" s="61">
        <f>IF(B267="","",Berechnung!AD267)</f>
        <v/>
      </c>
      <c r="J267" s="36">
        <f>IF(B267="","",SUMPRODUCT(((Berechnung!D267:O267+Berechnung!Q267:AB267)&gt;0)*1))</f>
        <v/>
      </c>
      <c r="K267" s="62">
        <f>IF(B267="","",IF(N(D267)&gt;0,F267/D267,""))</f>
        <v/>
      </c>
      <c r="L267" s="40">
        <f>IF(B267="","",IF(N(E267)&gt;0,IF(Einstellungen!$C$10="Ja",F267/E267,F267/(E267+F267)),""))</f>
        <v/>
      </c>
      <c r="M267" s="63">
        <f>IF(L267="","",RANK(L267,$L$6:$L$305,0))</f>
        <v/>
      </c>
      <c r="N267" s="56">
        <f>IF(B267="","",IF(L267="","keine Ist-Std.",IF(L267&lt;=Einstellungen!$C$7,"unauffällig",IF(L267&lt;=Einstellungen!$C$8,"auffällig","kritisch"))))</f>
        <v/>
      </c>
      <c r="O267" s="64">
        <f>IF(L267="",-1,L267+ROW()/1000000000)</f>
        <v/>
      </c>
      <c r="P267" s="61">
        <f>IF(B267="","",Berechnung!AF267)</f>
        <v/>
      </c>
      <c r="Q267" s="57">
        <f>IF(B267="","",Berechnung!AG267)</f>
        <v/>
      </c>
      <c r="R267" s="57">
        <f>IF(B267="","",'Ist-Stunden'!D267)</f>
        <v/>
      </c>
      <c r="S267" s="59">
        <f>IF(B267="","",IF(N(R267)&gt;0,IF(Einstellungen!$C$10="Ja",Q267/R267,Q267/(R267+Q267)),""))</f>
        <v/>
      </c>
      <c r="T267" s="56">
        <f>IF(B267="","",IF(S267="","keine Ist-Std.",IF(S267&lt;=Einstellungen!$C$7,"unauffällig",IF(S267&lt;=Einstellungen!$C$8,"auffällig","kritisch"))))</f>
        <v/>
      </c>
    </row>
    <row r="268">
      <c r="A268" s="47">
        <f>IF(Mitarbeiter!B268="","",Mitarbeiter!A268)</f>
        <v/>
      </c>
      <c r="B268" s="48">
        <f>IF(Mitarbeiter!B268="","",Mitarbeiter!B268)</f>
        <v/>
      </c>
      <c r="C268" s="7">
        <f>IF(Mitarbeiter!B268="","",Mitarbeiter!G268)</f>
        <v/>
      </c>
      <c r="D268" s="57">
        <f>IF(Mitarbeiter!B268="","",Mitarbeiter!H268)</f>
        <v/>
      </c>
      <c r="E268" s="57">
        <f>IF(Mitarbeiter!B268="","",'Ist-Stunden'!C268)</f>
        <v/>
      </c>
      <c r="F268" s="57">
        <f>IF(B268="","",Berechnung!AE268)</f>
        <v/>
      </c>
      <c r="G268" s="61">
        <f>IF(B268="","",Berechnung!P268)</f>
        <v/>
      </c>
      <c r="H268" s="61">
        <f>IF(B268="","",Berechnung!AC268)</f>
        <v/>
      </c>
      <c r="I268" s="61">
        <f>IF(B268="","",Berechnung!AD268)</f>
        <v/>
      </c>
      <c r="J268" s="36">
        <f>IF(B268="","",SUMPRODUCT(((Berechnung!D268:O268+Berechnung!Q268:AB268)&gt;0)*1))</f>
        <v/>
      </c>
      <c r="K268" s="62">
        <f>IF(B268="","",IF(N(D268)&gt;0,F268/D268,""))</f>
        <v/>
      </c>
      <c r="L268" s="40">
        <f>IF(B268="","",IF(N(E268)&gt;0,IF(Einstellungen!$C$10="Ja",F268/E268,F268/(E268+F268)),""))</f>
        <v/>
      </c>
      <c r="M268" s="63">
        <f>IF(L268="","",RANK(L268,$L$6:$L$305,0))</f>
        <v/>
      </c>
      <c r="N268" s="56">
        <f>IF(B268="","",IF(L268="","keine Ist-Std.",IF(L268&lt;=Einstellungen!$C$7,"unauffällig",IF(L268&lt;=Einstellungen!$C$8,"auffällig","kritisch"))))</f>
        <v/>
      </c>
      <c r="O268" s="64">
        <f>IF(L268="",-1,L268+ROW()/1000000000)</f>
        <v/>
      </c>
      <c r="P268" s="61">
        <f>IF(B268="","",Berechnung!AF268)</f>
        <v/>
      </c>
      <c r="Q268" s="57">
        <f>IF(B268="","",Berechnung!AG268)</f>
        <v/>
      </c>
      <c r="R268" s="57">
        <f>IF(B268="","",'Ist-Stunden'!D268)</f>
        <v/>
      </c>
      <c r="S268" s="59">
        <f>IF(B268="","",IF(N(R268)&gt;0,IF(Einstellungen!$C$10="Ja",Q268/R268,Q268/(R268+Q268)),""))</f>
        <v/>
      </c>
      <c r="T268" s="56">
        <f>IF(B268="","",IF(S268="","keine Ist-Std.",IF(S268&lt;=Einstellungen!$C$7,"unauffällig",IF(S268&lt;=Einstellungen!$C$8,"auffällig","kritisch"))))</f>
        <v/>
      </c>
    </row>
    <row r="269">
      <c r="A269" s="47">
        <f>IF(Mitarbeiter!B269="","",Mitarbeiter!A269)</f>
        <v/>
      </c>
      <c r="B269" s="48">
        <f>IF(Mitarbeiter!B269="","",Mitarbeiter!B269)</f>
        <v/>
      </c>
      <c r="C269" s="7">
        <f>IF(Mitarbeiter!B269="","",Mitarbeiter!G269)</f>
        <v/>
      </c>
      <c r="D269" s="57">
        <f>IF(Mitarbeiter!B269="","",Mitarbeiter!H269)</f>
        <v/>
      </c>
      <c r="E269" s="57">
        <f>IF(Mitarbeiter!B269="","",'Ist-Stunden'!C269)</f>
        <v/>
      </c>
      <c r="F269" s="57">
        <f>IF(B269="","",Berechnung!AE269)</f>
        <v/>
      </c>
      <c r="G269" s="61">
        <f>IF(B269="","",Berechnung!P269)</f>
        <v/>
      </c>
      <c r="H269" s="61">
        <f>IF(B269="","",Berechnung!AC269)</f>
        <v/>
      </c>
      <c r="I269" s="61">
        <f>IF(B269="","",Berechnung!AD269)</f>
        <v/>
      </c>
      <c r="J269" s="36">
        <f>IF(B269="","",SUMPRODUCT(((Berechnung!D269:O269+Berechnung!Q269:AB269)&gt;0)*1))</f>
        <v/>
      </c>
      <c r="K269" s="62">
        <f>IF(B269="","",IF(N(D269)&gt;0,F269/D269,""))</f>
        <v/>
      </c>
      <c r="L269" s="40">
        <f>IF(B269="","",IF(N(E269)&gt;0,IF(Einstellungen!$C$10="Ja",F269/E269,F269/(E269+F269)),""))</f>
        <v/>
      </c>
      <c r="M269" s="63">
        <f>IF(L269="","",RANK(L269,$L$6:$L$305,0))</f>
        <v/>
      </c>
      <c r="N269" s="56">
        <f>IF(B269="","",IF(L269="","keine Ist-Std.",IF(L269&lt;=Einstellungen!$C$7,"unauffällig",IF(L269&lt;=Einstellungen!$C$8,"auffällig","kritisch"))))</f>
        <v/>
      </c>
      <c r="O269" s="64">
        <f>IF(L269="",-1,L269+ROW()/1000000000)</f>
        <v/>
      </c>
      <c r="P269" s="61">
        <f>IF(B269="","",Berechnung!AF269)</f>
        <v/>
      </c>
      <c r="Q269" s="57">
        <f>IF(B269="","",Berechnung!AG269)</f>
        <v/>
      </c>
      <c r="R269" s="57">
        <f>IF(B269="","",'Ist-Stunden'!D269)</f>
        <v/>
      </c>
      <c r="S269" s="59">
        <f>IF(B269="","",IF(N(R269)&gt;0,IF(Einstellungen!$C$10="Ja",Q269/R269,Q269/(R269+Q269)),""))</f>
        <v/>
      </c>
      <c r="T269" s="56">
        <f>IF(B269="","",IF(S269="","keine Ist-Std.",IF(S269&lt;=Einstellungen!$C$7,"unauffällig",IF(S269&lt;=Einstellungen!$C$8,"auffällig","kritisch"))))</f>
        <v/>
      </c>
    </row>
    <row r="270">
      <c r="A270" s="47">
        <f>IF(Mitarbeiter!B270="","",Mitarbeiter!A270)</f>
        <v/>
      </c>
      <c r="B270" s="48">
        <f>IF(Mitarbeiter!B270="","",Mitarbeiter!B270)</f>
        <v/>
      </c>
      <c r="C270" s="7">
        <f>IF(Mitarbeiter!B270="","",Mitarbeiter!G270)</f>
        <v/>
      </c>
      <c r="D270" s="57">
        <f>IF(Mitarbeiter!B270="","",Mitarbeiter!H270)</f>
        <v/>
      </c>
      <c r="E270" s="57">
        <f>IF(Mitarbeiter!B270="","",'Ist-Stunden'!C270)</f>
        <v/>
      </c>
      <c r="F270" s="57">
        <f>IF(B270="","",Berechnung!AE270)</f>
        <v/>
      </c>
      <c r="G270" s="61">
        <f>IF(B270="","",Berechnung!P270)</f>
        <v/>
      </c>
      <c r="H270" s="61">
        <f>IF(B270="","",Berechnung!AC270)</f>
        <v/>
      </c>
      <c r="I270" s="61">
        <f>IF(B270="","",Berechnung!AD270)</f>
        <v/>
      </c>
      <c r="J270" s="36">
        <f>IF(B270="","",SUMPRODUCT(((Berechnung!D270:O270+Berechnung!Q270:AB270)&gt;0)*1))</f>
        <v/>
      </c>
      <c r="K270" s="62">
        <f>IF(B270="","",IF(N(D270)&gt;0,F270/D270,""))</f>
        <v/>
      </c>
      <c r="L270" s="40">
        <f>IF(B270="","",IF(N(E270)&gt;0,IF(Einstellungen!$C$10="Ja",F270/E270,F270/(E270+F270)),""))</f>
        <v/>
      </c>
      <c r="M270" s="63">
        <f>IF(L270="","",RANK(L270,$L$6:$L$305,0))</f>
        <v/>
      </c>
      <c r="N270" s="56">
        <f>IF(B270="","",IF(L270="","keine Ist-Std.",IF(L270&lt;=Einstellungen!$C$7,"unauffällig",IF(L270&lt;=Einstellungen!$C$8,"auffällig","kritisch"))))</f>
        <v/>
      </c>
      <c r="O270" s="64">
        <f>IF(L270="",-1,L270+ROW()/1000000000)</f>
        <v/>
      </c>
      <c r="P270" s="61">
        <f>IF(B270="","",Berechnung!AF270)</f>
        <v/>
      </c>
      <c r="Q270" s="57">
        <f>IF(B270="","",Berechnung!AG270)</f>
        <v/>
      </c>
      <c r="R270" s="57">
        <f>IF(B270="","",'Ist-Stunden'!D270)</f>
        <v/>
      </c>
      <c r="S270" s="59">
        <f>IF(B270="","",IF(N(R270)&gt;0,IF(Einstellungen!$C$10="Ja",Q270/R270,Q270/(R270+Q270)),""))</f>
        <v/>
      </c>
      <c r="T270" s="56">
        <f>IF(B270="","",IF(S270="","keine Ist-Std.",IF(S270&lt;=Einstellungen!$C$7,"unauffällig",IF(S270&lt;=Einstellungen!$C$8,"auffällig","kritisch"))))</f>
        <v/>
      </c>
    </row>
    <row r="271">
      <c r="A271" s="47">
        <f>IF(Mitarbeiter!B271="","",Mitarbeiter!A271)</f>
        <v/>
      </c>
      <c r="B271" s="48">
        <f>IF(Mitarbeiter!B271="","",Mitarbeiter!B271)</f>
        <v/>
      </c>
      <c r="C271" s="7">
        <f>IF(Mitarbeiter!B271="","",Mitarbeiter!G271)</f>
        <v/>
      </c>
      <c r="D271" s="57">
        <f>IF(Mitarbeiter!B271="","",Mitarbeiter!H271)</f>
        <v/>
      </c>
      <c r="E271" s="57">
        <f>IF(Mitarbeiter!B271="","",'Ist-Stunden'!C271)</f>
        <v/>
      </c>
      <c r="F271" s="57">
        <f>IF(B271="","",Berechnung!AE271)</f>
        <v/>
      </c>
      <c r="G271" s="61">
        <f>IF(B271="","",Berechnung!P271)</f>
        <v/>
      </c>
      <c r="H271" s="61">
        <f>IF(B271="","",Berechnung!AC271)</f>
        <v/>
      </c>
      <c r="I271" s="61">
        <f>IF(B271="","",Berechnung!AD271)</f>
        <v/>
      </c>
      <c r="J271" s="36">
        <f>IF(B271="","",SUMPRODUCT(((Berechnung!D271:O271+Berechnung!Q271:AB271)&gt;0)*1))</f>
        <v/>
      </c>
      <c r="K271" s="62">
        <f>IF(B271="","",IF(N(D271)&gt;0,F271/D271,""))</f>
        <v/>
      </c>
      <c r="L271" s="40">
        <f>IF(B271="","",IF(N(E271)&gt;0,IF(Einstellungen!$C$10="Ja",F271/E271,F271/(E271+F271)),""))</f>
        <v/>
      </c>
      <c r="M271" s="63">
        <f>IF(L271="","",RANK(L271,$L$6:$L$305,0))</f>
        <v/>
      </c>
      <c r="N271" s="56">
        <f>IF(B271="","",IF(L271="","keine Ist-Std.",IF(L271&lt;=Einstellungen!$C$7,"unauffällig",IF(L271&lt;=Einstellungen!$C$8,"auffällig","kritisch"))))</f>
        <v/>
      </c>
      <c r="O271" s="64">
        <f>IF(L271="",-1,L271+ROW()/1000000000)</f>
        <v/>
      </c>
      <c r="P271" s="61">
        <f>IF(B271="","",Berechnung!AF271)</f>
        <v/>
      </c>
      <c r="Q271" s="57">
        <f>IF(B271="","",Berechnung!AG271)</f>
        <v/>
      </c>
      <c r="R271" s="57">
        <f>IF(B271="","",'Ist-Stunden'!D271)</f>
        <v/>
      </c>
      <c r="S271" s="59">
        <f>IF(B271="","",IF(N(R271)&gt;0,IF(Einstellungen!$C$10="Ja",Q271/R271,Q271/(R271+Q271)),""))</f>
        <v/>
      </c>
      <c r="T271" s="56">
        <f>IF(B271="","",IF(S271="","keine Ist-Std.",IF(S271&lt;=Einstellungen!$C$7,"unauffällig",IF(S271&lt;=Einstellungen!$C$8,"auffällig","kritisch"))))</f>
        <v/>
      </c>
    </row>
    <row r="272">
      <c r="A272" s="47">
        <f>IF(Mitarbeiter!B272="","",Mitarbeiter!A272)</f>
        <v/>
      </c>
      <c r="B272" s="48">
        <f>IF(Mitarbeiter!B272="","",Mitarbeiter!B272)</f>
        <v/>
      </c>
      <c r="C272" s="7">
        <f>IF(Mitarbeiter!B272="","",Mitarbeiter!G272)</f>
        <v/>
      </c>
      <c r="D272" s="57">
        <f>IF(Mitarbeiter!B272="","",Mitarbeiter!H272)</f>
        <v/>
      </c>
      <c r="E272" s="57">
        <f>IF(Mitarbeiter!B272="","",'Ist-Stunden'!C272)</f>
        <v/>
      </c>
      <c r="F272" s="57">
        <f>IF(B272="","",Berechnung!AE272)</f>
        <v/>
      </c>
      <c r="G272" s="61">
        <f>IF(B272="","",Berechnung!P272)</f>
        <v/>
      </c>
      <c r="H272" s="61">
        <f>IF(B272="","",Berechnung!AC272)</f>
        <v/>
      </c>
      <c r="I272" s="61">
        <f>IF(B272="","",Berechnung!AD272)</f>
        <v/>
      </c>
      <c r="J272" s="36">
        <f>IF(B272="","",SUMPRODUCT(((Berechnung!D272:O272+Berechnung!Q272:AB272)&gt;0)*1))</f>
        <v/>
      </c>
      <c r="K272" s="62">
        <f>IF(B272="","",IF(N(D272)&gt;0,F272/D272,""))</f>
        <v/>
      </c>
      <c r="L272" s="40">
        <f>IF(B272="","",IF(N(E272)&gt;0,IF(Einstellungen!$C$10="Ja",F272/E272,F272/(E272+F272)),""))</f>
        <v/>
      </c>
      <c r="M272" s="63">
        <f>IF(L272="","",RANK(L272,$L$6:$L$305,0))</f>
        <v/>
      </c>
      <c r="N272" s="56">
        <f>IF(B272="","",IF(L272="","keine Ist-Std.",IF(L272&lt;=Einstellungen!$C$7,"unauffällig",IF(L272&lt;=Einstellungen!$C$8,"auffällig","kritisch"))))</f>
        <v/>
      </c>
      <c r="O272" s="64">
        <f>IF(L272="",-1,L272+ROW()/1000000000)</f>
        <v/>
      </c>
      <c r="P272" s="61">
        <f>IF(B272="","",Berechnung!AF272)</f>
        <v/>
      </c>
      <c r="Q272" s="57">
        <f>IF(B272="","",Berechnung!AG272)</f>
        <v/>
      </c>
      <c r="R272" s="57">
        <f>IF(B272="","",'Ist-Stunden'!D272)</f>
        <v/>
      </c>
      <c r="S272" s="59">
        <f>IF(B272="","",IF(N(R272)&gt;0,IF(Einstellungen!$C$10="Ja",Q272/R272,Q272/(R272+Q272)),""))</f>
        <v/>
      </c>
      <c r="T272" s="56">
        <f>IF(B272="","",IF(S272="","keine Ist-Std.",IF(S272&lt;=Einstellungen!$C$7,"unauffällig",IF(S272&lt;=Einstellungen!$C$8,"auffällig","kritisch"))))</f>
        <v/>
      </c>
    </row>
    <row r="273">
      <c r="A273" s="47">
        <f>IF(Mitarbeiter!B273="","",Mitarbeiter!A273)</f>
        <v/>
      </c>
      <c r="B273" s="48">
        <f>IF(Mitarbeiter!B273="","",Mitarbeiter!B273)</f>
        <v/>
      </c>
      <c r="C273" s="7">
        <f>IF(Mitarbeiter!B273="","",Mitarbeiter!G273)</f>
        <v/>
      </c>
      <c r="D273" s="57">
        <f>IF(Mitarbeiter!B273="","",Mitarbeiter!H273)</f>
        <v/>
      </c>
      <c r="E273" s="57">
        <f>IF(Mitarbeiter!B273="","",'Ist-Stunden'!C273)</f>
        <v/>
      </c>
      <c r="F273" s="57">
        <f>IF(B273="","",Berechnung!AE273)</f>
        <v/>
      </c>
      <c r="G273" s="61">
        <f>IF(B273="","",Berechnung!P273)</f>
        <v/>
      </c>
      <c r="H273" s="61">
        <f>IF(B273="","",Berechnung!AC273)</f>
        <v/>
      </c>
      <c r="I273" s="61">
        <f>IF(B273="","",Berechnung!AD273)</f>
        <v/>
      </c>
      <c r="J273" s="36">
        <f>IF(B273="","",SUMPRODUCT(((Berechnung!D273:O273+Berechnung!Q273:AB273)&gt;0)*1))</f>
        <v/>
      </c>
      <c r="K273" s="62">
        <f>IF(B273="","",IF(N(D273)&gt;0,F273/D273,""))</f>
        <v/>
      </c>
      <c r="L273" s="40">
        <f>IF(B273="","",IF(N(E273)&gt;0,IF(Einstellungen!$C$10="Ja",F273/E273,F273/(E273+F273)),""))</f>
        <v/>
      </c>
      <c r="M273" s="63">
        <f>IF(L273="","",RANK(L273,$L$6:$L$305,0))</f>
        <v/>
      </c>
      <c r="N273" s="56">
        <f>IF(B273="","",IF(L273="","keine Ist-Std.",IF(L273&lt;=Einstellungen!$C$7,"unauffällig",IF(L273&lt;=Einstellungen!$C$8,"auffällig","kritisch"))))</f>
        <v/>
      </c>
      <c r="O273" s="64">
        <f>IF(L273="",-1,L273+ROW()/1000000000)</f>
        <v/>
      </c>
      <c r="P273" s="61">
        <f>IF(B273="","",Berechnung!AF273)</f>
        <v/>
      </c>
      <c r="Q273" s="57">
        <f>IF(B273="","",Berechnung!AG273)</f>
        <v/>
      </c>
      <c r="R273" s="57">
        <f>IF(B273="","",'Ist-Stunden'!D273)</f>
        <v/>
      </c>
      <c r="S273" s="59">
        <f>IF(B273="","",IF(N(R273)&gt;0,IF(Einstellungen!$C$10="Ja",Q273/R273,Q273/(R273+Q273)),""))</f>
        <v/>
      </c>
      <c r="T273" s="56">
        <f>IF(B273="","",IF(S273="","keine Ist-Std.",IF(S273&lt;=Einstellungen!$C$7,"unauffällig",IF(S273&lt;=Einstellungen!$C$8,"auffällig","kritisch"))))</f>
        <v/>
      </c>
    </row>
    <row r="274">
      <c r="A274" s="47">
        <f>IF(Mitarbeiter!B274="","",Mitarbeiter!A274)</f>
        <v/>
      </c>
      <c r="B274" s="48">
        <f>IF(Mitarbeiter!B274="","",Mitarbeiter!B274)</f>
        <v/>
      </c>
      <c r="C274" s="7">
        <f>IF(Mitarbeiter!B274="","",Mitarbeiter!G274)</f>
        <v/>
      </c>
      <c r="D274" s="57">
        <f>IF(Mitarbeiter!B274="","",Mitarbeiter!H274)</f>
        <v/>
      </c>
      <c r="E274" s="57">
        <f>IF(Mitarbeiter!B274="","",'Ist-Stunden'!C274)</f>
        <v/>
      </c>
      <c r="F274" s="57">
        <f>IF(B274="","",Berechnung!AE274)</f>
        <v/>
      </c>
      <c r="G274" s="61">
        <f>IF(B274="","",Berechnung!P274)</f>
        <v/>
      </c>
      <c r="H274" s="61">
        <f>IF(B274="","",Berechnung!AC274)</f>
        <v/>
      </c>
      <c r="I274" s="61">
        <f>IF(B274="","",Berechnung!AD274)</f>
        <v/>
      </c>
      <c r="J274" s="36">
        <f>IF(B274="","",SUMPRODUCT(((Berechnung!D274:O274+Berechnung!Q274:AB274)&gt;0)*1))</f>
        <v/>
      </c>
      <c r="K274" s="62">
        <f>IF(B274="","",IF(N(D274)&gt;0,F274/D274,""))</f>
        <v/>
      </c>
      <c r="L274" s="40">
        <f>IF(B274="","",IF(N(E274)&gt;0,IF(Einstellungen!$C$10="Ja",F274/E274,F274/(E274+F274)),""))</f>
        <v/>
      </c>
      <c r="M274" s="63">
        <f>IF(L274="","",RANK(L274,$L$6:$L$305,0))</f>
        <v/>
      </c>
      <c r="N274" s="56">
        <f>IF(B274="","",IF(L274="","keine Ist-Std.",IF(L274&lt;=Einstellungen!$C$7,"unauffällig",IF(L274&lt;=Einstellungen!$C$8,"auffällig","kritisch"))))</f>
        <v/>
      </c>
      <c r="O274" s="64">
        <f>IF(L274="",-1,L274+ROW()/1000000000)</f>
        <v/>
      </c>
      <c r="P274" s="61">
        <f>IF(B274="","",Berechnung!AF274)</f>
        <v/>
      </c>
      <c r="Q274" s="57">
        <f>IF(B274="","",Berechnung!AG274)</f>
        <v/>
      </c>
      <c r="R274" s="57">
        <f>IF(B274="","",'Ist-Stunden'!D274)</f>
        <v/>
      </c>
      <c r="S274" s="59">
        <f>IF(B274="","",IF(N(R274)&gt;0,IF(Einstellungen!$C$10="Ja",Q274/R274,Q274/(R274+Q274)),""))</f>
        <v/>
      </c>
      <c r="T274" s="56">
        <f>IF(B274="","",IF(S274="","keine Ist-Std.",IF(S274&lt;=Einstellungen!$C$7,"unauffällig",IF(S274&lt;=Einstellungen!$C$8,"auffällig","kritisch"))))</f>
        <v/>
      </c>
    </row>
    <row r="275">
      <c r="A275" s="47">
        <f>IF(Mitarbeiter!B275="","",Mitarbeiter!A275)</f>
        <v/>
      </c>
      <c r="B275" s="48">
        <f>IF(Mitarbeiter!B275="","",Mitarbeiter!B275)</f>
        <v/>
      </c>
      <c r="C275" s="7">
        <f>IF(Mitarbeiter!B275="","",Mitarbeiter!G275)</f>
        <v/>
      </c>
      <c r="D275" s="57">
        <f>IF(Mitarbeiter!B275="","",Mitarbeiter!H275)</f>
        <v/>
      </c>
      <c r="E275" s="57">
        <f>IF(Mitarbeiter!B275="","",'Ist-Stunden'!C275)</f>
        <v/>
      </c>
      <c r="F275" s="57">
        <f>IF(B275="","",Berechnung!AE275)</f>
        <v/>
      </c>
      <c r="G275" s="61">
        <f>IF(B275="","",Berechnung!P275)</f>
        <v/>
      </c>
      <c r="H275" s="61">
        <f>IF(B275="","",Berechnung!AC275)</f>
        <v/>
      </c>
      <c r="I275" s="61">
        <f>IF(B275="","",Berechnung!AD275)</f>
        <v/>
      </c>
      <c r="J275" s="36">
        <f>IF(B275="","",SUMPRODUCT(((Berechnung!D275:O275+Berechnung!Q275:AB275)&gt;0)*1))</f>
        <v/>
      </c>
      <c r="K275" s="62">
        <f>IF(B275="","",IF(N(D275)&gt;0,F275/D275,""))</f>
        <v/>
      </c>
      <c r="L275" s="40">
        <f>IF(B275="","",IF(N(E275)&gt;0,IF(Einstellungen!$C$10="Ja",F275/E275,F275/(E275+F275)),""))</f>
        <v/>
      </c>
      <c r="M275" s="63">
        <f>IF(L275="","",RANK(L275,$L$6:$L$305,0))</f>
        <v/>
      </c>
      <c r="N275" s="56">
        <f>IF(B275="","",IF(L275="","keine Ist-Std.",IF(L275&lt;=Einstellungen!$C$7,"unauffällig",IF(L275&lt;=Einstellungen!$C$8,"auffällig","kritisch"))))</f>
        <v/>
      </c>
      <c r="O275" s="64">
        <f>IF(L275="",-1,L275+ROW()/1000000000)</f>
        <v/>
      </c>
      <c r="P275" s="61">
        <f>IF(B275="","",Berechnung!AF275)</f>
        <v/>
      </c>
      <c r="Q275" s="57">
        <f>IF(B275="","",Berechnung!AG275)</f>
        <v/>
      </c>
      <c r="R275" s="57">
        <f>IF(B275="","",'Ist-Stunden'!D275)</f>
        <v/>
      </c>
      <c r="S275" s="59">
        <f>IF(B275="","",IF(N(R275)&gt;0,IF(Einstellungen!$C$10="Ja",Q275/R275,Q275/(R275+Q275)),""))</f>
        <v/>
      </c>
      <c r="T275" s="56">
        <f>IF(B275="","",IF(S275="","keine Ist-Std.",IF(S275&lt;=Einstellungen!$C$7,"unauffällig",IF(S275&lt;=Einstellungen!$C$8,"auffällig","kritisch"))))</f>
        <v/>
      </c>
    </row>
    <row r="276">
      <c r="A276" s="47">
        <f>IF(Mitarbeiter!B276="","",Mitarbeiter!A276)</f>
        <v/>
      </c>
      <c r="B276" s="48">
        <f>IF(Mitarbeiter!B276="","",Mitarbeiter!B276)</f>
        <v/>
      </c>
      <c r="C276" s="7">
        <f>IF(Mitarbeiter!B276="","",Mitarbeiter!G276)</f>
        <v/>
      </c>
      <c r="D276" s="57">
        <f>IF(Mitarbeiter!B276="","",Mitarbeiter!H276)</f>
        <v/>
      </c>
      <c r="E276" s="57">
        <f>IF(Mitarbeiter!B276="","",'Ist-Stunden'!C276)</f>
        <v/>
      </c>
      <c r="F276" s="57">
        <f>IF(B276="","",Berechnung!AE276)</f>
        <v/>
      </c>
      <c r="G276" s="61">
        <f>IF(B276="","",Berechnung!P276)</f>
        <v/>
      </c>
      <c r="H276" s="61">
        <f>IF(B276="","",Berechnung!AC276)</f>
        <v/>
      </c>
      <c r="I276" s="61">
        <f>IF(B276="","",Berechnung!AD276)</f>
        <v/>
      </c>
      <c r="J276" s="36">
        <f>IF(B276="","",SUMPRODUCT(((Berechnung!D276:O276+Berechnung!Q276:AB276)&gt;0)*1))</f>
        <v/>
      </c>
      <c r="K276" s="62">
        <f>IF(B276="","",IF(N(D276)&gt;0,F276/D276,""))</f>
        <v/>
      </c>
      <c r="L276" s="40">
        <f>IF(B276="","",IF(N(E276)&gt;0,IF(Einstellungen!$C$10="Ja",F276/E276,F276/(E276+F276)),""))</f>
        <v/>
      </c>
      <c r="M276" s="63">
        <f>IF(L276="","",RANK(L276,$L$6:$L$305,0))</f>
        <v/>
      </c>
      <c r="N276" s="56">
        <f>IF(B276="","",IF(L276="","keine Ist-Std.",IF(L276&lt;=Einstellungen!$C$7,"unauffällig",IF(L276&lt;=Einstellungen!$C$8,"auffällig","kritisch"))))</f>
        <v/>
      </c>
      <c r="O276" s="64">
        <f>IF(L276="",-1,L276+ROW()/1000000000)</f>
        <v/>
      </c>
      <c r="P276" s="61">
        <f>IF(B276="","",Berechnung!AF276)</f>
        <v/>
      </c>
      <c r="Q276" s="57">
        <f>IF(B276="","",Berechnung!AG276)</f>
        <v/>
      </c>
      <c r="R276" s="57">
        <f>IF(B276="","",'Ist-Stunden'!D276)</f>
        <v/>
      </c>
      <c r="S276" s="59">
        <f>IF(B276="","",IF(N(R276)&gt;0,IF(Einstellungen!$C$10="Ja",Q276/R276,Q276/(R276+Q276)),""))</f>
        <v/>
      </c>
      <c r="T276" s="56">
        <f>IF(B276="","",IF(S276="","keine Ist-Std.",IF(S276&lt;=Einstellungen!$C$7,"unauffällig",IF(S276&lt;=Einstellungen!$C$8,"auffällig","kritisch"))))</f>
        <v/>
      </c>
    </row>
    <row r="277">
      <c r="A277" s="47">
        <f>IF(Mitarbeiter!B277="","",Mitarbeiter!A277)</f>
        <v/>
      </c>
      <c r="B277" s="48">
        <f>IF(Mitarbeiter!B277="","",Mitarbeiter!B277)</f>
        <v/>
      </c>
      <c r="C277" s="7">
        <f>IF(Mitarbeiter!B277="","",Mitarbeiter!G277)</f>
        <v/>
      </c>
      <c r="D277" s="57">
        <f>IF(Mitarbeiter!B277="","",Mitarbeiter!H277)</f>
        <v/>
      </c>
      <c r="E277" s="57">
        <f>IF(Mitarbeiter!B277="","",'Ist-Stunden'!C277)</f>
        <v/>
      </c>
      <c r="F277" s="57">
        <f>IF(B277="","",Berechnung!AE277)</f>
        <v/>
      </c>
      <c r="G277" s="61">
        <f>IF(B277="","",Berechnung!P277)</f>
        <v/>
      </c>
      <c r="H277" s="61">
        <f>IF(B277="","",Berechnung!AC277)</f>
        <v/>
      </c>
      <c r="I277" s="61">
        <f>IF(B277="","",Berechnung!AD277)</f>
        <v/>
      </c>
      <c r="J277" s="36">
        <f>IF(B277="","",SUMPRODUCT(((Berechnung!D277:O277+Berechnung!Q277:AB277)&gt;0)*1))</f>
        <v/>
      </c>
      <c r="K277" s="62">
        <f>IF(B277="","",IF(N(D277)&gt;0,F277/D277,""))</f>
        <v/>
      </c>
      <c r="L277" s="40">
        <f>IF(B277="","",IF(N(E277)&gt;0,IF(Einstellungen!$C$10="Ja",F277/E277,F277/(E277+F277)),""))</f>
        <v/>
      </c>
      <c r="M277" s="63">
        <f>IF(L277="","",RANK(L277,$L$6:$L$305,0))</f>
        <v/>
      </c>
      <c r="N277" s="56">
        <f>IF(B277="","",IF(L277="","keine Ist-Std.",IF(L277&lt;=Einstellungen!$C$7,"unauffällig",IF(L277&lt;=Einstellungen!$C$8,"auffällig","kritisch"))))</f>
        <v/>
      </c>
      <c r="O277" s="64">
        <f>IF(L277="",-1,L277+ROW()/1000000000)</f>
        <v/>
      </c>
      <c r="P277" s="61">
        <f>IF(B277="","",Berechnung!AF277)</f>
        <v/>
      </c>
      <c r="Q277" s="57">
        <f>IF(B277="","",Berechnung!AG277)</f>
        <v/>
      </c>
      <c r="R277" s="57">
        <f>IF(B277="","",'Ist-Stunden'!D277)</f>
        <v/>
      </c>
      <c r="S277" s="59">
        <f>IF(B277="","",IF(N(R277)&gt;0,IF(Einstellungen!$C$10="Ja",Q277/R277,Q277/(R277+Q277)),""))</f>
        <v/>
      </c>
      <c r="T277" s="56">
        <f>IF(B277="","",IF(S277="","keine Ist-Std.",IF(S277&lt;=Einstellungen!$C$7,"unauffällig",IF(S277&lt;=Einstellungen!$C$8,"auffällig","kritisch"))))</f>
        <v/>
      </c>
    </row>
    <row r="278">
      <c r="A278" s="47">
        <f>IF(Mitarbeiter!B278="","",Mitarbeiter!A278)</f>
        <v/>
      </c>
      <c r="B278" s="48">
        <f>IF(Mitarbeiter!B278="","",Mitarbeiter!B278)</f>
        <v/>
      </c>
      <c r="C278" s="7">
        <f>IF(Mitarbeiter!B278="","",Mitarbeiter!G278)</f>
        <v/>
      </c>
      <c r="D278" s="57">
        <f>IF(Mitarbeiter!B278="","",Mitarbeiter!H278)</f>
        <v/>
      </c>
      <c r="E278" s="57">
        <f>IF(Mitarbeiter!B278="","",'Ist-Stunden'!C278)</f>
        <v/>
      </c>
      <c r="F278" s="57">
        <f>IF(B278="","",Berechnung!AE278)</f>
        <v/>
      </c>
      <c r="G278" s="61">
        <f>IF(B278="","",Berechnung!P278)</f>
        <v/>
      </c>
      <c r="H278" s="61">
        <f>IF(B278="","",Berechnung!AC278)</f>
        <v/>
      </c>
      <c r="I278" s="61">
        <f>IF(B278="","",Berechnung!AD278)</f>
        <v/>
      </c>
      <c r="J278" s="36">
        <f>IF(B278="","",SUMPRODUCT(((Berechnung!D278:O278+Berechnung!Q278:AB278)&gt;0)*1))</f>
        <v/>
      </c>
      <c r="K278" s="62">
        <f>IF(B278="","",IF(N(D278)&gt;0,F278/D278,""))</f>
        <v/>
      </c>
      <c r="L278" s="40">
        <f>IF(B278="","",IF(N(E278)&gt;0,IF(Einstellungen!$C$10="Ja",F278/E278,F278/(E278+F278)),""))</f>
        <v/>
      </c>
      <c r="M278" s="63">
        <f>IF(L278="","",RANK(L278,$L$6:$L$305,0))</f>
        <v/>
      </c>
      <c r="N278" s="56">
        <f>IF(B278="","",IF(L278="","keine Ist-Std.",IF(L278&lt;=Einstellungen!$C$7,"unauffällig",IF(L278&lt;=Einstellungen!$C$8,"auffällig","kritisch"))))</f>
        <v/>
      </c>
      <c r="O278" s="64">
        <f>IF(L278="",-1,L278+ROW()/1000000000)</f>
        <v/>
      </c>
      <c r="P278" s="61">
        <f>IF(B278="","",Berechnung!AF278)</f>
        <v/>
      </c>
      <c r="Q278" s="57">
        <f>IF(B278="","",Berechnung!AG278)</f>
        <v/>
      </c>
      <c r="R278" s="57">
        <f>IF(B278="","",'Ist-Stunden'!D278)</f>
        <v/>
      </c>
      <c r="S278" s="59">
        <f>IF(B278="","",IF(N(R278)&gt;0,IF(Einstellungen!$C$10="Ja",Q278/R278,Q278/(R278+Q278)),""))</f>
        <v/>
      </c>
      <c r="T278" s="56">
        <f>IF(B278="","",IF(S278="","keine Ist-Std.",IF(S278&lt;=Einstellungen!$C$7,"unauffällig",IF(S278&lt;=Einstellungen!$C$8,"auffällig","kritisch"))))</f>
        <v/>
      </c>
    </row>
    <row r="279">
      <c r="A279" s="47">
        <f>IF(Mitarbeiter!B279="","",Mitarbeiter!A279)</f>
        <v/>
      </c>
      <c r="B279" s="48">
        <f>IF(Mitarbeiter!B279="","",Mitarbeiter!B279)</f>
        <v/>
      </c>
      <c r="C279" s="7">
        <f>IF(Mitarbeiter!B279="","",Mitarbeiter!G279)</f>
        <v/>
      </c>
      <c r="D279" s="57">
        <f>IF(Mitarbeiter!B279="","",Mitarbeiter!H279)</f>
        <v/>
      </c>
      <c r="E279" s="57">
        <f>IF(Mitarbeiter!B279="","",'Ist-Stunden'!C279)</f>
        <v/>
      </c>
      <c r="F279" s="57">
        <f>IF(B279="","",Berechnung!AE279)</f>
        <v/>
      </c>
      <c r="G279" s="61">
        <f>IF(B279="","",Berechnung!P279)</f>
        <v/>
      </c>
      <c r="H279" s="61">
        <f>IF(B279="","",Berechnung!AC279)</f>
        <v/>
      </c>
      <c r="I279" s="61">
        <f>IF(B279="","",Berechnung!AD279)</f>
        <v/>
      </c>
      <c r="J279" s="36">
        <f>IF(B279="","",SUMPRODUCT(((Berechnung!D279:O279+Berechnung!Q279:AB279)&gt;0)*1))</f>
        <v/>
      </c>
      <c r="K279" s="62">
        <f>IF(B279="","",IF(N(D279)&gt;0,F279/D279,""))</f>
        <v/>
      </c>
      <c r="L279" s="40">
        <f>IF(B279="","",IF(N(E279)&gt;0,IF(Einstellungen!$C$10="Ja",F279/E279,F279/(E279+F279)),""))</f>
        <v/>
      </c>
      <c r="M279" s="63">
        <f>IF(L279="","",RANK(L279,$L$6:$L$305,0))</f>
        <v/>
      </c>
      <c r="N279" s="56">
        <f>IF(B279="","",IF(L279="","keine Ist-Std.",IF(L279&lt;=Einstellungen!$C$7,"unauffällig",IF(L279&lt;=Einstellungen!$C$8,"auffällig","kritisch"))))</f>
        <v/>
      </c>
      <c r="O279" s="64">
        <f>IF(L279="",-1,L279+ROW()/1000000000)</f>
        <v/>
      </c>
      <c r="P279" s="61">
        <f>IF(B279="","",Berechnung!AF279)</f>
        <v/>
      </c>
      <c r="Q279" s="57">
        <f>IF(B279="","",Berechnung!AG279)</f>
        <v/>
      </c>
      <c r="R279" s="57">
        <f>IF(B279="","",'Ist-Stunden'!D279)</f>
        <v/>
      </c>
      <c r="S279" s="59">
        <f>IF(B279="","",IF(N(R279)&gt;0,IF(Einstellungen!$C$10="Ja",Q279/R279,Q279/(R279+Q279)),""))</f>
        <v/>
      </c>
      <c r="T279" s="56">
        <f>IF(B279="","",IF(S279="","keine Ist-Std.",IF(S279&lt;=Einstellungen!$C$7,"unauffällig",IF(S279&lt;=Einstellungen!$C$8,"auffällig","kritisch"))))</f>
        <v/>
      </c>
    </row>
    <row r="280">
      <c r="A280" s="47">
        <f>IF(Mitarbeiter!B280="","",Mitarbeiter!A280)</f>
        <v/>
      </c>
      <c r="B280" s="48">
        <f>IF(Mitarbeiter!B280="","",Mitarbeiter!B280)</f>
        <v/>
      </c>
      <c r="C280" s="7">
        <f>IF(Mitarbeiter!B280="","",Mitarbeiter!G280)</f>
        <v/>
      </c>
      <c r="D280" s="57">
        <f>IF(Mitarbeiter!B280="","",Mitarbeiter!H280)</f>
        <v/>
      </c>
      <c r="E280" s="57">
        <f>IF(Mitarbeiter!B280="","",'Ist-Stunden'!C280)</f>
        <v/>
      </c>
      <c r="F280" s="57">
        <f>IF(B280="","",Berechnung!AE280)</f>
        <v/>
      </c>
      <c r="G280" s="61">
        <f>IF(B280="","",Berechnung!P280)</f>
        <v/>
      </c>
      <c r="H280" s="61">
        <f>IF(B280="","",Berechnung!AC280)</f>
        <v/>
      </c>
      <c r="I280" s="61">
        <f>IF(B280="","",Berechnung!AD280)</f>
        <v/>
      </c>
      <c r="J280" s="36">
        <f>IF(B280="","",SUMPRODUCT(((Berechnung!D280:O280+Berechnung!Q280:AB280)&gt;0)*1))</f>
        <v/>
      </c>
      <c r="K280" s="62">
        <f>IF(B280="","",IF(N(D280)&gt;0,F280/D280,""))</f>
        <v/>
      </c>
      <c r="L280" s="40">
        <f>IF(B280="","",IF(N(E280)&gt;0,IF(Einstellungen!$C$10="Ja",F280/E280,F280/(E280+F280)),""))</f>
        <v/>
      </c>
      <c r="M280" s="63">
        <f>IF(L280="","",RANK(L280,$L$6:$L$305,0))</f>
        <v/>
      </c>
      <c r="N280" s="56">
        <f>IF(B280="","",IF(L280="","keine Ist-Std.",IF(L280&lt;=Einstellungen!$C$7,"unauffällig",IF(L280&lt;=Einstellungen!$C$8,"auffällig","kritisch"))))</f>
        <v/>
      </c>
      <c r="O280" s="64">
        <f>IF(L280="",-1,L280+ROW()/1000000000)</f>
        <v/>
      </c>
      <c r="P280" s="61">
        <f>IF(B280="","",Berechnung!AF280)</f>
        <v/>
      </c>
      <c r="Q280" s="57">
        <f>IF(B280="","",Berechnung!AG280)</f>
        <v/>
      </c>
      <c r="R280" s="57">
        <f>IF(B280="","",'Ist-Stunden'!D280)</f>
        <v/>
      </c>
      <c r="S280" s="59">
        <f>IF(B280="","",IF(N(R280)&gt;0,IF(Einstellungen!$C$10="Ja",Q280/R280,Q280/(R280+Q280)),""))</f>
        <v/>
      </c>
      <c r="T280" s="56">
        <f>IF(B280="","",IF(S280="","keine Ist-Std.",IF(S280&lt;=Einstellungen!$C$7,"unauffällig",IF(S280&lt;=Einstellungen!$C$8,"auffällig","kritisch"))))</f>
        <v/>
      </c>
    </row>
    <row r="281">
      <c r="A281" s="47">
        <f>IF(Mitarbeiter!B281="","",Mitarbeiter!A281)</f>
        <v/>
      </c>
      <c r="B281" s="48">
        <f>IF(Mitarbeiter!B281="","",Mitarbeiter!B281)</f>
        <v/>
      </c>
      <c r="C281" s="7">
        <f>IF(Mitarbeiter!B281="","",Mitarbeiter!G281)</f>
        <v/>
      </c>
      <c r="D281" s="57">
        <f>IF(Mitarbeiter!B281="","",Mitarbeiter!H281)</f>
        <v/>
      </c>
      <c r="E281" s="57">
        <f>IF(Mitarbeiter!B281="","",'Ist-Stunden'!C281)</f>
        <v/>
      </c>
      <c r="F281" s="57">
        <f>IF(B281="","",Berechnung!AE281)</f>
        <v/>
      </c>
      <c r="G281" s="61">
        <f>IF(B281="","",Berechnung!P281)</f>
        <v/>
      </c>
      <c r="H281" s="61">
        <f>IF(B281="","",Berechnung!AC281)</f>
        <v/>
      </c>
      <c r="I281" s="61">
        <f>IF(B281="","",Berechnung!AD281)</f>
        <v/>
      </c>
      <c r="J281" s="36">
        <f>IF(B281="","",SUMPRODUCT(((Berechnung!D281:O281+Berechnung!Q281:AB281)&gt;0)*1))</f>
        <v/>
      </c>
      <c r="K281" s="62">
        <f>IF(B281="","",IF(N(D281)&gt;0,F281/D281,""))</f>
        <v/>
      </c>
      <c r="L281" s="40">
        <f>IF(B281="","",IF(N(E281)&gt;0,IF(Einstellungen!$C$10="Ja",F281/E281,F281/(E281+F281)),""))</f>
        <v/>
      </c>
      <c r="M281" s="63">
        <f>IF(L281="","",RANK(L281,$L$6:$L$305,0))</f>
        <v/>
      </c>
      <c r="N281" s="56">
        <f>IF(B281="","",IF(L281="","keine Ist-Std.",IF(L281&lt;=Einstellungen!$C$7,"unauffällig",IF(L281&lt;=Einstellungen!$C$8,"auffällig","kritisch"))))</f>
        <v/>
      </c>
      <c r="O281" s="64">
        <f>IF(L281="",-1,L281+ROW()/1000000000)</f>
        <v/>
      </c>
      <c r="P281" s="61">
        <f>IF(B281="","",Berechnung!AF281)</f>
        <v/>
      </c>
      <c r="Q281" s="57">
        <f>IF(B281="","",Berechnung!AG281)</f>
        <v/>
      </c>
      <c r="R281" s="57">
        <f>IF(B281="","",'Ist-Stunden'!D281)</f>
        <v/>
      </c>
      <c r="S281" s="59">
        <f>IF(B281="","",IF(N(R281)&gt;0,IF(Einstellungen!$C$10="Ja",Q281/R281,Q281/(R281+Q281)),""))</f>
        <v/>
      </c>
      <c r="T281" s="56">
        <f>IF(B281="","",IF(S281="","keine Ist-Std.",IF(S281&lt;=Einstellungen!$C$7,"unauffällig",IF(S281&lt;=Einstellungen!$C$8,"auffällig","kritisch"))))</f>
        <v/>
      </c>
    </row>
    <row r="282">
      <c r="A282" s="47">
        <f>IF(Mitarbeiter!B282="","",Mitarbeiter!A282)</f>
        <v/>
      </c>
      <c r="B282" s="48">
        <f>IF(Mitarbeiter!B282="","",Mitarbeiter!B282)</f>
        <v/>
      </c>
      <c r="C282" s="7">
        <f>IF(Mitarbeiter!B282="","",Mitarbeiter!G282)</f>
        <v/>
      </c>
      <c r="D282" s="57">
        <f>IF(Mitarbeiter!B282="","",Mitarbeiter!H282)</f>
        <v/>
      </c>
      <c r="E282" s="57">
        <f>IF(Mitarbeiter!B282="","",'Ist-Stunden'!C282)</f>
        <v/>
      </c>
      <c r="F282" s="57">
        <f>IF(B282="","",Berechnung!AE282)</f>
        <v/>
      </c>
      <c r="G282" s="61">
        <f>IF(B282="","",Berechnung!P282)</f>
        <v/>
      </c>
      <c r="H282" s="61">
        <f>IF(B282="","",Berechnung!AC282)</f>
        <v/>
      </c>
      <c r="I282" s="61">
        <f>IF(B282="","",Berechnung!AD282)</f>
        <v/>
      </c>
      <c r="J282" s="36">
        <f>IF(B282="","",SUMPRODUCT(((Berechnung!D282:O282+Berechnung!Q282:AB282)&gt;0)*1))</f>
        <v/>
      </c>
      <c r="K282" s="62">
        <f>IF(B282="","",IF(N(D282)&gt;0,F282/D282,""))</f>
        <v/>
      </c>
      <c r="L282" s="40">
        <f>IF(B282="","",IF(N(E282)&gt;0,IF(Einstellungen!$C$10="Ja",F282/E282,F282/(E282+F282)),""))</f>
        <v/>
      </c>
      <c r="M282" s="63">
        <f>IF(L282="","",RANK(L282,$L$6:$L$305,0))</f>
        <v/>
      </c>
      <c r="N282" s="56">
        <f>IF(B282="","",IF(L282="","keine Ist-Std.",IF(L282&lt;=Einstellungen!$C$7,"unauffällig",IF(L282&lt;=Einstellungen!$C$8,"auffällig","kritisch"))))</f>
        <v/>
      </c>
      <c r="O282" s="64">
        <f>IF(L282="",-1,L282+ROW()/1000000000)</f>
        <v/>
      </c>
      <c r="P282" s="61">
        <f>IF(B282="","",Berechnung!AF282)</f>
        <v/>
      </c>
      <c r="Q282" s="57">
        <f>IF(B282="","",Berechnung!AG282)</f>
        <v/>
      </c>
      <c r="R282" s="57">
        <f>IF(B282="","",'Ist-Stunden'!D282)</f>
        <v/>
      </c>
      <c r="S282" s="59">
        <f>IF(B282="","",IF(N(R282)&gt;0,IF(Einstellungen!$C$10="Ja",Q282/R282,Q282/(R282+Q282)),""))</f>
        <v/>
      </c>
      <c r="T282" s="56">
        <f>IF(B282="","",IF(S282="","keine Ist-Std.",IF(S282&lt;=Einstellungen!$C$7,"unauffällig",IF(S282&lt;=Einstellungen!$C$8,"auffällig","kritisch"))))</f>
        <v/>
      </c>
    </row>
    <row r="283">
      <c r="A283" s="47">
        <f>IF(Mitarbeiter!B283="","",Mitarbeiter!A283)</f>
        <v/>
      </c>
      <c r="B283" s="48">
        <f>IF(Mitarbeiter!B283="","",Mitarbeiter!B283)</f>
        <v/>
      </c>
      <c r="C283" s="7">
        <f>IF(Mitarbeiter!B283="","",Mitarbeiter!G283)</f>
        <v/>
      </c>
      <c r="D283" s="57">
        <f>IF(Mitarbeiter!B283="","",Mitarbeiter!H283)</f>
        <v/>
      </c>
      <c r="E283" s="57">
        <f>IF(Mitarbeiter!B283="","",'Ist-Stunden'!C283)</f>
        <v/>
      </c>
      <c r="F283" s="57">
        <f>IF(B283="","",Berechnung!AE283)</f>
        <v/>
      </c>
      <c r="G283" s="61">
        <f>IF(B283="","",Berechnung!P283)</f>
        <v/>
      </c>
      <c r="H283" s="61">
        <f>IF(B283="","",Berechnung!AC283)</f>
        <v/>
      </c>
      <c r="I283" s="61">
        <f>IF(B283="","",Berechnung!AD283)</f>
        <v/>
      </c>
      <c r="J283" s="36">
        <f>IF(B283="","",SUMPRODUCT(((Berechnung!D283:O283+Berechnung!Q283:AB283)&gt;0)*1))</f>
        <v/>
      </c>
      <c r="K283" s="62">
        <f>IF(B283="","",IF(N(D283)&gt;0,F283/D283,""))</f>
        <v/>
      </c>
      <c r="L283" s="40">
        <f>IF(B283="","",IF(N(E283)&gt;0,IF(Einstellungen!$C$10="Ja",F283/E283,F283/(E283+F283)),""))</f>
        <v/>
      </c>
      <c r="M283" s="63">
        <f>IF(L283="","",RANK(L283,$L$6:$L$305,0))</f>
        <v/>
      </c>
      <c r="N283" s="56">
        <f>IF(B283="","",IF(L283="","keine Ist-Std.",IF(L283&lt;=Einstellungen!$C$7,"unauffällig",IF(L283&lt;=Einstellungen!$C$8,"auffällig","kritisch"))))</f>
        <v/>
      </c>
      <c r="O283" s="64">
        <f>IF(L283="",-1,L283+ROW()/1000000000)</f>
        <v/>
      </c>
      <c r="P283" s="61">
        <f>IF(B283="","",Berechnung!AF283)</f>
        <v/>
      </c>
      <c r="Q283" s="57">
        <f>IF(B283="","",Berechnung!AG283)</f>
        <v/>
      </c>
      <c r="R283" s="57">
        <f>IF(B283="","",'Ist-Stunden'!D283)</f>
        <v/>
      </c>
      <c r="S283" s="59">
        <f>IF(B283="","",IF(N(R283)&gt;0,IF(Einstellungen!$C$10="Ja",Q283/R283,Q283/(R283+Q283)),""))</f>
        <v/>
      </c>
      <c r="T283" s="56">
        <f>IF(B283="","",IF(S283="","keine Ist-Std.",IF(S283&lt;=Einstellungen!$C$7,"unauffällig",IF(S283&lt;=Einstellungen!$C$8,"auffällig","kritisch"))))</f>
        <v/>
      </c>
    </row>
    <row r="284">
      <c r="A284" s="47">
        <f>IF(Mitarbeiter!B284="","",Mitarbeiter!A284)</f>
        <v/>
      </c>
      <c r="B284" s="48">
        <f>IF(Mitarbeiter!B284="","",Mitarbeiter!B284)</f>
        <v/>
      </c>
      <c r="C284" s="7">
        <f>IF(Mitarbeiter!B284="","",Mitarbeiter!G284)</f>
        <v/>
      </c>
      <c r="D284" s="57">
        <f>IF(Mitarbeiter!B284="","",Mitarbeiter!H284)</f>
        <v/>
      </c>
      <c r="E284" s="57">
        <f>IF(Mitarbeiter!B284="","",'Ist-Stunden'!C284)</f>
        <v/>
      </c>
      <c r="F284" s="57">
        <f>IF(B284="","",Berechnung!AE284)</f>
        <v/>
      </c>
      <c r="G284" s="61">
        <f>IF(B284="","",Berechnung!P284)</f>
        <v/>
      </c>
      <c r="H284" s="61">
        <f>IF(B284="","",Berechnung!AC284)</f>
        <v/>
      </c>
      <c r="I284" s="61">
        <f>IF(B284="","",Berechnung!AD284)</f>
        <v/>
      </c>
      <c r="J284" s="36">
        <f>IF(B284="","",SUMPRODUCT(((Berechnung!D284:O284+Berechnung!Q284:AB284)&gt;0)*1))</f>
        <v/>
      </c>
      <c r="K284" s="62">
        <f>IF(B284="","",IF(N(D284)&gt;0,F284/D284,""))</f>
        <v/>
      </c>
      <c r="L284" s="40">
        <f>IF(B284="","",IF(N(E284)&gt;0,IF(Einstellungen!$C$10="Ja",F284/E284,F284/(E284+F284)),""))</f>
        <v/>
      </c>
      <c r="M284" s="63">
        <f>IF(L284="","",RANK(L284,$L$6:$L$305,0))</f>
        <v/>
      </c>
      <c r="N284" s="56">
        <f>IF(B284="","",IF(L284="","keine Ist-Std.",IF(L284&lt;=Einstellungen!$C$7,"unauffällig",IF(L284&lt;=Einstellungen!$C$8,"auffällig","kritisch"))))</f>
        <v/>
      </c>
      <c r="O284" s="64">
        <f>IF(L284="",-1,L284+ROW()/1000000000)</f>
        <v/>
      </c>
      <c r="P284" s="61">
        <f>IF(B284="","",Berechnung!AF284)</f>
        <v/>
      </c>
      <c r="Q284" s="57">
        <f>IF(B284="","",Berechnung!AG284)</f>
        <v/>
      </c>
      <c r="R284" s="57">
        <f>IF(B284="","",'Ist-Stunden'!D284)</f>
        <v/>
      </c>
      <c r="S284" s="59">
        <f>IF(B284="","",IF(N(R284)&gt;0,IF(Einstellungen!$C$10="Ja",Q284/R284,Q284/(R284+Q284)),""))</f>
        <v/>
      </c>
      <c r="T284" s="56">
        <f>IF(B284="","",IF(S284="","keine Ist-Std.",IF(S284&lt;=Einstellungen!$C$7,"unauffällig",IF(S284&lt;=Einstellungen!$C$8,"auffällig","kritisch"))))</f>
        <v/>
      </c>
    </row>
    <row r="285">
      <c r="A285" s="47">
        <f>IF(Mitarbeiter!B285="","",Mitarbeiter!A285)</f>
        <v/>
      </c>
      <c r="B285" s="48">
        <f>IF(Mitarbeiter!B285="","",Mitarbeiter!B285)</f>
        <v/>
      </c>
      <c r="C285" s="7">
        <f>IF(Mitarbeiter!B285="","",Mitarbeiter!G285)</f>
        <v/>
      </c>
      <c r="D285" s="57">
        <f>IF(Mitarbeiter!B285="","",Mitarbeiter!H285)</f>
        <v/>
      </c>
      <c r="E285" s="57">
        <f>IF(Mitarbeiter!B285="","",'Ist-Stunden'!C285)</f>
        <v/>
      </c>
      <c r="F285" s="57">
        <f>IF(B285="","",Berechnung!AE285)</f>
        <v/>
      </c>
      <c r="G285" s="61">
        <f>IF(B285="","",Berechnung!P285)</f>
        <v/>
      </c>
      <c r="H285" s="61">
        <f>IF(B285="","",Berechnung!AC285)</f>
        <v/>
      </c>
      <c r="I285" s="61">
        <f>IF(B285="","",Berechnung!AD285)</f>
        <v/>
      </c>
      <c r="J285" s="36">
        <f>IF(B285="","",SUMPRODUCT(((Berechnung!D285:O285+Berechnung!Q285:AB285)&gt;0)*1))</f>
        <v/>
      </c>
      <c r="K285" s="62">
        <f>IF(B285="","",IF(N(D285)&gt;0,F285/D285,""))</f>
        <v/>
      </c>
      <c r="L285" s="40">
        <f>IF(B285="","",IF(N(E285)&gt;0,IF(Einstellungen!$C$10="Ja",F285/E285,F285/(E285+F285)),""))</f>
        <v/>
      </c>
      <c r="M285" s="63">
        <f>IF(L285="","",RANK(L285,$L$6:$L$305,0))</f>
        <v/>
      </c>
      <c r="N285" s="56">
        <f>IF(B285="","",IF(L285="","keine Ist-Std.",IF(L285&lt;=Einstellungen!$C$7,"unauffällig",IF(L285&lt;=Einstellungen!$C$8,"auffällig","kritisch"))))</f>
        <v/>
      </c>
      <c r="O285" s="64">
        <f>IF(L285="",-1,L285+ROW()/1000000000)</f>
        <v/>
      </c>
      <c r="P285" s="61">
        <f>IF(B285="","",Berechnung!AF285)</f>
        <v/>
      </c>
      <c r="Q285" s="57">
        <f>IF(B285="","",Berechnung!AG285)</f>
        <v/>
      </c>
      <c r="R285" s="57">
        <f>IF(B285="","",'Ist-Stunden'!D285)</f>
        <v/>
      </c>
      <c r="S285" s="59">
        <f>IF(B285="","",IF(N(R285)&gt;0,IF(Einstellungen!$C$10="Ja",Q285/R285,Q285/(R285+Q285)),""))</f>
        <v/>
      </c>
      <c r="T285" s="56">
        <f>IF(B285="","",IF(S285="","keine Ist-Std.",IF(S285&lt;=Einstellungen!$C$7,"unauffällig",IF(S285&lt;=Einstellungen!$C$8,"auffällig","kritisch"))))</f>
        <v/>
      </c>
    </row>
    <row r="286">
      <c r="A286" s="47">
        <f>IF(Mitarbeiter!B286="","",Mitarbeiter!A286)</f>
        <v/>
      </c>
      <c r="B286" s="48">
        <f>IF(Mitarbeiter!B286="","",Mitarbeiter!B286)</f>
        <v/>
      </c>
      <c r="C286" s="7">
        <f>IF(Mitarbeiter!B286="","",Mitarbeiter!G286)</f>
        <v/>
      </c>
      <c r="D286" s="57">
        <f>IF(Mitarbeiter!B286="","",Mitarbeiter!H286)</f>
        <v/>
      </c>
      <c r="E286" s="57">
        <f>IF(Mitarbeiter!B286="","",'Ist-Stunden'!C286)</f>
        <v/>
      </c>
      <c r="F286" s="57">
        <f>IF(B286="","",Berechnung!AE286)</f>
        <v/>
      </c>
      <c r="G286" s="61">
        <f>IF(B286="","",Berechnung!P286)</f>
        <v/>
      </c>
      <c r="H286" s="61">
        <f>IF(B286="","",Berechnung!AC286)</f>
        <v/>
      </c>
      <c r="I286" s="61">
        <f>IF(B286="","",Berechnung!AD286)</f>
        <v/>
      </c>
      <c r="J286" s="36">
        <f>IF(B286="","",SUMPRODUCT(((Berechnung!D286:O286+Berechnung!Q286:AB286)&gt;0)*1))</f>
        <v/>
      </c>
      <c r="K286" s="62">
        <f>IF(B286="","",IF(N(D286)&gt;0,F286/D286,""))</f>
        <v/>
      </c>
      <c r="L286" s="40">
        <f>IF(B286="","",IF(N(E286)&gt;0,IF(Einstellungen!$C$10="Ja",F286/E286,F286/(E286+F286)),""))</f>
        <v/>
      </c>
      <c r="M286" s="63">
        <f>IF(L286="","",RANK(L286,$L$6:$L$305,0))</f>
        <v/>
      </c>
      <c r="N286" s="56">
        <f>IF(B286="","",IF(L286="","keine Ist-Std.",IF(L286&lt;=Einstellungen!$C$7,"unauffällig",IF(L286&lt;=Einstellungen!$C$8,"auffällig","kritisch"))))</f>
        <v/>
      </c>
      <c r="O286" s="64">
        <f>IF(L286="",-1,L286+ROW()/1000000000)</f>
        <v/>
      </c>
      <c r="P286" s="61">
        <f>IF(B286="","",Berechnung!AF286)</f>
        <v/>
      </c>
      <c r="Q286" s="57">
        <f>IF(B286="","",Berechnung!AG286)</f>
        <v/>
      </c>
      <c r="R286" s="57">
        <f>IF(B286="","",'Ist-Stunden'!D286)</f>
        <v/>
      </c>
      <c r="S286" s="59">
        <f>IF(B286="","",IF(N(R286)&gt;0,IF(Einstellungen!$C$10="Ja",Q286/R286,Q286/(R286+Q286)),""))</f>
        <v/>
      </c>
      <c r="T286" s="56">
        <f>IF(B286="","",IF(S286="","keine Ist-Std.",IF(S286&lt;=Einstellungen!$C$7,"unauffällig",IF(S286&lt;=Einstellungen!$C$8,"auffällig","kritisch"))))</f>
        <v/>
      </c>
    </row>
    <row r="287">
      <c r="A287" s="47">
        <f>IF(Mitarbeiter!B287="","",Mitarbeiter!A287)</f>
        <v/>
      </c>
      <c r="B287" s="48">
        <f>IF(Mitarbeiter!B287="","",Mitarbeiter!B287)</f>
        <v/>
      </c>
      <c r="C287" s="7">
        <f>IF(Mitarbeiter!B287="","",Mitarbeiter!G287)</f>
        <v/>
      </c>
      <c r="D287" s="57">
        <f>IF(Mitarbeiter!B287="","",Mitarbeiter!H287)</f>
        <v/>
      </c>
      <c r="E287" s="57">
        <f>IF(Mitarbeiter!B287="","",'Ist-Stunden'!C287)</f>
        <v/>
      </c>
      <c r="F287" s="57">
        <f>IF(B287="","",Berechnung!AE287)</f>
        <v/>
      </c>
      <c r="G287" s="61">
        <f>IF(B287="","",Berechnung!P287)</f>
        <v/>
      </c>
      <c r="H287" s="61">
        <f>IF(B287="","",Berechnung!AC287)</f>
        <v/>
      </c>
      <c r="I287" s="61">
        <f>IF(B287="","",Berechnung!AD287)</f>
        <v/>
      </c>
      <c r="J287" s="36">
        <f>IF(B287="","",SUMPRODUCT(((Berechnung!D287:O287+Berechnung!Q287:AB287)&gt;0)*1))</f>
        <v/>
      </c>
      <c r="K287" s="62">
        <f>IF(B287="","",IF(N(D287)&gt;0,F287/D287,""))</f>
        <v/>
      </c>
      <c r="L287" s="40">
        <f>IF(B287="","",IF(N(E287)&gt;0,IF(Einstellungen!$C$10="Ja",F287/E287,F287/(E287+F287)),""))</f>
        <v/>
      </c>
      <c r="M287" s="63">
        <f>IF(L287="","",RANK(L287,$L$6:$L$305,0))</f>
        <v/>
      </c>
      <c r="N287" s="56">
        <f>IF(B287="","",IF(L287="","keine Ist-Std.",IF(L287&lt;=Einstellungen!$C$7,"unauffällig",IF(L287&lt;=Einstellungen!$C$8,"auffällig","kritisch"))))</f>
        <v/>
      </c>
      <c r="O287" s="64">
        <f>IF(L287="",-1,L287+ROW()/1000000000)</f>
        <v/>
      </c>
      <c r="P287" s="61">
        <f>IF(B287="","",Berechnung!AF287)</f>
        <v/>
      </c>
      <c r="Q287" s="57">
        <f>IF(B287="","",Berechnung!AG287)</f>
        <v/>
      </c>
      <c r="R287" s="57">
        <f>IF(B287="","",'Ist-Stunden'!D287)</f>
        <v/>
      </c>
      <c r="S287" s="59">
        <f>IF(B287="","",IF(N(R287)&gt;0,IF(Einstellungen!$C$10="Ja",Q287/R287,Q287/(R287+Q287)),""))</f>
        <v/>
      </c>
      <c r="T287" s="56">
        <f>IF(B287="","",IF(S287="","keine Ist-Std.",IF(S287&lt;=Einstellungen!$C$7,"unauffällig",IF(S287&lt;=Einstellungen!$C$8,"auffällig","kritisch"))))</f>
        <v/>
      </c>
    </row>
    <row r="288">
      <c r="A288" s="47">
        <f>IF(Mitarbeiter!B288="","",Mitarbeiter!A288)</f>
        <v/>
      </c>
      <c r="B288" s="48">
        <f>IF(Mitarbeiter!B288="","",Mitarbeiter!B288)</f>
        <v/>
      </c>
      <c r="C288" s="7">
        <f>IF(Mitarbeiter!B288="","",Mitarbeiter!G288)</f>
        <v/>
      </c>
      <c r="D288" s="57">
        <f>IF(Mitarbeiter!B288="","",Mitarbeiter!H288)</f>
        <v/>
      </c>
      <c r="E288" s="57">
        <f>IF(Mitarbeiter!B288="","",'Ist-Stunden'!C288)</f>
        <v/>
      </c>
      <c r="F288" s="57">
        <f>IF(B288="","",Berechnung!AE288)</f>
        <v/>
      </c>
      <c r="G288" s="61">
        <f>IF(B288="","",Berechnung!P288)</f>
        <v/>
      </c>
      <c r="H288" s="61">
        <f>IF(B288="","",Berechnung!AC288)</f>
        <v/>
      </c>
      <c r="I288" s="61">
        <f>IF(B288="","",Berechnung!AD288)</f>
        <v/>
      </c>
      <c r="J288" s="36">
        <f>IF(B288="","",SUMPRODUCT(((Berechnung!D288:O288+Berechnung!Q288:AB288)&gt;0)*1))</f>
        <v/>
      </c>
      <c r="K288" s="62">
        <f>IF(B288="","",IF(N(D288)&gt;0,F288/D288,""))</f>
        <v/>
      </c>
      <c r="L288" s="40">
        <f>IF(B288="","",IF(N(E288)&gt;0,IF(Einstellungen!$C$10="Ja",F288/E288,F288/(E288+F288)),""))</f>
        <v/>
      </c>
      <c r="M288" s="63">
        <f>IF(L288="","",RANK(L288,$L$6:$L$305,0))</f>
        <v/>
      </c>
      <c r="N288" s="56">
        <f>IF(B288="","",IF(L288="","keine Ist-Std.",IF(L288&lt;=Einstellungen!$C$7,"unauffällig",IF(L288&lt;=Einstellungen!$C$8,"auffällig","kritisch"))))</f>
        <v/>
      </c>
      <c r="O288" s="64">
        <f>IF(L288="",-1,L288+ROW()/1000000000)</f>
        <v/>
      </c>
      <c r="P288" s="61">
        <f>IF(B288="","",Berechnung!AF288)</f>
        <v/>
      </c>
      <c r="Q288" s="57">
        <f>IF(B288="","",Berechnung!AG288)</f>
        <v/>
      </c>
      <c r="R288" s="57">
        <f>IF(B288="","",'Ist-Stunden'!D288)</f>
        <v/>
      </c>
      <c r="S288" s="59">
        <f>IF(B288="","",IF(N(R288)&gt;0,IF(Einstellungen!$C$10="Ja",Q288/R288,Q288/(R288+Q288)),""))</f>
        <v/>
      </c>
      <c r="T288" s="56">
        <f>IF(B288="","",IF(S288="","keine Ist-Std.",IF(S288&lt;=Einstellungen!$C$7,"unauffällig",IF(S288&lt;=Einstellungen!$C$8,"auffällig","kritisch"))))</f>
        <v/>
      </c>
    </row>
    <row r="289">
      <c r="A289" s="47">
        <f>IF(Mitarbeiter!B289="","",Mitarbeiter!A289)</f>
        <v/>
      </c>
      <c r="B289" s="48">
        <f>IF(Mitarbeiter!B289="","",Mitarbeiter!B289)</f>
        <v/>
      </c>
      <c r="C289" s="7">
        <f>IF(Mitarbeiter!B289="","",Mitarbeiter!G289)</f>
        <v/>
      </c>
      <c r="D289" s="57">
        <f>IF(Mitarbeiter!B289="","",Mitarbeiter!H289)</f>
        <v/>
      </c>
      <c r="E289" s="57">
        <f>IF(Mitarbeiter!B289="","",'Ist-Stunden'!C289)</f>
        <v/>
      </c>
      <c r="F289" s="57">
        <f>IF(B289="","",Berechnung!AE289)</f>
        <v/>
      </c>
      <c r="G289" s="61">
        <f>IF(B289="","",Berechnung!P289)</f>
        <v/>
      </c>
      <c r="H289" s="61">
        <f>IF(B289="","",Berechnung!AC289)</f>
        <v/>
      </c>
      <c r="I289" s="61">
        <f>IF(B289="","",Berechnung!AD289)</f>
        <v/>
      </c>
      <c r="J289" s="36">
        <f>IF(B289="","",SUMPRODUCT(((Berechnung!D289:O289+Berechnung!Q289:AB289)&gt;0)*1))</f>
        <v/>
      </c>
      <c r="K289" s="62">
        <f>IF(B289="","",IF(N(D289)&gt;0,F289/D289,""))</f>
        <v/>
      </c>
      <c r="L289" s="40">
        <f>IF(B289="","",IF(N(E289)&gt;0,IF(Einstellungen!$C$10="Ja",F289/E289,F289/(E289+F289)),""))</f>
        <v/>
      </c>
      <c r="M289" s="63">
        <f>IF(L289="","",RANK(L289,$L$6:$L$305,0))</f>
        <v/>
      </c>
      <c r="N289" s="56">
        <f>IF(B289="","",IF(L289="","keine Ist-Std.",IF(L289&lt;=Einstellungen!$C$7,"unauffällig",IF(L289&lt;=Einstellungen!$C$8,"auffällig","kritisch"))))</f>
        <v/>
      </c>
      <c r="O289" s="64">
        <f>IF(L289="",-1,L289+ROW()/1000000000)</f>
        <v/>
      </c>
      <c r="P289" s="61">
        <f>IF(B289="","",Berechnung!AF289)</f>
        <v/>
      </c>
      <c r="Q289" s="57">
        <f>IF(B289="","",Berechnung!AG289)</f>
        <v/>
      </c>
      <c r="R289" s="57">
        <f>IF(B289="","",'Ist-Stunden'!D289)</f>
        <v/>
      </c>
      <c r="S289" s="59">
        <f>IF(B289="","",IF(N(R289)&gt;0,IF(Einstellungen!$C$10="Ja",Q289/R289,Q289/(R289+Q289)),""))</f>
        <v/>
      </c>
      <c r="T289" s="56">
        <f>IF(B289="","",IF(S289="","keine Ist-Std.",IF(S289&lt;=Einstellungen!$C$7,"unauffällig",IF(S289&lt;=Einstellungen!$C$8,"auffällig","kritisch"))))</f>
        <v/>
      </c>
    </row>
    <row r="290">
      <c r="A290" s="47">
        <f>IF(Mitarbeiter!B290="","",Mitarbeiter!A290)</f>
        <v/>
      </c>
      <c r="B290" s="48">
        <f>IF(Mitarbeiter!B290="","",Mitarbeiter!B290)</f>
        <v/>
      </c>
      <c r="C290" s="7">
        <f>IF(Mitarbeiter!B290="","",Mitarbeiter!G290)</f>
        <v/>
      </c>
      <c r="D290" s="57">
        <f>IF(Mitarbeiter!B290="","",Mitarbeiter!H290)</f>
        <v/>
      </c>
      <c r="E290" s="57">
        <f>IF(Mitarbeiter!B290="","",'Ist-Stunden'!C290)</f>
        <v/>
      </c>
      <c r="F290" s="57">
        <f>IF(B290="","",Berechnung!AE290)</f>
        <v/>
      </c>
      <c r="G290" s="61">
        <f>IF(B290="","",Berechnung!P290)</f>
        <v/>
      </c>
      <c r="H290" s="61">
        <f>IF(B290="","",Berechnung!AC290)</f>
        <v/>
      </c>
      <c r="I290" s="61">
        <f>IF(B290="","",Berechnung!AD290)</f>
        <v/>
      </c>
      <c r="J290" s="36">
        <f>IF(B290="","",SUMPRODUCT(((Berechnung!D290:O290+Berechnung!Q290:AB290)&gt;0)*1))</f>
        <v/>
      </c>
      <c r="K290" s="62">
        <f>IF(B290="","",IF(N(D290)&gt;0,F290/D290,""))</f>
        <v/>
      </c>
      <c r="L290" s="40">
        <f>IF(B290="","",IF(N(E290)&gt;0,IF(Einstellungen!$C$10="Ja",F290/E290,F290/(E290+F290)),""))</f>
        <v/>
      </c>
      <c r="M290" s="63">
        <f>IF(L290="","",RANK(L290,$L$6:$L$305,0))</f>
        <v/>
      </c>
      <c r="N290" s="56">
        <f>IF(B290="","",IF(L290="","keine Ist-Std.",IF(L290&lt;=Einstellungen!$C$7,"unauffällig",IF(L290&lt;=Einstellungen!$C$8,"auffällig","kritisch"))))</f>
        <v/>
      </c>
      <c r="O290" s="64">
        <f>IF(L290="",-1,L290+ROW()/1000000000)</f>
        <v/>
      </c>
      <c r="P290" s="61">
        <f>IF(B290="","",Berechnung!AF290)</f>
        <v/>
      </c>
      <c r="Q290" s="57">
        <f>IF(B290="","",Berechnung!AG290)</f>
        <v/>
      </c>
      <c r="R290" s="57">
        <f>IF(B290="","",'Ist-Stunden'!D290)</f>
        <v/>
      </c>
      <c r="S290" s="59">
        <f>IF(B290="","",IF(N(R290)&gt;0,IF(Einstellungen!$C$10="Ja",Q290/R290,Q290/(R290+Q290)),""))</f>
        <v/>
      </c>
      <c r="T290" s="56">
        <f>IF(B290="","",IF(S290="","keine Ist-Std.",IF(S290&lt;=Einstellungen!$C$7,"unauffällig",IF(S290&lt;=Einstellungen!$C$8,"auffällig","kritisch"))))</f>
        <v/>
      </c>
    </row>
    <row r="291">
      <c r="A291" s="47">
        <f>IF(Mitarbeiter!B291="","",Mitarbeiter!A291)</f>
        <v/>
      </c>
      <c r="B291" s="48">
        <f>IF(Mitarbeiter!B291="","",Mitarbeiter!B291)</f>
        <v/>
      </c>
      <c r="C291" s="7">
        <f>IF(Mitarbeiter!B291="","",Mitarbeiter!G291)</f>
        <v/>
      </c>
      <c r="D291" s="57">
        <f>IF(Mitarbeiter!B291="","",Mitarbeiter!H291)</f>
        <v/>
      </c>
      <c r="E291" s="57">
        <f>IF(Mitarbeiter!B291="","",'Ist-Stunden'!C291)</f>
        <v/>
      </c>
      <c r="F291" s="57">
        <f>IF(B291="","",Berechnung!AE291)</f>
        <v/>
      </c>
      <c r="G291" s="61">
        <f>IF(B291="","",Berechnung!P291)</f>
        <v/>
      </c>
      <c r="H291" s="61">
        <f>IF(B291="","",Berechnung!AC291)</f>
        <v/>
      </c>
      <c r="I291" s="61">
        <f>IF(B291="","",Berechnung!AD291)</f>
        <v/>
      </c>
      <c r="J291" s="36">
        <f>IF(B291="","",SUMPRODUCT(((Berechnung!D291:O291+Berechnung!Q291:AB291)&gt;0)*1))</f>
        <v/>
      </c>
      <c r="K291" s="62">
        <f>IF(B291="","",IF(N(D291)&gt;0,F291/D291,""))</f>
        <v/>
      </c>
      <c r="L291" s="40">
        <f>IF(B291="","",IF(N(E291)&gt;0,IF(Einstellungen!$C$10="Ja",F291/E291,F291/(E291+F291)),""))</f>
        <v/>
      </c>
      <c r="M291" s="63">
        <f>IF(L291="","",RANK(L291,$L$6:$L$305,0))</f>
        <v/>
      </c>
      <c r="N291" s="56">
        <f>IF(B291="","",IF(L291="","keine Ist-Std.",IF(L291&lt;=Einstellungen!$C$7,"unauffällig",IF(L291&lt;=Einstellungen!$C$8,"auffällig","kritisch"))))</f>
        <v/>
      </c>
      <c r="O291" s="64">
        <f>IF(L291="",-1,L291+ROW()/1000000000)</f>
        <v/>
      </c>
      <c r="P291" s="61">
        <f>IF(B291="","",Berechnung!AF291)</f>
        <v/>
      </c>
      <c r="Q291" s="57">
        <f>IF(B291="","",Berechnung!AG291)</f>
        <v/>
      </c>
      <c r="R291" s="57">
        <f>IF(B291="","",'Ist-Stunden'!D291)</f>
        <v/>
      </c>
      <c r="S291" s="59">
        <f>IF(B291="","",IF(N(R291)&gt;0,IF(Einstellungen!$C$10="Ja",Q291/R291,Q291/(R291+Q291)),""))</f>
        <v/>
      </c>
      <c r="T291" s="56">
        <f>IF(B291="","",IF(S291="","keine Ist-Std.",IF(S291&lt;=Einstellungen!$C$7,"unauffällig",IF(S291&lt;=Einstellungen!$C$8,"auffällig","kritisch"))))</f>
        <v/>
      </c>
    </row>
    <row r="292">
      <c r="A292" s="47">
        <f>IF(Mitarbeiter!B292="","",Mitarbeiter!A292)</f>
        <v/>
      </c>
      <c r="B292" s="48">
        <f>IF(Mitarbeiter!B292="","",Mitarbeiter!B292)</f>
        <v/>
      </c>
      <c r="C292" s="7">
        <f>IF(Mitarbeiter!B292="","",Mitarbeiter!G292)</f>
        <v/>
      </c>
      <c r="D292" s="57">
        <f>IF(Mitarbeiter!B292="","",Mitarbeiter!H292)</f>
        <v/>
      </c>
      <c r="E292" s="57">
        <f>IF(Mitarbeiter!B292="","",'Ist-Stunden'!C292)</f>
        <v/>
      </c>
      <c r="F292" s="57">
        <f>IF(B292="","",Berechnung!AE292)</f>
        <v/>
      </c>
      <c r="G292" s="61">
        <f>IF(B292="","",Berechnung!P292)</f>
        <v/>
      </c>
      <c r="H292" s="61">
        <f>IF(B292="","",Berechnung!AC292)</f>
        <v/>
      </c>
      <c r="I292" s="61">
        <f>IF(B292="","",Berechnung!AD292)</f>
        <v/>
      </c>
      <c r="J292" s="36">
        <f>IF(B292="","",SUMPRODUCT(((Berechnung!D292:O292+Berechnung!Q292:AB292)&gt;0)*1))</f>
        <v/>
      </c>
      <c r="K292" s="62">
        <f>IF(B292="","",IF(N(D292)&gt;0,F292/D292,""))</f>
        <v/>
      </c>
      <c r="L292" s="40">
        <f>IF(B292="","",IF(N(E292)&gt;0,IF(Einstellungen!$C$10="Ja",F292/E292,F292/(E292+F292)),""))</f>
        <v/>
      </c>
      <c r="M292" s="63">
        <f>IF(L292="","",RANK(L292,$L$6:$L$305,0))</f>
        <v/>
      </c>
      <c r="N292" s="56">
        <f>IF(B292="","",IF(L292="","keine Ist-Std.",IF(L292&lt;=Einstellungen!$C$7,"unauffällig",IF(L292&lt;=Einstellungen!$C$8,"auffällig","kritisch"))))</f>
        <v/>
      </c>
      <c r="O292" s="64">
        <f>IF(L292="",-1,L292+ROW()/1000000000)</f>
        <v/>
      </c>
      <c r="P292" s="61">
        <f>IF(B292="","",Berechnung!AF292)</f>
        <v/>
      </c>
      <c r="Q292" s="57">
        <f>IF(B292="","",Berechnung!AG292)</f>
        <v/>
      </c>
      <c r="R292" s="57">
        <f>IF(B292="","",'Ist-Stunden'!D292)</f>
        <v/>
      </c>
      <c r="S292" s="59">
        <f>IF(B292="","",IF(N(R292)&gt;0,IF(Einstellungen!$C$10="Ja",Q292/R292,Q292/(R292+Q292)),""))</f>
        <v/>
      </c>
      <c r="T292" s="56">
        <f>IF(B292="","",IF(S292="","keine Ist-Std.",IF(S292&lt;=Einstellungen!$C$7,"unauffällig",IF(S292&lt;=Einstellungen!$C$8,"auffällig","kritisch"))))</f>
        <v/>
      </c>
    </row>
    <row r="293">
      <c r="A293" s="47">
        <f>IF(Mitarbeiter!B293="","",Mitarbeiter!A293)</f>
        <v/>
      </c>
      <c r="B293" s="48">
        <f>IF(Mitarbeiter!B293="","",Mitarbeiter!B293)</f>
        <v/>
      </c>
      <c r="C293" s="7">
        <f>IF(Mitarbeiter!B293="","",Mitarbeiter!G293)</f>
        <v/>
      </c>
      <c r="D293" s="57">
        <f>IF(Mitarbeiter!B293="","",Mitarbeiter!H293)</f>
        <v/>
      </c>
      <c r="E293" s="57">
        <f>IF(Mitarbeiter!B293="","",'Ist-Stunden'!C293)</f>
        <v/>
      </c>
      <c r="F293" s="57">
        <f>IF(B293="","",Berechnung!AE293)</f>
        <v/>
      </c>
      <c r="G293" s="61">
        <f>IF(B293="","",Berechnung!P293)</f>
        <v/>
      </c>
      <c r="H293" s="61">
        <f>IF(B293="","",Berechnung!AC293)</f>
        <v/>
      </c>
      <c r="I293" s="61">
        <f>IF(B293="","",Berechnung!AD293)</f>
        <v/>
      </c>
      <c r="J293" s="36">
        <f>IF(B293="","",SUMPRODUCT(((Berechnung!D293:O293+Berechnung!Q293:AB293)&gt;0)*1))</f>
        <v/>
      </c>
      <c r="K293" s="62">
        <f>IF(B293="","",IF(N(D293)&gt;0,F293/D293,""))</f>
        <v/>
      </c>
      <c r="L293" s="40">
        <f>IF(B293="","",IF(N(E293)&gt;0,IF(Einstellungen!$C$10="Ja",F293/E293,F293/(E293+F293)),""))</f>
        <v/>
      </c>
      <c r="M293" s="63">
        <f>IF(L293="","",RANK(L293,$L$6:$L$305,0))</f>
        <v/>
      </c>
      <c r="N293" s="56">
        <f>IF(B293="","",IF(L293="","keine Ist-Std.",IF(L293&lt;=Einstellungen!$C$7,"unauffällig",IF(L293&lt;=Einstellungen!$C$8,"auffällig","kritisch"))))</f>
        <v/>
      </c>
      <c r="O293" s="64">
        <f>IF(L293="",-1,L293+ROW()/1000000000)</f>
        <v/>
      </c>
      <c r="P293" s="61">
        <f>IF(B293="","",Berechnung!AF293)</f>
        <v/>
      </c>
      <c r="Q293" s="57">
        <f>IF(B293="","",Berechnung!AG293)</f>
        <v/>
      </c>
      <c r="R293" s="57">
        <f>IF(B293="","",'Ist-Stunden'!D293)</f>
        <v/>
      </c>
      <c r="S293" s="59">
        <f>IF(B293="","",IF(N(R293)&gt;0,IF(Einstellungen!$C$10="Ja",Q293/R293,Q293/(R293+Q293)),""))</f>
        <v/>
      </c>
      <c r="T293" s="56">
        <f>IF(B293="","",IF(S293="","keine Ist-Std.",IF(S293&lt;=Einstellungen!$C$7,"unauffällig",IF(S293&lt;=Einstellungen!$C$8,"auffällig","kritisch"))))</f>
        <v/>
      </c>
    </row>
    <row r="294">
      <c r="A294" s="47">
        <f>IF(Mitarbeiter!B294="","",Mitarbeiter!A294)</f>
        <v/>
      </c>
      <c r="B294" s="48">
        <f>IF(Mitarbeiter!B294="","",Mitarbeiter!B294)</f>
        <v/>
      </c>
      <c r="C294" s="7">
        <f>IF(Mitarbeiter!B294="","",Mitarbeiter!G294)</f>
        <v/>
      </c>
      <c r="D294" s="57">
        <f>IF(Mitarbeiter!B294="","",Mitarbeiter!H294)</f>
        <v/>
      </c>
      <c r="E294" s="57">
        <f>IF(Mitarbeiter!B294="","",'Ist-Stunden'!C294)</f>
        <v/>
      </c>
      <c r="F294" s="57">
        <f>IF(B294="","",Berechnung!AE294)</f>
        <v/>
      </c>
      <c r="G294" s="61">
        <f>IF(B294="","",Berechnung!P294)</f>
        <v/>
      </c>
      <c r="H294" s="61">
        <f>IF(B294="","",Berechnung!AC294)</f>
        <v/>
      </c>
      <c r="I294" s="61">
        <f>IF(B294="","",Berechnung!AD294)</f>
        <v/>
      </c>
      <c r="J294" s="36">
        <f>IF(B294="","",SUMPRODUCT(((Berechnung!D294:O294+Berechnung!Q294:AB294)&gt;0)*1))</f>
        <v/>
      </c>
      <c r="K294" s="62">
        <f>IF(B294="","",IF(N(D294)&gt;0,F294/D294,""))</f>
        <v/>
      </c>
      <c r="L294" s="40">
        <f>IF(B294="","",IF(N(E294)&gt;0,IF(Einstellungen!$C$10="Ja",F294/E294,F294/(E294+F294)),""))</f>
        <v/>
      </c>
      <c r="M294" s="63">
        <f>IF(L294="","",RANK(L294,$L$6:$L$305,0))</f>
        <v/>
      </c>
      <c r="N294" s="56">
        <f>IF(B294="","",IF(L294="","keine Ist-Std.",IF(L294&lt;=Einstellungen!$C$7,"unauffällig",IF(L294&lt;=Einstellungen!$C$8,"auffällig","kritisch"))))</f>
        <v/>
      </c>
      <c r="O294" s="64">
        <f>IF(L294="",-1,L294+ROW()/1000000000)</f>
        <v/>
      </c>
      <c r="P294" s="61">
        <f>IF(B294="","",Berechnung!AF294)</f>
        <v/>
      </c>
      <c r="Q294" s="57">
        <f>IF(B294="","",Berechnung!AG294)</f>
        <v/>
      </c>
      <c r="R294" s="57">
        <f>IF(B294="","",'Ist-Stunden'!D294)</f>
        <v/>
      </c>
      <c r="S294" s="59">
        <f>IF(B294="","",IF(N(R294)&gt;0,IF(Einstellungen!$C$10="Ja",Q294/R294,Q294/(R294+Q294)),""))</f>
        <v/>
      </c>
      <c r="T294" s="56">
        <f>IF(B294="","",IF(S294="","keine Ist-Std.",IF(S294&lt;=Einstellungen!$C$7,"unauffällig",IF(S294&lt;=Einstellungen!$C$8,"auffällig","kritisch"))))</f>
        <v/>
      </c>
    </row>
    <row r="295">
      <c r="A295" s="47">
        <f>IF(Mitarbeiter!B295="","",Mitarbeiter!A295)</f>
        <v/>
      </c>
      <c r="B295" s="48">
        <f>IF(Mitarbeiter!B295="","",Mitarbeiter!B295)</f>
        <v/>
      </c>
      <c r="C295" s="7">
        <f>IF(Mitarbeiter!B295="","",Mitarbeiter!G295)</f>
        <v/>
      </c>
      <c r="D295" s="57">
        <f>IF(Mitarbeiter!B295="","",Mitarbeiter!H295)</f>
        <v/>
      </c>
      <c r="E295" s="57">
        <f>IF(Mitarbeiter!B295="","",'Ist-Stunden'!C295)</f>
        <v/>
      </c>
      <c r="F295" s="57">
        <f>IF(B295="","",Berechnung!AE295)</f>
        <v/>
      </c>
      <c r="G295" s="61">
        <f>IF(B295="","",Berechnung!P295)</f>
        <v/>
      </c>
      <c r="H295" s="61">
        <f>IF(B295="","",Berechnung!AC295)</f>
        <v/>
      </c>
      <c r="I295" s="61">
        <f>IF(B295="","",Berechnung!AD295)</f>
        <v/>
      </c>
      <c r="J295" s="36">
        <f>IF(B295="","",SUMPRODUCT(((Berechnung!D295:O295+Berechnung!Q295:AB295)&gt;0)*1))</f>
        <v/>
      </c>
      <c r="K295" s="62">
        <f>IF(B295="","",IF(N(D295)&gt;0,F295/D295,""))</f>
        <v/>
      </c>
      <c r="L295" s="40">
        <f>IF(B295="","",IF(N(E295)&gt;0,IF(Einstellungen!$C$10="Ja",F295/E295,F295/(E295+F295)),""))</f>
        <v/>
      </c>
      <c r="M295" s="63">
        <f>IF(L295="","",RANK(L295,$L$6:$L$305,0))</f>
        <v/>
      </c>
      <c r="N295" s="56">
        <f>IF(B295="","",IF(L295="","keine Ist-Std.",IF(L295&lt;=Einstellungen!$C$7,"unauffällig",IF(L295&lt;=Einstellungen!$C$8,"auffällig","kritisch"))))</f>
        <v/>
      </c>
      <c r="O295" s="64">
        <f>IF(L295="",-1,L295+ROW()/1000000000)</f>
        <v/>
      </c>
      <c r="P295" s="61">
        <f>IF(B295="","",Berechnung!AF295)</f>
        <v/>
      </c>
      <c r="Q295" s="57">
        <f>IF(B295="","",Berechnung!AG295)</f>
        <v/>
      </c>
      <c r="R295" s="57">
        <f>IF(B295="","",'Ist-Stunden'!D295)</f>
        <v/>
      </c>
      <c r="S295" s="59">
        <f>IF(B295="","",IF(N(R295)&gt;0,IF(Einstellungen!$C$10="Ja",Q295/R295,Q295/(R295+Q295)),""))</f>
        <v/>
      </c>
      <c r="T295" s="56">
        <f>IF(B295="","",IF(S295="","keine Ist-Std.",IF(S295&lt;=Einstellungen!$C$7,"unauffällig",IF(S295&lt;=Einstellungen!$C$8,"auffällig","kritisch"))))</f>
        <v/>
      </c>
    </row>
    <row r="296">
      <c r="A296" s="47">
        <f>IF(Mitarbeiter!B296="","",Mitarbeiter!A296)</f>
        <v/>
      </c>
      <c r="B296" s="48">
        <f>IF(Mitarbeiter!B296="","",Mitarbeiter!B296)</f>
        <v/>
      </c>
      <c r="C296" s="7">
        <f>IF(Mitarbeiter!B296="","",Mitarbeiter!G296)</f>
        <v/>
      </c>
      <c r="D296" s="57">
        <f>IF(Mitarbeiter!B296="","",Mitarbeiter!H296)</f>
        <v/>
      </c>
      <c r="E296" s="57">
        <f>IF(Mitarbeiter!B296="","",'Ist-Stunden'!C296)</f>
        <v/>
      </c>
      <c r="F296" s="57">
        <f>IF(B296="","",Berechnung!AE296)</f>
        <v/>
      </c>
      <c r="G296" s="61">
        <f>IF(B296="","",Berechnung!P296)</f>
        <v/>
      </c>
      <c r="H296" s="61">
        <f>IF(B296="","",Berechnung!AC296)</f>
        <v/>
      </c>
      <c r="I296" s="61">
        <f>IF(B296="","",Berechnung!AD296)</f>
        <v/>
      </c>
      <c r="J296" s="36">
        <f>IF(B296="","",SUMPRODUCT(((Berechnung!D296:O296+Berechnung!Q296:AB296)&gt;0)*1))</f>
        <v/>
      </c>
      <c r="K296" s="62">
        <f>IF(B296="","",IF(N(D296)&gt;0,F296/D296,""))</f>
        <v/>
      </c>
      <c r="L296" s="40">
        <f>IF(B296="","",IF(N(E296)&gt;0,IF(Einstellungen!$C$10="Ja",F296/E296,F296/(E296+F296)),""))</f>
        <v/>
      </c>
      <c r="M296" s="63">
        <f>IF(L296="","",RANK(L296,$L$6:$L$305,0))</f>
        <v/>
      </c>
      <c r="N296" s="56">
        <f>IF(B296="","",IF(L296="","keine Ist-Std.",IF(L296&lt;=Einstellungen!$C$7,"unauffällig",IF(L296&lt;=Einstellungen!$C$8,"auffällig","kritisch"))))</f>
        <v/>
      </c>
      <c r="O296" s="64">
        <f>IF(L296="",-1,L296+ROW()/1000000000)</f>
        <v/>
      </c>
      <c r="P296" s="61">
        <f>IF(B296="","",Berechnung!AF296)</f>
        <v/>
      </c>
      <c r="Q296" s="57">
        <f>IF(B296="","",Berechnung!AG296)</f>
        <v/>
      </c>
      <c r="R296" s="57">
        <f>IF(B296="","",'Ist-Stunden'!D296)</f>
        <v/>
      </c>
      <c r="S296" s="59">
        <f>IF(B296="","",IF(N(R296)&gt;0,IF(Einstellungen!$C$10="Ja",Q296/R296,Q296/(R296+Q296)),""))</f>
        <v/>
      </c>
      <c r="T296" s="56">
        <f>IF(B296="","",IF(S296="","keine Ist-Std.",IF(S296&lt;=Einstellungen!$C$7,"unauffällig",IF(S296&lt;=Einstellungen!$C$8,"auffällig","kritisch"))))</f>
        <v/>
      </c>
    </row>
    <row r="297">
      <c r="A297" s="47">
        <f>IF(Mitarbeiter!B297="","",Mitarbeiter!A297)</f>
        <v/>
      </c>
      <c r="B297" s="48">
        <f>IF(Mitarbeiter!B297="","",Mitarbeiter!B297)</f>
        <v/>
      </c>
      <c r="C297" s="7">
        <f>IF(Mitarbeiter!B297="","",Mitarbeiter!G297)</f>
        <v/>
      </c>
      <c r="D297" s="57">
        <f>IF(Mitarbeiter!B297="","",Mitarbeiter!H297)</f>
        <v/>
      </c>
      <c r="E297" s="57">
        <f>IF(Mitarbeiter!B297="","",'Ist-Stunden'!C297)</f>
        <v/>
      </c>
      <c r="F297" s="57">
        <f>IF(B297="","",Berechnung!AE297)</f>
        <v/>
      </c>
      <c r="G297" s="61">
        <f>IF(B297="","",Berechnung!P297)</f>
        <v/>
      </c>
      <c r="H297" s="61">
        <f>IF(B297="","",Berechnung!AC297)</f>
        <v/>
      </c>
      <c r="I297" s="61">
        <f>IF(B297="","",Berechnung!AD297)</f>
        <v/>
      </c>
      <c r="J297" s="36">
        <f>IF(B297="","",SUMPRODUCT(((Berechnung!D297:O297+Berechnung!Q297:AB297)&gt;0)*1))</f>
        <v/>
      </c>
      <c r="K297" s="62">
        <f>IF(B297="","",IF(N(D297)&gt;0,F297/D297,""))</f>
        <v/>
      </c>
      <c r="L297" s="40">
        <f>IF(B297="","",IF(N(E297)&gt;0,IF(Einstellungen!$C$10="Ja",F297/E297,F297/(E297+F297)),""))</f>
        <v/>
      </c>
      <c r="M297" s="63">
        <f>IF(L297="","",RANK(L297,$L$6:$L$305,0))</f>
        <v/>
      </c>
      <c r="N297" s="56">
        <f>IF(B297="","",IF(L297="","keine Ist-Std.",IF(L297&lt;=Einstellungen!$C$7,"unauffällig",IF(L297&lt;=Einstellungen!$C$8,"auffällig","kritisch"))))</f>
        <v/>
      </c>
      <c r="O297" s="64">
        <f>IF(L297="",-1,L297+ROW()/1000000000)</f>
        <v/>
      </c>
      <c r="P297" s="61">
        <f>IF(B297="","",Berechnung!AF297)</f>
        <v/>
      </c>
      <c r="Q297" s="57">
        <f>IF(B297="","",Berechnung!AG297)</f>
        <v/>
      </c>
      <c r="R297" s="57">
        <f>IF(B297="","",'Ist-Stunden'!D297)</f>
        <v/>
      </c>
      <c r="S297" s="59">
        <f>IF(B297="","",IF(N(R297)&gt;0,IF(Einstellungen!$C$10="Ja",Q297/R297,Q297/(R297+Q297)),""))</f>
        <v/>
      </c>
      <c r="T297" s="56">
        <f>IF(B297="","",IF(S297="","keine Ist-Std.",IF(S297&lt;=Einstellungen!$C$7,"unauffällig",IF(S297&lt;=Einstellungen!$C$8,"auffällig","kritisch"))))</f>
        <v/>
      </c>
    </row>
    <row r="298">
      <c r="A298" s="47">
        <f>IF(Mitarbeiter!B298="","",Mitarbeiter!A298)</f>
        <v/>
      </c>
      <c r="B298" s="48">
        <f>IF(Mitarbeiter!B298="","",Mitarbeiter!B298)</f>
        <v/>
      </c>
      <c r="C298" s="7">
        <f>IF(Mitarbeiter!B298="","",Mitarbeiter!G298)</f>
        <v/>
      </c>
      <c r="D298" s="57">
        <f>IF(Mitarbeiter!B298="","",Mitarbeiter!H298)</f>
        <v/>
      </c>
      <c r="E298" s="57">
        <f>IF(Mitarbeiter!B298="","",'Ist-Stunden'!C298)</f>
        <v/>
      </c>
      <c r="F298" s="57">
        <f>IF(B298="","",Berechnung!AE298)</f>
        <v/>
      </c>
      <c r="G298" s="61">
        <f>IF(B298="","",Berechnung!P298)</f>
        <v/>
      </c>
      <c r="H298" s="61">
        <f>IF(B298="","",Berechnung!AC298)</f>
        <v/>
      </c>
      <c r="I298" s="61">
        <f>IF(B298="","",Berechnung!AD298)</f>
        <v/>
      </c>
      <c r="J298" s="36">
        <f>IF(B298="","",SUMPRODUCT(((Berechnung!D298:O298+Berechnung!Q298:AB298)&gt;0)*1))</f>
        <v/>
      </c>
      <c r="K298" s="62">
        <f>IF(B298="","",IF(N(D298)&gt;0,F298/D298,""))</f>
        <v/>
      </c>
      <c r="L298" s="40">
        <f>IF(B298="","",IF(N(E298)&gt;0,IF(Einstellungen!$C$10="Ja",F298/E298,F298/(E298+F298)),""))</f>
        <v/>
      </c>
      <c r="M298" s="63">
        <f>IF(L298="","",RANK(L298,$L$6:$L$305,0))</f>
        <v/>
      </c>
      <c r="N298" s="56">
        <f>IF(B298="","",IF(L298="","keine Ist-Std.",IF(L298&lt;=Einstellungen!$C$7,"unauffällig",IF(L298&lt;=Einstellungen!$C$8,"auffällig","kritisch"))))</f>
        <v/>
      </c>
      <c r="O298" s="64">
        <f>IF(L298="",-1,L298+ROW()/1000000000)</f>
        <v/>
      </c>
      <c r="P298" s="61">
        <f>IF(B298="","",Berechnung!AF298)</f>
        <v/>
      </c>
      <c r="Q298" s="57">
        <f>IF(B298="","",Berechnung!AG298)</f>
        <v/>
      </c>
      <c r="R298" s="57">
        <f>IF(B298="","",'Ist-Stunden'!D298)</f>
        <v/>
      </c>
      <c r="S298" s="59">
        <f>IF(B298="","",IF(N(R298)&gt;0,IF(Einstellungen!$C$10="Ja",Q298/R298,Q298/(R298+Q298)),""))</f>
        <v/>
      </c>
      <c r="T298" s="56">
        <f>IF(B298="","",IF(S298="","keine Ist-Std.",IF(S298&lt;=Einstellungen!$C$7,"unauffällig",IF(S298&lt;=Einstellungen!$C$8,"auffällig","kritisch"))))</f>
        <v/>
      </c>
    </row>
    <row r="299">
      <c r="A299" s="47">
        <f>IF(Mitarbeiter!B299="","",Mitarbeiter!A299)</f>
        <v/>
      </c>
      <c r="B299" s="48">
        <f>IF(Mitarbeiter!B299="","",Mitarbeiter!B299)</f>
        <v/>
      </c>
      <c r="C299" s="7">
        <f>IF(Mitarbeiter!B299="","",Mitarbeiter!G299)</f>
        <v/>
      </c>
      <c r="D299" s="57">
        <f>IF(Mitarbeiter!B299="","",Mitarbeiter!H299)</f>
        <v/>
      </c>
      <c r="E299" s="57">
        <f>IF(Mitarbeiter!B299="","",'Ist-Stunden'!C299)</f>
        <v/>
      </c>
      <c r="F299" s="57">
        <f>IF(B299="","",Berechnung!AE299)</f>
        <v/>
      </c>
      <c r="G299" s="61">
        <f>IF(B299="","",Berechnung!P299)</f>
        <v/>
      </c>
      <c r="H299" s="61">
        <f>IF(B299="","",Berechnung!AC299)</f>
        <v/>
      </c>
      <c r="I299" s="61">
        <f>IF(B299="","",Berechnung!AD299)</f>
        <v/>
      </c>
      <c r="J299" s="36">
        <f>IF(B299="","",SUMPRODUCT(((Berechnung!D299:O299+Berechnung!Q299:AB299)&gt;0)*1))</f>
        <v/>
      </c>
      <c r="K299" s="62">
        <f>IF(B299="","",IF(N(D299)&gt;0,F299/D299,""))</f>
        <v/>
      </c>
      <c r="L299" s="40">
        <f>IF(B299="","",IF(N(E299)&gt;0,IF(Einstellungen!$C$10="Ja",F299/E299,F299/(E299+F299)),""))</f>
        <v/>
      </c>
      <c r="M299" s="63">
        <f>IF(L299="","",RANK(L299,$L$6:$L$305,0))</f>
        <v/>
      </c>
      <c r="N299" s="56">
        <f>IF(B299="","",IF(L299="","keine Ist-Std.",IF(L299&lt;=Einstellungen!$C$7,"unauffällig",IF(L299&lt;=Einstellungen!$C$8,"auffällig","kritisch"))))</f>
        <v/>
      </c>
      <c r="O299" s="64">
        <f>IF(L299="",-1,L299+ROW()/1000000000)</f>
        <v/>
      </c>
      <c r="P299" s="61">
        <f>IF(B299="","",Berechnung!AF299)</f>
        <v/>
      </c>
      <c r="Q299" s="57">
        <f>IF(B299="","",Berechnung!AG299)</f>
        <v/>
      </c>
      <c r="R299" s="57">
        <f>IF(B299="","",'Ist-Stunden'!D299)</f>
        <v/>
      </c>
      <c r="S299" s="59">
        <f>IF(B299="","",IF(N(R299)&gt;0,IF(Einstellungen!$C$10="Ja",Q299/R299,Q299/(R299+Q299)),""))</f>
        <v/>
      </c>
      <c r="T299" s="56">
        <f>IF(B299="","",IF(S299="","keine Ist-Std.",IF(S299&lt;=Einstellungen!$C$7,"unauffällig",IF(S299&lt;=Einstellungen!$C$8,"auffällig","kritisch"))))</f>
        <v/>
      </c>
    </row>
    <row r="300">
      <c r="A300" s="47">
        <f>IF(Mitarbeiter!B300="","",Mitarbeiter!A300)</f>
        <v/>
      </c>
      <c r="B300" s="48">
        <f>IF(Mitarbeiter!B300="","",Mitarbeiter!B300)</f>
        <v/>
      </c>
      <c r="C300" s="7">
        <f>IF(Mitarbeiter!B300="","",Mitarbeiter!G300)</f>
        <v/>
      </c>
      <c r="D300" s="57">
        <f>IF(Mitarbeiter!B300="","",Mitarbeiter!H300)</f>
        <v/>
      </c>
      <c r="E300" s="57">
        <f>IF(Mitarbeiter!B300="","",'Ist-Stunden'!C300)</f>
        <v/>
      </c>
      <c r="F300" s="57">
        <f>IF(B300="","",Berechnung!AE300)</f>
        <v/>
      </c>
      <c r="G300" s="61">
        <f>IF(B300="","",Berechnung!P300)</f>
        <v/>
      </c>
      <c r="H300" s="61">
        <f>IF(B300="","",Berechnung!AC300)</f>
        <v/>
      </c>
      <c r="I300" s="61">
        <f>IF(B300="","",Berechnung!AD300)</f>
        <v/>
      </c>
      <c r="J300" s="36">
        <f>IF(B300="","",SUMPRODUCT(((Berechnung!D300:O300+Berechnung!Q300:AB300)&gt;0)*1))</f>
        <v/>
      </c>
      <c r="K300" s="62">
        <f>IF(B300="","",IF(N(D300)&gt;0,F300/D300,""))</f>
        <v/>
      </c>
      <c r="L300" s="40">
        <f>IF(B300="","",IF(N(E300)&gt;0,IF(Einstellungen!$C$10="Ja",F300/E300,F300/(E300+F300)),""))</f>
        <v/>
      </c>
      <c r="M300" s="63">
        <f>IF(L300="","",RANK(L300,$L$6:$L$305,0))</f>
        <v/>
      </c>
      <c r="N300" s="56">
        <f>IF(B300="","",IF(L300="","keine Ist-Std.",IF(L300&lt;=Einstellungen!$C$7,"unauffällig",IF(L300&lt;=Einstellungen!$C$8,"auffällig","kritisch"))))</f>
        <v/>
      </c>
      <c r="O300" s="64">
        <f>IF(L300="",-1,L300+ROW()/1000000000)</f>
        <v/>
      </c>
      <c r="P300" s="61">
        <f>IF(B300="","",Berechnung!AF300)</f>
        <v/>
      </c>
      <c r="Q300" s="57">
        <f>IF(B300="","",Berechnung!AG300)</f>
        <v/>
      </c>
      <c r="R300" s="57">
        <f>IF(B300="","",'Ist-Stunden'!D300)</f>
        <v/>
      </c>
      <c r="S300" s="59">
        <f>IF(B300="","",IF(N(R300)&gt;0,IF(Einstellungen!$C$10="Ja",Q300/R300,Q300/(R300+Q300)),""))</f>
        <v/>
      </c>
      <c r="T300" s="56">
        <f>IF(B300="","",IF(S300="","keine Ist-Std.",IF(S300&lt;=Einstellungen!$C$7,"unauffällig",IF(S300&lt;=Einstellungen!$C$8,"auffällig","kritisch"))))</f>
        <v/>
      </c>
    </row>
    <row r="301">
      <c r="A301" s="47">
        <f>IF(Mitarbeiter!B301="","",Mitarbeiter!A301)</f>
        <v/>
      </c>
      <c r="B301" s="48">
        <f>IF(Mitarbeiter!B301="","",Mitarbeiter!B301)</f>
        <v/>
      </c>
      <c r="C301" s="7">
        <f>IF(Mitarbeiter!B301="","",Mitarbeiter!G301)</f>
        <v/>
      </c>
      <c r="D301" s="57">
        <f>IF(Mitarbeiter!B301="","",Mitarbeiter!H301)</f>
        <v/>
      </c>
      <c r="E301" s="57">
        <f>IF(Mitarbeiter!B301="","",'Ist-Stunden'!C301)</f>
        <v/>
      </c>
      <c r="F301" s="57">
        <f>IF(B301="","",Berechnung!AE301)</f>
        <v/>
      </c>
      <c r="G301" s="61">
        <f>IF(B301="","",Berechnung!P301)</f>
        <v/>
      </c>
      <c r="H301" s="61">
        <f>IF(B301="","",Berechnung!AC301)</f>
        <v/>
      </c>
      <c r="I301" s="61">
        <f>IF(B301="","",Berechnung!AD301)</f>
        <v/>
      </c>
      <c r="J301" s="36">
        <f>IF(B301="","",SUMPRODUCT(((Berechnung!D301:O301+Berechnung!Q301:AB301)&gt;0)*1))</f>
        <v/>
      </c>
      <c r="K301" s="62">
        <f>IF(B301="","",IF(N(D301)&gt;0,F301/D301,""))</f>
        <v/>
      </c>
      <c r="L301" s="40">
        <f>IF(B301="","",IF(N(E301)&gt;0,IF(Einstellungen!$C$10="Ja",F301/E301,F301/(E301+F301)),""))</f>
        <v/>
      </c>
      <c r="M301" s="63">
        <f>IF(L301="","",RANK(L301,$L$6:$L$305,0))</f>
        <v/>
      </c>
      <c r="N301" s="56">
        <f>IF(B301="","",IF(L301="","keine Ist-Std.",IF(L301&lt;=Einstellungen!$C$7,"unauffällig",IF(L301&lt;=Einstellungen!$C$8,"auffällig","kritisch"))))</f>
        <v/>
      </c>
      <c r="O301" s="64">
        <f>IF(L301="",-1,L301+ROW()/1000000000)</f>
        <v/>
      </c>
      <c r="P301" s="61">
        <f>IF(B301="","",Berechnung!AF301)</f>
        <v/>
      </c>
      <c r="Q301" s="57">
        <f>IF(B301="","",Berechnung!AG301)</f>
        <v/>
      </c>
      <c r="R301" s="57">
        <f>IF(B301="","",'Ist-Stunden'!D301)</f>
        <v/>
      </c>
      <c r="S301" s="59">
        <f>IF(B301="","",IF(N(R301)&gt;0,IF(Einstellungen!$C$10="Ja",Q301/R301,Q301/(R301+Q301)),""))</f>
        <v/>
      </c>
      <c r="T301" s="56">
        <f>IF(B301="","",IF(S301="","keine Ist-Std.",IF(S301&lt;=Einstellungen!$C$7,"unauffällig",IF(S301&lt;=Einstellungen!$C$8,"auffällig","kritisch"))))</f>
        <v/>
      </c>
    </row>
    <row r="302">
      <c r="A302" s="47">
        <f>IF(Mitarbeiter!B302="","",Mitarbeiter!A302)</f>
        <v/>
      </c>
      <c r="B302" s="48">
        <f>IF(Mitarbeiter!B302="","",Mitarbeiter!B302)</f>
        <v/>
      </c>
      <c r="C302" s="7">
        <f>IF(Mitarbeiter!B302="","",Mitarbeiter!G302)</f>
        <v/>
      </c>
      <c r="D302" s="57">
        <f>IF(Mitarbeiter!B302="","",Mitarbeiter!H302)</f>
        <v/>
      </c>
      <c r="E302" s="57">
        <f>IF(Mitarbeiter!B302="","",'Ist-Stunden'!C302)</f>
        <v/>
      </c>
      <c r="F302" s="57">
        <f>IF(B302="","",Berechnung!AE302)</f>
        <v/>
      </c>
      <c r="G302" s="61">
        <f>IF(B302="","",Berechnung!P302)</f>
        <v/>
      </c>
      <c r="H302" s="61">
        <f>IF(B302="","",Berechnung!AC302)</f>
        <v/>
      </c>
      <c r="I302" s="61">
        <f>IF(B302="","",Berechnung!AD302)</f>
        <v/>
      </c>
      <c r="J302" s="36">
        <f>IF(B302="","",SUMPRODUCT(((Berechnung!D302:O302+Berechnung!Q302:AB302)&gt;0)*1))</f>
        <v/>
      </c>
      <c r="K302" s="62">
        <f>IF(B302="","",IF(N(D302)&gt;0,F302/D302,""))</f>
        <v/>
      </c>
      <c r="L302" s="40">
        <f>IF(B302="","",IF(N(E302)&gt;0,IF(Einstellungen!$C$10="Ja",F302/E302,F302/(E302+F302)),""))</f>
        <v/>
      </c>
      <c r="M302" s="63">
        <f>IF(L302="","",RANK(L302,$L$6:$L$305,0))</f>
        <v/>
      </c>
      <c r="N302" s="56">
        <f>IF(B302="","",IF(L302="","keine Ist-Std.",IF(L302&lt;=Einstellungen!$C$7,"unauffällig",IF(L302&lt;=Einstellungen!$C$8,"auffällig","kritisch"))))</f>
        <v/>
      </c>
      <c r="O302" s="64">
        <f>IF(L302="",-1,L302+ROW()/1000000000)</f>
        <v/>
      </c>
      <c r="P302" s="61">
        <f>IF(B302="","",Berechnung!AF302)</f>
        <v/>
      </c>
      <c r="Q302" s="57">
        <f>IF(B302="","",Berechnung!AG302)</f>
        <v/>
      </c>
      <c r="R302" s="57">
        <f>IF(B302="","",'Ist-Stunden'!D302)</f>
        <v/>
      </c>
      <c r="S302" s="59">
        <f>IF(B302="","",IF(N(R302)&gt;0,IF(Einstellungen!$C$10="Ja",Q302/R302,Q302/(R302+Q302)),""))</f>
        <v/>
      </c>
      <c r="T302" s="56">
        <f>IF(B302="","",IF(S302="","keine Ist-Std.",IF(S302&lt;=Einstellungen!$C$7,"unauffällig",IF(S302&lt;=Einstellungen!$C$8,"auffällig","kritisch"))))</f>
        <v/>
      </c>
    </row>
    <row r="303">
      <c r="A303" s="47">
        <f>IF(Mitarbeiter!B303="","",Mitarbeiter!A303)</f>
        <v/>
      </c>
      <c r="B303" s="48">
        <f>IF(Mitarbeiter!B303="","",Mitarbeiter!B303)</f>
        <v/>
      </c>
      <c r="C303" s="7">
        <f>IF(Mitarbeiter!B303="","",Mitarbeiter!G303)</f>
        <v/>
      </c>
      <c r="D303" s="57">
        <f>IF(Mitarbeiter!B303="","",Mitarbeiter!H303)</f>
        <v/>
      </c>
      <c r="E303" s="57">
        <f>IF(Mitarbeiter!B303="","",'Ist-Stunden'!C303)</f>
        <v/>
      </c>
      <c r="F303" s="57">
        <f>IF(B303="","",Berechnung!AE303)</f>
        <v/>
      </c>
      <c r="G303" s="61">
        <f>IF(B303="","",Berechnung!P303)</f>
        <v/>
      </c>
      <c r="H303" s="61">
        <f>IF(B303="","",Berechnung!AC303)</f>
        <v/>
      </c>
      <c r="I303" s="61">
        <f>IF(B303="","",Berechnung!AD303)</f>
        <v/>
      </c>
      <c r="J303" s="36">
        <f>IF(B303="","",SUMPRODUCT(((Berechnung!D303:O303+Berechnung!Q303:AB303)&gt;0)*1))</f>
        <v/>
      </c>
      <c r="K303" s="62">
        <f>IF(B303="","",IF(N(D303)&gt;0,F303/D303,""))</f>
        <v/>
      </c>
      <c r="L303" s="40">
        <f>IF(B303="","",IF(N(E303)&gt;0,IF(Einstellungen!$C$10="Ja",F303/E303,F303/(E303+F303)),""))</f>
        <v/>
      </c>
      <c r="M303" s="63">
        <f>IF(L303="","",RANK(L303,$L$6:$L$305,0))</f>
        <v/>
      </c>
      <c r="N303" s="56">
        <f>IF(B303="","",IF(L303="","keine Ist-Std.",IF(L303&lt;=Einstellungen!$C$7,"unauffällig",IF(L303&lt;=Einstellungen!$C$8,"auffällig","kritisch"))))</f>
        <v/>
      </c>
      <c r="O303" s="64">
        <f>IF(L303="",-1,L303+ROW()/1000000000)</f>
        <v/>
      </c>
      <c r="P303" s="61">
        <f>IF(B303="","",Berechnung!AF303)</f>
        <v/>
      </c>
      <c r="Q303" s="57">
        <f>IF(B303="","",Berechnung!AG303)</f>
        <v/>
      </c>
      <c r="R303" s="57">
        <f>IF(B303="","",'Ist-Stunden'!D303)</f>
        <v/>
      </c>
      <c r="S303" s="59">
        <f>IF(B303="","",IF(N(R303)&gt;0,IF(Einstellungen!$C$10="Ja",Q303/R303,Q303/(R303+Q303)),""))</f>
        <v/>
      </c>
      <c r="T303" s="56">
        <f>IF(B303="","",IF(S303="","keine Ist-Std.",IF(S303&lt;=Einstellungen!$C$7,"unauffällig",IF(S303&lt;=Einstellungen!$C$8,"auffällig","kritisch"))))</f>
        <v/>
      </c>
    </row>
    <row r="304">
      <c r="A304" s="47">
        <f>IF(Mitarbeiter!B304="","",Mitarbeiter!A304)</f>
        <v/>
      </c>
      <c r="B304" s="48">
        <f>IF(Mitarbeiter!B304="","",Mitarbeiter!B304)</f>
        <v/>
      </c>
      <c r="C304" s="7">
        <f>IF(Mitarbeiter!B304="","",Mitarbeiter!G304)</f>
        <v/>
      </c>
      <c r="D304" s="57">
        <f>IF(Mitarbeiter!B304="","",Mitarbeiter!H304)</f>
        <v/>
      </c>
      <c r="E304" s="57">
        <f>IF(Mitarbeiter!B304="","",'Ist-Stunden'!C304)</f>
        <v/>
      </c>
      <c r="F304" s="57">
        <f>IF(B304="","",Berechnung!AE304)</f>
        <v/>
      </c>
      <c r="G304" s="61">
        <f>IF(B304="","",Berechnung!P304)</f>
        <v/>
      </c>
      <c r="H304" s="61">
        <f>IF(B304="","",Berechnung!AC304)</f>
        <v/>
      </c>
      <c r="I304" s="61">
        <f>IF(B304="","",Berechnung!AD304)</f>
        <v/>
      </c>
      <c r="J304" s="36">
        <f>IF(B304="","",SUMPRODUCT(((Berechnung!D304:O304+Berechnung!Q304:AB304)&gt;0)*1))</f>
        <v/>
      </c>
      <c r="K304" s="62">
        <f>IF(B304="","",IF(N(D304)&gt;0,F304/D304,""))</f>
        <v/>
      </c>
      <c r="L304" s="40">
        <f>IF(B304="","",IF(N(E304)&gt;0,IF(Einstellungen!$C$10="Ja",F304/E304,F304/(E304+F304)),""))</f>
        <v/>
      </c>
      <c r="M304" s="63">
        <f>IF(L304="","",RANK(L304,$L$6:$L$305,0))</f>
        <v/>
      </c>
      <c r="N304" s="56">
        <f>IF(B304="","",IF(L304="","keine Ist-Std.",IF(L304&lt;=Einstellungen!$C$7,"unauffällig",IF(L304&lt;=Einstellungen!$C$8,"auffällig","kritisch"))))</f>
        <v/>
      </c>
      <c r="O304" s="64">
        <f>IF(L304="",-1,L304+ROW()/1000000000)</f>
        <v/>
      </c>
      <c r="P304" s="61">
        <f>IF(B304="","",Berechnung!AF304)</f>
        <v/>
      </c>
      <c r="Q304" s="57">
        <f>IF(B304="","",Berechnung!AG304)</f>
        <v/>
      </c>
      <c r="R304" s="57">
        <f>IF(B304="","",'Ist-Stunden'!D304)</f>
        <v/>
      </c>
      <c r="S304" s="59">
        <f>IF(B304="","",IF(N(R304)&gt;0,IF(Einstellungen!$C$10="Ja",Q304/R304,Q304/(R304+Q304)),""))</f>
        <v/>
      </c>
      <c r="T304" s="56">
        <f>IF(B304="","",IF(S304="","keine Ist-Std.",IF(S304&lt;=Einstellungen!$C$7,"unauffällig",IF(S304&lt;=Einstellungen!$C$8,"auffällig","kritisch"))))</f>
        <v/>
      </c>
    </row>
    <row r="305">
      <c r="A305" s="47">
        <f>IF(Mitarbeiter!B305="","",Mitarbeiter!A305)</f>
        <v/>
      </c>
      <c r="B305" s="48">
        <f>IF(Mitarbeiter!B305="","",Mitarbeiter!B305)</f>
        <v/>
      </c>
      <c r="C305" s="7">
        <f>IF(Mitarbeiter!B305="","",Mitarbeiter!G305)</f>
        <v/>
      </c>
      <c r="D305" s="57">
        <f>IF(Mitarbeiter!B305="","",Mitarbeiter!H305)</f>
        <v/>
      </c>
      <c r="E305" s="57">
        <f>IF(Mitarbeiter!B305="","",'Ist-Stunden'!C305)</f>
        <v/>
      </c>
      <c r="F305" s="57">
        <f>IF(B305="","",Berechnung!AE305)</f>
        <v/>
      </c>
      <c r="G305" s="61">
        <f>IF(B305="","",Berechnung!P305)</f>
        <v/>
      </c>
      <c r="H305" s="61">
        <f>IF(B305="","",Berechnung!AC305)</f>
        <v/>
      </c>
      <c r="I305" s="61">
        <f>IF(B305="","",Berechnung!AD305)</f>
        <v/>
      </c>
      <c r="J305" s="36">
        <f>IF(B305="","",SUMPRODUCT(((Berechnung!D305:O305+Berechnung!Q305:AB305)&gt;0)*1))</f>
        <v/>
      </c>
      <c r="K305" s="62">
        <f>IF(B305="","",IF(N(D305)&gt;0,F305/D305,""))</f>
        <v/>
      </c>
      <c r="L305" s="40">
        <f>IF(B305="","",IF(N(E305)&gt;0,IF(Einstellungen!$C$10="Ja",F305/E305,F305/(E305+F305)),""))</f>
        <v/>
      </c>
      <c r="M305" s="63">
        <f>IF(L305="","",RANK(L305,$L$6:$L$305,0))</f>
        <v/>
      </c>
      <c r="N305" s="56">
        <f>IF(B305="","",IF(L305="","keine Ist-Std.",IF(L305&lt;=Einstellungen!$C$7,"unauffällig",IF(L305&lt;=Einstellungen!$C$8,"auffällig","kritisch"))))</f>
        <v/>
      </c>
      <c r="O305" s="64">
        <f>IF(L305="",-1,L305+ROW()/1000000000)</f>
        <v/>
      </c>
      <c r="P305" s="61">
        <f>IF(B305="","",Berechnung!AF305)</f>
        <v/>
      </c>
      <c r="Q305" s="57">
        <f>IF(B305="","",Berechnung!AG305)</f>
        <v/>
      </c>
      <c r="R305" s="57">
        <f>IF(B305="","",'Ist-Stunden'!D305)</f>
        <v/>
      </c>
      <c r="S305" s="59">
        <f>IF(B305="","",IF(N(R305)&gt;0,IF(Einstellungen!$C$10="Ja",Q305/R305,Q305/(R305+Q305)),""))</f>
        <v/>
      </c>
      <c r="T305" s="56">
        <f>IF(B305="","",IF(S305="","keine Ist-Std.",IF(S305&lt;=Einstellungen!$C$7,"unauffällig",IF(S305&lt;=Einstellungen!$C$8,"auffällig","kritisch"))))</f>
        <v/>
      </c>
    </row>
  </sheetData>
  <mergeCells count="3">
    <mergeCell ref="D4:O4"/>
    <mergeCell ref="A2:T2"/>
    <mergeCell ref="P4:T4"/>
  </mergeCells>
  <conditionalFormatting sqref="N6:N305">
    <cfRule type="cellIs" priority="1" operator="equal" dxfId="6">
      <formula>"unauffällig"</formula>
    </cfRule>
    <cfRule type="cellIs" priority="3" operator="equal" dxfId="7">
      <formula>"auffällig"</formula>
    </cfRule>
    <cfRule type="cellIs" priority="5" operator="equal" dxfId="3">
      <formula>"kritisch"</formula>
    </cfRule>
    <cfRule type="cellIs" priority="7" operator="equal" dxfId="8">
      <formula>"keine Ist-Std."</formula>
    </cfRule>
  </conditionalFormatting>
  <conditionalFormatting sqref="T6:T305">
    <cfRule type="cellIs" priority="2" operator="equal" dxfId="6">
      <formula>"unauffällig"</formula>
    </cfRule>
    <cfRule type="cellIs" priority="4" operator="equal" dxfId="7">
      <formula>"auffällig"</formula>
    </cfRule>
    <cfRule type="cellIs" priority="6" operator="equal" dxfId="3">
      <formula>"kritisch"</formula>
    </cfRule>
    <cfRule type="cellIs" priority="8" operator="equal" dxfId="8">
      <formula>"keine Ist-Std."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0" customWidth="1" min="4" max="4"/>
    <col width="10" customWidth="1" min="5" max="5"/>
    <col width="9" customWidth="1" min="6" max="6"/>
    <col width="11" customWidth="1" min="7" max="7"/>
    <col width="10" customWidth="1" min="8" max="8"/>
    <col width="11" customWidth="1" min="9" max="9"/>
    <col width="10" customWidth="1" min="10" max="10"/>
  </cols>
  <sheetData>
    <row r="1">
      <c r="A1" s="1" t="inlineStr">
        <is>
          <t>Auswertung der Objekte – Auswertungsjahr</t>
        </is>
      </c>
      <c r="N1" s="12" t="inlineStr">
        <is>
          <t>→ Erklärung</t>
        </is>
      </c>
    </row>
    <row r="2" ht="28" customHeight="1">
      <c r="A2" s="13" t="inlineStr">
        <is>
          <t>Jahreswerte aus „Krankenquote Objekte“.</t>
        </is>
      </c>
    </row>
    <row r="4" ht="30" customHeight="1">
      <c r="A4" s="21" t="inlineStr">
        <is>
          <t>Objekt</t>
        </is>
      </c>
      <c r="B4" s="21" t="inlineStr">
        <is>
          <t>Gesamt-
stunden</t>
        </is>
      </c>
      <c r="C4" s="21" t="inlineStr">
        <is>
          <t>Krank-
stunden</t>
        </is>
      </c>
      <c r="D4" s="21" t="inlineStr">
        <is>
          <t>Kranken-
quote</t>
        </is>
      </c>
      <c r="E4" s="21" t="inlineStr">
        <is>
          <t>Anteil
Krankstd.</t>
        </is>
      </c>
      <c r="F4" s="21" t="inlineStr">
        <is>
          <t>Krank-
tage</t>
        </is>
      </c>
      <c r="G4" s="21" t="inlineStr">
        <is>
          <t>Ø Tage je
kranken MA</t>
        </is>
      </c>
      <c r="H4" s="21" t="inlineStr">
        <is>
          <t>Kranke MA</t>
        </is>
      </c>
      <c r="I4" s="21" t="inlineStr">
        <is>
          <t>Abw. zur
Gesamtquote</t>
        </is>
      </c>
      <c r="J4" s="21" t="inlineStr">
        <is>
          <t>Ausfall
VZ-Stellen</t>
        </is>
      </c>
    </row>
    <row r="5">
      <c r="A5" s="52">
        <f>Einstellungen!$C$4</f>
        <v/>
      </c>
      <c r="B5" s="61">
        <f>'Krankenquote Objekte'!B18</f>
        <v/>
      </c>
      <c r="C5" s="61">
        <f>'Krankenquote Objekte'!C18</f>
        <v/>
      </c>
      <c r="D5" s="66">
        <f>'Krankenquote Objekte'!D18</f>
        <v/>
      </c>
      <c r="E5" s="67">
        <f>IF($C$7&gt;0,C5/$C$7,0)</f>
        <v/>
      </c>
      <c r="F5" s="61">
        <f>'Krankenquote Objekte'!E18</f>
        <v/>
      </c>
      <c r="G5" s="58">
        <f>IF(H5&gt;0,F5/H5,0)</f>
        <v/>
      </c>
      <c r="H5" s="61">
        <f>'Krankenquote Objekte'!F18</f>
        <v/>
      </c>
      <c r="I5" s="68">
        <f>D5-$D$7</f>
        <v/>
      </c>
      <c r="J5" s="69">
        <f>IF(Einstellungen!$C$6*Einstellungen!$C$25&gt;0,C5/(Einstellungen!$C$6/5*Einstellungen!$C$25),0)</f>
        <v/>
      </c>
    </row>
    <row r="6">
      <c r="A6" s="53">
        <f>Einstellungen!$C$5</f>
        <v/>
      </c>
      <c r="B6" s="61">
        <f>'Krankenquote Objekte'!G18</f>
        <v/>
      </c>
      <c r="C6" s="61">
        <f>'Krankenquote Objekte'!H18</f>
        <v/>
      </c>
      <c r="D6" s="66">
        <f>'Krankenquote Objekte'!I18</f>
        <v/>
      </c>
      <c r="E6" s="67">
        <f>IF($C$7&gt;0,C6/$C$7,0)</f>
        <v/>
      </c>
      <c r="F6" s="61">
        <f>'Krankenquote Objekte'!J18</f>
        <v/>
      </c>
      <c r="G6" s="58">
        <f>IF(H6&gt;0,F6/H6,0)</f>
        <v/>
      </c>
      <c r="H6" s="61">
        <f>'Krankenquote Objekte'!K18</f>
        <v/>
      </c>
      <c r="I6" s="68">
        <f>D6-$D$7</f>
        <v/>
      </c>
      <c r="J6" s="69">
        <f>IF(Einstellungen!$C$6*Einstellungen!$C$25&gt;0,C6/(Einstellungen!$C$6/5*Einstellungen!$C$25),0)</f>
        <v/>
      </c>
    </row>
    <row r="7">
      <c r="A7" s="41" t="inlineStr">
        <is>
          <t>Gesamt</t>
        </is>
      </c>
      <c r="B7" s="70">
        <f>SUM(B5:B6)</f>
        <v/>
      </c>
      <c r="C7" s="70">
        <f>SUM(C5:C6)</f>
        <v/>
      </c>
      <c r="D7" s="71">
        <f>'Krankenquote Objekte'!N18</f>
        <v/>
      </c>
      <c r="E7" s="71">
        <f>SUM(E5:E6)</f>
        <v/>
      </c>
      <c r="F7" s="70">
        <f>SUM(F5:F6)</f>
        <v/>
      </c>
      <c r="G7" s="45">
        <f>IF(H7&gt;0,F7/H7,0)</f>
        <v/>
      </c>
      <c r="H7" s="70">
        <f>'Krankenquote Objekte'!P18</f>
        <v/>
      </c>
      <c r="I7" s="41" t="n"/>
      <c r="J7" s="72">
        <f>SUM(J5:J6)</f>
        <v/>
      </c>
    </row>
    <row r="8">
      <c r="A8" s="16" t="inlineStr">
        <is>
          <t>Kranke MA gesamt zählt jede Person einmal (Springer können in beiden Objekten erscheinen). Ausfall VZ-Stellen = Krankstunden ÷ Jahres-Sollstunden einer Vollzeitkraft.</t>
        </is>
      </c>
    </row>
    <row r="10">
      <c r="A10" s="73" t="inlineStr">
        <is>
          <t>Objekt mit höchster Quote:</t>
        </is>
      </c>
      <c r="D10" s="73">
        <f>IF(D5&gt;=D6,A5,A6)</f>
        <v/>
      </c>
    </row>
  </sheetData>
  <mergeCells count="1">
    <mergeCell ref="A2:J2"/>
  </mergeCells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30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>
      <c r="A1" s="1" t="inlineStr">
        <is>
          <t>Krankstunden je Mitarbeiter und Monat</t>
        </is>
      </c>
      <c r="N1" s="12" t="inlineStr">
        <is>
          <t>→ Erklärung</t>
        </is>
      </c>
    </row>
    <row r="2" ht="28" customHeight="1">
      <c r="A2" s="13" t="inlineStr">
        <is>
          <t>Automatisch aus „Krankheitstage“ (beide Objekte). Rechts Ist-Stunden, Quote (Ist), Sollstunden, Quote (Soll).</t>
        </is>
      </c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Jan</t>
        </is>
      </c>
      <c r="D5" s="21" t="inlineStr">
        <is>
          <t>Feb</t>
        </is>
      </c>
      <c r="E5" s="21" t="inlineStr">
        <is>
          <t>Mär</t>
        </is>
      </c>
      <c r="F5" s="21" t="inlineStr">
        <is>
          <t>Apr</t>
        </is>
      </c>
      <c r="G5" s="21" t="inlineStr">
        <is>
          <t>Mai</t>
        </is>
      </c>
      <c r="H5" s="21" t="inlineStr">
        <is>
          <t>Jun</t>
        </is>
      </c>
      <c r="I5" s="21" t="inlineStr">
        <is>
          <t>Jul</t>
        </is>
      </c>
      <c r="J5" s="21" t="inlineStr">
        <is>
          <t>Aug</t>
        </is>
      </c>
      <c r="K5" s="21" t="inlineStr">
        <is>
          <t>Sep</t>
        </is>
      </c>
      <c r="L5" s="21" t="inlineStr">
        <is>
          <t>Okt</t>
        </is>
      </c>
      <c r="M5" s="21" t="inlineStr">
        <is>
          <t>Nov</t>
        </is>
      </c>
      <c r="N5" s="21" t="inlineStr">
        <is>
          <t>Dez</t>
        </is>
      </c>
      <c r="O5" s="21" t="inlineStr">
        <is>
          <t>Summe</t>
        </is>
      </c>
      <c r="P5" s="21" t="inlineStr">
        <is>
          <t>Ist-
stunden</t>
        </is>
      </c>
      <c r="Q5" s="21" t="inlineStr">
        <is>
          <t>Quote
(Ist)</t>
        </is>
      </c>
      <c r="R5" s="21" t="inlineStr">
        <is>
          <t>Soll-
stunden</t>
        </is>
      </c>
      <c r="S5" s="21" t="inlineStr">
        <is>
          <t>Quote
(Soll)</t>
        </is>
      </c>
    </row>
    <row r="6">
      <c r="A6" s="47">
        <f>'KQuote Mitarbeiter'!A6</f>
        <v/>
      </c>
      <c r="B6" s="48">
        <f>'KQuote Mitarbeiter'!B6</f>
        <v/>
      </c>
      <c r="C6" s="58">
        <f>IF($B6="","",(N(Berechnung!D6)+N(Berechnung!Q6))*N(Berechnung!C6))</f>
        <v/>
      </c>
      <c r="D6" s="58">
        <f>IF($B6="","",(N(Berechnung!E6)+N(Berechnung!R6))*N(Berechnung!C6))</f>
        <v/>
      </c>
      <c r="E6" s="58">
        <f>IF($B6="","",(N(Berechnung!F6)+N(Berechnung!S6))*N(Berechnung!C6))</f>
        <v/>
      </c>
      <c r="F6" s="58">
        <f>IF($B6="","",(N(Berechnung!G6)+N(Berechnung!T6))*N(Berechnung!C6))</f>
        <v/>
      </c>
      <c r="G6" s="58">
        <f>IF($B6="","",(N(Berechnung!H6)+N(Berechnung!U6))*N(Berechnung!C6))</f>
        <v/>
      </c>
      <c r="H6" s="58">
        <f>IF($B6="","",(N(Berechnung!I6)+N(Berechnung!V6))*N(Berechnung!C6))</f>
        <v/>
      </c>
      <c r="I6" s="58">
        <f>IF($B6="","",(N(Berechnung!J6)+N(Berechnung!W6))*N(Berechnung!C6))</f>
        <v/>
      </c>
      <c r="J6" s="58">
        <f>IF($B6="","",(N(Berechnung!K6)+N(Berechnung!X6))*N(Berechnung!C6))</f>
        <v/>
      </c>
      <c r="K6" s="58">
        <f>IF($B6="","",(N(Berechnung!L6)+N(Berechnung!Y6))*N(Berechnung!C6))</f>
        <v/>
      </c>
      <c r="L6" s="58">
        <f>IF($B6="","",(N(Berechnung!M6)+N(Berechnung!Z6))*N(Berechnung!C6))</f>
        <v/>
      </c>
      <c r="M6" s="58">
        <f>IF($B6="","",(N(Berechnung!N6)+N(Berechnung!AA6))*N(Berechnung!C6))</f>
        <v/>
      </c>
      <c r="N6" s="58">
        <f>IF($B6="","",(N(Berechnung!O6)+N(Berechnung!AB6))*N(Berechnung!C6))</f>
        <v/>
      </c>
      <c r="O6" s="65">
        <f>IF($B6="","",SUM(C6:N6))</f>
        <v/>
      </c>
      <c r="P6" s="57">
        <f>'KQuote Mitarbeiter'!E6</f>
        <v/>
      </c>
      <c r="Q6" s="66">
        <f>'KQuote Mitarbeiter'!L6</f>
        <v/>
      </c>
      <c r="R6" s="57">
        <f>'KQuote Mitarbeiter'!D6</f>
        <v/>
      </c>
      <c r="S6" s="66">
        <f>'KQuote Mitarbeiter'!K6</f>
        <v/>
      </c>
    </row>
    <row r="7">
      <c r="A7" s="47">
        <f>'KQuote Mitarbeiter'!A7</f>
        <v/>
      </c>
      <c r="B7" s="48">
        <f>'KQuote Mitarbeiter'!B7</f>
        <v/>
      </c>
      <c r="C7" s="58">
        <f>IF($B7="","",(N(Berechnung!D7)+N(Berechnung!Q7))*N(Berechnung!C7))</f>
        <v/>
      </c>
      <c r="D7" s="58">
        <f>IF($B7="","",(N(Berechnung!E7)+N(Berechnung!R7))*N(Berechnung!C7))</f>
        <v/>
      </c>
      <c r="E7" s="58">
        <f>IF($B7="","",(N(Berechnung!F7)+N(Berechnung!S7))*N(Berechnung!C7))</f>
        <v/>
      </c>
      <c r="F7" s="58">
        <f>IF($B7="","",(N(Berechnung!G7)+N(Berechnung!T7))*N(Berechnung!C7))</f>
        <v/>
      </c>
      <c r="G7" s="58">
        <f>IF($B7="","",(N(Berechnung!H7)+N(Berechnung!U7))*N(Berechnung!C7))</f>
        <v/>
      </c>
      <c r="H7" s="58">
        <f>IF($B7="","",(N(Berechnung!I7)+N(Berechnung!V7))*N(Berechnung!C7))</f>
        <v/>
      </c>
      <c r="I7" s="58">
        <f>IF($B7="","",(N(Berechnung!J7)+N(Berechnung!W7))*N(Berechnung!C7))</f>
        <v/>
      </c>
      <c r="J7" s="58">
        <f>IF($B7="","",(N(Berechnung!K7)+N(Berechnung!X7))*N(Berechnung!C7))</f>
        <v/>
      </c>
      <c r="K7" s="58">
        <f>IF($B7="","",(N(Berechnung!L7)+N(Berechnung!Y7))*N(Berechnung!C7))</f>
        <v/>
      </c>
      <c r="L7" s="58">
        <f>IF($B7="","",(N(Berechnung!M7)+N(Berechnung!Z7))*N(Berechnung!C7))</f>
        <v/>
      </c>
      <c r="M7" s="58">
        <f>IF($B7="","",(N(Berechnung!N7)+N(Berechnung!AA7))*N(Berechnung!C7))</f>
        <v/>
      </c>
      <c r="N7" s="58">
        <f>IF($B7="","",(N(Berechnung!O7)+N(Berechnung!AB7))*N(Berechnung!C7))</f>
        <v/>
      </c>
      <c r="O7" s="65">
        <f>IF($B7="","",SUM(C7:N7))</f>
        <v/>
      </c>
      <c r="P7" s="57">
        <f>'KQuote Mitarbeiter'!E7</f>
        <v/>
      </c>
      <c r="Q7" s="66">
        <f>'KQuote Mitarbeiter'!L7</f>
        <v/>
      </c>
      <c r="R7" s="57">
        <f>'KQuote Mitarbeiter'!D7</f>
        <v/>
      </c>
      <c r="S7" s="66">
        <f>'KQuote Mitarbeiter'!K7</f>
        <v/>
      </c>
    </row>
    <row r="8">
      <c r="A8" s="47">
        <f>'KQuote Mitarbeiter'!A8</f>
        <v/>
      </c>
      <c r="B8" s="48">
        <f>'KQuote Mitarbeiter'!B8</f>
        <v/>
      </c>
      <c r="C8" s="58">
        <f>IF($B8="","",(N(Berechnung!D8)+N(Berechnung!Q8))*N(Berechnung!C8))</f>
        <v/>
      </c>
      <c r="D8" s="58">
        <f>IF($B8="","",(N(Berechnung!E8)+N(Berechnung!R8))*N(Berechnung!C8))</f>
        <v/>
      </c>
      <c r="E8" s="58">
        <f>IF($B8="","",(N(Berechnung!F8)+N(Berechnung!S8))*N(Berechnung!C8))</f>
        <v/>
      </c>
      <c r="F8" s="58">
        <f>IF($B8="","",(N(Berechnung!G8)+N(Berechnung!T8))*N(Berechnung!C8))</f>
        <v/>
      </c>
      <c r="G8" s="58">
        <f>IF($B8="","",(N(Berechnung!H8)+N(Berechnung!U8))*N(Berechnung!C8))</f>
        <v/>
      </c>
      <c r="H8" s="58">
        <f>IF($B8="","",(N(Berechnung!I8)+N(Berechnung!V8))*N(Berechnung!C8))</f>
        <v/>
      </c>
      <c r="I8" s="58">
        <f>IF($B8="","",(N(Berechnung!J8)+N(Berechnung!W8))*N(Berechnung!C8))</f>
        <v/>
      </c>
      <c r="J8" s="58">
        <f>IF($B8="","",(N(Berechnung!K8)+N(Berechnung!X8))*N(Berechnung!C8))</f>
        <v/>
      </c>
      <c r="K8" s="58">
        <f>IF($B8="","",(N(Berechnung!L8)+N(Berechnung!Y8))*N(Berechnung!C8))</f>
        <v/>
      </c>
      <c r="L8" s="58">
        <f>IF($B8="","",(N(Berechnung!M8)+N(Berechnung!Z8))*N(Berechnung!C8))</f>
        <v/>
      </c>
      <c r="M8" s="58">
        <f>IF($B8="","",(N(Berechnung!N8)+N(Berechnung!AA8))*N(Berechnung!C8))</f>
        <v/>
      </c>
      <c r="N8" s="58">
        <f>IF($B8="","",(N(Berechnung!O8)+N(Berechnung!AB8))*N(Berechnung!C8))</f>
        <v/>
      </c>
      <c r="O8" s="65">
        <f>IF($B8="","",SUM(C8:N8))</f>
        <v/>
      </c>
      <c r="P8" s="57">
        <f>'KQuote Mitarbeiter'!E8</f>
        <v/>
      </c>
      <c r="Q8" s="66">
        <f>'KQuote Mitarbeiter'!L8</f>
        <v/>
      </c>
      <c r="R8" s="57">
        <f>'KQuote Mitarbeiter'!D8</f>
        <v/>
      </c>
      <c r="S8" s="66">
        <f>'KQuote Mitarbeiter'!K8</f>
        <v/>
      </c>
    </row>
    <row r="9">
      <c r="A9" s="47">
        <f>'KQuote Mitarbeiter'!A9</f>
        <v/>
      </c>
      <c r="B9" s="48">
        <f>'KQuote Mitarbeiter'!B9</f>
        <v/>
      </c>
      <c r="C9" s="58">
        <f>IF($B9="","",(N(Berechnung!D9)+N(Berechnung!Q9))*N(Berechnung!C9))</f>
        <v/>
      </c>
      <c r="D9" s="58">
        <f>IF($B9="","",(N(Berechnung!E9)+N(Berechnung!R9))*N(Berechnung!C9))</f>
        <v/>
      </c>
      <c r="E9" s="58">
        <f>IF($B9="","",(N(Berechnung!F9)+N(Berechnung!S9))*N(Berechnung!C9))</f>
        <v/>
      </c>
      <c r="F9" s="58">
        <f>IF($B9="","",(N(Berechnung!G9)+N(Berechnung!T9))*N(Berechnung!C9))</f>
        <v/>
      </c>
      <c r="G9" s="58">
        <f>IF($B9="","",(N(Berechnung!H9)+N(Berechnung!U9))*N(Berechnung!C9))</f>
        <v/>
      </c>
      <c r="H9" s="58">
        <f>IF($B9="","",(N(Berechnung!I9)+N(Berechnung!V9))*N(Berechnung!C9))</f>
        <v/>
      </c>
      <c r="I9" s="58">
        <f>IF($B9="","",(N(Berechnung!J9)+N(Berechnung!W9))*N(Berechnung!C9))</f>
        <v/>
      </c>
      <c r="J9" s="58">
        <f>IF($B9="","",(N(Berechnung!K9)+N(Berechnung!X9))*N(Berechnung!C9))</f>
        <v/>
      </c>
      <c r="K9" s="58">
        <f>IF($B9="","",(N(Berechnung!L9)+N(Berechnung!Y9))*N(Berechnung!C9))</f>
        <v/>
      </c>
      <c r="L9" s="58">
        <f>IF($B9="","",(N(Berechnung!M9)+N(Berechnung!Z9))*N(Berechnung!C9))</f>
        <v/>
      </c>
      <c r="M9" s="58">
        <f>IF($B9="","",(N(Berechnung!N9)+N(Berechnung!AA9))*N(Berechnung!C9))</f>
        <v/>
      </c>
      <c r="N9" s="58">
        <f>IF($B9="","",(N(Berechnung!O9)+N(Berechnung!AB9))*N(Berechnung!C9))</f>
        <v/>
      </c>
      <c r="O9" s="65">
        <f>IF($B9="","",SUM(C9:N9))</f>
        <v/>
      </c>
      <c r="P9" s="57">
        <f>'KQuote Mitarbeiter'!E9</f>
        <v/>
      </c>
      <c r="Q9" s="66">
        <f>'KQuote Mitarbeiter'!L9</f>
        <v/>
      </c>
      <c r="R9" s="57">
        <f>'KQuote Mitarbeiter'!D9</f>
        <v/>
      </c>
      <c r="S9" s="66">
        <f>'KQuote Mitarbeiter'!K9</f>
        <v/>
      </c>
    </row>
    <row r="10">
      <c r="A10" s="47">
        <f>'KQuote Mitarbeiter'!A10</f>
        <v/>
      </c>
      <c r="B10" s="48">
        <f>'KQuote Mitarbeiter'!B10</f>
        <v/>
      </c>
      <c r="C10" s="58">
        <f>IF($B10="","",(N(Berechnung!D10)+N(Berechnung!Q10))*N(Berechnung!C10))</f>
        <v/>
      </c>
      <c r="D10" s="58">
        <f>IF($B10="","",(N(Berechnung!E10)+N(Berechnung!R10))*N(Berechnung!C10))</f>
        <v/>
      </c>
      <c r="E10" s="58">
        <f>IF($B10="","",(N(Berechnung!F10)+N(Berechnung!S10))*N(Berechnung!C10))</f>
        <v/>
      </c>
      <c r="F10" s="58">
        <f>IF($B10="","",(N(Berechnung!G10)+N(Berechnung!T10))*N(Berechnung!C10))</f>
        <v/>
      </c>
      <c r="G10" s="58">
        <f>IF($B10="","",(N(Berechnung!H10)+N(Berechnung!U10))*N(Berechnung!C10))</f>
        <v/>
      </c>
      <c r="H10" s="58">
        <f>IF($B10="","",(N(Berechnung!I10)+N(Berechnung!V10))*N(Berechnung!C10))</f>
        <v/>
      </c>
      <c r="I10" s="58">
        <f>IF($B10="","",(N(Berechnung!J10)+N(Berechnung!W10))*N(Berechnung!C10))</f>
        <v/>
      </c>
      <c r="J10" s="58">
        <f>IF($B10="","",(N(Berechnung!K10)+N(Berechnung!X10))*N(Berechnung!C10))</f>
        <v/>
      </c>
      <c r="K10" s="58">
        <f>IF($B10="","",(N(Berechnung!L10)+N(Berechnung!Y10))*N(Berechnung!C10))</f>
        <v/>
      </c>
      <c r="L10" s="58">
        <f>IF($B10="","",(N(Berechnung!M10)+N(Berechnung!Z10))*N(Berechnung!C10))</f>
        <v/>
      </c>
      <c r="M10" s="58">
        <f>IF($B10="","",(N(Berechnung!N10)+N(Berechnung!AA10))*N(Berechnung!C10))</f>
        <v/>
      </c>
      <c r="N10" s="58">
        <f>IF($B10="","",(N(Berechnung!O10)+N(Berechnung!AB10))*N(Berechnung!C10))</f>
        <v/>
      </c>
      <c r="O10" s="65">
        <f>IF($B10="","",SUM(C10:N10))</f>
        <v/>
      </c>
      <c r="P10" s="57">
        <f>'KQuote Mitarbeiter'!E10</f>
        <v/>
      </c>
      <c r="Q10" s="66">
        <f>'KQuote Mitarbeiter'!L10</f>
        <v/>
      </c>
      <c r="R10" s="57">
        <f>'KQuote Mitarbeiter'!D10</f>
        <v/>
      </c>
      <c r="S10" s="66">
        <f>'KQuote Mitarbeiter'!K10</f>
        <v/>
      </c>
    </row>
    <row r="11">
      <c r="A11" s="47">
        <f>'KQuote Mitarbeiter'!A11</f>
        <v/>
      </c>
      <c r="B11" s="48">
        <f>'KQuote Mitarbeiter'!B11</f>
        <v/>
      </c>
      <c r="C11" s="58">
        <f>IF($B11="","",(N(Berechnung!D11)+N(Berechnung!Q11))*N(Berechnung!C11))</f>
        <v/>
      </c>
      <c r="D11" s="58">
        <f>IF($B11="","",(N(Berechnung!E11)+N(Berechnung!R11))*N(Berechnung!C11))</f>
        <v/>
      </c>
      <c r="E11" s="58">
        <f>IF($B11="","",(N(Berechnung!F11)+N(Berechnung!S11))*N(Berechnung!C11))</f>
        <v/>
      </c>
      <c r="F11" s="58">
        <f>IF($B11="","",(N(Berechnung!G11)+N(Berechnung!T11))*N(Berechnung!C11))</f>
        <v/>
      </c>
      <c r="G11" s="58">
        <f>IF($B11="","",(N(Berechnung!H11)+N(Berechnung!U11))*N(Berechnung!C11))</f>
        <v/>
      </c>
      <c r="H11" s="58">
        <f>IF($B11="","",(N(Berechnung!I11)+N(Berechnung!V11))*N(Berechnung!C11))</f>
        <v/>
      </c>
      <c r="I11" s="58">
        <f>IF($B11="","",(N(Berechnung!J11)+N(Berechnung!W11))*N(Berechnung!C11))</f>
        <v/>
      </c>
      <c r="J11" s="58">
        <f>IF($B11="","",(N(Berechnung!K11)+N(Berechnung!X11))*N(Berechnung!C11))</f>
        <v/>
      </c>
      <c r="K11" s="58">
        <f>IF($B11="","",(N(Berechnung!L11)+N(Berechnung!Y11))*N(Berechnung!C11))</f>
        <v/>
      </c>
      <c r="L11" s="58">
        <f>IF($B11="","",(N(Berechnung!M11)+N(Berechnung!Z11))*N(Berechnung!C11))</f>
        <v/>
      </c>
      <c r="M11" s="58">
        <f>IF($B11="","",(N(Berechnung!N11)+N(Berechnung!AA11))*N(Berechnung!C11))</f>
        <v/>
      </c>
      <c r="N11" s="58">
        <f>IF($B11="","",(N(Berechnung!O11)+N(Berechnung!AB11))*N(Berechnung!C11))</f>
        <v/>
      </c>
      <c r="O11" s="65">
        <f>IF($B11="","",SUM(C11:N11))</f>
        <v/>
      </c>
      <c r="P11" s="57">
        <f>'KQuote Mitarbeiter'!E11</f>
        <v/>
      </c>
      <c r="Q11" s="66">
        <f>'KQuote Mitarbeiter'!L11</f>
        <v/>
      </c>
      <c r="R11" s="57">
        <f>'KQuote Mitarbeiter'!D11</f>
        <v/>
      </c>
      <c r="S11" s="66">
        <f>'KQuote Mitarbeiter'!K11</f>
        <v/>
      </c>
    </row>
    <row r="12">
      <c r="A12" s="47">
        <f>'KQuote Mitarbeiter'!A12</f>
        <v/>
      </c>
      <c r="B12" s="48">
        <f>'KQuote Mitarbeiter'!B12</f>
        <v/>
      </c>
      <c r="C12" s="58">
        <f>IF($B12="","",(N(Berechnung!D12)+N(Berechnung!Q12))*N(Berechnung!C12))</f>
        <v/>
      </c>
      <c r="D12" s="58">
        <f>IF($B12="","",(N(Berechnung!E12)+N(Berechnung!R12))*N(Berechnung!C12))</f>
        <v/>
      </c>
      <c r="E12" s="58">
        <f>IF($B12="","",(N(Berechnung!F12)+N(Berechnung!S12))*N(Berechnung!C12))</f>
        <v/>
      </c>
      <c r="F12" s="58">
        <f>IF($B12="","",(N(Berechnung!G12)+N(Berechnung!T12))*N(Berechnung!C12))</f>
        <v/>
      </c>
      <c r="G12" s="58">
        <f>IF($B12="","",(N(Berechnung!H12)+N(Berechnung!U12))*N(Berechnung!C12))</f>
        <v/>
      </c>
      <c r="H12" s="58">
        <f>IF($B12="","",(N(Berechnung!I12)+N(Berechnung!V12))*N(Berechnung!C12))</f>
        <v/>
      </c>
      <c r="I12" s="58">
        <f>IF($B12="","",(N(Berechnung!J12)+N(Berechnung!W12))*N(Berechnung!C12))</f>
        <v/>
      </c>
      <c r="J12" s="58">
        <f>IF($B12="","",(N(Berechnung!K12)+N(Berechnung!X12))*N(Berechnung!C12))</f>
        <v/>
      </c>
      <c r="K12" s="58">
        <f>IF($B12="","",(N(Berechnung!L12)+N(Berechnung!Y12))*N(Berechnung!C12))</f>
        <v/>
      </c>
      <c r="L12" s="58">
        <f>IF($B12="","",(N(Berechnung!M12)+N(Berechnung!Z12))*N(Berechnung!C12))</f>
        <v/>
      </c>
      <c r="M12" s="58">
        <f>IF($B12="","",(N(Berechnung!N12)+N(Berechnung!AA12))*N(Berechnung!C12))</f>
        <v/>
      </c>
      <c r="N12" s="58">
        <f>IF($B12="","",(N(Berechnung!O12)+N(Berechnung!AB12))*N(Berechnung!C12))</f>
        <v/>
      </c>
      <c r="O12" s="65">
        <f>IF($B12="","",SUM(C12:N12))</f>
        <v/>
      </c>
      <c r="P12" s="57">
        <f>'KQuote Mitarbeiter'!E12</f>
        <v/>
      </c>
      <c r="Q12" s="66">
        <f>'KQuote Mitarbeiter'!L12</f>
        <v/>
      </c>
      <c r="R12" s="57">
        <f>'KQuote Mitarbeiter'!D12</f>
        <v/>
      </c>
      <c r="S12" s="66">
        <f>'KQuote Mitarbeiter'!K12</f>
        <v/>
      </c>
    </row>
    <row r="13">
      <c r="A13" s="47">
        <f>'KQuote Mitarbeiter'!A13</f>
        <v/>
      </c>
      <c r="B13" s="48">
        <f>'KQuote Mitarbeiter'!B13</f>
        <v/>
      </c>
      <c r="C13" s="58">
        <f>IF($B13="","",(N(Berechnung!D13)+N(Berechnung!Q13))*N(Berechnung!C13))</f>
        <v/>
      </c>
      <c r="D13" s="58">
        <f>IF($B13="","",(N(Berechnung!E13)+N(Berechnung!R13))*N(Berechnung!C13))</f>
        <v/>
      </c>
      <c r="E13" s="58">
        <f>IF($B13="","",(N(Berechnung!F13)+N(Berechnung!S13))*N(Berechnung!C13))</f>
        <v/>
      </c>
      <c r="F13" s="58">
        <f>IF($B13="","",(N(Berechnung!G13)+N(Berechnung!T13))*N(Berechnung!C13))</f>
        <v/>
      </c>
      <c r="G13" s="58">
        <f>IF($B13="","",(N(Berechnung!H13)+N(Berechnung!U13))*N(Berechnung!C13))</f>
        <v/>
      </c>
      <c r="H13" s="58">
        <f>IF($B13="","",(N(Berechnung!I13)+N(Berechnung!V13))*N(Berechnung!C13))</f>
        <v/>
      </c>
      <c r="I13" s="58">
        <f>IF($B13="","",(N(Berechnung!J13)+N(Berechnung!W13))*N(Berechnung!C13))</f>
        <v/>
      </c>
      <c r="J13" s="58">
        <f>IF($B13="","",(N(Berechnung!K13)+N(Berechnung!X13))*N(Berechnung!C13))</f>
        <v/>
      </c>
      <c r="K13" s="58">
        <f>IF($B13="","",(N(Berechnung!L13)+N(Berechnung!Y13))*N(Berechnung!C13))</f>
        <v/>
      </c>
      <c r="L13" s="58">
        <f>IF($B13="","",(N(Berechnung!M13)+N(Berechnung!Z13))*N(Berechnung!C13))</f>
        <v/>
      </c>
      <c r="M13" s="58">
        <f>IF($B13="","",(N(Berechnung!N13)+N(Berechnung!AA13))*N(Berechnung!C13))</f>
        <v/>
      </c>
      <c r="N13" s="58">
        <f>IF($B13="","",(N(Berechnung!O13)+N(Berechnung!AB13))*N(Berechnung!C13))</f>
        <v/>
      </c>
      <c r="O13" s="65">
        <f>IF($B13="","",SUM(C13:N13))</f>
        <v/>
      </c>
      <c r="P13" s="57">
        <f>'KQuote Mitarbeiter'!E13</f>
        <v/>
      </c>
      <c r="Q13" s="66">
        <f>'KQuote Mitarbeiter'!L13</f>
        <v/>
      </c>
      <c r="R13" s="57">
        <f>'KQuote Mitarbeiter'!D13</f>
        <v/>
      </c>
      <c r="S13" s="66">
        <f>'KQuote Mitarbeiter'!K13</f>
        <v/>
      </c>
    </row>
    <row r="14">
      <c r="A14" s="47">
        <f>'KQuote Mitarbeiter'!A14</f>
        <v/>
      </c>
      <c r="B14" s="48">
        <f>'KQuote Mitarbeiter'!B14</f>
        <v/>
      </c>
      <c r="C14" s="58">
        <f>IF($B14="","",(N(Berechnung!D14)+N(Berechnung!Q14))*N(Berechnung!C14))</f>
        <v/>
      </c>
      <c r="D14" s="58">
        <f>IF($B14="","",(N(Berechnung!E14)+N(Berechnung!R14))*N(Berechnung!C14))</f>
        <v/>
      </c>
      <c r="E14" s="58">
        <f>IF($B14="","",(N(Berechnung!F14)+N(Berechnung!S14))*N(Berechnung!C14))</f>
        <v/>
      </c>
      <c r="F14" s="58">
        <f>IF($B14="","",(N(Berechnung!G14)+N(Berechnung!T14))*N(Berechnung!C14))</f>
        <v/>
      </c>
      <c r="G14" s="58">
        <f>IF($B14="","",(N(Berechnung!H14)+N(Berechnung!U14))*N(Berechnung!C14))</f>
        <v/>
      </c>
      <c r="H14" s="58">
        <f>IF($B14="","",(N(Berechnung!I14)+N(Berechnung!V14))*N(Berechnung!C14))</f>
        <v/>
      </c>
      <c r="I14" s="58">
        <f>IF($B14="","",(N(Berechnung!J14)+N(Berechnung!W14))*N(Berechnung!C14))</f>
        <v/>
      </c>
      <c r="J14" s="58">
        <f>IF($B14="","",(N(Berechnung!K14)+N(Berechnung!X14))*N(Berechnung!C14))</f>
        <v/>
      </c>
      <c r="K14" s="58">
        <f>IF($B14="","",(N(Berechnung!L14)+N(Berechnung!Y14))*N(Berechnung!C14))</f>
        <v/>
      </c>
      <c r="L14" s="58">
        <f>IF($B14="","",(N(Berechnung!M14)+N(Berechnung!Z14))*N(Berechnung!C14))</f>
        <v/>
      </c>
      <c r="M14" s="58">
        <f>IF($B14="","",(N(Berechnung!N14)+N(Berechnung!AA14))*N(Berechnung!C14))</f>
        <v/>
      </c>
      <c r="N14" s="58">
        <f>IF($B14="","",(N(Berechnung!O14)+N(Berechnung!AB14))*N(Berechnung!C14))</f>
        <v/>
      </c>
      <c r="O14" s="65">
        <f>IF($B14="","",SUM(C14:N14))</f>
        <v/>
      </c>
      <c r="P14" s="57">
        <f>'KQuote Mitarbeiter'!E14</f>
        <v/>
      </c>
      <c r="Q14" s="66">
        <f>'KQuote Mitarbeiter'!L14</f>
        <v/>
      </c>
      <c r="R14" s="57">
        <f>'KQuote Mitarbeiter'!D14</f>
        <v/>
      </c>
      <c r="S14" s="66">
        <f>'KQuote Mitarbeiter'!K14</f>
        <v/>
      </c>
    </row>
    <row r="15">
      <c r="A15" s="47">
        <f>'KQuote Mitarbeiter'!A15</f>
        <v/>
      </c>
      <c r="B15" s="48">
        <f>'KQuote Mitarbeiter'!B15</f>
        <v/>
      </c>
      <c r="C15" s="58">
        <f>IF($B15="","",(N(Berechnung!D15)+N(Berechnung!Q15))*N(Berechnung!C15))</f>
        <v/>
      </c>
      <c r="D15" s="58">
        <f>IF($B15="","",(N(Berechnung!E15)+N(Berechnung!R15))*N(Berechnung!C15))</f>
        <v/>
      </c>
      <c r="E15" s="58">
        <f>IF($B15="","",(N(Berechnung!F15)+N(Berechnung!S15))*N(Berechnung!C15))</f>
        <v/>
      </c>
      <c r="F15" s="58">
        <f>IF($B15="","",(N(Berechnung!G15)+N(Berechnung!T15))*N(Berechnung!C15))</f>
        <v/>
      </c>
      <c r="G15" s="58">
        <f>IF($B15="","",(N(Berechnung!H15)+N(Berechnung!U15))*N(Berechnung!C15))</f>
        <v/>
      </c>
      <c r="H15" s="58">
        <f>IF($B15="","",(N(Berechnung!I15)+N(Berechnung!V15))*N(Berechnung!C15))</f>
        <v/>
      </c>
      <c r="I15" s="58">
        <f>IF($B15="","",(N(Berechnung!J15)+N(Berechnung!W15))*N(Berechnung!C15))</f>
        <v/>
      </c>
      <c r="J15" s="58">
        <f>IF($B15="","",(N(Berechnung!K15)+N(Berechnung!X15))*N(Berechnung!C15))</f>
        <v/>
      </c>
      <c r="K15" s="58">
        <f>IF($B15="","",(N(Berechnung!L15)+N(Berechnung!Y15))*N(Berechnung!C15))</f>
        <v/>
      </c>
      <c r="L15" s="58">
        <f>IF($B15="","",(N(Berechnung!M15)+N(Berechnung!Z15))*N(Berechnung!C15))</f>
        <v/>
      </c>
      <c r="M15" s="58">
        <f>IF($B15="","",(N(Berechnung!N15)+N(Berechnung!AA15))*N(Berechnung!C15))</f>
        <v/>
      </c>
      <c r="N15" s="58">
        <f>IF($B15="","",(N(Berechnung!O15)+N(Berechnung!AB15))*N(Berechnung!C15))</f>
        <v/>
      </c>
      <c r="O15" s="65">
        <f>IF($B15="","",SUM(C15:N15))</f>
        <v/>
      </c>
      <c r="P15" s="57">
        <f>'KQuote Mitarbeiter'!E15</f>
        <v/>
      </c>
      <c r="Q15" s="66">
        <f>'KQuote Mitarbeiter'!L15</f>
        <v/>
      </c>
      <c r="R15" s="57">
        <f>'KQuote Mitarbeiter'!D15</f>
        <v/>
      </c>
      <c r="S15" s="66">
        <f>'KQuote Mitarbeiter'!K15</f>
        <v/>
      </c>
    </row>
    <row r="16">
      <c r="A16" s="47">
        <f>'KQuote Mitarbeiter'!A16</f>
        <v/>
      </c>
      <c r="B16" s="48">
        <f>'KQuote Mitarbeiter'!B16</f>
        <v/>
      </c>
      <c r="C16" s="58">
        <f>IF($B16="","",(N(Berechnung!D16)+N(Berechnung!Q16))*N(Berechnung!C16))</f>
        <v/>
      </c>
      <c r="D16" s="58">
        <f>IF($B16="","",(N(Berechnung!E16)+N(Berechnung!R16))*N(Berechnung!C16))</f>
        <v/>
      </c>
      <c r="E16" s="58">
        <f>IF($B16="","",(N(Berechnung!F16)+N(Berechnung!S16))*N(Berechnung!C16))</f>
        <v/>
      </c>
      <c r="F16" s="58">
        <f>IF($B16="","",(N(Berechnung!G16)+N(Berechnung!T16))*N(Berechnung!C16))</f>
        <v/>
      </c>
      <c r="G16" s="58">
        <f>IF($B16="","",(N(Berechnung!H16)+N(Berechnung!U16))*N(Berechnung!C16))</f>
        <v/>
      </c>
      <c r="H16" s="58">
        <f>IF($B16="","",(N(Berechnung!I16)+N(Berechnung!V16))*N(Berechnung!C16))</f>
        <v/>
      </c>
      <c r="I16" s="58">
        <f>IF($B16="","",(N(Berechnung!J16)+N(Berechnung!W16))*N(Berechnung!C16))</f>
        <v/>
      </c>
      <c r="J16" s="58">
        <f>IF($B16="","",(N(Berechnung!K16)+N(Berechnung!X16))*N(Berechnung!C16))</f>
        <v/>
      </c>
      <c r="K16" s="58">
        <f>IF($B16="","",(N(Berechnung!L16)+N(Berechnung!Y16))*N(Berechnung!C16))</f>
        <v/>
      </c>
      <c r="L16" s="58">
        <f>IF($B16="","",(N(Berechnung!M16)+N(Berechnung!Z16))*N(Berechnung!C16))</f>
        <v/>
      </c>
      <c r="M16" s="58">
        <f>IF($B16="","",(N(Berechnung!N16)+N(Berechnung!AA16))*N(Berechnung!C16))</f>
        <v/>
      </c>
      <c r="N16" s="58">
        <f>IF($B16="","",(N(Berechnung!O16)+N(Berechnung!AB16))*N(Berechnung!C16))</f>
        <v/>
      </c>
      <c r="O16" s="65">
        <f>IF($B16="","",SUM(C16:N16))</f>
        <v/>
      </c>
      <c r="P16" s="57">
        <f>'KQuote Mitarbeiter'!E16</f>
        <v/>
      </c>
      <c r="Q16" s="66">
        <f>'KQuote Mitarbeiter'!L16</f>
        <v/>
      </c>
      <c r="R16" s="57">
        <f>'KQuote Mitarbeiter'!D16</f>
        <v/>
      </c>
      <c r="S16" s="66">
        <f>'KQuote Mitarbeiter'!K16</f>
        <v/>
      </c>
    </row>
    <row r="17">
      <c r="A17" s="47">
        <f>'KQuote Mitarbeiter'!A17</f>
        <v/>
      </c>
      <c r="B17" s="48">
        <f>'KQuote Mitarbeiter'!B17</f>
        <v/>
      </c>
      <c r="C17" s="58">
        <f>IF($B17="","",(N(Berechnung!D17)+N(Berechnung!Q17))*N(Berechnung!C17))</f>
        <v/>
      </c>
      <c r="D17" s="58">
        <f>IF($B17="","",(N(Berechnung!E17)+N(Berechnung!R17))*N(Berechnung!C17))</f>
        <v/>
      </c>
      <c r="E17" s="58">
        <f>IF($B17="","",(N(Berechnung!F17)+N(Berechnung!S17))*N(Berechnung!C17))</f>
        <v/>
      </c>
      <c r="F17" s="58">
        <f>IF($B17="","",(N(Berechnung!G17)+N(Berechnung!T17))*N(Berechnung!C17))</f>
        <v/>
      </c>
      <c r="G17" s="58">
        <f>IF($B17="","",(N(Berechnung!H17)+N(Berechnung!U17))*N(Berechnung!C17))</f>
        <v/>
      </c>
      <c r="H17" s="58">
        <f>IF($B17="","",(N(Berechnung!I17)+N(Berechnung!V17))*N(Berechnung!C17))</f>
        <v/>
      </c>
      <c r="I17" s="58">
        <f>IF($B17="","",(N(Berechnung!J17)+N(Berechnung!W17))*N(Berechnung!C17))</f>
        <v/>
      </c>
      <c r="J17" s="58">
        <f>IF($B17="","",(N(Berechnung!K17)+N(Berechnung!X17))*N(Berechnung!C17))</f>
        <v/>
      </c>
      <c r="K17" s="58">
        <f>IF($B17="","",(N(Berechnung!L17)+N(Berechnung!Y17))*N(Berechnung!C17))</f>
        <v/>
      </c>
      <c r="L17" s="58">
        <f>IF($B17="","",(N(Berechnung!M17)+N(Berechnung!Z17))*N(Berechnung!C17))</f>
        <v/>
      </c>
      <c r="M17" s="58">
        <f>IF($B17="","",(N(Berechnung!N17)+N(Berechnung!AA17))*N(Berechnung!C17))</f>
        <v/>
      </c>
      <c r="N17" s="58">
        <f>IF($B17="","",(N(Berechnung!O17)+N(Berechnung!AB17))*N(Berechnung!C17))</f>
        <v/>
      </c>
      <c r="O17" s="65">
        <f>IF($B17="","",SUM(C17:N17))</f>
        <v/>
      </c>
      <c r="P17" s="57">
        <f>'KQuote Mitarbeiter'!E17</f>
        <v/>
      </c>
      <c r="Q17" s="66">
        <f>'KQuote Mitarbeiter'!L17</f>
        <v/>
      </c>
      <c r="R17" s="57">
        <f>'KQuote Mitarbeiter'!D17</f>
        <v/>
      </c>
      <c r="S17" s="66">
        <f>'KQuote Mitarbeiter'!K17</f>
        <v/>
      </c>
    </row>
    <row r="18">
      <c r="A18" s="47">
        <f>'KQuote Mitarbeiter'!A18</f>
        <v/>
      </c>
      <c r="B18" s="48">
        <f>'KQuote Mitarbeiter'!B18</f>
        <v/>
      </c>
      <c r="C18" s="58">
        <f>IF($B18="","",(N(Berechnung!D18)+N(Berechnung!Q18))*N(Berechnung!C18))</f>
        <v/>
      </c>
      <c r="D18" s="58">
        <f>IF($B18="","",(N(Berechnung!E18)+N(Berechnung!R18))*N(Berechnung!C18))</f>
        <v/>
      </c>
      <c r="E18" s="58">
        <f>IF($B18="","",(N(Berechnung!F18)+N(Berechnung!S18))*N(Berechnung!C18))</f>
        <v/>
      </c>
      <c r="F18" s="58">
        <f>IF($B18="","",(N(Berechnung!G18)+N(Berechnung!T18))*N(Berechnung!C18))</f>
        <v/>
      </c>
      <c r="G18" s="58">
        <f>IF($B18="","",(N(Berechnung!H18)+N(Berechnung!U18))*N(Berechnung!C18))</f>
        <v/>
      </c>
      <c r="H18" s="58">
        <f>IF($B18="","",(N(Berechnung!I18)+N(Berechnung!V18))*N(Berechnung!C18))</f>
        <v/>
      </c>
      <c r="I18" s="58">
        <f>IF($B18="","",(N(Berechnung!J18)+N(Berechnung!W18))*N(Berechnung!C18))</f>
        <v/>
      </c>
      <c r="J18" s="58">
        <f>IF($B18="","",(N(Berechnung!K18)+N(Berechnung!X18))*N(Berechnung!C18))</f>
        <v/>
      </c>
      <c r="K18" s="58">
        <f>IF($B18="","",(N(Berechnung!L18)+N(Berechnung!Y18))*N(Berechnung!C18))</f>
        <v/>
      </c>
      <c r="L18" s="58">
        <f>IF($B18="","",(N(Berechnung!M18)+N(Berechnung!Z18))*N(Berechnung!C18))</f>
        <v/>
      </c>
      <c r="M18" s="58">
        <f>IF($B18="","",(N(Berechnung!N18)+N(Berechnung!AA18))*N(Berechnung!C18))</f>
        <v/>
      </c>
      <c r="N18" s="58">
        <f>IF($B18="","",(N(Berechnung!O18)+N(Berechnung!AB18))*N(Berechnung!C18))</f>
        <v/>
      </c>
      <c r="O18" s="65">
        <f>IF($B18="","",SUM(C18:N18))</f>
        <v/>
      </c>
      <c r="P18" s="57">
        <f>'KQuote Mitarbeiter'!E18</f>
        <v/>
      </c>
      <c r="Q18" s="66">
        <f>'KQuote Mitarbeiter'!L18</f>
        <v/>
      </c>
      <c r="R18" s="57">
        <f>'KQuote Mitarbeiter'!D18</f>
        <v/>
      </c>
      <c r="S18" s="66">
        <f>'KQuote Mitarbeiter'!K18</f>
        <v/>
      </c>
    </row>
    <row r="19">
      <c r="A19" s="47">
        <f>'KQuote Mitarbeiter'!A19</f>
        <v/>
      </c>
      <c r="B19" s="48">
        <f>'KQuote Mitarbeiter'!B19</f>
        <v/>
      </c>
      <c r="C19" s="58">
        <f>IF($B19="","",(N(Berechnung!D19)+N(Berechnung!Q19))*N(Berechnung!C19))</f>
        <v/>
      </c>
      <c r="D19" s="58">
        <f>IF($B19="","",(N(Berechnung!E19)+N(Berechnung!R19))*N(Berechnung!C19))</f>
        <v/>
      </c>
      <c r="E19" s="58">
        <f>IF($B19="","",(N(Berechnung!F19)+N(Berechnung!S19))*N(Berechnung!C19))</f>
        <v/>
      </c>
      <c r="F19" s="58">
        <f>IF($B19="","",(N(Berechnung!G19)+N(Berechnung!T19))*N(Berechnung!C19))</f>
        <v/>
      </c>
      <c r="G19" s="58">
        <f>IF($B19="","",(N(Berechnung!H19)+N(Berechnung!U19))*N(Berechnung!C19))</f>
        <v/>
      </c>
      <c r="H19" s="58">
        <f>IF($B19="","",(N(Berechnung!I19)+N(Berechnung!V19))*N(Berechnung!C19))</f>
        <v/>
      </c>
      <c r="I19" s="58">
        <f>IF($B19="","",(N(Berechnung!J19)+N(Berechnung!W19))*N(Berechnung!C19))</f>
        <v/>
      </c>
      <c r="J19" s="58">
        <f>IF($B19="","",(N(Berechnung!K19)+N(Berechnung!X19))*N(Berechnung!C19))</f>
        <v/>
      </c>
      <c r="K19" s="58">
        <f>IF($B19="","",(N(Berechnung!L19)+N(Berechnung!Y19))*N(Berechnung!C19))</f>
        <v/>
      </c>
      <c r="L19" s="58">
        <f>IF($B19="","",(N(Berechnung!M19)+N(Berechnung!Z19))*N(Berechnung!C19))</f>
        <v/>
      </c>
      <c r="M19" s="58">
        <f>IF($B19="","",(N(Berechnung!N19)+N(Berechnung!AA19))*N(Berechnung!C19))</f>
        <v/>
      </c>
      <c r="N19" s="58">
        <f>IF($B19="","",(N(Berechnung!O19)+N(Berechnung!AB19))*N(Berechnung!C19))</f>
        <v/>
      </c>
      <c r="O19" s="65">
        <f>IF($B19="","",SUM(C19:N19))</f>
        <v/>
      </c>
      <c r="P19" s="57">
        <f>'KQuote Mitarbeiter'!E19</f>
        <v/>
      </c>
      <c r="Q19" s="66">
        <f>'KQuote Mitarbeiter'!L19</f>
        <v/>
      </c>
      <c r="R19" s="57">
        <f>'KQuote Mitarbeiter'!D19</f>
        <v/>
      </c>
      <c r="S19" s="66">
        <f>'KQuote Mitarbeiter'!K19</f>
        <v/>
      </c>
    </row>
    <row r="20">
      <c r="A20" s="47">
        <f>'KQuote Mitarbeiter'!A20</f>
        <v/>
      </c>
      <c r="B20" s="48">
        <f>'KQuote Mitarbeiter'!B20</f>
        <v/>
      </c>
      <c r="C20" s="58">
        <f>IF($B20="","",(N(Berechnung!D20)+N(Berechnung!Q20))*N(Berechnung!C20))</f>
        <v/>
      </c>
      <c r="D20" s="58">
        <f>IF($B20="","",(N(Berechnung!E20)+N(Berechnung!R20))*N(Berechnung!C20))</f>
        <v/>
      </c>
      <c r="E20" s="58">
        <f>IF($B20="","",(N(Berechnung!F20)+N(Berechnung!S20))*N(Berechnung!C20))</f>
        <v/>
      </c>
      <c r="F20" s="58">
        <f>IF($B20="","",(N(Berechnung!G20)+N(Berechnung!T20))*N(Berechnung!C20))</f>
        <v/>
      </c>
      <c r="G20" s="58">
        <f>IF($B20="","",(N(Berechnung!H20)+N(Berechnung!U20))*N(Berechnung!C20))</f>
        <v/>
      </c>
      <c r="H20" s="58">
        <f>IF($B20="","",(N(Berechnung!I20)+N(Berechnung!V20))*N(Berechnung!C20))</f>
        <v/>
      </c>
      <c r="I20" s="58">
        <f>IF($B20="","",(N(Berechnung!J20)+N(Berechnung!W20))*N(Berechnung!C20))</f>
        <v/>
      </c>
      <c r="J20" s="58">
        <f>IF($B20="","",(N(Berechnung!K20)+N(Berechnung!X20))*N(Berechnung!C20))</f>
        <v/>
      </c>
      <c r="K20" s="58">
        <f>IF($B20="","",(N(Berechnung!L20)+N(Berechnung!Y20))*N(Berechnung!C20))</f>
        <v/>
      </c>
      <c r="L20" s="58">
        <f>IF($B20="","",(N(Berechnung!M20)+N(Berechnung!Z20))*N(Berechnung!C20))</f>
        <v/>
      </c>
      <c r="M20" s="58">
        <f>IF($B20="","",(N(Berechnung!N20)+N(Berechnung!AA20))*N(Berechnung!C20))</f>
        <v/>
      </c>
      <c r="N20" s="58">
        <f>IF($B20="","",(N(Berechnung!O20)+N(Berechnung!AB20))*N(Berechnung!C20))</f>
        <v/>
      </c>
      <c r="O20" s="65">
        <f>IF($B20="","",SUM(C20:N20))</f>
        <v/>
      </c>
      <c r="P20" s="57">
        <f>'KQuote Mitarbeiter'!E20</f>
        <v/>
      </c>
      <c r="Q20" s="66">
        <f>'KQuote Mitarbeiter'!L20</f>
        <v/>
      </c>
      <c r="R20" s="57">
        <f>'KQuote Mitarbeiter'!D20</f>
        <v/>
      </c>
      <c r="S20" s="66">
        <f>'KQuote Mitarbeiter'!K20</f>
        <v/>
      </c>
    </row>
    <row r="21">
      <c r="A21" s="47">
        <f>'KQuote Mitarbeiter'!A21</f>
        <v/>
      </c>
      <c r="B21" s="48">
        <f>'KQuote Mitarbeiter'!B21</f>
        <v/>
      </c>
      <c r="C21" s="58">
        <f>IF($B21="","",(N(Berechnung!D21)+N(Berechnung!Q21))*N(Berechnung!C21))</f>
        <v/>
      </c>
      <c r="D21" s="58">
        <f>IF($B21="","",(N(Berechnung!E21)+N(Berechnung!R21))*N(Berechnung!C21))</f>
        <v/>
      </c>
      <c r="E21" s="58">
        <f>IF($B21="","",(N(Berechnung!F21)+N(Berechnung!S21))*N(Berechnung!C21))</f>
        <v/>
      </c>
      <c r="F21" s="58">
        <f>IF($B21="","",(N(Berechnung!G21)+N(Berechnung!T21))*N(Berechnung!C21))</f>
        <v/>
      </c>
      <c r="G21" s="58">
        <f>IF($B21="","",(N(Berechnung!H21)+N(Berechnung!U21))*N(Berechnung!C21))</f>
        <v/>
      </c>
      <c r="H21" s="58">
        <f>IF($B21="","",(N(Berechnung!I21)+N(Berechnung!V21))*N(Berechnung!C21))</f>
        <v/>
      </c>
      <c r="I21" s="58">
        <f>IF($B21="","",(N(Berechnung!J21)+N(Berechnung!W21))*N(Berechnung!C21))</f>
        <v/>
      </c>
      <c r="J21" s="58">
        <f>IF($B21="","",(N(Berechnung!K21)+N(Berechnung!X21))*N(Berechnung!C21))</f>
        <v/>
      </c>
      <c r="K21" s="58">
        <f>IF($B21="","",(N(Berechnung!L21)+N(Berechnung!Y21))*N(Berechnung!C21))</f>
        <v/>
      </c>
      <c r="L21" s="58">
        <f>IF($B21="","",(N(Berechnung!M21)+N(Berechnung!Z21))*N(Berechnung!C21))</f>
        <v/>
      </c>
      <c r="M21" s="58">
        <f>IF($B21="","",(N(Berechnung!N21)+N(Berechnung!AA21))*N(Berechnung!C21))</f>
        <v/>
      </c>
      <c r="N21" s="58">
        <f>IF($B21="","",(N(Berechnung!O21)+N(Berechnung!AB21))*N(Berechnung!C21))</f>
        <v/>
      </c>
      <c r="O21" s="65">
        <f>IF($B21="","",SUM(C21:N21))</f>
        <v/>
      </c>
      <c r="P21" s="57">
        <f>'KQuote Mitarbeiter'!E21</f>
        <v/>
      </c>
      <c r="Q21" s="66">
        <f>'KQuote Mitarbeiter'!L21</f>
        <v/>
      </c>
      <c r="R21" s="57">
        <f>'KQuote Mitarbeiter'!D21</f>
        <v/>
      </c>
      <c r="S21" s="66">
        <f>'KQuote Mitarbeiter'!K21</f>
        <v/>
      </c>
    </row>
    <row r="22">
      <c r="A22" s="47">
        <f>'KQuote Mitarbeiter'!A22</f>
        <v/>
      </c>
      <c r="B22" s="48">
        <f>'KQuote Mitarbeiter'!B22</f>
        <v/>
      </c>
      <c r="C22" s="58">
        <f>IF($B22="","",(N(Berechnung!D22)+N(Berechnung!Q22))*N(Berechnung!C22))</f>
        <v/>
      </c>
      <c r="D22" s="58">
        <f>IF($B22="","",(N(Berechnung!E22)+N(Berechnung!R22))*N(Berechnung!C22))</f>
        <v/>
      </c>
      <c r="E22" s="58">
        <f>IF($B22="","",(N(Berechnung!F22)+N(Berechnung!S22))*N(Berechnung!C22))</f>
        <v/>
      </c>
      <c r="F22" s="58">
        <f>IF($B22="","",(N(Berechnung!G22)+N(Berechnung!T22))*N(Berechnung!C22))</f>
        <v/>
      </c>
      <c r="G22" s="58">
        <f>IF($B22="","",(N(Berechnung!H22)+N(Berechnung!U22))*N(Berechnung!C22))</f>
        <v/>
      </c>
      <c r="H22" s="58">
        <f>IF($B22="","",(N(Berechnung!I22)+N(Berechnung!V22))*N(Berechnung!C22))</f>
        <v/>
      </c>
      <c r="I22" s="58">
        <f>IF($B22="","",(N(Berechnung!J22)+N(Berechnung!W22))*N(Berechnung!C22))</f>
        <v/>
      </c>
      <c r="J22" s="58">
        <f>IF($B22="","",(N(Berechnung!K22)+N(Berechnung!X22))*N(Berechnung!C22))</f>
        <v/>
      </c>
      <c r="K22" s="58">
        <f>IF($B22="","",(N(Berechnung!L22)+N(Berechnung!Y22))*N(Berechnung!C22))</f>
        <v/>
      </c>
      <c r="L22" s="58">
        <f>IF($B22="","",(N(Berechnung!M22)+N(Berechnung!Z22))*N(Berechnung!C22))</f>
        <v/>
      </c>
      <c r="M22" s="58">
        <f>IF($B22="","",(N(Berechnung!N22)+N(Berechnung!AA22))*N(Berechnung!C22))</f>
        <v/>
      </c>
      <c r="N22" s="58">
        <f>IF($B22="","",(N(Berechnung!O22)+N(Berechnung!AB22))*N(Berechnung!C22))</f>
        <v/>
      </c>
      <c r="O22" s="65">
        <f>IF($B22="","",SUM(C22:N22))</f>
        <v/>
      </c>
      <c r="P22" s="57">
        <f>'KQuote Mitarbeiter'!E22</f>
        <v/>
      </c>
      <c r="Q22" s="66">
        <f>'KQuote Mitarbeiter'!L22</f>
        <v/>
      </c>
      <c r="R22" s="57">
        <f>'KQuote Mitarbeiter'!D22</f>
        <v/>
      </c>
      <c r="S22" s="66">
        <f>'KQuote Mitarbeiter'!K22</f>
        <v/>
      </c>
    </row>
    <row r="23">
      <c r="A23" s="47">
        <f>'KQuote Mitarbeiter'!A23</f>
        <v/>
      </c>
      <c r="B23" s="48">
        <f>'KQuote Mitarbeiter'!B23</f>
        <v/>
      </c>
      <c r="C23" s="58">
        <f>IF($B23="","",(N(Berechnung!D23)+N(Berechnung!Q23))*N(Berechnung!C23))</f>
        <v/>
      </c>
      <c r="D23" s="58">
        <f>IF($B23="","",(N(Berechnung!E23)+N(Berechnung!R23))*N(Berechnung!C23))</f>
        <v/>
      </c>
      <c r="E23" s="58">
        <f>IF($B23="","",(N(Berechnung!F23)+N(Berechnung!S23))*N(Berechnung!C23))</f>
        <v/>
      </c>
      <c r="F23" s="58">
        <f>IF($B23="","",(N(Berechnung!G23)+N(Berechnung!T23))*N(Berechnung!C23))</f>
        <v/>
      </c>
      <c r="G23" s="58">
        <f>IF($B23="","",(N(Berechnung!H23)+N(Berechnung!U23))*N(Berechnung!C23))</f>
        <v/>
      </c>
      <c r="H23" s="58">
        <f>IF($B23="","",(N(Berechnung!I23)+N(Berechnung!V23))*N(Berechnung!C23))</f>
        <v/>
      </c>
      <c r="I23" s="58">
        <f>IF($B23="","",(N(Berechnung!J23)+N(Berechnung!W23))*N(Berechnung!C23))</f>
        <v/>
      </c>
      <c r="J23" s="58">
        <f>IF($B23="","",(N(Berechnung!K23)+N(Berechnung!X23))*N(Berechnung!C23))</f>
        <v/>
      </c>
      <c r="K23" s="58">
        <f>IF($B23="","",(N(Berechnung!L23)+N(Berechnung!Y23))*N(Berechnung!C23))</f>
        <v/>
      </c>
      <c r="L23" s="58">
        <f>IF($B23="","",(N(Berechnung!M23)+N(Berechnung!Z23))*N(Berechnung!C23))</f>
        <v/>
      </c>
      <c r="M23" s="58">
        <f>IF($B23="","",(N(Berechnung!N23)+N(Berechnung!AA23))*N(Berechnung!C23))</f>
        <v/>
      </c>
      <c r="N23" s="58">
        <f>IF($B23="","",(N(Berechnung!O23)+N(Berechnung!AB23))*N(Berechnung!C23))</f>
        <v/>
      </c>
      <c r="O23" s="65">
        <f>IF($B23="","",SUM(C23:N23))</f>
        <v/>
      </c>
      <c r="P23" s="57">
        <f>'KQuote Mitarbeiter'!E23</f>
        <v/>
      </c>
      <c r="Q23" s="66">
        <f>'KQuote Mitarbeiter'!L23</f>
        <v/>
      </c>
      <c r="R23" s="57">
        <f>'KQuote Mitarbeiter'!D23</f>
        <v/>
      </c>
      <c r="S23" s="66">
        <f>'KQuote Mitarbeiter'!K23</f>
        <v/>
      </c>
    </row>
    <row r="24">
      <c r="A24" s="47">
        <f>'KQuote Mitarbeiter'!A24</f>
        <v/>
      </c>
      <c r="B24" s="48">
        <f>'KQuote Mitarbeiter'!B24</f>
        <v/>
      </c>
      <c r="C24" s="58">
        <f>IF($B24="","",(N(Berechnung!D24)+N(Berechnung!Q24))*N(Berechnung!C24))</f>
        <v/>
      </c>
      <c r="D24" s="58">
        <f>IF($B24="","",(N(Berechnung!E24)+N(Berechnung!R24))*N(Berechnung!C24))</f>
        <v/>
      </c>
      <c r="E24" s="58">
        <f>IF($B24="","",(N(Berechnung!F24)+N(Berechnung!S24))*N(Berechnung!C24))</f>
        <v/>
      </c>
      <c r="F24" s="58">
        <f>IF($B24="","",(N(Berechnung!G24)+N(Berechnung!T24))*N(Berechnung!C24))</f>
        <v/>
      </c>
      <c r="G24" s="58">
        <f>IF($B24="","",(N(Berechnung!H24)+N(Berechnung!U24))*N(Berechnung!C24))</f>
        <v/>
      </c>
      <c r="H24" s="58">
        <f>IF($B24="","",(N(Berechnung!I24)+N(Berechnung!V24))*N(Berechnung!C24))</f>
        <v/>
      </c>
      <c r="I24" s="58">
        <f>IF($B24="","",(N(Berechnung!J24)+N(Berechnung!W24))*N(Berechnung!C24))</f>
        <v/>
      </c>
      <c r="J24" s="58">
        <f>IF($B24="","",(N(Berechnung!K24)+N(Berechnung!X24))*N(Berechnung!C24))</f>
        <v/>
      </c>
      <c r="K24" s="58">
        <f>IF($B24="","",(N(Berechnung!L24)+N(Berechnung!Y24))*N(Berechnung!C24))</f>
        <v/>
      </c>
      <c r="L24" s="58">
        <f>IF($B24="","",(N(Berechnung!M24)+N(Berechnung!Z24))*N(Berechnung!C24))</f>
        <v/>
      </c>
      <c r="M24" s="58">
        <f>IF($B24="","",(N(Berechnung!N24)+N(Berechnung!AA24))*N(Berechnung!C24))</f>
        <v/>
      </c>
      <c r="N24" s="58">
        <f>IF($B24="","",(N(Berechnung!O24)+N(Berechnung!AB24))*N(Berechnung!C24))</f>
        <v/>
      </c>
      <c r="O24" s="65">
        <f>IF($B24="","",SUM(C24:N24))</f>
        <v/>
      </c>
      <c r="P24" s="57">
        <f>'KQuote Mitarbeiter'!E24</f>
        <v/>
      </c>
      <c r="Q24" s="66">
        <f>'KQuote Mitarbeiter'!L24</f>
        <v/>
      </c>
      <c r="R24" s="57">
        <f>'KQuote Mitarbeiter'!D24</f>
        <v/>
      </c>
      <c r="S24" s="66">
        <f>'KQuote Mitarbeiter'!K24</f>
        <v/>
      </c>
    </row>
    <row r="25">
      <c r="A25" s="47">
        <f>'KQuote Mitarbeiter'!A25</f>
        <v/>
      </c>
      <c r="B25" s="48">
        <f>'KQuote Mitarbeiter'!B25</f>
        <v/>
      </c>
      <c r="C25" s="58">
        <f>IF($B25="","",(N(Berechnung!D25)+N(Berechnung!Q25))*N(Berechnung!C25))</f>
        <v/>
      </c>
      <c r="D25" s="58">
        <f>IF($B25="","",(N(Berechnung!E25)+N(Berechnung!R25))*N(Berechnung!C25))</f>
        <v/>
      </c>
      <c r="E25" s="58">
        <f>IF($B25="","",(N(Berechnung!F25)+N(Berechnung!S25))*N(Berechnung!C25))</f>
        <v/>
      </c>
      <c r="F25" s="58">
        <f>IF($B25="","",(N(Berechnung!G25)+N(Berechnung!T25))*N(Berechnung!C25))</f>
        <v/>
      </c>
      <c r="G25" s="58">
        <f>IF($B25="","",(N(Berechnung!H25)+N(Berechnung!U25))*N(Berechnung!C25))</f>
        <v/>
      </c>
      <c r="H25" s="58">
        <f>IF($B25="","",(N(Berechnung!I25)+N(Berechnung!V25))*N(Berechnung!C25))</f>
        <v/>
      </c>
      <c r="I25" s="58">
        <f>IF($B25="","",(N(Berechnung!J25)+N(Berechnung!W25))*N(Berechnung!C25))</f>
        <v/>
      </c>
      <c r="J25" s="58">
        <f>IF($B25="","",(N(Berechnung!K25)+N(Berechnung!X25))*N(Berechnung!C25))</f>
        <v/>
      </c>
      <c r="K25" s="58">
        <f>IF($B25="","",(N(Berechnung!L25)+N(Berechnung!Y25))*N(Berechnung!C25))</f>
        <v/>
      </c>
      <c r="L25" s="58">
        <f>IF($B25="","",(N(Berechnung!M25)+N(Berechnung!Z25))*N(Berechnung!C25))</f>
        <v/>
      </c>
      <c r="M25" s="58">
        <f>IF($B25="","",(N(Berechnung!N25)+N(Berechnung!AA25))*N(Berechnung!C25))</f>
        <v/>
      </c>
      <c r="N25" s="58">
        <f>IF($B25="","",(N(Berechnung!O25)+N(Berechnung!AB25))*N(Berechnung!C25))</f>
        <v/>
      </c>
      <c r="O25" s="65">
        <f>IF($B25="","",SUM(C25:N25))</f>
        <v/>
      </c>
      <c r="P25" s="57">
        <f>'KQuote Mitarbeiter'!E25</f>
        <v/>
      </c>
      <c r="Q25" s="66">
        <f>'KQuote Mitarbeiter'!L25</f>
        <v/>
      </c>
      <c r="R25" s="57">
        <f>'KQuote Mitarbeiter'!D25</f>
        <v/>
      </c>
      <c r="S25" s="66">
        <f>'KQuote Mitarbeiter'!K25</f>
        <v/>
      </c>
    </row>
    <row r="26">
      <c r="A26" s="47">
        <f>'KQuote Mitarbeiter'!A26</f>
        <v/>
      </c>
      <c r="B26" s="48">
        <f>'KQuote Mitarbeiter'!B26</f>
        <v/>
      </c>
      <c r="C26" s="58">
        <f>IF($B26="","",(N(Berechnung!D26)+N(Berechnung!Q26))*N(Berechnung!C26))</f>
        <v/>
      </c>
      <c r="D26" s="58">
        <f>IF($B26="","",(N(Berechnung!E26)+N(Berechnung!R26))*N(Berechnung!C26))</f>
        <v/>
      </c>
      <c r="E26" s="58">
        <f>IF($B26="","",(N(Berechnung!F26)+N(Berechnung!S26))*N(Berechnung!C26))</f>
        <v/>
      </c>
      <c r="F26" s="58">
        <f>IF($B26="","",(N(Berechnung!G26)+N(Berechnung!T26))*N(Berechnung!C26))</f>
        <v/>
      </c>
      <c r="G26" s="58">
        <f>IF($B26="","",(N(Berechnung!H26)+N(Berechnung!U26))*N(Berechnung!C26))</f>
        <v/>
      </c>
      <c r="H26" s="58">
        <f>IF($B26="","",(N(Berechnung!I26)+N(Berechnung!V26))*N(Berechnung!C26))</f>
        <v/>
      </c>
      <c r="I26" s="58">
        <f>IF($B26="","",(N(Berechnung!J26)+N(Berechnung!W26))*N(Berechnung!C26))</f>
        <v/>
      </c>
      <c r="J26" s="58">
        <f>IF($B26="","",(N(Berechnung!K26)+N(Berechnung!X26))*N(Berechnung!C26))</f>
        <v/>
      </c>
      <c r="K26" s="58">
        <f>IF($B26="","",(N(Berechnung!L26)+N(Berechnung!Y26))*N(Berechnung!C26))</f>
        <v/>
      </c>
      <c r="L26" s="58">
        <f>IF($B26="","",(N(Berechnung!M26)+N(Berechnung!Z26))*N(Berechnung!C26))</f>
        <v/>
      </c>
      <c r="M26" s="58">
        <f>IF($B26="","",(N(Berechnung!N26)+N(Berechnung!AA26))*N(Berechnung!C26))</f>
        <v/>
      </c>
      <c r="N26" s="58">
        <f>IF($B26="","",(N(Berechnung!O26)+N(Berechnung!AB26))*N(Berechnung!C26))</f>
        <v/>
      </c>
      <c r="O26" s="65">
        <f>IF($B26="","",SUM(C26:N26))</f>
        <v/>
      </c>
      <c r="P26" s="57">
        <f>'KQuote Mitarbeiter'!E26</f>
        <v/>
      </c>
      <c r="Q26" s="66">
        <f>'KQuote Mitarbeiter'!L26</f>
        <v/>
      </c>
      <c r="R26" s="57">
        <f>'KQuote Mitarbeiter'!D26</f>
        <v/>
      </c>
      <c r="S26" s="66">
        <f>'KQuote Mitarbeiter'!K26</f>
        <v/>
      </c>
    </row>
    <row r="27">
      <c r="A27" s="47">
        <f>'KQuote Mitarbeiter'!A27</f>
        <v/>
      </c>
      <c r="B27" s="48">
        <f>'KQuote Mitarbeiter'!B27</f>
        <v/>
      </c>
      <c r="C27" s="58">
        <f>IF($B27="","",(N(Berechnung!D27)+N(Berechnung!Q27))*N(Berechnung!C27))</f>
        <v/>
      </c>
      <c r="D27" s="58">
        <f>IF($B27="","",(N(Berechnung!E27)+N(Berechnung!R27))*N(Berechnung!C27))</f>
        <v/>
      </c>
      <c r="E27" s="58">
        <f>IF($B27="","",(N(Berechnung!F27)+N(Berechnung!S27))*N(Berechnung!C27))</f>
        <v/>
      </c>
      <c r="F27" s="58">
        <f>IF($B27="","",(N(Berechnung!G27)+N(Berechnung!T27))*N(Berechnung!C27))</f>
        <v/>
      </c>
      <c r="G27" s="58">
        <f>IF($B27="","",(N(Berechnung!H27)+N(Berechnung!U27))*N(Berechnung!C27))</f>
        <v/>
      </c>
      <c r="H27" s="58">
        <f>IF($B27="","",(N(Berechnung!I27)+N(Berechnung!V27))*N(Berechnung!C27))</f>
        <v/>
      </c>
      <c r="I27" s="58">
        <f>IF($B27="","",(N(Berechnung!J27)+N(Berechnung!W27))*N(Berechnung!C27))</f>
        <v/>
      </c>
      <c r="J27" s="58">
        <f>IF($B27="","",(N(Berechnung!K27)+N(Berechnung!X27))*N(Berechnung!C27))</f>
        <v/>
      </c>
      <c r="K27" s="58">
        <f>IF($B27="","",(N(Berechnung!L27)+N(Berechnung!Y27))*N(Berechnung!C27))</f>
        <v/>
      </c>
      <c r="L27" s="58">
        <f>IF($B27="","",(N(Berechnung!M27)+N(Berechnung!Z27))*N(Berechnung!C27))</f>
        <v/>
      </c>
      <c r="M27" s="58">
        <f>IF($B27="","",(N(Berechnung!N27)+N(Berechnung!AA27))*N(Berechnung!C27))</f>
        <v/>
      </c>
      <c r="N27" s="58">
        <f>IF($B27="","",(N(Berechnung!O27)+N(Berechnung!AB27))*N(Berechnung!C27))</f>
        <v/>
      </c>
      <c r="O27" s="65">
        <f>IF($B27="","",SUM(C27:N27))</f>
        <v/>
      </c>
      <c r="P27" s="57">
        <f>'KQuote Mitarbeiter'!E27</f>
        <v/>
      </c>
      <c r="Q27" s="66">
        <f>'KQuote Mitarbeiter'!L27</f>
        <v/>
      </c>
      <c r="R27" s="57">
        <f>'KQuote Mitarbeiter'!D27</f>
        <v/>
      </c>
      <c r="S27" s="66">
        <f>'KQuote Mitarbeiter'!K27</f>
        <v/>
      </c>
    </row>
    <row r="28">
      <c r="A28" s="47">
        <f>'KQuote Mitarbeiter'!A28</f>
        <v/>
      </c>
      <c r="B28" s="48">
        <f>'KQuote Mitarbeiter'!B28</f>
        <v/>
      </c>
      <c r="C28" s="58">
        <f>IF($B28="","",(N(Berechnung!D28)+N(Berechnung!Q28))*N(Berechnung!C28))</f>
        <v/>
      </c>
      <c r="D28" s="58">
        <f>IF($B28="","",(N(Berechnung!E28)+N(Berechnung!R28))*N(Berechnung!C28))</f>
        <v/>
      </c>
      <c r="E28" s="58">
        <f>IF($B28="","",(N(Berechnung!F28)+N(Berechnung!S28))*N(Berechnung!C28))</f>
        <v/>
      </c>
      <c r="F28" s="58">
        <f>IF($B28="","",(N(Berechnung!G28)+N(Berechnung!T28))*N(Berechnung!C28))</f>
        <v/>
      </c>
      <c r="G28" s="58">
        <f>IF($B28="","",(N(Berechnung!H28)+N(Berechnung!U28))*N(Berechnung!C28))</f>
        <v/>
      </c>
      <c r="H28" s="58">
        <f>IF($B28="","",(N(Berechnung!I28)+N(Berechnung!V28))*N(Berechnung!C28))</f>
        <v/>
      </c>
      <c r="I28" s="58">
        <f>IF($B28="","",(N(Berechnung!J28)+N(Berechnung!W28))*N(Berechnung!C28))</f>
        <v/>
      </c>
      <c r="J28" s="58">
        <f>IF($B28="","",(N(Berechnung!K28)+N(Berechnung!X28))*N(Berechnung!C28))</f>
        <v/>
      </c>
      <c r="K28" s="58">
        <f>IF($B28="","",(N(Berechnung!L28)+N(Berechnung!Y28))*N(Berechnung!C28))</f>
        <v/>
      </c>
      <c r="L28" s="58">
        <f>IF($B28="","",(N(Berechnung!M28)+N(Berechnung!Z28))*N(Berechnung!C28))</f>
        <v/>
      </c>
      <c r="M28" s="58">
        <f>IF($B28="","",(N(Berechnung!N28)+N(Berechnung!AA28))*N(Berechnung!C28))</f>
        <v/>
      </c>
      <c r="N28" s="58">
        <f>IF($B28="","",(N(Berechnung!O28)+N(Berechnung!AB28))*N(Berechnung!C28))</f>
        <v/>
      </c>
      <c r="O28" s="65">
        <f>IF($B28="","",SUM(C28:N28))</f>
        <v/>
      </c>
      <c r="P28" s="57">
        <f>'KQuote Mitarbeiter'!E28</f>
        <v/>
      </c>
      <c r="Q28" s="66">
        <f>'KQuote Mitarbeiter'!L28</f>
        <v/>
      </c>
      <c r="R28" s="57">
        <f>'KQuote Mitarbeiter'!D28</f>
        <v/>
      </c>
      <c r="S28" s="66">
        <f>'KQuote Mitarbeiter'!K28</f>
        <v/>
      </c>
    </row>
    <row r="29">
      <c r="A29" s="47">
        <f>'KQuote Mitarbeiter'!A29</f>
        <v/>
      </c>
      <c r="B29" s="48">
        <f>'KQuote Mitarbeiter'!B29</f>
        <v/>
      </c>
      <c r="C29" s="58">
        <f>IF($B29="","",(N(Berechnung!D29)+N(Berechnung!Q29))*N(Berechnung!C29))</f>
        <v/>
      </c>
      <c r="D29" s="58">
        <f>IF($B29="","",(N(Berechnung!E29)+N(Berechnung!R29))*N(Berechnung!C29))</f>
        <v/>
      </c>
      <c r="E29" s="58">
        <f>IF($B29="","",(N(Berechnung!F29)+N(Berechnung!S29))*N(Berechnung!C29))</f>
        <v/>
      </c>
      <c r="F29" s="58">
        <f>IF($B29="","",(N(Berechnung!G29)+N(Berechnung!T29))*N(Berechnung!C29))</f>
        <v/>
      </c>
      <c r="G29" s="58">
        <f>IF($B29="","",(N(Berechnung!H29)+N(Berechnung!U29))*N(Berechnung!C29))</f>
        <v/>
      </c>
      <c r="H29" s="58">
        <f>IF($B29="","",(N(Berechnung!I29)+N(Berechnung!V29))*N(Berechnung!C29))</f>
        <v/>
      </c>
      <c r="I29" s="58">
        <f>IF($B29="","",(N(Berechnung!J29)+N(Berechnung!W29))*N(Berechnung!C29))</f>
        <v/>
      </c>
      <c r="J29" s="58">
        <f>IF($B29="","",(N(Berechnung!K29)+N(Berechnung!X29))*N(Berechnung!C29))</f>
        <v/>
      </c>
      <c r="K29" s="58">
        <f>IF($B29="","",(N(Berechnung!L29)+N(Berechnung!Y29))*N(Berechnung!C29))</f>
        <v/>
      </c>
      <c r="L29" s="58">
        <f>IF($B29="","",(N(Berechnung!M29)+N(Berechnung!Z29))*N(Berechnung!C29))</f>
        <v/>
      </c>
      <c r="M29" s="58">
        <f>IF($B29="","",(N(Berechnung!N29)+N(Berechnung!AA29))*N(Berechnung!C29))</f>
        <v/>
      </c>
      <c r="N29" s="58">
        <f>IF($B29="","",(N(Berechnung!O29)+N(Berechnung!AB29))*N(Berechnung!C29))</f>
        <v/>
      </c>
      <c r="O29" s="65">
        <f>IF($B29="","",SUM(C29:N29))</f>
        <v/>
      </c>
      <c r="P29" s="57">
        <f>'KQuote Mitarbeiter'!E29</f>
        <v/>
      </c>
      <c r="Q29" s="66">
        <f>'KQuote Mitarbeiter'!L29</f>
        <v/>
      </c>
      <c r="R29" s="57">
        <f>'KQuote Mitarbeiter'!D29</f>
        <v/>
      </c>
      <c r="S29" s="66">
        <f>'KQuote Mitarbeiter'!K29</f>
        <v/>
      </c>
    </row>
    <row r="30">
      <c r="A30" s="47">
        <f>'KQuote Mitarbeiter'!A30</f>
        <v/>
      </c>
      <c r="B30" s="48">
        <f>'KQuote Mitarbeiter'!B30</f>
        <v/>
      </c>
      <c r="C30" s="58">
        <f>IF($B30="","",(N(Berechnung!D30)+N(Berechnung!Q30))*N(Berechnung!C30))</f>
        <v/>
      </c>
      <c r="D30" s="58">
        <f>IF($B30="","",(N(Berechnung!E30)+N(Berechnung!R30))*N(Berechnung!C30))</f>
        <v/>
      </c>
      <c r="E30" s="58">
        <f>IF($B30="","",(N(Berechnung!F30)+N(Berechnung!S30))*N(Berechnung!C30))</f>
        <v/>
      </c>
      <c r="F30" s="58">
        <f>IF($B30="","",(N(Berechnung!G30)+N(Berechnung!T30))*N(Berechnung!C30))</f>
        <v/>
      </c>
      <c r="G30" s="58">
        <f>IF($B30="","",(N(Berechnung!H30)+N(Berechnung!U30))*N(Berechnung!C30))</f>
        <v/>
      </c>
      <c r="H30" s="58">
        <f>IF($B30="","",(N(Berechnung!I30)+N(Berechnung!V30))*N(Berechnung!C30))</f>
        <v/>
      </c>
      <c r="I30" s="58">
        <f>IF($B30="","",(N(Berechnung!J30)+N(Berechnung!W30))*N(Berechnung!C30))</f>
        <v/>
      </c>
      <c r="J30" s="58">
        <f>IF($B30="","",(N(Berechnung!K30)+N(Berechnung!X30))*N(Berechnung!C30))</f>
        <v/>
      </c>
      <c r="K30" s="58">
        <f>IF($B30="","",(N(Berechnung!L30)+N(Berechnung!Y30))*N(Berechnung!C30))</f>
        <v/>
      </c>
      <c r="L30" s="58">
        <f>IF($B30="","",(N(Berechnung!M30)+N(Berechnung!Z30))*N(Berechnung!C30))</f>
        <v/>
      </c>
      <c r="M30" s="58">
        <f>IF($B30="","",(N(Berechnung!N30)+N(Berechnung!AA30))*N(Berechnung!C30))</f>
        <v/>
      </c>
      <c r="N30" s="58">
        <f>IF($B30="","",(N(Berechnung!O30)+N(Berechnung!AB30))*N(Berechnung!C30))</f>
        <v/>
      </c>
      <c r="O30" s="65">
        <f>IF($B30="","",SUM(C30:N30))</f>
        <v/>
      </c>
      <c r="P30" s="57">
        <f>'KQuote Mitarbeiter'!E30</f>
        <v/>
      </c>
      <c r="Q30" s="66">
        <f>'KQuote Mitarbeiter'!L30</f>
        <v/>
      </c>
      <c r="R30" s="57">
        <f>'KQuote Mitarbeiter'!D30</f>
        <v/>
      </c>
      <c r="S30" s="66">
        <f>'KQuote Mitarbeiter'!K30</f>
        <v/>
      </c>
    </row>
    <row r="31">
      <c r="A31" s="47">
        <f>'KQuote Mitarbeiter'!A31</f>
        <v/>
      </c>
      <c r="B31" s="48">
        <f>'KQuote Mitarbeiter'!B31</f>
        <v/>
      </c>
      <c r="C31" s="58">
        <f>IF($B31="","",(N(Berechnung!D31)+N(Berechnung!Q31))*N(Berechnung!C31))</f>
        <v/>
      </c>
      <c r="D31" s="58">
        <f>IF($B31="","",(N(Berechnung!E31)+N(Berechnung!R31))*N(Berechnung!C31))</f>
        <v/>
      </c>
      <c r="E31" s="58">
        <f>IF($B31="","",(N(Berechnung!F31)+N(Berechnung!S31))*N(Berechnung!C31))</f>
        <v/>
      </c>
      <c r="F31" s="58">
        <f>IF($B31="","",(N(Berechnung!G31)+N(Berechnung!T31))*N(Berechnung!C31))</f>
        <v/>
      </c>
      <c r="G31" s="58">
        <f>IF($B31="","",(N(Berechnung!H31)+N(Berechnung!U31))*N(Berechnung!C31))</f>
        <v/>
      </c>
      <c r="H31" s="58">
        <f>IF($B31="","",(N(Berechnung!I31)+N(Berechnung!V31))*N(Berechnung!C31))</f>
        <v/>
      </c>
      <c r="I31" s="58">
        <f>IF($B31="","",(N(Berechnung!J31)+N(Berechnung!W31))*N(Berechnung!C31))</f>
        <v/>
      </c>
      <c r="J31" s="58">
        <f>IF($B31="","",(N(Berechnung!K31)+N(Berechnung!X31))*N(Berechnung!C31))</f>
        <v/>
      </c>
      <c r="K31" s="58">
        <f>IF($B31="","",(N(Berechnung!L31)+N(Berechnung!Y31))*N(Berechnung!C31))</f>
        <v/>
      </c>
      <c r="L31" s="58">
        <f>IF($B31="","",(N(Berechnung!M31)+N(Berechnung!Z31))*N(Berechnung!C31))</f>
        <v/>
      </c>
      <c r="M31" s="58">
        <f>IF($B31="","",(N(Berechnung!N31)+N(Berechnung!AA31))*N(Berechnung!C31))</f>
        <v/>
      </c>
      <c r="N31" s="58">
        <f>IF($B31="","",(N(Berechnung!O31)+N(Berechnung!AB31))*N(Berechnung!C31))</f>
        <v/>
      </c>
      <c r="O31" s="65">
        <f>IF($B31="","",SUM(C31:N31))</f>
        <v/>
      </c>
      <c r="P31" s="57">
        <f>'KQuote Mitarbeiter'!E31</f>
        <v/>
      </c>
      <c r="Q31" s="66">
        <f>'KQuote Mitarbeiter'!L31</f>
        <v/>
      </c>
      <c r="R31" s="57">
        <f>'KQuote Mitarbeiter'!D31</f>
        <v/>
      </c>
      <c r="S31" s="66">
        <f>'KQuote Mitarbeiter'!K31</f>
        <v/>
      </c>
    </row>
    <row r="32">
      <c r="A32" s="47">
        <f>'KQuote Mitarbeiter'!A32</f>
        <v/>
      </c>
      <c r="B32" s="48">
        <f>'KQuote Mitarbeiter'!B32</f>
        <v/>
      </c>
      <c r="C32" s="58">
        <f>IF($B32="","",(N(Berechnung!D32)+N(Berechnung!Q32))*N(Berechnung!C32))</f>
        <v/>
      </c>
      <c r="D32" s="58">
        <f>IF($B32="","",(N(Berechnung!E32)+N(Berechnung!R32))*N(Berechnung!C32))</f>
        <v/>
      </c>
      <c r="E32" s="58">
        <f>IF($B32="","",(N(Berechnung!F32)+N(Berechnung!S32))*N(Berechnung!C32))</f>
        <v/>
      </c>
      <c r="F32" s="58">
        <f>IF($B32="","",(N(Berechnung!G32)+N(Berechnung!T32))*N(Berechnung!C32))</f>
        <v/>
      </c>
      <c r="G32" s="58">
        <f>IF($B32="","",(N(Berechnung!H32)+N(Berechnung!U32))*N(Berechnung!C32))</f>
        <v/>
      </c>
      <c r="H32" s="58">
        <f>IF($B32="","",(N(Berechnung!I32)+N(Berechnung!V32))*N(Berechnung!C32))</f>
        <v/>
      </c>
      <c r="I32" s="58">
        <f>IF($B32="","",(N(Berechnung!J32)+N(Berechnung!W32))*N(Berechnung!C32))</f>
        <v/>
      </c>
      <c r="J32" s="58">
        <f>IF($B32="","",(N(Berechnung!K32)+N(Berechnung!X32))*N(Berechnung!C32))</f>
        <v/>
      </c>
      <c r="K32" s="58">
        <f>IF($B32="","",(N(Berechnung!L32)+N(Berechnung!Y32))*N(Berechnung!C32))</f>
        <v/>
      </c>
      <c r="L32" s="58">
        <f>IF($B32="","",(N(Berechnung!M32)+N(Berechnung!Z32))*N(Berechnung!C32))</f>
        <v/>
      </c>
      <c r="M32" s="58">
        <f>IF($B32="","",(N(Berechnung!N32)+N(Berechnung!AA32))*N(Berechnung!C32))</f>
        <v/>
      </c>
      <c r="N32" s="58">
        <f>IF($B32="","",(N(Berechnung!O32)+N(Berechnung!AB32))*N(Berechnung!C32))</f>
        <v/>
      </c>
      <c r="O32" s="65">
        <f>IF($B32="","",SUM(C32:N32))</f>
        <v/>
      </c>
      <c r="P32" s="57">
        <f>'KQuote Mitarbeiter'!E32</f>
        <v/>
      </c>
      <c r="Q32" s="66">
        <f>'KQuote Mitarbeiter'!L32</f>
        <v/>
      </c>
      <c r="R32" s="57">
        <f>'KQuote Mitarbeiter'!D32</f>
        <v/>
      </c>
      <c r="S32" s="66">
        <f>'KQuote Mitarbeiter'!K32</f>
        <v/>
      </c>
    </row>
    <row r="33">
      <c r="A33" s="47">
        <f>'KQuote Mitarbeiter'!A33</f>
        <v/>
      </c>
      <c r="B33" s="48">
        <f>'KQuote Mitarbeiter'!B33</f>
        <v/>
      </c>
      <c r="C33" s="58">
        <f>IF($B33="","",(N(Berechnung!D33)+N(Berechnung!Q33))*N(Berechnung!C33))</f>
        <v/>
      </c>
      <c r="D33" s="58">
        <f>IF($B33="","",(N(Berechnung!E33)+N(Berechnung!R33))*N(Berechnung!C33))</f>
        <v/>
      </c>
      <c r="E33" s="58">
        <f>IF($B33="","",(N(Berechnung!F33)+N(Berechnung!S33))*N(Berechnung!C33))</f>
        <v/>
      </c>
      <c r="F33" s="58">
        <f>IF($B33="","",(N(Berechnung!G33)+N(Berechnung!T33))*N(Berechnung!C33))</f>
        <v/>
      </c>
      <c r="G33" s="58">
        <f>IF($B33="","",(N(Berechnung!H33)+N(Berechnung!U33))*N(Berechnung!C33))</f>
        <v/>
      </c>
      <c r="H33" s="58">
        <f>IF($B33="","",(N(Berechnung!I33)+N(Berechnung!V33))*N(Berechnung!C33))</f>
        <v/>
      </c>
      <c r="I33" s="58">
        <f>IF($B33="","",(N(Berechnung!J33)+N(Berechnung!W33))*N(Berechnung!C33))</f>
        <v/>
      </c>
      <c r="J33" s="58">
        <f>IF($B33="","",(N(Berechnung!K33)+N(Berechnung!X33))*N(Berechnung!C33))</f>
        <v/>
      </c>
      <c r="K33" s="58">
        <f>IF($B33="","",(N(Berechnung!L33)+N(Berechnung!Y33))*N(Berechnung!C33))</f>
        <v/>
      </c>
      <c r="L33" s="58">
        <f>IF($B33="","",(N(Berechnung!M33)+N(Berechnung!Z33))*N(Berechnung!C33))</f>
        <v/>
      </c>
      <c r="M33" s="58">
        <f>IF($B33="","",(N(Berechnung!N33)+N(Berechnung!AA33))*N(Berechnung!C33))</f>
        <v/>
      </c>
      <c r="N33" s="58">
        <f>IF($B33="","",(N(Berechnung!O33)+N(Berechnung!AB33))*N(Berechnung!C33))</f>
        <v/>
      </c>
      <c r="O33" s="65">
        <f>IF($B33="","",SUM(C33:N33))</f>
        <v/>
      </c>
      <c r="P33" s="57">
        <f>'KQuote Mitarbeiter'!E33</f>
        <v/>
      </c>
      <c r="Q33" s="66">
        <f>'KQuote Mitarbeiter'!L33</f>
        <v/>
      </c>
      <c r="R33" s="57">
        <f>'KQuote Mitarbeiter'!D33</f>
        <v/>
      </c>
      <c r="S33" s="66">
        <f>'KQuote Mitarbeiter'!K33</f>
        <v/>
      </c>
    </row>
    <row r="34">
      <c r="A34" s="47">
        <f>'KQuote Mitarbeiter'!A34</f>
        <v/>
      </c>
      <c r="B34" s="48">
        <f>'KQuote Mitarbeiter'!B34</f>
        <v/>
      </c>
      <c r="C34" s="58">
        <f>IF($B34="","",(N(Berechnung!D34)+N(Berechnung!Q34))*N(Berechnung!C34))</f>
        <v/>
      </c>
      <c r="D34" s="58">
        <f>IF($B34="","",(N(Berechnung!E34)+N(Berechnung!R34))*N(Berechnung!C34))</f>
        <v/>
      </c>
      <c r="E34" s="58">
        <f>IF($B34="","",(N(Berechnung!F34)+N(Berechnung!S34))*N(Berechnung!C34))</f>
        <v/>
      </c>
      <c r="F34" s="58">
        <f>IF($B34="","",(N(Berechnung!G34)+N(Berechnung!T34))*N(Berechnung!C34))</f>
        <v/>
      </c>
      <c r="G34" s="58">
        <f>IF($B34="","",(N(Berechnung!H34)+N(Berechnung!U34))*N(Berechnung!C34))</f>
        <v/>
      </c>
      <c r="H34" s="58">
        <f>IF($B34="","",(N(Berechnung!I34)+N(Berechnung!V34))*N(Berechnung!C34))</f>
        <v/>
      </c>
      <c r="I34" s="58">
        <f>IF($B34="","",(N(Berechnung!J34)+N(Berechnung!W34))*N(Berechnung!C34))</f>
        <v/>
      </c>
      <c r="J34" s="58">
        <f>IF($B34="","",(N(Berechnung!K34)+N(Berechnung!X34))*N(Berechnung!C34))</f>
        <v/>
      </c>
      <c r="K34" s="58">
        <f>IF($B34="","",(N(Berechnung!L34)+N(Berechnung!Y34))*N(Berechnung!C34))</f>
        <v/>
      </c>
      <c r="L34" s="58">
        <f>IF($B34="","",(N(Berechnung!M34)+N(Berechnung!Z34))*N(Berechnung!C34))</f>
        <v/>
      </c>
      <c r="M34" s="58">
        <f>IF($B34="","",(N(Berechnung!N34)+N(Berechnung!AA34))*N(Berechnung!C34))</f>
        <v/>
      </c>
      <c r="N34" s="58">
        <f>IF($B34="","",(N(Berechnung!O34)+N(Berechnung!AB34))*N(Berechnung!C34))</f>
        <v/>
      </c>
      <c r="O34" s="65">
        <f>IF($B34="","",SUM(C34:N34))</f>
        <v/>
      </c>
      <c r="P34" s="57">
        <f>'KQuote Mitarbeiter'!E34</f>
        <v/>
      </c>
      <c r="Q34" s="66">
        <f>'KQuote Mitarbeiter'!L34</f>
        <v/>
      </c>
      <c r="R34" s="57">
        <f>'KQuote Mitarbeiter'!D34</f>
        <v/>
      </c>
      <c r="S34" s="66">
        <f>'KQuote Mitarbeiter'!K34</f>
        <v/>
      </c>
    </row>
    <row r="35">
      <c r="A35" s="47">
        <f>'KQuote Mitarbeiter'!A35</f>
        <v/>
      </c>
      <c r="B35" s="48">
        <f>'KQuote Mitarbeiter'!B35</f>
        <v/>
      </c>
      <c r="C35" s="58">
        <f>IF($B35="","",(N(Berechnung!D35)+N(Berechnung!Q35))*N(Berechnung!C35))</f>
        <v/>
      </c>
      <c r="D35" s="58">
        <f>IF($B35="","",(N(Berechnung!E35)+N(Berechnung!R35))*N(Berechnung!C35))</f>
        <v/>
      </c>
      <c r="E35" s="58">
        <f>IF($B35="","",(N(Berechnung!F35)+N(Berechnung!S35))*N(Berechnung!C35))</f>
        <v/>
      </c>
      <c r="F35" s="58">
        <f>IF($B35="","",(N(Berechnung!G35)+N(Berechnung!T35))*N(Berechnung!C35))</f>
        <v/>
      </c>
      <c r="G35" s="58">
        <f>IF($B35="","",(N(Berechnung!H35)+N(Berechnung!U35))*N(Berechnung!C35))</f>
        <v/>
      </c>
      <c r="H35" s="58">
        <f>IF($B35="","",(N(Berechnung!I35)+N(Berechnung!V35))*N(Berechnung!C35))</f>
        <v/>
      </c>
      <c r="I35" s="58">
        <f>IF($B35="","",(N(Berechnung!J35)+N(Berechnung!W35))*N(Berechnung!C35))</f>
        <v/>
      </c>
      <c r="J35" s="58">
        <f>IF($B35="","",(N(Berechnung!K35)+N(Berechnung!X35))*N(Berechnung!C35))</f>
        <v/>
      </c>
      <c r="K35" s="58">
        <f>IF($B35="","",(N(Berechnung!L35)+N(Berechnung!Y35))*N(Berechnung!C35))</f>
        <v/>
      </c>
      <c r="L35" s="58">
        <f>IF($B35="","",(N(Berechnung!M35)+N(Berechnung!Z35))*N(Berechnung!C35))</f>
        <v/>
      </c>
      <c r="M35" s="58">
        <f>IF($B35="","",(N(Berechnung!N35)+N(Berechnung!AA35))*N(Berechnung!C35))</f>
        <v/>
      </c>
      <c r="N35" s="58">
        <f>IF($B35="","",(N(Berechnung!O35)+N(Berechnung!AB35))*N(Berechnung!C35))</f>
        <v/>
      </c>
      <c r="O35" s="65">
        <f>IF($B35="","",SUM(C35:N35))</f>
        <v/>
      </c>
      <c r="P35" s="57">
        <f>'KQuote Mitarbeiter'!E35</f>
        <v/>
      </c>
      <c r="Q35" s="66">
        <f>'KQuote Mitarbeiter'!L35</f>
        <v/>
      </c>
      <c r="R35" s="57">
        <f>'KQuote Mitarbeiter'!D35</f>
        <v/>
      </c>
      <c r="S35" s="66">
        <f>'KQuote Mitarbeiter'!K35</f>
        <v/>
      </c>
    </row>
    <row r="36">
      <c r="A36" s="47">
        <f>'KQuote Mitarbeiter'!A36</f>
        <v/>
      </c>
      <c r="B36" s="48">
        <f>'KQuote Mitarbeiter'!B36</f>
        <v/>
      </c>
      <c r="C36" s="58">
        <f>IF($B36="","",(N(Berechnung!D36)+N(Berechnung!Q36))*N(Berechnung!C36))</f>
        <v/>
      </c>
      <c r="D36" s="58">
        <f>IF($B36="","",(N(Berechnung!E36)+N(Berechnung!R36))*N(Berechnung!C36))</f>
        <v/>
      </c>
      <c r="E36" s="58">
        <f>IF($B36="","",(N(Berechnung!F36)+N(Berechnung!S36))*N(Berechnung!C36))</f>
        <v/>
      </c>
      <c r="F36" s="58">
        <f>IF($B36="","",(N(Berechnung!G36)+N(Berechnung!T36))*N(Berechnung!C36))</f>
        <v/>
      </c>
      <c r="G36" s="58">
        <f>IF($B36="","",(N(Berechnung!H36)+N(Berechnung!U36))*N(Berechnung!C36))</f>
        <v/>
      </c>
      <c r="H36" s="58">
        <f>IF($B36="","",(N(Berechnung!I36)+N(Berechnung!V36))*N(Berechnung!C36))</f>
        <v/>
      </c>
      <c r="I36" s="58">
        <f>IF($B36="","",(N(Berechnung!J36)+N(Berechnung!W36))*N(Berechnung!C36))</f>
        <v/>
      </c>
      <c r="J36" s="58">
        <f>IF($B36="","",(N(Berechnung!K36)+N(Berechnung!X36))*N(Berechnung!C36))</f>
        <v/>
      </c>
      <c r="K36" s="58">
        <f>IF($B36="","",(N(Berechnung!L36)+N(Berechnung!Y36))*N(Berechnung!C36))</f>
        <v/>
      </c>
      <c r="L36" s="58">
        <f>IF($B36="","",(N(Berechnung!M36)+N(Berechnung!Z36))*N(Berechnung!C36))</f>
        <v/>
      </c>
      <c r="M36" s="58">
        <f>IF($B36="","",(N(Berechnung!N36)+N(Berechnung!AA36))*N(Berechnung!C36))</f>
        <v/>
      </c>
      <c r="N36" s="58">
        <f>IF($B36="","",(N(Berechnung!O36)+N(Berechnung!AB36))*N(Berechnung!C36))</f>
        <v/>
      </c>
      <c r="O36" s="65">
        <f>IF($B36="","",SUM(C36:N36))</f>
        <v/>
      </c>
      <c r="P36" s="57">
        <f>'KQuote Mitarbeiter'!E36</f>
        <v/>
      </c>
      <c r="Q36" s="66">
        <f>'KQuote Mitarbeiter'!L36</f>
        <v/>
      </c>
      <c r="R36" s="57">
        <f>'KQuote Mitarbeiter'!D36</f>
        <v/>
      </c>
      <c r="S36" s="66">
        <f>'KQuote Mitarbeiter'!K36</f>
        <v/>
      </c>
    </row>
    <row r="37">
      <c r="A37" s="47">
        <f>'KQuote Mitarbeiter'!A37</f>
        <v/>
      </c>
      <c r="B37" s="48">
        <f>'KQuote Mitarbeiter'!B37</f>
        <v/>
      </c>
      <c r="C37" s="58">
        <f>IF($B37="","",(N(Berechnung!D37)+N(Berechnung!Q37))*N(Berechnung!C37))</f>
        <v/>
      </c>
      <c r="D37" s="58">
        <f>IF($B37="","",(N(Berechnung!E37)+N(Berechnung!R37))*N(Berechnung!C37))</f>
        <v/>
      </c>
      <c r="E37" s="58">
        <f>IF($B37="","",(N(Berechnung!F37)+N(Berechnung!S37))*N(Berechnung!C37))</f>
        <v/>
      </c>
      <c r="F37" s="58">
        <f>IF($B37="","",(N(Berechnung!G37)+N(Berechnung!T37))*N(Berechnung!C37))</f>
        <v/>
      </c>
      <c r="G37" s="58">
        <f>IF($B37="","",(N(Berechnung!H37)+N(Berechnung!U37))*N(Berechnung!C37))</f>
        <v/>
      </c>
      <c r="H37" s="58">
        <f>IF($B37="","",(N(Berechnung!I37)+N(Berechnung!V37))*N(Berechnung!C37))</f>
        <v/>
      </c>
      <c r="I37" s="58">
        <f>IF($B37="","",(N(Berechnung!J37)+N(Berechnung!W37))*N(Berechnung!C37))</f>
        <v/>
      </c>
      <c r="J37" s="58">
        <f>IF($B37="","",(N(Berechnung!K37)+N(Berechnung!X37))*N(Berechnung!C37))</f>
        <v/>
      </c>
      <c r="K37" s="58">
        <f>IF($B37="","",(N(Berechnung!L37)+N(Berechnung!Y37))*N(Berechnung!C37))</f>
        <v/>
      </c>
      <c r="L37" s="58">
        <f>IF($B37="","",(N(Berechnung!M37)+N(Berechnung!Z37))*N(Berechnung!C37))</f>
        <v/>
      </c>
      <c r="M37" s="58">
        <f>IF($B37="","",(N(Berechnung!N37)+N(Berechnung!AA37))*N(Berechnung!C37))</f>
        <v/>
      </c>
      <c r="N37" s="58">
        <f>IF($B37="","",(N(Berechnung!O37)+N(Berechnung!AB37))*N(Berechnung!C37))</f>
        <v/>
      </c>
      <c r="O37" s="65">
        <f>IF($B37="","",SUM(C37:N37))</f>
        <v/>
      </c>
      <c r="P37" s="57">
        <f>'KQuote Mitarbeiter'!E37</f>
        <v/>
      </c>
      <c r="Q37" s="66">
        <f>'KQuote Mitarbeiter'!L37</f>
        <v/>
      </c>
      <c r="R37" s="57">
        <f>'KQuote Mitarbeiter'!D37</f>
        <v/>
      </c>
      <c r="S37" s="66">
        <f>'KQuote Mitarbeiter'!K37</f>
        <v/>
      </c>
    </row>
    <row r="38">
      <c r="A38" s="47">
        <f>'KQuote Mitarbeiter'!A38</f>
        <v/>
      </c>
      <c r="B38" s="48">
        <f>'KQuote Mitarbeiter'!B38</f>
        <v/>
      </c>
      <c r="C38" s="58">
        <f>IF($B38="","",(N(Berechnung!D38)+N(Berechnung!Q38))*N(Berechnung!C38))</f>
        <v/>
      </c>
      <c r="D38" s="58">
        <f>IF($B38="","",(N(Berechnung!E38)+N(Berechnung!R38))*N(Berechnung!C38))</f>
        <v/>
      </c>
      <c r="E38" s="58">
        <f>IF($B38="","",(N(Berechnung!F38)+N(Berechnung!S38))*N(Berechnung!C38))</f>
        <v/>
      </c>
      <c r="F38" s="58">
        <f>IF($B38="","",(N(Berechnung!G38)+N(Berechnung!T38))*N(Berechnung!C38))</f>
        <v/>
      </c>
      <c r="G38" s="58">
        <f>IF($B38="","",(N(Berechnung!H38)+N(Berechnung!U38))*N(Berechnung!C38))</f>
        <v/>
      </c>
      <c r="H38" s="58">
        <f>IF($B38="","",(N(Berechnung!I38)+N(Berechnung!V38))*N(Berechnung!C38))</f>
        <v/>
      </c>
      <c r="I38" s="58">
        <f>IF($B38="","",(N(Berechnung!J38)+N(Berechnung!W38))*N(Berechnung!C38))</f>
        <v/>
      </c>
      <c r="J38" s="58">
        <f>IF($B38="","",(N(Berechnung!K38)+N(Berechnung!X38))*N(Berechnung!C38))</f>
        <v/>
      </c>
      <c r="K38" s="58">
        <f>IF($B38="","",(N(Berechnung!L38)+N(Berechnung!Y38))*N(Berechnung!C38))</f>
        <v/>
      </c>
      <c r="L38" s="58">
        <f>IF($B38="","",(N(Berechnung!M38)+N(Berechnung!Z38))*N(Berechnung!C38))</f>
        <v/>
      </c>
      <c r="M38" s="58">
        <f>IF($B38="","",(N(Berechnung!N38)+N(Berechnung!AA38))*N(Berechnung!C38))</f>
        <v/>
      </c>
      <c r="N38" s="58">
        <f>IF($B38="","",(N(Berechnung!O38)+N(Berechnung!AB38))*N(Berechnung!C38))</f>
        <v/>
      </c>
      <c r="O38" s="65">
        <f>IF($B38="","",SUM(C38:N38))</f>
        <v/>
      </c>
      <c r="P38" s="57">
        <f>'KQuote Mitarbeiter'!E38</f>
        <v/>
      </c>
      <c r="Q38" s="66">
        <f>'KQuote Mitarbeiter'!L38</f>
        <v/>
      </c>
      <c r="R38" s="57">
        <f>'KQuote Mitarbeiter'!D38</f>
        <v/>
      </c>
      <c r="S38" s="66">
        <f>'KQuote Mitarbeiter'!K38</f>
        <v/>
      </c>
    </row>
    <row r="39">
      <c r="A39" s="47">
        <f>'KQuote Mitarbeiter'!A39</f>
        <v/>
      </c>
      <c r="B39" s="48">
        <f>'KQuote Mitarbeiter'!B39</f>
        <v/>
      </c>
      <c r="C39" s="58">
        <f>IF($B39="","",(N(Berechnung!D39)+N(Berechnung!Q39))*N(Berechnung!C39))</f>
        <v/>
      </c>
      <c r="D39" s="58">
        <f>IF($B39="","",(N(Berechnung!E39)+N(Berechnung!R39))*N(Berechnung!C39))</f>
        <v/>
      </c>
      <c r="E39" s="58">
        <f>IF($B39="","",(N(Berechnung!F39)+N(Berechnung!S39))*N(Berechnung!C39))</f>
        <v/>
      </c>
      <c r="F39" s="58">
        <f>IF($B39="","",(N(Berechnung!G39)+N(Berechnung!T39))*N(Berechnung!C39))</f>
        <v/>
      </c>
      <c r="G39" s="58">
        <f>IF($B39="","",(N(Berechnung!H39)+N(Berechnung!U39))*N(Berechnung!C39))</f>
        <v/>
      </c>
      <c r="H39" s="58">
        <f>IF($B39="","",(N(Berechnung!I39)+N(Berechnung!V39))*N(Berechnung!C39))</f>
        <v/>
      </c>
      <c r="I39" s="58">
        <f>IF($B39="","",(N(Berechnung!J39)+N(Berechnung!W39))*N(Berechnung!C39))</f>
        <v/>
      </c>
      <c r="J39" s="58">
        <f>IF($B39="","",(N(Berechnung!K39)+N(Berechnung!X39))*N(Berechnung!C39))</f>
        <v/>
      </c>
      <c r="K39" s="58">
        <f>IF($B39="","",(N(Berechnung!L39)+N(Berechnung!Y39))*N(Berechnung!C39))</f>
        <v/>
      </c>
      <c r="L39" s="58">
        <f>IF($B39="","",(N(Berechnung!M39)+N(Berechnung!Z39))*N(Berechnung!C39))</f>
        <v/>
      </c>
      <c r="M39" s="58">
        <f>IF($B39="","",(N(Berechnung!N39)+N(Berechnung!AA39))*N(Berechnung!C39))</f>
        <v/>
      </c>
      <c r="N39" s="58">
        <f>IF($B39="","",(N(Berechnung!O39)+N(Berechnung!AB39))*N(Berechnung!C39))</f>
        <v/>
      </c>
      <c r="O39" s="65">
        <f>IF($B39="","",SUM(C39:N39))</f>
        <v/>
      </c>
      <c r="P39" s="57">
        <f>'KQuote Mitarbeiter'!E39</f>
        <v/>
      </c>
      <c r="Q39" s="66">
        <f>'KQuote Mitarbeiter'!L39</f>
        <v/>
      </c>
      <c r="R39" s="57">
        <f>'KQuote Mitarbeiter'!D39</f>
        <v/>
      </c>
      <c r="S39" s="66">
        <f>'KQuote Mitarbeiter'!K39</f>
        <v/>
      </c>
    </row>
    <row r="40">
      <c r="A40" s="47">
        <f>'KQuote Mitarbeiter'!A40</f>
        <v/>
      </c>
      <c r="B40" s="48">
        <f>'KQuote Mitarbeiter'!B40</f>
        <v/>
      </c>
      <c r="C40" s="58">
        <f>IF($B40="","",(N(Berechnung!D40)+N(Berechnung!Q40))*N(Berechnung!C40))</f>
        <v/>
      </c>
      <c r="D40" s="58">
        <f>IF($B40="","",(N(Berechnung!E40)+N(Berechnung!R40))*N(Berechnung!C40))</f>
        <v/>
      </c>
      <c r="E40" s="58">
        <f>IF($B40="","",(N(Berechnung!F40)+N(Berechnung!S40))*N(Berechnung!C40))</f>
        <v/>
      </c>
      <c r="F40" s="58">
        <f>IF($B40="","",(N(Berechnung!G40)+N(Berechnung!T40))*N(Berechnung!C40))</f>
        <v/>
      </c>
      <c r="G40" s="58">
        <f>IF($B40="","",(N(Berechnung!H40)+N(Berechnung!U40))*N(Berechnung!C40))</f>
        <v/>
      </c>
      <c r="H40" s="58">
        <f>IF($B40="","",(N(Berechnung!I40)+N(Berechnung!V40))*N(Berechnung!C40))</f>
        <v/>
      </c>
      <c r="I40" s="58">
        <f>IF($B40="","",(N(Berechnung!J40)+N(Berechnung!W40))*N(Berechnung!C40))</f>
        <v/>
      </c>
      <c r="J40" s="58">
        <f>IF($B40="","",(N(Berechnung!K40)+N(Berechnung!X40))*N(Berechnung!C40))</f>
        <v/>
      </c>
      <c r="K40" s="58">
        <f>IF($B40="","",(N(Berechnung!L40)+N(Berechnung!Y40))*N(Berechnung!C40))</f>
        <v/>
      </c>
      <c r="L40" s="58">
        <f>IF($B40="","",(N(Berechnung!M40)+N(Berechnung!Z40))*N(Berechnung!C40))</f>
        <v/>
      </c>
      <c r="M40" s="58">
        <f>IF($B40="","",(N(Berechnung!N40)+N(Berechnung!AA40))*N(Berechnung!C40))</f>
        <v/>
      </c>
      <c r="N40" s="58">
        <f>IF($B40="","",(N(Berechnung!O40)+N(Berechnung!AB40))*N(Berechnung!C40))</f>
        <v/>
      </c>
      <c r="O40" s="65">
        <f>IF($B40="","",SUM(C40:N40))</f>
        <v/>
      </c>
      <c r="P40" s="57">
        <f>'KQuote Mitarbeiter'!E40</f>
        <v/>
      </c>
      <c r="Q40" s="66">
        <f>'KQuote Mitarbeiter'!L40</f>
        <v/>
      </c>
      <c r="R40" s="57">
        <f>'KQuote Mitarbeiter'!D40</f>
        <v/>
      </c>
      <c r="S40" s="66">
        <f>'KQuote Mitarbeiter'!K40</f>
        <v/>
      </c>
    </row>
    <row r="41">
      <c r="A41" s="47">
        <f>'KQuote Mitarbeiter'!A41</f>
        <v/>
      </c>
      <c r="B41" s="48">
        <f>'KQuote Mitarbeiter'!B41</f>
        <v/>
      </c>
      <c r="C41" s="58">
        <f>IF($B41="","",(N(Berechnung!D41)+N(Berechnung!Q41))*N(Berechnung!C41))</f>
        <v/>
      </c>
      <c r="D41" s="58">
        <f>IF($B41="","",(N(Berechnung!E41)+N(Berechnung!R41))*N(Berechnung!C41))</f>
        <v/>
      </c>
      <c r="E41" s="58">
        <f>IF($B41="","",(N(Berechnung!F41)+N(Berechnung!S41))*N(Berechnung!C41))</f>
        <v/>
      </c>
      <c r="F41" s="58">
        <f>IF($B41="","",(N(Berechnung!G41)+N(Berechnung!T41))*N(Berechnung!C41))</f>
        <v/>
      </c>
      <c r="G41" s="58">
        <f>IF($B41="","",(N(Berechnung!H41)+N(Berechnung!U41))*N(Berechnung!C41))</f>
        <v/>
      </c>
      <c r="H41" s="58">
        <f>IF($B41="","",(N(Berechnung!I41)+N(Berechnung!V41))*N(Berechnung!C41))</f>
        <v/>
      </c>
      <c r="I41" s="58">
        <f>IF($B41="","",(N(Berechnung!J41)+N(Berechnung!W41))*N(Berechnung!C41))</f>
        <v/>
      </c>
      <c r="J41" s="58">
        <f>IF($B41="","",(N(Berechnung!K41)+N(Berechnung!X41))*N(Berechnung!C41))</f>
        <v/>
      </c>
      <c r="K41" s="58">
        <f>IF($B41="","",(N(Berechnung!L41)+N(Berechnung!Y41))*N(Berechnung!C41))</f>
        <v/>
      </c>
      <c r="L41" s="58">
        <f>IF($B41="","",(N(Berechnung!M41)+N(Berechnung!Z41))*N(Berechnung!C41))</f>
        <v/>
      </c>
      <c r="M41" s="58">
        <f>IF($B41="","",(N(Berechnung!N41)+N(Berechnung!AA41))*N(Berechnung!C41))</f>
        <v/>
      </c>
      <c r="N41" s="58">
        <f>IF($B41="","",(N(Berechnung!O41)+N(Berechnung!AB41))*N(Berechnung!C41))</f>
        <v/>
      </c>
      <c r="O41" s="65">
        <f>IF($B41="","",SUM(C41:N41))</f>
        <v/>
      </c>
      <c r="P41" s="57">
        <f>'KQuote Mitarbeiter'!E41</f>
        <v/>
      </c>
      <c r="Q41" s="66">
        <f>'KQuote Mitarbeiter'!L41</f>
        <v/>
      </c>
      <c r="R41" s="57">
        <f>'KQuote Mitarbeiter'!D41</f>
        <v/>
      </c>
      <c r="S41" s="66">
        <f>'KQuote Mitarbeiter'!K41</f>
        <v/>
      </c>
    </row>
    <row r="42">
      <c r="A42" s="47">
        <f>'KQuote Mitarbeiter'!A42</f>
        <v/>
      </c>
      <c r="B42" s="48">
        <f>'KQuote Mitarbeiter'!B42</f>
        <v/>
      </c>
      <c r="C42" s="58">
        <f>IF($B42="","",(N(Berechnung!D42)+N(Berechnung!Q42))*N(Berechnung!C42))</f>
        <v/>
      </c>
      <c r="D42" s="58">
        <f>IF($B42="","",(N(Berechnung!E42)+N(Berechnung!R42))*N(Berechnung!C42))</f>
        <v/>
      </c>
      <c r="E42" s="58">
        <f>IF($B42="","",(N(Berechnung!F42)+N(Berechnung!S42))*N(Berechnung!C42))</f>
        <v/>
      </c>
      <c r="F42" s="58">
        <f>IF($B42="","",(N(Berechnung!G42)+N(Berechnung!T42))*N(Berechnung!C42))</f>
        <v/>
      </c>
      <c r="G42" s="58">
        <f>IF($B42="","",(N(Berechnung!H42)+N(Berechnung!U42))*N(Berechnung!C42))</f>
        <v/>
      </c>
      <c r="H42" s="58">
        <f>IF($B42="","",(N(Berechnung!I42)+N(Berechnung!V42))*N(Berechnung!C42))</f>
        <v/>
      </c>
      <c r="I42" s="58">
        <f>IF($B42="","",(N(Berechnung!J42)+N(Berechnung!W42))*N(Berechnung!C42))</f>
        <v/>
      </c>
      <c r="J42" s="58">
        <f>IF($B42="","",(N(Berechnung!K42)+N(Berechnung!X42))*N(Berechnung!C42))</f>
        <v/>
      </c>
      <c r="K42" s="58">
        <f>IF($B42="","",(N(Berechnung!L42)+N(Berechnung!Y42))*N(Berechnung!C42))</f>
        <v/>
      </c>
      <c r="L42" s="58">
        <f>IF($B42="","",(N(Berechnung!M42)+N(Berechnung!Z42))*N(Berechnung!C42))</f>
        <v/>
      </c>
      <c r="M42" s="58">
        <f>IF($B42="","",(N(Berechnung!N42)+N(Berechnung!AA42))*N(Berechnung!C42))</f>
        <v/>
      </c>
      <c r="N42" s="58">
        <f>IF($B42="","",(N(Berechnung!O42)+N(Berechnung!AB42))*N(Berechnung!C42))</f>
        <v/>
      </c>
      <c r="O42" s="65">
        <f>IF($B42="","",SUM(C42:N42))</f>
        <v/>
      </c>
      <c r="P42" s="57">
        <f>'KQuote Mitarbeiter'!E42</f>
        <v/>
      </c>
      <c r="Q42" s="66">
        <f>'KQuote Mitarbeiter'!L42</f>
        <v/>
      </c>
      <c r="R42" s="57">
        <f>'KQuote Mitarbeiter'!D42</f>
        <v/>
      </c>
      <c r="S42" s="66">
        <f>'KQuote Mitarbeiter'!K42</f>
        <v/>
      </c>
    </row>
    <row r="43">
      <c r="A43" s="47">
        <f>'KQuote Mitarbeiter'!A43</f>
        <v/>
      </c>
      <c r="B43" s="48">
        <f>'KQuote Mitarbeiter'!B43</f>
        <v/>
      </c>
      <c r="C43" s="58">
        <f>IF($B43="","",(N(Berechnung!D43)+N(Berechnung!Q43))*N(Berechnung!C43))</f>
        <v/>
      </c>
      <c r="D43" s="58">
        <f>IF($B43="","",(N(Berechnung!E43)+N(Berechnung!R43))*N(Berechnung!C43))</f>
        <v/>
      </c>
      <c r="E43" s="58">
        <f>IF($B43="","",(N(Berechnung!F43)+N(Berechnung!S43))*N(Berechnung!C43))</f>
        <v/>
      </c>
      <c r="F43" s="58">
        <f>IF($B43="","",(N(Berechnung!G43)+N(Berechnung!T43))*N(Berechnung!C43))</f>
        <v/>
      </c>
      <c r="G43" s="58">
        <f>IF($B43="","",(N(Berechnung!H43)+N(Berechnung!U43))*N(Berechnung!C43))</f>
        <v/>
      </c>
      <c r="H43" s="58">
        <f>IF($B43="","",(N(Berechnung!I43)+N(Berechnung!V43))*N(Berechnung!C43))</f>
        <v/>
      </c>
      <c r="I43" s="58">
        <f>IF($B43="","",(N(Berechnung!J43)+N(Berechnung!W43))*N(Berechnung!C43))</f>
        <v/>
      </c>
      <c r="J43" s="58">
        <f>IF($B43="","",(N(Berechnung!K43)+N(Berechnung!X43))*N(Berechnung!C43))</f>
        <v/>
      </c>
      <c r="K43" s="58">
        <f>IF($B43="","",(N(Berechnung!L43)+N(Berechnung!Y43))*N(Berechnung!C43))</f>
        <v/>
      </c>
      <c r="L43" s="58">
        <f>IF($B43="","",(N(Berechnung!M43)+N(Berechnung!Z43))*N(Berechnung!C43))</f>
        <v/>
      </c>
      <c r="M43" s="58">
        <f>IF($B43="","",(N(Berechnung!N43)+N(Berechnung!AA43))*N(Berechnung!C43))</f>
        <v/>
      </c>
      <c r="N43" s="58">
        <f>IF($B43="","",(N(Berechnung!O43)+N(Berechnung!AB43))*N(Berechnung!C43))</f>
        <v/>
      </c>
      <c r="O43" s="65">
        <f>IF($B43="","",SUM(C43:N43))</f>
        <v/>
      </c>
      <c r="P43" s="57">
        <f>'KQuote Mitarbeiter'!E43</f>
        <v/>
      </c>
      <c r="Q43" s="66">
        <f>'KQuote Mitarbeiter'!L43</f>
        <v/>
      </c>
      <c r="R43" s="57">
        <f>'KQuote Mitarbeiter'!D43</f>
        <v/>
      </c>
      <c r="S43" s="66">
        <f>'KQuote Mitarbeiter'!K43</f>
        <v/>
      </c>
    </row>
    <row r="44">
      <c r="A44" s="47">
        <f>'KQuote Mitarbeiter'!A44</f>
        <v/>
      </c>
      <c r="B44" s="48">
        <f>'KQuote Mitarbeiter'!B44</f>
        <v/>
      </c>
      <c r="C44" s="58">
        <f>IF($B44="","",(N(Berechnung!D44)+N(Berechnung!Q44))*N(Berechnung!C44))</f>
        <v/>
      </c>
      <c r="D44" s="58">
        <f>IF($B44="","",(N(Berechnung!E44)+N(Berechnung!R44))*N(Berechnung!C44))</f>
        <v/>
      </c>
      <c r="E44" s="58">
        <f>IF($B44="","",(N(Berechnung!F44)+N(Berechnung!S44))*N(Berechnung!C44))</f>
        <v/>
      </c>
      <c r="F44" s="58">
        <f>IF($B44="","",(N(Berechnung!G44)+N(Berechnung!T44))*N(Berechnung!C44))</f>
        <v/>
      </c>
      <c r="G44" s="58">
        <f>IF($B44="","",(N(Berechnung!H44)+N(Berechnung!U44))*N(Berechnung!C44))</f>
        <v/>
      </c>
      <c r="H44" s="58">
        <f>IF($B44="","",(N(Berechnung!I44)+N(Berechnung!V44))*N(Berechnung!C44))</f>
        <v/>
      </c>
      <c r="I44" s="58">
        <f>IF($B44="","",(N(Berechnung!J44)+N(Berechnung!W44))*N(Berechnung!C44))</f>
        <v/>
      </c>
      <c r="J44" s="58">
        <f>IF($B44="","",(N(Berechnung!K44)+N(Berechnung!X44))*N(Berechnung!C44))</f>
        <v/>
      </c>
      <c r="K44" s="58">
        <f>IF($B44="","",(N(Berechnung!L44)+N(Berechnung!Y44))*N(Berechnung!C44))</f>
        <v/>
      </c>
      <c r="L44" s="58">
        <f>IF($B44="","",(N(Berechnung!M44)+N(Berechnung!Z44))*N(Berechnung!C44))</f>
        <v/>
      </c>
      <c r="M44" s="58">
        <f>IF($B44="","",(N(Berechnung!N44)+N(Berechnung!AA44))*N(Berechnung!C44))</f>
        <v/>
      </c>
      <c r="N44" s="58">
        <f>IF($B44="","",(N(Berechnung!O44)+N(Berechnung!AB44))*N(Berechnung!C44))</f>
        <v/>
      </c>
      <c r="O44" s="65">
        <f>IF($B44="","",SUM(C44:N44))</f>
        <v/>
      </c>
      <c r="P44" s="57">
        <f>'KQuote Mitarbeiter'!E44</f>
        <v/>
      </c>
      <c r="Q44" s="66">
        <f>'KQuote Mitarbeiter'!L44</f>
        <v/>
      </c>
      <c r="R44" s="57">
        <f>'KQuote Mitarbeiter'!D44</f>
        <v/>
      </c>
      <c r="S44" s="66">
        <f>'KQuote Mitarbeiter'!K44</f>
        <v/>
      </c>
    </row>
    <row r="45">
      <c r="A45" s="47">
        <f>'KQuote Mitarbeiter'!A45</f>
        <v/>
      </c>
      <c r="B45" s="48">
        <f>'KQuote Mitarbeiter'!B45</f>
        <v/>
      </c>
      <c r="C45" s="58">
        <f>IF($B45="","",(N(Berechnung!D45)+N(Berechnung!Q45))*N(Berechnung!C45))</f>
        <v/>
      </c>
      <c r="D45" s="58">
        <f>IF($B45="","",(N(Berechnung!E45)+N(Berechnung!R45))*N(Berechnung!C45))</f>
        <v/>
      </c>
      <c r="E45" s="58">
        <f>IF($B45="","",(N(Berechnung!F45)+N(Berechnung!S45))*N(Berechnung!C45))</f>
        <v/>
      </c>
      <c r="F45" s="58">
        <f>IF($B45="","",(N(Berechnung!G45)+N(Berechnung!T45))*N(Berechnung!C45))</f>
        <v/>
      </c>
      <c r="G45" s="58">
        <f>IF($B45="","",(N(Berechnung!H45)+N(Berechnung!U45))*N(Berechnung!C45))</f>
        <v/>
      </c>
      <c r="H45" s="58">
        <f>IF($B45="","",(N(Berechnung!I45)+N(Berechnung!V45))*N(Berechnung!C45))</f>
        <v/>
      </c>
      <c r="I45" s="58">
        <f>IF($B45="","",(N(Berechnung!J45)+N(Berechnung!W45))*N(Berechnung!C45))</f>
        <v/>
      </c>
      <c r="J45" s="58">
        <f>IF($B45="","",(N(Berechnung!K45)+N(Berechnung!X45))*N(Berechnung!C45))</f>
        <v/>
      </c>
      <c r="K45" s="58">
        <f>IF($B45="","",(N(Berechnung!L45)+N(Berechnung!Y45))*N(Berechnung!C45))</f>
        <v/>
      </c>
      <c r="L45" s="58">
        <f>IF($B45="","",(N(Berechnung!M45)+N(Berechnung!Z45))*N(Berechnung!C45))</f>
        <v/>
      </c>
      <c r="M45" s="58">
        <f>IF($B45="","",(N(Berechnung!N45)+N(Berechnung!AA45))*N(Berechnung!C45))</f>
        <v/>
      </c>
      <c r="N45" s="58">
        <f>IF($B45="","",(N(Berechnung!O45)+N(Berechnung!AB45))*N(Berechnung!C45))</f>
        <v/>
      </c>
      <c r="O45" s="65">
        <f>IF($B45="","",SUM(C45:N45))</f>
        <v/>
      </c>
      <c r="P45" s="57">
        <f>'KQuote Mitarbeiter'!E45</f>
        <v/>
      </c>
      <c r="Q45" s="66">
        <f>'KQuote Mitarbeiter'!L45</f>
        <v/>
      </c>
      <c r="R45" s="57">
        <f>'KQuote Mitarbeiter'!D45</f>
        <v/>
      </c>
      <c r="S45" s="66">
        <f>'KQuote Mitarbeiter'!K45</f>
        <v/>
      </c>
    </row>
    <row r="46">
      <c r="A46" s="47">
        <f>'KQuote Mitarbeiter'!A46</f>
        <v/>
      </c>
      <c r="B46" s="48">
        <f>'KQuote Mitarbeiter'!B46</f>
        <v/>
      </c>
      <c r="C46" s="58">
        <f>IF($B46="","",(N(Berechnung!D46)+N(Berechnung!Q46))*N(Berechnung!C46))</f>
        <v/>
      </c>
      <c r="D46" s="58">
        <f>IF($B46="","",(N(Berechnung!E46)+N(Berechnung!R46))*N(Berechnung!C46))</f>
        <v/>
      </c>
      <c r="E46" s="58">
        <f>IF($B46="","",(N(Berechnung!F46)+N(Berechnung!S46))*N(Berechnung!C46))</f>
        <v/>
      </c>
      <c r="F46" s="58">
        <f>IF($B46="","",(N(Berechnung!G46)+N(Berechnung!T46))*N(Berechnung!C46))</f>
        <v/>
      </c>
      <c r="G46" s="58">
        <f>IF($B46="","",(N(Berechnung!H46)+N(Berechnung!U46))*N(Berechnung!C46))</f>
        <v/>
      </c>
      <c r="H46" s="58">
        <f>IF($B46="","",(N(Berechnung!I46)+N(Berechnung!V46))*N(Berechnung!C46))</f>
        <v/>
      </c>
      <c r="I46" s="58">
        <f>IF($B46="","",(N(Berechnung!J46)+N(Berechnung!W46))*N(Berechnung!C46))</f>
        <v/>
      </c>
      <c r="J46" s="58">
        <f>IF($B46="","",(N(Berechnung!K46)+N(Berechnung!X46))*N(Berechnung!C46))</f>
        <v/>
      </c>
      <c r="K46" s="58">
        <f>IF($B46="","",(N(Berechnung!L46)+N(Berechnung!Y46))*N(Berechnung!C46))</f>
        <v/>
      </c>
      <c r="L46" s="58">
        <f>IF($B46="","",(N(Berechnung!M46)+N(Berechnung!Z46))*N(Berechnung!C46))</f>
        <v/>
      </c>
      <c r="M46" s="58">
        <f>IF($B46="","",(N(Berechnung!N46)+N(Berechnung!AA46))*N(Berechnung!C46))</f>
        <v/>
      </c>
      <c r="N46" s="58">
        <f>IF($B46="","",(N(Berechnung!O46)+N(Berechnung!AB46))*N(Berechnung!C46))</f>
        <v/>
      </c>
      <c r="O46" s="65">
        <f>IF($B46="","",SUM(C46:N46))</f>
        <v/>
      </c>
      <c r="P46" s="57">
        <f>'KQuote Mitarbeiter'!E46</f>
        <v/>
      </c>
      <c r="Q46" s="66">
        <f>'KQuote Mitarbeiter'!L46</f>
        <v/>
      </c>
      <c r="R46" s="57">
        <f>'KQuote Mitarbeiter'!D46</f>
        <v/>
      </c>
      <c r="S46" s="66">
        <f>'KQuote Mitarbeiter'!K46</f>
        <v/>
      </c>
    </row>
    <row r="47">
      <c r="A47" s="47">
        <f>'KQuote Mitarbeiter'!A47</f>
        <v/>
      </c>
      <c r="B47" s="48">
        <f>'KQuote Mitarbeiter'!B47</f>
        <v/>
      </c>
      <c r="C47" s="58">
        <f>IF($B47="","",(N(Berechnung!D47)+N(Berechnung!Q47))*N(Berechnung!C47))</f>
        <v/>
      </c>
      <c r="D47" s="58">
        <f>IF($B47="","",(N(Berechnung!E47)+N(Berechnung!R47))*N(Berechnung!C47))</f>
        <v/>
      </c>
      <c r="E47" s="58">
        <f>IF($B47="","",(N(Berechnung!F47)+N(Berechnung!S47))*N(Berechnung!C47))</f>
        <v/>
      </c>
      <c r="F47" s="58">
        <f>IF($B47="","",(N(Berechnung!G47)+N(Berechnung!T47))*N(Berechnung!C47))</f>
        <v/>
      </c>
      <c r="G47" s="58">
        <f>IF($B47="","",(N(Berechnung!H47)+N(Berechnung!U47))*N(Berechnung!C47))</f>
        <v/>
      </c>
      <c r="H47" s="58">
        <f>IF($B47="","",(N(Berechnung!I47)+N(Berechnung!V47))*N(Berechnung!C47))</f>
        <v/>
      </c>
      <c r="I47" s="58">
        <f>IF($B47="","",(N(Berechnung!J47)+N(Berechnung!W47))*N(Berechnung!C47))</f>
        <v/>
      </c>
      <c r="J47" s="58">
        <f>IF($B47="","",(N(Berechnung!K47)+N(Berechnung!X47))*N(Berechnung!C47))</f>
        <v/>
      </c>
      <c r="K47" s="58">
        <f>IF($B47="","",(N(Berechnung!L47)+N(Berechnung!Y47))*N(Berechnung!C47))</f>
        <v/>
      </c>
      <c r="L47" s="58">
        <f>IF($B47="","",(N(Berechnung!M47)+N(Berechnung!Z47))*N(Berechnung!C47))</f>
        <v/>
      </c>
      <c r="M47" s="58">
        <f>IF($B47="","",(N(Berechnung!N47)+N(Berechnung!AA47))*N(Berechnung!C47))</f>
        <v/>
      </c>
      <c r="N47" s="58">
        <f>IF($B47="","",(N(Berechnung!O47)+N(Berechnung!AB47))*N(Berechnung!C47))</f>
        <v/>
      </c>
      <c r="O47" s="65">
        <f>IF($B47="","",SUM(C47:N47))</f>
        <v/>
      </c>
      <c r="P47" s="57">
        <f>'KQuote Mitarbeiter'!E47</f>
        <v/>
      </c>
      <c r="Q47" s="66">
        <f>'KQuote Mitarbeiter'!L47</f>
        <v/>
      </c>
      <c r="R47" s="57">
        <f>'KQuote Mitarbeiter'!D47</f>
        <v/>
      </c>
      <c r="S47" s="66">
        <f>'KQuote Mitarbeiter'!K47</f>
        <v/>
      </c>
    </row>
    <row r="48">
      <c r="A48" s="47">
        <f>'KQuote Mitarbeiter'!A48</f>
        <v/>
      </c>
      <c r="B48" s="48">
        <f>'KQuote Mitarbeiter'!B48</f>
        <v/>
      </c>
      <c r="C48" s="58">
        <f>IF($B48="","",(N(Berechnung!D48)+N(Berechnung!Q48))*N(Berechnung!C48))</f>
        <v/>
      </c>
      <c r="D48" s="58">
        <f>IF($B48="","",(N(Berechnung!E48)+N(Berechnung!R48))*N(Berechnung!C48))</f>
        <v/>
      </c>
      <c r="E48" s="58">
        <f>IF($B48="","",(N(Berechnung!F48)+N(Berechnung!S48))*N(Berechnung!C48))</f>
        <v/>
      </c>
      <c r="F48" s="58">
        <f>IF($B48="","",(N(Berechnung!G48)+N(Berechnung!T48))*N(Berechnung!C48))</f>
        <v/>
      </c>
      <c r="G48" s="58">
        <f>IF($B48="","",(N(Berechnung!H48)+N(Berechnung!U48))*N(Berechnung!C48))</f>
        <v/>
      </c>
      <c r="H48" s="58">
        <f>IF($B48="","",(N(Berechnung!I48)+N(Berechnung!V48))*N(Berechnung!C48))</f>
        <v/>
      </c>
      <c r="I48" s="58">
        <f>IF($B48="","",(N(Berechnung!J48)+N(Berechnung!W48))*N(Berechnung!C48))</f>
        <v/>
      </c>
      <c r="J48" s="58">
        <f>IF($B48="","",(N(Berechnung!K48)+N(Berechnung!X48))*N(Berechnung!C48))</f>
        <v/>
      </c>
      <c r="K48" s="58">
        <f>IF($B48="","",(N(Berechnung!L48)+N(Berechnung!Y48))*N(Berechnung!C48))</f>
        <v/>
      </c>
      <c r="L48" s="58">
        <f>IF($B48="","",(N(Berechnung!M48)+N(Berechnung!Z48))*N(Berechnung!C48))</f>
        <v/>
      </c>
      <c r="M48" s="58">
        <f>IF($B48="","",(N(Berechnung!N48)+N(Berechnung!AA48))*N(Berechnung!C48))</f>
        <v/>
      </c>
      <c r="N48" s="58">
        <f>IF($B48="","",(N(Berechnung!O48)+N(Berechnung!AB48))*N(Berechnung!C48))</f>
        <v/>
      </c>
      <c r="O48" s="65">
        <f>IF($B48="","",SUM(C48:N48))</f>
        <v/>
      </c>
      <c r="P48" s="57">
        <f>'KQuote Mitarbeiter'!E48</f>
        <v/>
      </c>
      <c r="Q48" s="66">
        <f>'KQuote Mitarbeiter'!L48</f>
        <v/>
      </c>
      <c r="R48" s="57">
        <f>'KQuote Mitarbeiter'!D48</f>
        <v/>
      </c>
      <c r="S48" s="66">
        <f>'KQuote Mitarbeiter'!K48</f>
        <v/>
      </c>
    </row>
    <row r="49">
      <c r="A49" s="47">
        <f>'KQuote Mitarbeiter'!A49</f>
        <v/>
      </c>
      <c r="B49" s="48">
        <f>'KQuote Mitarbeiter'!B49</f>
        <v/>
      </c>
      <c r="C49" s="58">
        <f>IF($B49="","",(N(Berechnung!D49)+N(Berechnung!Q49))*N(Berechnung!C49))</f>
        <v/>
      </c>
      <c r="D49" s="58">
        <f>IF($B49="","",(N(Berechnung!E49)+N(Berechnung!R49))*N(Berechnung!C49))</f>
        <v/>
      </c>
      <c r="E49" s="58">
        <f>IF($B49="","",(N(Berechnung!F49)+N(Berechnung!S49))*N(Berechnung!C49))</f>
        <v/>
      </c>
      <c r="F49" s="58">
        <f>IF($B49="","",(N(Berechnung!G49)+N(Berechnung!T49))*N(Berechnung!C49))</f>
        <v/>
      </c>
      <c r="G49" s="58">
        <f>IF($B49="","",(N(Berechnung!H49)+N(Berechnung!U49))*N(Berechnung!C49))</f>
        <v/>
      </c>
      <c r="H49" s="58">
        <f>IF($B49="","",(N(Berechnung!I49)+N(Berechnung!V49))*N(Berechnung!C49))</f>
        <v/>
      </c>
      <c r="I49" s="58">
        <f>IF($B49="","",(N(Berechnung!J49)+N(Berechnung!W49))*N(Berechnung!C49))</f>
        <v/>
      </c>
      <c r="J49" s="58">
        <f>IF($B49="","",(N(Berechnung!K49)+N(Berechnung!X49))*N(Berechnung!C49))</f>
        <v/>
      </c>
      <c r="K49" s="58">
        <f>IF($B49="","",(N(Berechnung!L49)+N(Berechnung!Y49))*N(Berechnung!C49))</f>
        <v/>
      </c>
      <c r="L49" s="58">
        <f>IF($B49="","",(N(Berechnung!M49)+N(Berechnung!Z49))*N(Berechnung!C49))</f>
        <v/>
      </c>
      <c r="M49" s="58">
        <f>IF($B49="","",(N(Berechnung!N49)+N(Berechnung!AA49))*N(Berechnung!C49))</f>
        <v/>
      </c>
      <c r="N49" s="58">
        <f>IF($B49="","",(N(Berechnung!O49)+N(Berechnung!AB49))*N(Berechnung!C49))</f>
        <v/>
      </c>
      <c r="O49" s="65">
        <f>IF($B49="","",SUM(C49:N49))</f>
        <v/>
      </c>
      <c r="P49" s="57">
        <f>'KQuote Mitarbeiter'!E49</f>
        <v/>
      </c>
      <c r="Q49" s="66">
        <f>'KQuote Mitarbeiter'!L49</f>
        <v/>
      </c>
      <c r="R49" s="57">
        <f>'KQuote Mitarbeiter'!D49</f>
        <v/>
      </c>
      <c r="S49" s="66">
        <f>'KQuote Mitarbeiter'!K49</f>
        <v/>
      </c>
    </row>
    <row r="50">
      <c r="A50" s="47">
        <f>'KQuote Mitarbeiter'!A50</f>
        <v/>
      </c>
      <c r="B50" s="48">
        <f>'KQuote Mitarbeiter'!B50</f>
        <v/>
      </c>
      <c r="C50" s="58">
        <f>IF($B50="","",(N(Berechnung!D50)+N(Berechnung!Q50))*N(Berechnung!C50))</f>
        <v/>
      </c>
      <c r="D50" s="58">
        <f>IF($B50="","",(N(Berechnung!E50)+N(Berechnung!R50))*N(Berechnung!C50))</f>
        <v/>
      </c>
      <c r="E50" s="58">
        <f>IF($B50="","",(N(Berechnung!F50)+N(Berechnung!S50))*N(Berechnung!C50))</f>
        <v/>
      </c>
      <c r="F50" s="58">
        <f>IF($B50="","",(N(Berechnung!G50)+N(Berechnung!T50))*N(Berechnung!C50))</f>
        <v/>
      </c>
      <c r="G50" s="58">
        <f>IF($B50="","",(N(Berechnung!H50)+N(Berechnung!U50))*N(Berechnung!C50))</f>
        <v/>
      </c>
      <c r="H50" s="58">
        <f>IF($B50="","",(N(Berechnung!I50)+N(Berechnung!V50))*N(Berechnung!C50))</f>
        <v/>
      </c>
      <c r="I50" s="58">
        <f>IF($B50="","",(N(Berechnung!J50)+N(Berechnung!W50))*N(Berechnung!C50))</f>
        <v/>
      </c>
      <c r="J50" s="58">
        <f>IF($B50="","",(N(Berechnung!K50)+N(Berechnung!X50))*N(Berechnung!C50))</f>
        <v/>
      </c>
      <c r="K50" s="58">
        <f>IF($B50="","",(N(Berechnung!L50)+N(Berechnung!Y50))*N(Berechnung!C50))</f>
        <v/>
      </c>
      <c r="L50" s="58">
        <f>IF($B50="","",(N(Berechnung!M50)+N(Berechnung!Z50))*N(Berechnung!C50))</f>
        <v/>
      </c>
      <c r="M50" s="58">
        <f>IF($B50="","",(N(Berechnung!N50)+N(Berechnung!AA50))*N(Berechnung!C50))</f>
        <v/>
      </c>
      <c r="N50" s="58">
        <f>IF($B50="","",(N(Berechnung!O50)+N(Berechnung!AB50))*N(Berechnung!C50))</f>
        <v/>
      </c>
      <c r="O50" s="65">
        <f>IF($B50="","",SUM(C50:N50))</f>
        <v/>
      </c>
      <c r="P50" s="57">
        <f>'KQuote Mitarbeiter'!E50</f>
        <v/>
      </c>
      <c r="Q50" s="66">
        <f>'KQuote Mitarbeiter'!L50</f>
        <v/>
      </c>
      <c r="R50" s="57">
        <f>'KQuote Mitarbeiter'!D50</f>
        <v/>
      </c>
      <c r="S50" s="66">
        <f>'KQuote Mitarbeiter'!K50</f>
        <v/>
      </c>
    </row>
    <row r="51">
      <c r="A51" s="47">
        <f>'KQuote Mitarbeiter'!A51</f>
        <v/>
      </c>
      <c r="B51" s="48">
        <f>'KQuote Mitarbeiter'!B51</f>
        <v/>
      </c>
      <c r="C51" s="58">
        <f>IF($B51="","",(N(Berechnung!D51)+N(Berechnung!Q51))*N(Berechnung!C51))</f>
        <v/>
      </c>
      <c r="D51" s="58">
        <f>IF($B51="","",(N(Berechnung!E51)+N(Berechnung!R51))*N(Berechnung!C51))</f>
        <v/>
      </c>
      <c r="E51" s="58">
        <f>IF($B51="","",(N(Berechnung!F51)+N(Berechnung!S51))*N(Berechnung!C51))</f>
        <v/>
      </c>
      <c r="F51" s="58">
        <f>IF($B51="","",(N(Berechnung!G51)+N(Berechnung!T51))*N(Berechnung!C51))</f>
        <v/>
      </c>
      <c r="G51" s="58">
        <f>IF($B51="","",(N(Berechnung!H51)+N(Berechnung!U51))*N(Berechnung!C51))</f>
        <v/>
      </c>
      <c r="H51" s="58">
        <f>IF($B51="","",(N(Berechnung!I51)+N(Berechnung!V51))*N(Berechnung!C51))</f>
        <v/>
      </c>
      <c r="I51" s="58">
        <f>IF($B51="","",(N(Berechnung!J51)+N(Berechnung!W51))*N(Berechnung!C51))</f>
        <v/>
      </c>
      <c r="J51" s="58">
        <f>IF($B51="","",(N(Berechnung!K51)+N(Berechnung!X51))*N(Berechnung!C51))</f>
        <v/>
      </c>
      <c r="K51" s="58">
        <f>IF($B51="","",(N(Berechnung!L51)+N(Berechnung!Y51))*N(Berechnung!C51))</f>
        <v/>
      </c>
      <c r="L51" s="58">
        <f>IF($B51="","",(N(Berechnung!M51)+N(Berechnung!Z51))*N(Berechnung!C51))</f>
        <v/>
      </c>
      <c r="M51" s="58">
        <f>IF($B51="","",(N(Berechnung!N51)+N(Berechnung!AA51))*N(Berechnung!C51))</f>
        <v/>
      </c>
      <c r="N51" s="58">
        <f>IF($B51="","",(N(Berechnung!O51)+N(Berechnung!AB51))*N(Berechnung!C51))</f>
        <v/>
      </c>
      <c r="O51" s="65">
        <f>IF($B51="","",SUM(C51:N51))</f>
        <v/>
      </c>
      <c r="P51" s="57">
        <f>'KQuote Mitarbeiter'!E51</f>
        <v/>
      </c>
      <c r="Q51" s="66">
        <f>'KQuote Mitarbeiter'!L51</f>
        <v/>
      </c>
      <c r="R51" s="57">
        <f>'KQuote Mitarbeiter'!D51</f>
        <v/>
      </c>
      <c r="S51" s="66">
        <f>'KQuote Mitarbeiter'!K51</f>
        <v/>
      </c>
    </row>
    <row r="52">
      <c r="A52" s="47">
        <f>'KQuote Mitarbeiter'!A52</f>
        <v/>
      </c>
      <c r="B52" s="48">
        <f>'KQuote Mitarbeiter'!B52</f>
        <v/>
      </c>
      <c r="C52" s="58">
        <f>IF($B52="","",(N(Berechnung!D52)+N(Berechnung!Q52))*N(Berechnung!C52))</f>
        <v/>
      </c>
      <c r="D52" s="58">
        <f>IF($B52="","",(N(Berechnung!E52)+N(Berechnung!R52))*N(Berechnung!C52))</f>
        <v/>
      </c>
      <c r="E52" s="58">
        <f>IF($B52="","",(N(Berechnung!F52)+N(Berechnung!S52))*N(Berechnung!C52))</f>
        <v/>
      </c>
      <c r="F52" s="58">
        <f>IF($B52="","",(N(Berechnung!G52)+N(Berechnung!T52))*N(Berechnung!C52))</f>
        <v/>
      </c>
      <c r="G52" s="58">
        <f>IF($B52="","",(N(Berechnung!H52)+N(Berechnung!U52))*N(Berechnung!C52))</f>
        <v/>
      </c>
      <c r="H52" s="58">
        <f>IF($B52="","",(N(Berechnung!I52)+N(Berechnung!V52))*N(Berechnung!C52))</f>
        <v/>
      </c>
      <c r="I52" s="58">
        <f>IF($B52="","",(N(Berechnung!J52)+N(Berechnung!W52))*N(Berechnung!C52))</f>
        <v/>
      </c>
      <c r="J52" s="58">
        <f>IF($B52="","",(N(Berechnung!K52)+N(Berechnung!X52))*N(Berechnung!C52))</f>
        <v/>
      </c>
      <c r="K52" s="58">
        <f>IF($B52="","",(N(Berechnung!L52)+N(Berechnung!Y52))*N(Berechnung!C52))</f>
        <v/>
      </c>
      <c r="L52" s="58">
        <f>IF($B52="","",(N(Berechnung!M52)+N(Berechnung!Z52))*N(Berechnung!C52))</f>
        <v/>
      </c>
      <c r="M52" s="58">
        <f>IF($B52="","",(N(Berechnung!N52)+N(Berechnung!AA52))*N(Berechnung!C52))</f>
        <v/>
      </c>
      <c r="N52" s="58">
        <f>IF($B52="","",(N(Berechnung!O52)+N(Berechnung!AB52))*N(Berechnung!C52))</f>
        <v/>
      </c>
      <c r="O52" s="65">
        <f>IF($B52="","",SUM(C52:N52))</f>
        <v/>
      </c>
      <c r="P52" s="57">
        <f>'KQuote Mitarbeiter'!E52</f>
        <v/>
      </c>
      <c r="Q52" s="66">
        <f>'KQuote Mitarbeiter'!L52</f>
        <v/>
      </c>
      <c r="R52" s="57">
        <f>'KQuote Mitarbeiter'!D52</f>
        <v/>
      </c>
      <c r="S52" s="66">
        <f>'KQuote Mitarbeiter'!K52</f>
        <v/>
      </c>
    </row>
    <row r="53">
      <c r="A53" s="47">
        <f>'KQuote Mitarbeiter'!A53</f>
        <v/>
      </c>
      <c r="B53" s="48">
        <f>'KQuote Mitarbeiter'!B53</f>
        <v/>
      </c>
      <c r="C53" s="58">
        <f>IF($B53="","",(N(Berechnung!D53)+N(Berechnung!Q53))*N(Berechnung!C53))</f>
        <v/>
      </c>
      <c r="D53" s="58">
        <f>IF($B53="","",(N(Berechnung!E53)+N(Berechnung!R53))*N(Berechnung!C53))</f>
        <v/>
      </c>
      <c r="E53" s="58">
        <f>IF($B53="","",(N(Berechnung!F53)+N(Berechnung!S53))*N(Berechnung!C53))</f>
        <v/>
      </c>
      <c r="F53" s="58">
        <f>IF($B53="","",(N(Berechnung!G53)+N(Berechnung!T53))*N(Berechnung!C53))</f>
        <v/>
      </c>
      <c r="G53" s="58">
        <f>IF($B53="","",(N(Berechnung!H53)+N(Berechnung!U53))*N(Berechnung!C53))</f>
        <v/>
      </c>
      <c r="H53" s="58">
        <f>IF($B53="","",(N(Berechnung!I53)+N(Berechnung!V53))*N(Berechnung!C53))</f>
        <v/>
      </c>
      <c r="I53" s="58">
        <f>IF($B53="","",(N(Berechnung!J53)+N(Berechnung!W53))*N(Berechnung!C53))</f>
        <v/>
      </c>
      <c r="J53" s="58">
        <f>IF($B53="","",(N(Berechnung!K53)+N(Berechnung!X53))*N(Berechnung!C53))</f>
        <v/>
      </c>
      <c r="K53" s="58">
        <f>IF($B53="","",(N(Berechnung!L53)+N(Berechnung!Y53))*N(Berechnung!C53))</f>
        <v/>
      </c>
      <c r="L53" s="58">
        <f>IF($B53="","",(N(Berechnung!M53)+N(Berechnung!Z53))*N(Berechnung!C53))</f>
        <v/>
      </c>
      <c r="M53" s="58">
        <f>IF($B53="","",(N(Berechnung!N53)+N(Berechnung!AA53))*N(Berechnung!C53))</f>
        <v/>
      </c>
      <c r="N53" s="58">
        <f>IF($B53="","",(N(Berechnung!O53)+N(Berechnung!AB53))*N(Berechnung!C53))</f>
        <v/>
      </c>
      <c r="O53" s="65">
        <f>IF($B53="","",SUM(C53:N53))</f>
        <v/>
      </c>
      <c r="P53" s="57">
        <f>'KQuote Mitarbeiter'!E53</f>
        <v/>
      </c>
      <c r="Q53" s="66">
        <f>'KQuote Mitarbeiter'!L53</f>
        <v/>
      </c>
      <c r="R53" s="57">
        <f>'KQuote Mitarbeiter'!D53</f>
        <v/>
      </c>
      <c r="S53" s="66">
        <f>'KQuote Mitarbeiter'!K53</f>
        <v/>
      </c>
    </row>
    <row r="54">
      <c r="A54" s="47">
        <f>'KQuote Mitarbeiter'!A54</f>
        <v/>
      </c>
      <c r="B54" s="48">
        <f>'KQuote Mitarbeiter'!B54</f>
        <v/>
      </c>
      <c r="C54" s="58">
        <f>IF($B54="","",(N(Berechnung!D54)+N(Berechnung!Q54))*N(Berechnung!C54))</f>
        <v/>
      </c>
      <c r="D54" s="58">
        <f>IF($B54="","",(N(Berechnung!E54)+N(Berechnung!R54))*N(Berechnung!C54))</f>
        <v/>
      </c>
      <c r="E54" s="58">
        <f>IF($B54="","",(N(Berechnung!F54)+N(Berechnung!S54))*N(Berechnung!C54))</f>
        <v/>
      </c>
      <c r="F54" s="58">
        <f>IF($B54="","",(N(Berechnung!G54)+N(Berechnung!T54))*N(Berechnung!C54))</f>
        <v/>
      </c>
      <c r="G54" s="58">
        <f>IF($B54="","",(N(Berechnung!H54)+N(Berechnung!U54))*N(Berechnung!C54))</f>
        <v/>
      </c>
      <c r="H54" s="58">
        <f>IF($B54="","",(N(Berechnung!I54)+N(Berechnung!V54))*N(Berechnung!C54))</f>
        <v/>
      </c>
      <c r="I54" s="58">
        <f>IF($B54="","",(N(Berechnung!J54)+N(Berechnung!W54))*N(Berechnung!C54))</f>
        <v/>
      </c>
      <c r="J54" s="58">
        <f>IF($B54="","",(N(Berechnung!K54)+N(Berechnung!X54))*N(Berechnung!C54))</f>
        <v/>
      </c>
      <c r="K54" s="58">
        <f>IF($B54="","",(N(Berechnung!L54)+N(Berechnung!Y54))*N(Berechnung!C54))</f>
        <v/>
      </c>
      <c r="L54" s="58">
        <f>IF($B54="","",(N(Berechnung!M54)+N(Berechnung!Z54))*N(Berechnung!C54))</f>
        <v/>
      </c>
      <c r="M54" s="58">
        <f>IF($B54="","",(N(Berechnung!N54)+N(Berechnung!AA54))*N(Berechnung!C54))</f>
        <v/>
      </c>
      <c r="N54" s="58">
        <f>IF($B54="","",(N(Berechnung!O54)+N(Berechnung!AB54))*N(Berechnung!C54))</f>
        <v/>
      </c>
      <c r="O54" s="65">
        <f>IF($B54="","",SUM(C54:N54))</f>
        <v/>
      </c>
      <c r="P54" s="57">
        <f>'KQuote Mitarbeiter'!E54</f>
        <v/>
      </c>
      <c r="Q54" s="66">
        <f>'KQuote Mitarbeiter'!L54</f>
        <v/>
      </c>
      <c r="R54" s="57">
        <f>'KQuote Mitarbeiter'!D54</f>
        <v/>
      </c>
      <c r="S54" s="66">
        <f>'KQuote Mitarbeiter'!K54</f>
        <v/>
      </c>
    </row>
    <row r="55">
      <c r="A55" s="47">
        <f>'KQuote Mitarbeiter'!A55</f>
        <v/>
      </c>
      <c r="B55" s="48">
        <f>'KQuote Mitarbeiter'!B55</f>
        <v/>
      </c>
      <c r="C55" s="58">
        <f>IF($B55="","",(N(Berechnung!D55)+N(Berechnung!Q55))*N(Berechnung!C55))</f>
        <v/>
      </c>
      <c r="D55" s="58">
        <f>IF($B55="","",(N(Berechnung!E55)+N(Berechnung!R55))*N(Berechnung!C55))</f>
        <v/>
      </c>
      <c r="E55" s="58">
        <f>IF($B55="","",(N(Berechnung!F55)+N(Berechnung!S55))*N(Berechnung!C55))</f>
        <v/>
      </c>
      <c r="F55" s="58">
        <f>IF($B55="","",(N(Berechnung!G55)+N(Berechnung!T55))*N(Berechnung!C55))</f>
        <v/>
      </c>
      <c r="G55" s="58">
        <f>IF($B55="","",(N(Berechnung!H55)+N(Berechnung!U55))*N(Berechnung!C55))</f>
        <v/>
      </c>
      <c r="H55" s="58">
        <f>IF($B55="","",(N(Berechnung!I55)+N(Berechnung!V55))*N(Berechnung!C55))</f>
        <v/>
      </c>
      <c r="I55" s="58">
        <f>IF($B55="","",(N(Berechnung!J55)+N(Berechnung!W55))*N(Berechnung!C55))</f>
        <v/>
      </c>
      <c r="J55" s="58">
        <f>IF($B55="","",(N(Berechnung!K55)+N(Berechnung!X55))*N(Berechnung!C55))</f>
        <v/>
      </c>
      <c r="K55" s="58">
        <f>IF($B55="","",(N(Berechnung!L55)+N(Berechnung!Y55))*N(Berechnung!C55))</f>
        <v/>
      </c>
      <c r="L55" s="58">
        <f>IF($B55="","",(N(Berechnung!M55)+N(Berechnung!Z55))*N(Berechnung!C55))</f>
        <v/>
      </c>
      <c r="M55" s="58">
        <f>IF($B55="","",(N(Berechnung!N55)+N(Berechnung!AA55))*N(Berechnung!C55))</f>
        <v/>
      </c>
      <c r="N55" s="58">
        <f>IF($B55="","",(N(Berechnung!O55)+N(Berechnung!AB55))*N(Berechnung!C55))</f>
        <v/>
      </c>
      <c r="O55" s="65">
        <f>IF($B55="","",SUM(C55:N55))</f>
        <v/>
      </c>
      <c r="P55" s="57">
        <f>'KQuote Mitarbeiter'!E55</f>
        <v/>
      </c>
      <c r="Q55" s="66">
        <f>'KQuote Mitarbeiter'!L55</f>
        <v/>
      </c>
      <c r="R55" s="57">
        <f>'KQuote Mitarbeiter'!D55</f>
        <v/>
      </c>
      <c r="S55" s="66">
        <f>'KQuote Mitarbeiter'!K55</f>
        <v/>
      </c>
    </row>
    <row r="56">
      <c r="A56" s="47">
        <f>'KQuote Mitarbeiter'!A56</f>
        <v/>
      </c>
      <c r="B56" s="48">
        <f>'KQuote Mitarbeiter'!B56</f>
        <v/>
      </c>
      <c r="C56" s="58">
        <f>IF($B56="","",(N(Berechnung!D56)+N(Berechnung!Q56))*N(Berechnung!C56))</f>
        <v/>
      </c>
      <c r="D56" s="58">
        <f>IF($B56="","",(N(Berechnung!E56)+N(Berechnung!R56))*N(Berechnung!C56))</f>
        <v/>
      </c>
      <c r="E56" s="58">
        <f>IF($B56="","",(N(Berechnung!F56)+N(Berechnung!S56))*N(Berechnung!C56))</f>
        <v/>
      </c>
      <c r="F56" s="58">
        <f>IF($B56="","",(N(Berechnung!G56)+N(Berechnung!T56))*N(Berechnung!C56))</f>
        <v/>
      </c>
      <c r="G56" s="58">
        <f>IF($B56="","",(N(Berechnung!H56)+N(Berechnung!U56))*N(Berechnung!C56))</f>
        <v/>
      </c>
      <c r="H56" s="58">
        <f>IF($B56="","",(N(Berechnung!I56)+N(Berechnung!V56))*N(Berechnung!C56))</f>
        <v/>
      </c>
      <c r="I56" s="58">
        <f>IF($B56="","",(N(Berechnung!J56)+N(Berechnung!W56))*N(Berechnung!C56))</f>
        <v/>
      </c>
      <c r="J56" s="58">
        <f>IF($B56="","",(N(Berechnung!K56)+N(Berechnung!X56))*N(Berechnung!C56))</f>
        <v/>
      </c>
      <c r="K56" s="58">
        <f>IF($B56="","",(N(Berechnung!L56)+N(Berechnung!Y56))*N(Berechnung!C56))</f>
        <v/>
      </c>
      <c r="L56" s="58">
        <f>IF($B56="","",(N(Berechnung!M56)+N(Berechnung!Z56))*N(Berechnung!C56))</f>
        <v/>
      </c>
      <c r="M56" s="58">
        <f>IF($B56="","",(N(Berechnung!N56)+N(Berechnung!AA56))*N(Berechnung!C56))</f>
        <v/>
      </c>
      <c r="N56" s="58">
        <f>IF($B56="","",(N(Berechnung!O56)+N(Berechnung!AB56))*N(Berechnung!C56))</f>
        <v/>
      </c>
      <c r="O56" s="65">
        <f>IF($B56="","",SUM(C56:N56))</f>
        <v/>
      </c>
      <c r="P56" s="57">
        <f>'KQuote Mitarbeiter'!E56</f>
        <v/>
      </c>
      <c r="Q56" s="66">
        <f>'KQuote Mitarbeiter'!L56</f>
        <v/>
      </c>
      <c r="R56" s="57">
        <f>'KQuote Mitarbeiter'!D56</f>
        <v/>
      </c>
      <c r="S56" s="66">
        <f>'KQuote Mitarbeiter'!K56</f>
        <v/>
      </c>
    </row>
    <row r="57">
      <c r="A57" s="47">
        <f>'KQuote Mitarbeiter'!A57</f>
        <v/>
      </c>
      <c r="B57" s="48">
        <f>'KQuote Mitarbeiter'!B57</f>
        <v/>
      </c>
      <c r="C57" s="58">
        <f>IF($B57="","",(N(Berechnung!D57)+N(Berechnung!Q57))*N(Berechnung!C57))</f>
        <v/>
      </c>
      <c r="D57" s="58">
        <f>IF($B57="","",(N(Berechnung!E57)+N(Berechnung!R57))*N(Berechnung!C57))</f>
        <v/>
      </c>
      <c r="E57" s="58">
        <f>IF($B57="","",(N(Berechnung!F57)+N(Berechnung!S57))*N(Berechnung!C57))</f>
        <v/>
      </c>
      <c r="F57" s="58">
        <f>IF($B57="","",(N(Berechnung!G57)+N(Berechnung!T57))*N(Berechnung!C57))</f>
        <v/>
      </c>
      <c r="G57" s="58">
        <f>IF($B57="","",(N(Berechnung!H57)+N(Berechnung!U57))*N(Berechnung!C57))</f>
        <v/>
      </c>
      <c r="H57" s="58">
        <f>IF($B57="","",(N(Berechnung!I57)+N(Berechnung!V57))*N(Berechnung!C57))</f>
        <v/>
      </c>
      <c r="I57" s="58">
        <f>IF($B57="","",(N(Berechnung!J57)+N(Berechnung!W57))*N(Berechnung!C57))</f>
        <v/>
      </c>
      <c r="J57" s="58">
        <f>IF($B57="","",(N(Berechnung!K57)+N(Berechnung!X57))*N(Berechnung!C57))</f>
        <v/>
      </c>
      <c r="K57" s="58">
        <f>IF($B57="","",(N(Berechnung!L57)+N(Berechnung!Y57))*N(Berechnung!C57))</f>
        <v/>
      </c>
      <c r="L57" s="58">
        <f>IF($B57="","",(N(Berechnung!M57)+N(Berechnung!Z57))*N(Berechnung!C57))</f>
        <v/>
      </c>
      <c r="M57" s="58">
        <f>IF($B57="","",(N(Berechnung!N57)+N(Berechnung!AA57))*N(Berechnung!C57))</f>
        <v/>
      </c>
      <c r="N57" s="58">
        <f>IF($B57="","",(N(Berechnung!O57)+N(Berechnung!AB57))*N(Berechnung!C57))</f>
        <v/>
      </c>
      <c r="O57" s="65">
        <f>IF($B57="","",SUM(C57:N57))</f>
        <v/>
      </c>
      <c r="P57" s="57">
        <f>'KQuote Mitarbeiter'!E57</f>
        <v/>
      </c>
      <c r="Q57" s="66">
        <f>'KQuote Mitarbeiter'!L57</f>
        <v/>
      </c>
      <c r="R57" s="57">
        <f>'KQuote Mitarbeiter'!D57</f>
        <v/>
      </c>
      <c r="S57" s="66">
        <f>'KQuote Mitarbeiter'!K57</f>
        <v/>
      </c>
    </row>
    <row r="58">
      <c r="A58" s="47">
        <f>'KQuote Mitarbeiter'!A58</f>
        <v/>
      </c>
      <c r="B58" s="48">
        <f>'KQuote Mitarbeiter'!B58</f>
        <v/>
      </c>
      <c r="C58" s="58">
        <f>IF($B58="","",(N(Berechnung!D58)+N(Berechnung!Q58))*N(Berechnung!C58))</f>
        <v/>
      </c>
      <c r="D58" s="58">
        <f>IF($B58="","",(N(Berechnung!E58)+N(Berechnung!R58))*N(Berechnung!C58))</f>
        <v/>
      </c>
      <c r="E58" s="58">
        <f>IF($B58="","",(N(Berechnung!F58)+N(Berechnung!S58))*N(Berechnung!C58))</f>
        <v/>
      </c>
      <c r="F58" s="58">
        <f>IF($B58="","",(N(Berechnung!G58)+N(Berechnung!T58))*N(Berechnung!C58))</f>
        <v/>
      </c>
      <c r="G58" s="58">
        <f>IF($B58="","",(N(Berechnung!H58)+N(Berechnung!U58))*N(Berechnung!C58))</f>
        <v/>
      </c>
      <c r="H58" s="58">
        <f>IF($B58="","",(N(Berechnung!I58)+N(Berechnung!V58))*N(Berechnung!C58))</f>
        <v/>
      </c>
      <c r="I58" s="58">
        <f>IF($B58="","",(N(Berechnung!J58)+N(Berechnung!W58))*N(Berechnung!C58))</f>
        <v/>
      </c>
      <c r="J58" s="58">
        <f>IF($B58="","",(N(Berechnung!K58)+N(Berechnung!X58))*N(Berechnung!C58))</f>
        <v/>
      </c>
      <c r="K58" s="58">
        <f>IF($B58="","",(N(Berechnung!L58)+N(Berechnung!Y58))*N(Berechnung!C58))</f>
        <v/>
      </c>
      <c r="L58" s="58">
        <f>IF($B58="","",(N(Berechnung!M58)+N(Berechnung!Z58))*N(Berechnung!C58))</f>
        <v/>
      </c>
      <c r="M58" s="58">
        <f>IF($B58="","",(N(Berechnung!N58)+N(Berechnung!AA58))*N(Berechnung!C58))</f>
        <v/>
      </c>
      <c r="N58" s="58">
        <f>IF($B58="","",(N(Berechnung!O58)+N(Berechnung!AB58))*N(Berechnung!C58))</f>
        <v/>
      </c>
      <c r="O58" s="65">
        <f>IF($B58="","",SUM(C58:N58))</f>
        <v/>
      </c>
      <c r="P58" s="57">
        <f>'KQuote Mitarbeiter'!E58</f>
        <v/>
      </c>
      <c r="Q58" s="66">
        <f>'KQuote Mitarbeiter'!L58</f>
        <v/>
      </c>
      <c r="R58" s="57">
        <f>'KQuote Mitarbeiter'!D58</f>
        <v/>
      </c>
      <c r="S58" s="66">
        <f>'KQuote Mitarbeiter'!K58</f>
        <v/>
      </c>
    </row>
    <row r="59">
      <c r="A59" s="47">
        <f>'KQuote Mitarbeiter'!A59</f>
        <v/>
      </c>
      <c r="B59" s="48">
        <f>'KQuote Mitarbeiter'!B59</f>
        <v/>
      </c>
      <c r="C59" s="58">
        <f>IF($B59="","",(N(Berechnung!D59)+N(Berechnung!Q59))*N(Berechnung!C59))</f>
        <v/>
      </c>
      <c r="D59" s="58">
        <f>IF($B59="","",(N(Berechnung!E59)+N(Berechnung!R59))*N(Berechnung!C59))</f>
        <v/>
      </c>
      <c r="E59" s="58">
        <f>IF($B59="","",(N(Berechnung!F59)+N(Berechnung!S59))*N(Berechnung!C59))</f>
        <v/>
      </c>
      <c r="F59" s="58">
        <f>IF($B59="","",(N(Berechnung!G59)+N(Berechnung!T59))*N(Berechnung!C59))</f>
        <v/>
      </c>
      <c r="G59" s="58">
        <f>IF($B59="","",(N(Berechnung!H59)+N(Berechnung!U59))*N(Berechnung!C59))</f>
        <v/>
      </c>
      <c r="H59" s="58">
        <f>IF($B59="","",(N(Berechnung!I59)+N(Berechnung!V59))*N(Berechnung!C59))</f>
        <v/>
      </c>
      <c r="I59" s="58">
        <f>IF($B59="","",(N(Berechnung!J59)+N(Berechnung!W59))*N(Berechnung!C59))</f>
        <v/>
      </c>
      <c r="J59" s="58">
        <f>IF($B59="","",(N(Berechnung!K59)+N(Berechnung!X59))*N(Berechnung!C59))</f>
        <v/>
      </c>
      <c r="K59" s="58">
        <f>IF($B59="","",(N(Berechnung!L59)+N(Berechnung!Y59))*N(Berechnung!C59))</f>
        <v/>
      </c>
      <c r="L59" s="58">
        <f>IF($B59="","",(N(Berechnung!M59)+N(Berechnung!Z59))*N(Berechnung!C59))</f>
        <v/>
      </c>
      <c r="M59" s="58">
        <f>IF($B59="","",(N(Berechnung!N59)+N(Berechnung!AA59))*N(Berechnung!C59))</f>
        <v/>
      </c>
      <c r="N59" s="58">
        <f>IF($B59="","",(N(Berechnung!O59)+N(Berechnung!AB59))*N(Berechnung!C59))</f>
        <v/>
      </c>
      <c r="O59" s="65">
        <f>IF($B59="","",SUM(C59:N59))</f>
        <v/>
      </c>
      <c r="P59" s="57">
        <f>'KQuote Mitarbeiter'!E59</f>
        <v/>
      </c>
      <c r="Q59" s="66">
        <f>'KQuote Mitarbeiter'!L59</f>
        <v/>
      </c>
      <c r="R59" s="57">
        <f>'KQuote Mitarbeiter'!D59</f>
        <v/>
      </c>
      <c r="S59" s="66">
        <f>'KQuote Mitarbeiter'!K59</f>
        <v/>
      </c>
    </row>
    <row r="60">
      <c r="A60" s="47">
        <f>'KQuote Mitarbeiter'!A60</f>
        <v/>
      </c>
      <c r="B60" s="48">
        <f>'KQuote Mitarbeiter'!B60</f>
        <v/>
      </c>
      <c r="C60" s="58">
        <f>IF($B60="","",(N(Berechnung!D60)+N(Berechnung!Q60))*N(Berechnung!C60))</f>
        <v/>
      </c>
      <c r="D60" s="58">
        <f>IF($B60="","",(N(Berechnung!E60)+N(Berechnung!R60))*N(Berechnung!C60))</f>
        <v/>
      </c>
      <c r="E60" s="58">
        <f>IF($B60="","",(N(Berechnung!F60)+N(Berechnung!S60))*N(Berechnung!C60))</f>
        <v/>
      </c>
      <c r="F60" s="58">
        <f>IF($B60="","",(N(Berechnung!G60)+N(Berechnung!T60))*N(Berechnung!C60))</f>
        <v/>
      </c>
      <c r="G60" s="58">
        <f>IF($B60="","",(N(Berechnung!H60)+N(Berechnung!U60))*N(Berechnung!C60))</f>
        <v/>
      </c>
      <c r="H60" s="58">
        <f>IF($B60="","",(N(Berechnung!I60)+N(Berechnung!V60))*N(Berechnung!C60))</f>
        <v/>
      </c>
      <c r="I60" s="58">
        <f>IF($B60="","",(N(Berechnung!J60)+N(Berechnung!W60))*N(Berechnung!C60))</f>
        <v/>
      </c>
      <c r="J60" s="58">
        <f>IF($B60="","",(N(Berechnung!K60)+N(Berechnung!X60))*N(Berechnung!C60))</f>
        <v/>
      </c>
      <c r="K60" s="58">
        <f>IF($B60="","",(N(Berechnung!L60)+N(Berechnung!Y60))*N(Berechnung!C60))</f>
        <v/>
      </c>
      <c r="L60" s="58">
        <f>IF($B60="","",(N(Berechnung!M60)+N(Berechnung!Z60))*N(Berechnung!C60))</f>
        <v/>
      </c>
      <c r="M60" s="58">
        <f>IF($B60="","",(N(Berechnung!N60)+N(Berechnung!AA60))*N(Berechnung!C60))</f>
        <v/>
      </c>
      <c r="N60" s="58">
        <f>IF($B60="","",(N(Berechnung!O60)+N(Berechnung!AB60))*N(Berechnung!C60))</f>
        <v/>
      </c>
      <c r="O60" s="65">
        <f>IF($B60="","",SUM(C60:N60))</f>
        <v/>
      </c>
      <c r="P60" s="57">
        <f>'KQuote Mitarbeiter'!E60</f>
        <v/>
      </c>
      <c r="Q60" s="66">
        <f>'KQuote Mitarbeiter'!L60</f>
        <v/>
      </c>
      <c r="R60" s="57">
        <f>'KQuote Mitarbeiter'!D60</f>
        <v/>
      </c>
      <c r="S60" s="66">
        <f>'KQuote Mitarbeiter'!K60</f>
        <v/>
      </c>
    </row>
    <row r="61">
      <c r="A61" s="47">
        <f>'KQuote Mitarbeiter'!A61</f>
        <v/>
      </c>
      <c r="B61" s="48">
        <f>'KQuote Mitarbeiter'!B61</f>
        <v/>
      </c>
      <c r="C61" s="58">
        <f>IF($B61="","",(N(Berechnung!D61)+N(Berechnung!Q61))*N(Berechnung!C61))</f>
        <v/>
      </c>
      <c r="D61" s="58">
        <f>IF($B61="","",(N(Berechnung!E61)+N(Berechnung!R61))*N(Berechnung!C61))</f>
        <v/>
      </c>
      <c r="E61" s="58">
        <f>IF($B61="","",(N(Berechnung!F61)+N(Berechnung!S61))*N(Berechnung!C61))</f>
        <v/>
      </c>
      <c r="F61" s="58">
        <f>IF($B61="","",(N(Berechnung!G61)+N(Berechnung!T61))*N(Berechnung!C61))</f>
        <v/>
      </c>
      <c r="G61" s="58">
        <f>IF($B61="","",(N(Berechnung!H61)+N(Berechnung!U61))*N(Berechnung!C61))</f>
        <v/>
      </c>
      <c r="H61" s="58">
        <f>IF($B61="","",(N(Berechnung!I61)+N(Berechnung!V61))*N(Berechnung!C61))</f>
        <v/>
      </c>
      <c r="I61" s="58">
        <f>IF($B61="","",(N(Berechnung!J61)+N(Berechnung!W61))*N(Berechnung!C61))</f>
        <v/>
      </c>
      <c r="J61" s="58">
        <f>IF($B61="","",(N(Berechnung!K61)+N(Berechnung!X61))*N(Berechnung!C61))</f>
        <v/>
      </c>
      <c r="K61" s="58">
        <f>IF($B61="","",(N(Berechnung!L61)+N(Berechnung!Y61))*N(Berechnung!C61))</f>
        <v/>
      </c>
      <c r="L61" s="58">
        <f>IF($B61="","",(N(Berechnung!M61)+N(Berechnung!Z61))*N(Berechnung!C61))</f>
        <v/>
      </c>
      <c r="M61" s="58">
        <f>IF($B61="","",(N(Berechnung!N61)+N(Berechnung!AA61))*N(Berechnung!C61))</f>
        <v/>
      </c>
      <c r="N61" s="58">
        <f>IF($B61="","",(N(Berechnung!O61)+N(Berechnung!AB61))*N(Berechnung!C61))</f>
        <v/>
      </c>
      <c r="O61" s="65">
        <f>IF($B61="","",SUM(C61:N61))</f>
        <v/>
      </c>
      <c r="P61" s="57">
        <f>'KQuote Mitarbeiter'!E61</f>
        <v/>
      </c>
      <c r="Q61" s="66">
        <f>'KQuote Mitarbeiter'!L61</f>
        <v/>
      </c>
      <c r="R61" s="57">
        <f>'KQuote Mitarbeiter'!D61</f>
        <v/>
      </c>
      <c r="S61" s="66">
        <f>'KQuote Mitarbeiter'!K61</f>
        <v/>
      </c>
    </row>
    <row r="62">
      <c r="A62" s="47">
        <f>'KQuote Mitarbeiter'!A62</f>
        <v/>
      </c>
      <c r="B62" s="48">
        <f>'KQuote Mitarbeiter'!B62</f>
        <v/>
      </c>
      <c r="C62" s="58">
        <f>IF($B62="","",(N(Berechnung!D62)+N(Berechnung!Q62))*N(Berechnung!C62))</f>
        <v/>
      </c>
      <c r="D62" s="58">
        <f>IF($B62="","",(N(Berechnung!E62)+N(Berechnung!R62))*N(Berechnung!C62))</f>
        <v/>
      </c>
      <c r="E62" s="58">
        <f>IF($B62="","",(N(Berechnung!F62)+N(Berechnung!S62))*N(Berechnung!C62))</f>
        <v/>
      </c>
      <c r="F62" s="58">
        <f>IF($B62="","",(N(Berechnung!G62)+N(Berechnung!T62))*N(Berechnung!C62))</f>
        <v/>
      </c>
      <c r="G62" s="58">
        <f>IF($B62="","",(N(Berechnung!H62)+N(Berechnung!U62))*N(Berechnung!C62))</f>
        <v/>
      </c>
      <c r="H62" s="58">
        <f>IF($B62="","",(N(Berechnung!I62)+N(Berechnung!V62))*N(Berechnung!C62))</f>
        <v/>
      </c>
      <c r="I62" s="58">
        <f>IF($B62="","",(N(Berechnung!J62)+N(Berechnung!W62))*N(Berechnung!C62))</f>
        <v/>
      </c>
      <c r="J62" s="58">
        <f>IF($B62="","",(N(Berechnung!K62)+N(Berechnung!X62))*N(Berechnung!C62))</f>
        <v/>
      </c>
      <c r="K62" s="58">
        <f>IF($B62="","",(N(Berechnung!L62)+N(Berechnung!Y62))*N(Berechnung!C62))</f>
        <v/>
      </c>
      <c r="L62" s="58">
        <f>IF($B62="","",(N(Berechnung!M62)+N(Berechnung!Z62))*N(Berechnung!C62))</f>
        <v/>
      </c>
      <c r="M62" s="58">
        <f>IF($B62="","",(N(Berechnung!N62)+N(Berechnung!AA62))*N(Berechnung!C62))</f>
        <v/>
      </c>
      <c r="N62" s="58">
        <f>IF($B62="","",(N(Berechnung!O62)+N(Berechnung!AB62))*N(Berechnung!C62))</f>
        <v/>
      </c>
      <c r="O62" s="65">
        <f>IF($B62="","",SUM(C62:N62))</f>
        <v/>
      </c>
      <c r="P62" s="57">
        <f>'KQuote Mitarbeiter'!E62</f>
        <v/>
      </c>
      <c r="Q62" s="66">
        <f>'KQuote Mitarbeiter'!L62</f>
        <v/>
      </c>
      <c r="R62" s="57">
        <f>'KQuote Mitarbeiter'!D62</f>
        <v/>
      </c>
      <c r="S62" s="66">
        <f>'KQuote Mitarbeiter'!K62</f>
        <v/>
      </c>
    </row>
    <row r="63">
      <c r="A63" s="47">
        <f>'KQuote Mitarbeiter'!A63</f>
        <v/>
      </c>
      <c r="B63" s="48">
        <f>'KQuote Mitarbeiter'!B63</f>
        <v/>
      </c>
      <c r="C63" s="58">
        <f>IF($B63="","",(N(Berechnung!D63)+N(Berechnung!Q63))*N(Berechnung!C63))</f>
        <v/>
      </c>
      <c r="D63" s="58">
        <f>IF($B63="","",(N(Berechnung!E63)+N(Berechnung!R63))*N(Berechnung!C63))</f>
        <v/>
      </c>
      <c r="E63" s="58">
        <f>IF($B63="","",(N(Berechnung!F63)+N(Berechnung!S63))*N(Berechnung!C63))</f>
        <v/>
      </c>
      <c r="F63" s="58">
        <f>IF($B63="","",(N(Berechnung!G63)+N(Berechnung!T63))*N(Berechnung!C63))</f>
        <v/>
      </c>
      <c r="G63" s="58">
        <f>IF($B63="","",(N(Berechnung!H63)+N(Berechnung!U63))*N(Berechnung!C63))</f>
        <v/>
      </c>
      <c r="H63" s="58">
        <f>IF($B63="","",(N(Berechnung!I63)+N(Berechnung!V63))*N(Berechnung!C63))</f>
        <v/>
      </c>
      <c r="I63" s="58">
        <f>IF($B63="","",(N(Berechnung!J63)+N(Berechnung!W63))*N(Berechnung!C63))</f>
        <v/>
      </c>
      <c r="J63" s="58">
        <f>IF($B63="","",(N(Berechnung!K63)+N(Berechnung!X63))*N(Berechnung!C63))</f>
        <v/>
      </c>
      <c r="K63" s="58">
        <f>IF($B63="","",(N(Berechnung!L63)+N(Berechnung!Y63))*N(Berechnung!C63))</f>
        <v/>
      </c>
      <c r="L63" s="58">
        <f>IF($B63="","",(N(Berechnung!M63)+N(Berechnung!Z63))*N(Berechnung!C63))</f>
        <v/>
      </c>
      <c r="M63" s="58">
        <f>IF($B63="","",(N(Berechnung!N63)+N(Berechnung!AA63))*N(Berechnung!C63))</f>
        <v/>
      </c>
      <c r="N63" s="58">
        <f>IF($B63="","",(N(Berechnung!O63)+N(Berechnung!AB63))*N(Berechnung!C63))</f>
        <v/>
      </c>
      <c r="O63" s="65">
        <f>IF($B63="","",SUM(C63:N63))</f>
        <v/>
      </c>
      <c r="P63" s="57">
        <f>'KQuote Mitarbeiter'!E63</f>
        <v/>
      </c>
      <c r="Q63" s="66">
        <f>'KQuote Mitarbeiter'!L63</f>
        <v/>
      </c>
      <c r="R63" s="57">
        <f>'KQuote Mitarbeiter'!D63</f>
        <v/>
      </c>
      <c r="S63" s="66">
        <f>'KQuote Mitarbeiter'!K63</f>
        <v/>
      </c>
    </row>
    <row r="64">
      <c r="A64" s="47">
        <f>'KQuote Mitarbeiter'!A64</f>
        <v/>
      </c>
      <c r="B64" s="48">
        <f>'KQuote Mitarbeiter'!B64</f>
        <v/>
      </c>
      <c r="C64" s="58">
        <f>IF($B64="","",(N(Berechnung!D64)+N(Berechnung!Q64))*N(Berechnung!C64))</f>
        <v/>
      </c>
      <c r="D64" s="58">
        <f>IF($B64="","",(N(Berechnung!E64)+N(Berechnung!R64))*N(Berechnung!C64))</f>
        <v/>
      </c>
      <c r="E64" s="58">
        <f>IF($B64="","",(N(Berechnung!F64)+N(Berechnung!S64))*N(Berechnung!C64))</f>
        <v/>
      </c>
      <c r="F64" s="58">
        <f>IF($B64="","",(N(Berechnung!G64)+N(Berechnung!T64))*N(Berechnung!C64))</f>
        <v/>
      </c>
      <c r="G64" s="58">
        <f>IF($B64="","",(N(Berechnung!H64)+N(Berechnung!U64))*N(Berechnung!C64))</f>
        <v/>
      </c>
      <c r="H64" s="58">
        <f>IF($B64="","",(N(Berechnung!I64)+N(Berechnung!V64))*N(Berechnung!C64))</f>
        <v/>
      </c>
      <c r="I64" s="58">
        <f>IF($B64="","",(N(Berechnung!J64)+N(Berechnung!W64))*N(Berechnung!C64))</f>
        <v/>
      </c>
      <c r="J64" s="58">
        <f>IF($B64="","",(N(Berechnung!K64)+N(Berechnung!X64))*N(Berechnung!C64))</f>
        <v/>
      </c>
      <c r="K64" s="58">
        <f>IF($B64="","",(N(Berechnung!L64)+N(Berechnung!Y64))*N(Berechnung!C64))</f>
        <v/>
      </c>
      <c r="L64" s="58">
        <f>IF($B64="","",(N(Berechnung!M64)+N(Berechnung!Z64))*N(Berechnung!C64))</f>
        <v/>
      </c>
      <c r="M64" s="58">
        <f>IF($B64="","",(N(Berechnung!N64)+N(Berechnung!AA64))*N(Berechnung!C64))</f>
        <v/>
      </c>
      <c r="N64" s="58">
        <f>IF($B64="","",(N(Berechnung!O64)+N(Berechnung!AB64))*N(Berechnung!C64))</f>
        <v/>
      </c>
      <c r="O64" s="65">
        <f>IF($B64="","",SUM(C64:N64))</f>
        <v/>
      </c>
      <c r="P64" s="57">
        <f>'KQuote Mitarbeiter'!E64</f>
        <v/>
      </c>
      <c r="Q64" s="66">
        <f>'KQuote Mitarbeiter'!L64</f>
        <v/>
      </c>
      <c r="R64" s="57">
        <f>'KQuote Mitarbeiter'!D64</f>
        <v/>
      </c>
      <c r="S64" s="66">
        <f>'KQuote Mitarbeiter'!K64</f>
        <v/>
      </c>
    </row>
    <row r="65">
      <c r="A65" s="47">
        <f>'KQuote Mitarbeiter'!A65</f>
        <v/>
      </c>
      <c r="B65" s="48">
        <f>'KQuote Mitarbeiter'!B65</f>
        <v/>
      </c>
      <c r="C65" s="58">
        <f>IF($B65="","",(N(Berechnung!D65)+N(Berechnung!Q65))*N(Berechnung!C65))</f>
        <v/>
      </c>
      <c r="D65" s="58">
        <f>IF($B65="","",(N(Berechnung!E65)+N(Berechnung!R65))*N(Berechnung!C65))</f>
        <v/>
      </c>
      <c r="E65" s="58">
        <f>IF($B65="","",(N(Berechnung!F65)+N(Berechnung!S65))*N(Berechnung!C65))</f>
        <v/>
      </c>
      <c r="F65" s="58">
        <f>IF($B65="","",(N(Berechnung!G65)+N(Berechnung!T65))*N(Berechnung!C65))</f>
        <v/>
      </c>
      <c r="G65" s="58">
        <f>IF($B65="","",(N(Berechnung!H65)+N(Berechnung!U65))*N(Berechnung!C65))</f>
        <v/>
      </c>
      <c r="H65" s="58">
        <f>IF($B65="","",(N(Berechnung!I65)+N(Berechnung!V65))*N(Berechnung!C65))</f>
        <v/>
      </c>
      <c r="I65" s="58">
        <f>IF($B65="","",(N(Berechnung!J65)+N(Berechnung!W65))*N(Berechnung!C65))</f>
        <v/>
      </c>
      <c r="J65" s="58">
        <f>IF($B65="","",(N(Berechnung!K65)+N(Berechnung!X65))*N(Berechnung!C65))</f>
        <v/>
      </c>
      <c r="K65" s="58">
        <f>IF($B65="","",(N(Berechnung!L65)+N(Berechnung!Y65))*N(Berechnung!C65))</f>
        <v/>
      </c>
      <c r="L65" s="58">
        <f>IF($B65="","",(N(Berechnung!M65)+N(Berechnung!Z65))*N(Berechnung!C65))</f>
        <v/>
      </c>
      <c r="M65" s="58">
        <f>IF($B65="","",(N(Berechnung!N65)+N(Berechnung!AA65))*N(Berechnung!C65))</f>
        <v/>
      </c>
      <c r="N65" s="58">
        <f>IF($B65="","",(N(Berechnung!O65)+N(Berechnung!AB65))*N(Berechnung!C65))</f>
        <v/>
      </c>
      <c r="O65" s="65">
        <f>IF($B65="","",SUM(C65:N65))</f>
        <v/>
      </c>
      <c r="P65" s="57">
        <f>'KQuote Mitarbeiter'!E65</f>
        <v/>
      </c>
      <c r="Q65" s="66">
        <f>'KQuote Mitarbeiter'!L65</f>
        <v/>
      </c>
      <c r="R65" s="57">
        <f>'KQuote Mitarbeiter'!D65</f>
        <v/>
      </c>
      <c r="S65" s="66">
        <f>'KQuote Mitarbeiter'!K65</f>
        <v/>
      </c>
    </row>
    <row r="66">
      <c r="A66" s="47">
        <f>'KQuote Mitarbeiter'!A66</f>
        <v/>
      </c>
      <c r="B66" s="48">
        <f>'KQuote Mitarbeiter'!B66</f>
        <v/>
      </c>
      <c r="C66" s="58">
        <f>IF($B66="","",(N(Berechnung!D66)+N(Berechnung!Q66))*N(Berechnung!C66))</f>
        <v/>
      </c>
      <c r="D66" s="58">
        <f>IF($B66="","",(N(Berechnung!E66)+N(Berechnung!R66))*N(Berechnung!C66))</f>
        <v/>
      </c>
      <c r="E66" s="58">
        <f>IF($B66="","",(N(Berechnung!F66)+N(Berechnung!S66))*N(Berechnung!C66))</f>
        <v/>
      </c>
      <c r="F66" s="58">
        <f>IF($B66="","",(N(Berechnung!G66)+N(Berechnung!T66))*N(Berechnung!C66))</f>
        <v/>
      </c>
      <c r="G66" s="58">
        <f>IF($B66="","",(N(Berechnung!H66)+N(Berechnung!U66))*N(Berechnung!C66))</f>
        <v/>
      </c>
      <c r="H66" s="58">
        <f>IF($B66="","",(N(Berechnung!I66)+N(Berechnung!V66))*N(Berechnung!C66))</f>
        <v/>
      </c>
      <c r="I66" s="58">
        <f>IF($B66="","",(N(Berechnung!J66)+N(Berechnung!W66))*N(Berechnung!C66))</f>
        <v/>
      </c>
      <c r="J66" s="58">
        <f>IF($B66="","",(N(Berechnung!K66)+N(Berechnung!X66))*N(Berechnung!C66))</f>
        <v/>
      </c>
      <c r="K66" s="58">
        <f>IF($B66="","",(N(Berechnung!L66)+N(Berechnung!Y66))*N(Berechnung!C66))</f>
        <v/>
      </c>
      <c r="L66" s="58">
        <f>IF($B66="","",(N(Berechnung!M66)+N(Berechnung!Z66))*N(Berechnung!C66))</f>
        <v/>
      </c>
      <c r="M66" s="58">
        <f>IF($B66="","",(N(Berechnung!N66)+N(Berechnung!AA66))*N(Berechnung!C66))</f>
        <v/>
      </c>
      <c r="N66" s="58">
        <f>IF($B66="","",(N(Berechnung!O66)+N(Berechnung!AB66))*N(Berechnung!C66))</f>
        <v/>
      </c>
      <c r="O66" s="65">
        <f>IF($B66="","",SUM(C66:N66))</f>
        <v/>
      </c>
      <c r="P66" s="57">
        <f>'KQuote Mitarbeiter'!E66</f>
        <v/>
      </c>
      <c r="Q66" s="66">
        <f>'KQuote Mitarbeiter'!L66</f>
        <v/>
      </c>
      <c r="R66" s="57">
        <f>'KQuote Mitarbeiter'!D66</f>
        <v/>
      </c>
      <c r="S66" s="66">
        <f>'KQuote Mitarbeiter'!K66</f>
        <v/>
      </c>
    </row>
    <row r="67">
      <c r="A67" s="47">
        <f>'KQuote Mitarbeiter'!A67</f>
        <v/>
      </c>
      <c r="B67" s="48">
        <f>'KQuote Mitarbeiter'!B67</f>
        <v/>
      </c>
      <c r="C67" s="58">
        <f>IF($B67="","",(N(Berechnung!D67)+N(Berechnung!Q67))*N(Berechnung!C67))</f>
        <v/>
      </c>
      <c r="D67" s="58">
        <f>IF($B67="","",(N(Berechnung!E67)+N(Berechnung!R67))*N(Berechnung!C67))</f>
        <v/>
      </c>
      <c r="E67" s="58">
        <f>IF($B67="","",(N(Berechnung!F67)+N(Berechnung!S67))*N(Berechnung!C67))</f>
        <v/>
      </c>
      <c r="F67" s="58">
        <f>IF($B67="","",(N(Berechnung!G67)+N(Berechnung!T67))*N(Berechnung!C67))</f>
        <v/>
      </c>
      <c r="G67" s="58">
        <f>IF($B67="","",(N(Berechnung!H67)+N(Berechnung!U67))*N(Berechnung!C67))</f>
        <v/>
      </c>
      <c r="H67" s="58">
        <f>IF($B67="","",(N(Berechnung!I67)+N(Berechnung!V67))*N(Berechnung!C67))</f>
        <v/>
      </c>
      <c r="I67" s="58">
        <f>IF($B67="","",(N(Berechnung!J67)+N(Berechnung!W67))*N(Berechnung!C67))</f>
        <v/>
      </c>
      <c r="J67" s="58">
        <f>IF($B67="","",(N(Berechnung!K67)+N(Berechnung!X67))*N(Berechnung!C67))</f>
        <v/>
      </c>
      <c r="K67" s="58">
        <f>IF($B67="","",(N(Berechnung!L67)+N(Berechnung!Y67))*N(Berechnung!C67))</f>
        <v/>
      </c>
      <c r="L67" s="58">
        <f>IF($B67="","",(N(Berechnung!M67)+N(Berechnung!Z67))*N(Berechnung!C67))</f>
        <v/>
      </c>
      <c r="M67" s="58">
        <f>IF($B67="","",(N(Berechnung!N67)+N(Berechnung!AA67))*N(Berechnung!C67))</f>
        <v/>
      </c>
      <c r="N67" s="58">
        <f>IF($B67="","",(N(Berechnung!O67)+N(Berechnung!AB67))*N(Berechnung!C67))</f>
        <v/>
      </c>
      <c r="O67" s="65">
        <f>IF($B67="","",SUM(C67:N67))</f>
        <v/>
      </c>
      <c r="P67" s="57">
        <f>'KQuote Mitarbeiter'!E67</f>
        <v/>
      </c>
      <c r="Q67" s="66">
        <f>'KQuote Mitarbeiter'!L67</f>
        <v/>
      </c>
      <c r="R67" s="57">
        <f>'KQuote Mitarbeiter'!D67</f>
        <v/>
      </c>
      <c r="S67" s="66">
        <f>'KQuote Mitarbeiter'!K67</f>
        <v/>
      </c>
    </row>
    <row r="68">
      <c r="A68" s="47">
        <f>'KQuote Mitarbeiter'!A68</f>
        <v/>
      </c>
      <c r="B68" s="48">
        <f>'KQuote Mitarbeiter'!B68</f>
        <v/>
      </c>
      <c r="C68" s="58">
        <f>IF($B68="","",(N(Berechnung!D68)+N(Berechnung!Q68))*N(Berechnung!C68))</f>
        <v/>
      </c>
      <c r="D68" s="58">
        <f>IF($B68="","",(N(Berechnung!E68)+N(Berechnung!R68))*N(Berechnung!C68))</f>
        <v/>
      </c>
      <c r="E68" s="58">
        <f>IF($B68="","",(N(Berechnung!F68)+N(Berechnung!S68))*N(Berechnung!C68))</f>
        <v/>
      </c>
      <c r="F68" s="58">
        <f>IF($B68="","",(N(Berechnung!G68)+N(Berechnung!T68))*N(Berechnung!C68))</f>
        <v/>
      </c>
      <c r="G68" s="58">
        <f>IF($B68="","",(N(Berechnung!H68)+N(Berechnung!U68))*N(Berechnung!C68))</f>
        <v/>
      </c>
      <c r="H68" s="58">
        <f>IF($B68="","",(N(Berechnung!I68)+N(Berechnung!V68))*N(Berechnung!C68))</f>
        <v/>
      </c>
      <c r="I68" s="58">
        <f>IF($B68="","",(N(Berechnung!J68)+N(Berechnung!W68))*N(Berechnung!C68))</f>
        <v/>
      </c>
      <c r="J68" s="58">
        <f>IF($B68="","",(N(Berechnung!K68)+N(Berechnung!X68))*N(Berechnung!C68))</f>
        <v/>
      </c>
      <c r="K68" s="58">
        <f>IF($B68="","",(N(Berechnung!L68)+N(Berechnung!Y68))*N(Berechnung!C68))</f>
        <v/>
      </c>
      <c r="L68" s="58">
        <f>IF($B68="","",(N(Berechnung!M68)+N(Berechnung!Z68))*N(Berechnung!C68))</f>
        <v/>
      </c>
      <c r="M68" s="58">
        <f>IF($B68="","",(N(Berechnung!N68)+N(Berechnung!AA68))*N(Berechnung!C68))</f>
        <v/>
      </c>
      <c r="N68" s="58">
        <f>IF($B68="","",(N(Berechnung!O68)+N(Berechnung!AB68))*N(Berechnung!C68))</f>
        <v/>
      </c>
      <c r="O68" s="65">
        <f>IF($B68="","",SUM(C68:N68))</f>
        <v/>
      </c>
      <c r="P68" s="57">
        <f>'KQuote Mitarbeiter'!E68</f>
        <v/>
      </c>
      <c r="Q68" s="66">
        <f>'KQuote Mitarbeiter'!L68</f>
        <v/>
      </c>
      <c r="R68" s="57">
        <f>'KQuote Mitarbeiter'!D68</f>
        <v/>
      </c>
      <c r="S68" s="66">
        <f>'KQuote Mitarbeiter'!K68</f>
        <v/>
      </c>
    </row>
    <row r="69">
      <c r="A69" s="47">
        <f>'KQuote Mitarbeiter'!A69</f>
        <v/>
      </c>
      <c r="B69" s="48">
        <f>'KQuote Mitarbeiter'!B69</f>
        <v/>
      </c>
      <c r="C69" s="58">
        <f>IF($B69="","",(N(Berechnung!D69)+N(Berechnung!Q69))*N(Berechnung!C69))</f>
        <v/>
      </c>
      <c r="D69" s="58">
        <f>IF($B69="","",(N(Berechnung!E69)+N(Berechnung!R69))*N(Berechnung!C69))</f>
        <v/>
      </c>
      <c r="E69" s="58">
        <f>IF($B69="","",(N(Berechnung!F69)+N(Berechnung!S69))*N(Berechnung!C69))</f>
        <v/>
      </c>
      <c r="F69" s="58">
        <f>IF($B69="","",(N(Berechnung!G69)+N(Berechnung!T69))*N(Berechnung!C69))</f>
        <v/>
      </c>
      <c r="G69" s="58">
        <f>IF($B69="","",(N(Berechnung!H69)+N(Berechnung!U69))*N(Berechnung!C69))</f>
        <v/>
      </c>
      <c r="H69" s="58">
        <f>IF($B69="","",(N(Berechnung!I69)+N(Berechnung!V69))*N(Berechnung!C69))</f>
        <v/>
      </c>
      <c r="I69" s="58">
        <f>IF($B69="","",(N(Berechnung!J69)+N(Berechnung!W69))*N(Berechnung!C69))</f>
        <v/>
      </c>
      <c r="J69" s="58">
        <f>IF($B69="","",(N(Berechnung!K69)+N(Berechnung!X69))*N(Berechnung!C69))</f>
        <v/>
      </c>
      <c r="K69" s="58">
        <f>IF($B69="","",(N(Berechnung!L69)+N(Berechnung!Y69))*N(Berechnung!C69))</f>
        <v/>
      </c>
      <c r="L69" s="58">
        <f>IF($B69="","",(N(Berechnung!M69)+N(Berechnung!Z69))*N(Berechnung!C69))</f>
        <v/>
      </c>
      <c r="M69" s="58">
        <f>IF($B69="","",(N(Berechnung!N69)+N(Berechnung!AA69))*N(Berechnung!C69))</f>
        <v/>
      </c>
      <c r="N69" s="58">
        <f>IF($B69="","",(N(Berechnung!O69)+N(Berechnung!AB69))*N(Berechnung!C69))</f>
        <v/>
      </c>
      <c r="O69" s="65">
        <f>IF($B69="","",SUM(C69:N69))</f>
        <v/>
      </c>
      <c r="P69" s="57">
        <f>'KQuote Mitarbeiter'!E69</f>
        <v/>
      </c>
      <c r="Q69" s="66">
        <f>'KQuote Mitarbeiter'!L69</f>
        <v/>
      </c>
      <c r="R69" s="57">
        <f>'KQuote Mitarbeiter'!D69</f>
        <v/>
      </c>
      <c r="S69" s="66">
        <f>'KQuote Mitarbeiter'!K69</f>
        <v/>
      </c>
    </row>
    <row r="70">
      <c r="A70" s="47">
        <f>'KQuote Mitarbeiter'!A70</f>
        <v/>
      </c>
      <c r="B70" s="48">
        <f>'KQuote Mitarbeiter'!B70</f>
        <v/>
      </c>
      <c r="C70" s="58">
        <f>IF($B70="","",(N(Berechnung!D70)+N(Berechnung!Q70))*N(Berechnung!C70))</f>
        <v/>
      </c>
      <c r="D70" s="58">
        <f>IF($B70="","",(N(Berechnung!E70)+N(Berechnung!R70))*N(Berechnung!C70))</f>
        <v/>
      </c>
      <c r="E70" s="58">
        <f>IF($B70="","",(N(Berechnung!F70)+N(Berechnung!S70))*N(Berechnung!C70))</f>
        <v/>
      </c>
      <c r="F70" s="58">
        <f>IF($B70="","",(N(Berechnung!G70)+N(Berechnung!T70))*N(Berechnung!C70))</f>
        <v/>
      </c>
      <c r="G70" s="58">
        <f>IF($B70="","",(N(Berechnung!H70)+N(Berechnung!U70))*N(Berechnung!C70))</f>
        <v/>
      </c>
      <c r="H70" s="58">
        <f>IF($B70="","",(N(Berechnung!I70)+N(Berechnung!V70))*N(Berechnung!C70))</f>
        <v/>
      </c>
      <c r="I70" s="58">
        <f>IF($B70="","",(N(Berechnung!J70)+N(Berechnung!W70))*N(Berechnung!C70))</f>
        <v/>
      </c>
      <c r="J70" s="58">
        <f>IF($B70="","",(N(Berechnung!K70)+N(Berechnung!X70))*N(Berechnung!C70))</f>
        <v/>
      </c>
      <c r="K70" s="58">
        <f>IF($B70="","",(N(Berechnung!L70)+N(Berechnung!Y70))*N(Berechnung!C70))</f>
        <v/>
      </c>
      <c r="L70" s="58">
        <f>IF($B70="","",(N(Berechnung!M70)+N(Berechnung!Z70))*N(Berechnung!C70))</f>
        <v/>
      </c>
      <c r="M70" s="58">
        <f>IF($B70="","",(N(Berechnung!N70)+N(Berechnung!AA70))*N(Berechnung!C70))</f>
        <v/>
      </c>
      <c r="N70" s="58">
        <f>IF($B70="","",(N(Berechnung!O70)+N(Berechnung!AB70))*N(Berechnung!C70))</f>
        <v/>
      </c>
      <c r="O70" s="65">
        <f>IF($B70="","",SUM(C70:N70))</f>
        <v/>
      </c>
      <c r="P70" s="57">
        <f>'KQuote Mitarbeiter'!E70</f>
        <v/>
      </c>
      <c r="Q70" s="66">
        <f>'KQuote Mitarbeiter'!L70</f>
        <v/>
      </c>
      <c r="R70" s="57">
        <f>'KQuote Mitarbeiter'!D70</f>
        <v/>
      </c>
      <c r="S70" s="66">
        <f>'KQuote Mitarbeiter'!K70</f>
        <v/>
      </c>
    </row>
    <row r="71">
      <c r="A71" s="47">
        <f>'KQuote Mitarbeiter'!A71</f>
        <v/>
      </c>
      <c r="B71" s="48">
        <f>'KQuote Mitarbeiter'!B71</f>
        <v/>
      </c>
      <c r="C71" s="58">
        <f>IF($B71="","",(N(Berechnung!D71)+N(Berechnung!Q71))*N(Berechnung!C71))</f>
        <v/>
      </c>
      <c r="D71" s="58">
        <f>IF($B71="","",(N(Berechnung!E71)+N(Berechnung!R71))*N(Berechnung!C71))</f>
        <v/>
      </c>
      <c r="E71" s="58">
        <f>IF($B71="","",(N(Berechnung!F71)+N(Berechnung!S71))*N(Berechnung!C71))</f>
        <v/>
      </c>
      <c r="F71" s="58">
        <f>IF($B71="","",(N(Berechnung!G71)+N(Berechnung!T71))*N(Berechnung!C71))</f>
        <v/>
      </c>
      <c r="G71" s="58">
        <f>IF($B71="","",(N(Berechnung!H71)+N(Berechnung!U71))*N(Berechnung!C71))</f>
        <v/>
      </c>
      <c r="H71" s="58">
        <f>IF($B71="","",(N(Berechnung!I71)+N(Berechnung!V71))*N(Berechnung!C71))</f>
        <v/>
      </c>
      <c r="I71" s="58">
        <f>IF($B71="","",(N(Berechnung!J71)+N(Berechnung!W71))*N(Berechnung!C71))</f>
        <v/>
      </c>
      <c r="J71" s="58">
        <f>IF($B71="","",(N(Berechnung!K71)+N(Berechnung!X71))*N(Berechnung!C71))</f>
        <v/>
      </c>
      <c r="K71" s="58">
        <f>IF($B71="","",(N(Berechnung!L71)+N(Berechnung!Y71))*N(Berechnung!C71))</f>
        <v/>
      </c>
      <c r="L71" s="58">
        <f>IF($B71="","",(N(Berechnung!M71)+N(Berechnung!Z71))*N(Berechnung!C71))</f>
        <v/>
      </c>
      <c r="M71" s="58">
        <f>IF($B71="","",(N(Berechnung!N71)+N(Berechnung!AA71))*N(Berechnung!C71))</f>
        <v/>
      </c>
      <c r="N71" s="58">
        <f>IF($B71="","",(N(Berechnung!O71)+N(Berechnung!AB71))*N(Berechnung!C71))</f>
        <v/>
      </c>
      <c r="O71" s="65">
        <f>IF($B71="","",SUM(C71:N71))</f>
        <v/>
      </c>
      <c r="P71" s="57">
        <f>'KQuote Mitarbeiter'!E71</f>
        <v/>
      </c>
      <c r="Q71" s="66">
        <f>'KQuote Mitarbeiter'!L71</f>
        <v/>
      </c>
      <c r="R71" s="57">
        <f>'KQuote Mitarbeiter'!D71</f>
        <v/>
      </c>
      <c r="S71" s="66">
        <f>'KQuote Mitarbeiter'!K71</f>
        <v/>
      </c>
    </row>
    <row r="72">
      <c r="A72" s="47">
        <f>'KQuote Mitarbeiter'!A72</f>
        <v/>
      </c>
      <c r="B72" s="48">
        <f>'KQuote Mitarbeiter'!B72</f>
        <v/>
      </c>
      <c r="C72" s="58">
        <f>IF($B72="","",(N(Berechnung!D72)+N(Berechnung!Q72))*N(Berechnung!C72))</f>
        <v/>
      </c>
      <c r="D72" s="58">
        <f>IF($B72="","",(N(Berechnung!E72)+N(Berechnung!R72))*N(Berechnung!C72))</f>
        <v/>
      </c>
      <c r="E72" s="58">
        <f>IF($B72="","",(N(Berechnung!F72)+N(Berechnung!S72))*N(Berechnung!C72))</f>
        <v/>
      </c>
      <c r="F72" s="58">
        <f>IF($B72="","",(N(Berechnung!G72)+N(Berechnung!T72))*N(Berechnung!C72))</f>
        <v/>
      </c>
      <c r="G72" s="58">
        <f>IF($B72="","",(N(Berechnung!H72)+N(Berechnung!U72))*N(Berechnung!C72))</f>
        <v/>
      </c>
      <c r="H72" s="58">
        <f>IF($B72="","",(N(Berechnung!I72)+N(Berechnung!V72))*N(Berechnung!C72))</f>
        <v/>
      </c>
      <c r="I72" s="58">
        <f>IF($B72="","",(N(Berechnung!J72)+N(Berechnung!W72))*N(Berechnung!C72))</f>
        <v/>
      </c>
      <c r="J72" s="58">
        <f>IF($B72="","",(N(Berechnung!K72)+N(Berechnung!X72))*N(Berechnung!C72))</f>
        <v/>
      </c>
      <c r="K72" s="58">
        <f>IF($B72="","",(N(Berechnung!L72)+N(Berechnung!Y72))*N(Berechnung!C72))</f>
        <v/>
      </c>
      <c r="L72" s="58">
        <f>IF($B72="","",(N(Berechnung!M72)+N(Berechnung!Z72))*N(Berechnung!C72))</f>
        <v/>
      </c>
      <c r="M72" s="58">
        <f>IF($B72="","",(N(Berechnung!N72)+N(Berechnung!AA72))*N(Berechnung!C72))</f>
        <v/>
      </c>
      <c r="N72" s="58">
        <f>IF($B72="","",(N(Berechnung!O72)+N(Berechnung!AB72))*N(Berechnung!C72))</f>
        <v/>
      </c>
      <c r="O72" s="65">
        <f>IF($B72="","",SUM(C72:N72))</f>
        <v/>
      </c>
      <c r="P72" s="57">
        <f>'KQuote Mitarbeiter'!E72</f>
        <v/>
      </c>
      <c r="Q72" s="66">
        <f>'KQuote Mitarbeiter'!L72</f>
        <v/>
      </c>
      <c r="R72" s="57">
        <f>'KQuote Mitarbeiter'!D72</f>
        <v/>
      </c>
      <c r="S72" s="66">
        <f>'KQuote Mitarbeiter'!K72</f>
        <v/>
      </c>
    </row>
    <row r="73">
      <c r="A73" s="47">
        <f>'KQuote Mitarbeiter'!A73</f>
        <v/>
      </c>
      <c r="B73" s="48">
        <f>'KQuote Mitarbeiter'!B73</f>
        <v/>
      </c>
      <c r="C73" s="58">
        <f>IF($B73="","",(N(Berechnung!D73)+N(Berechnung!Q73))*N(Berechnung!C73))</f>
        <v/>
      </c>
      <c r="D73" s="58">
        <f>IF($B73="","",(N(Berechnung!E73)+N(Berechnung!R73))*N(Berechnung!C73))</f>
        <v/>
      </c>
      <c r="E73" s="58">
        <f>IF($B73="","",(N(Berechnung!F73)+N(Berechnung!S73))*N(Berechnung!C73))</f>
        <v/>
      </c>
      <c r="F73" s="58">
        <f>IF($B73="","",(N(Berechnung!G73)+N(Berechnung!T73))*N(Berechnung!C73))</f>
        <v/>
      </c>
      <c r="G73" s="58">
        <f>IF($B73="","",(N(Berechnung!H73)+N(Berechnung!U73))*N(Berechnung!C73))</f>
        <v/>
      </c>
      <c r="H73" s="58">
        <f>IF($B73="","",(N(Berechnung!I73)+N(Berechnung!V73))*N(Berechnung!C73))</f>
        <v/>
      </c>
      <c r="I73" s="58">
        <f>IF($B73="","",(N(Berechnung!J73)+N(Berechnung!W73))*N(Berechnung!C73))</f>
        <v/>
      </c>
      <c r="J73" s="58">
        <f>IF($B73="","",(N(Berechnung!K73)+N(Berechnung!X73))*N(Berechnung!C73))</f>
        <v/>
      </c>
      <c r="K73" s="58">
        <f>IF($B73="","",(N(Berechnung!L73)+N(Berechnung!Y73))*N(Berechnung!C73))</f>
        <v/>
      </c>
      <c r="L73" s="58">
        <f>IF($B73="","",(N(Berechnung!M73)+N(Berechnung!Z73))*N(Berechnung!C73))</f>
        <v/>
      </c>
      <c r="M73" s="58">
        <f>IF($B73="","",(N(Berechnung!N73)+N(Berechnung!AA73))*N(Berechnung!C73))</f>
        <v/>
      </c>
      <c r="N73" s="58">
        <f>IF($B73="","",(N(Berechnung!O73)+N(Berechnung!AB73))*N(Berechnung!C73))</f>
        <v/>
      </c>
      <c r="O73" s="65">
        <f>IF($B73="","",SUM(C73:N73))</f>
        <v/>
      </c>
      <c r="P73" s="57">
        <f>'KQuote Mitarbeiter'!E73</f>
        <v/>
      </c>
      <c r="Q73" s="66">
        <f>'KQuote Mitarbeiter'!L73</f>
        <v/>
      </c>
      <c r="R73" s="57">
        <f>'KQuote Mitarbeiter'!D73</f>
        <v/>
      </c>
      <c r="S73" s="66">
        <f>'KQuote Mitarbeiter'!K73</f>
        <v/>
      </c>
    </row>
    <row r="74">
      <c r="A74" s="47">
        <f>'KQuote Mitarbeiter'!A74</f>
        <v/>
      </c>
      <c r="B74" s="48">
        <f>'KQuote Mitarbeiter'!B74</f>
        <v/>
      </c>
      <c r="C74" s="58">
        <f>IF($B74="","",(N(Berechnung!D74)+N(Berechnung!Q74))*N(Berechnung!C74))</f>
        <v/>
      </c>
      <c r="D74" s="58">
        <f>IF($B74="","",(N(Berechnung!E74)+N(Berechnung!R74))*N(Berechnung!C74))</f>
        <v/>
      </c>
      <c r="E74" s="58">
        <f>IF($B74="","",(N(Berechnung!F74)+N(Berechnung!S74))*N(Berechnung!C74))</f>
        <v/>
      </c>
      <c r="F74" s="58">
        <f>IF($B74="","",(N(Berechnung!G74)+N(Berechnung!T74))*N(Berechnung!C74))</f>
        <v/>
      </c>
      <c r="G74" s="58">
        <f>IF($B74="","",(N(Berechnung!H74)+N(Berechnung!U74))*N(Berechnung!C74))</f>
        <v/>
      </c>
      <c r="H74" s="58">
        <f>IF($B74="","",(N(Berechnung!I74)+N(Berechnung!V74))*N(Berechnung!C74))</f>
        <v/>
      </c>
      <c r="I74" s="58">
        <f>IF($B74="","",(N(Berechnung!J74)+N(Berechnung!W74))*N(Berechnung!C74))</f>
        <v/>
      </c>
      <c r="J74" s="58">
        <f>IF($B74="","",(N(Berechnung!K74)+N(Berechnung!X74))*N(Berechnung!C74))</f>
        <v/>
      </c>
      <c r="K74" s="58">
        <f>IF($B74="","",(N(Berechnung!L74)+N(Berechnung!Y74))*N(Berechnung!C74))</f>
        <v/>
      </c>
      <c r="L74" s="58">
        <f>IF($B74="","",(N(Berechnung!M74)+N(Berechnung!Z74))*N(Berechnung!C74))</f>
        <v/>
      </c>
      <c r="M74" s="58">
        <f>IF($B74="","",(N(Berechnung!N74)+N(Berechnung!AA74))*N(Berechnung!C74))</f>
        <v/>
      </c>
      <c r="N74" s="58">
        <f>IF($B74="","",(N(Berechnung!O74)+N(Berechnung!AB74))*N(Berechnung!C74))</f>
        <v/>
      </c>
      <c r="O74" s="65">
        <f>IF($B74="","",SUM(C74:N74))</f>
        <v/>
      </c>
      <c r="P74" s="57">
        <f>'KQuote Mitarbeiter'!E74</f>
        <v/>
      </c>
      <c r="Q74" s="66">
        <f>'KQuote Mitarbeiter'!L74</f>
        <v/>
      </c>
      <c r="R74" s="57">
        <f>'KQuote Mitarbeiter'!D74</f>
        <v/>
      </c>
      <c r="S74" s="66">
        <f>'KQuote Mitarbeiter'!K74</f>
        <v/>
      </c>
    </row>
    <row r="75">
      <c r="A75" s="47">
        <f>'KQuote Mitarbeiter'!A75</f>
        <v/>
      </c>
      <c r="B75" s="48">
        <f>'KQuote Mitarbeiter'!B75</f>
        <v/>
      </c>
      <c r="C75" s="58">
        <f>IF($B75="","",(N(Berechnung!D75)+N(Berechnung!Q75))*N(Berechnung!C75))</f>
        <v/>
      </c>
      <c r="D75" s="58">
        <f>IF($B75="","",(N(Berechnung!E75)+N(Berechnung!R75))*N(Berechnung!C75))</f>
        <v/>
      </c>
      <c r="E75" s="58">
        <f>IF($B75="","",(N(Berechnung!F75)+N(Berechnung!S75))*N(Berechnung!C75))</f>
        <v/>
      </c>
      <c r="F75" s="58">
        <f>IF($B75="","",(N(Berechnung!G75)+N(Berechnung!T75))*N(Berechnung!C75))</f>
        <v/>
      </c>
      <c r="G75" s="58">
        <f>IF($B75="","",(N(Berechnung!H75)+N(Berechnung!U75))*N(Berechnung!C75))</f>
        <v/>
      </c>
      <c r="H75" s="58">
        <f>IF($B75="","",(N(Berechnung!I75)+N(Berechnung!V75))*N(Berechnung!C75))</f>
        <v/>
      </c>
      <c r="I75" s="58">
        <f>IF($B75="","",(N(Berechnung!J75)+N(Berechnung!W75))*N(Berechnung!C75))</f>
        <v/>
      </c>
      <c r="J75" s="58">
        <f>IF($B75="","",(N(Berechnung!K75)+N(Berechnung!X75))*N(Berechnung!C75))</f>
        <v/>
      </c>
      <c r="K75" s="58">
        <f>IF($B75="","",(N(Berechnung!L75)+N(Berechnung!Y75))*N(Berechnung!C75))</f>
        <v/>
      </c>
      <c r="L75" s="58">
        <f>IF($B75="","",(N(Berechnung!M75)+N(Berechnung!Z75))*N(Berechnung!C75))</f>
        <v/>
      </c>
      <c r="M75" s="58">
        <f>IF($B75="","",(N(Berechnung!N75)+N(Berechnung!AA75))*N(Berechnung!C75))</f>
        <v/>
      </c>
      <c r="N75" s="58">
        <f>IF($B75="","",(N(Berechnung!O75)+N(Berechnung!AB75))*N(Berechnung!C75))</f>
        <v/>
      </c>
      <c r="O75" s="65">
        <f>IF($B75="","",SUM(C75:N75))</f>
        <v/>
      </c>
      <c r="P75" s="57">
        <f>'KQuote Mitarbeiter'!E75</f>
        <v/>
      </c>
      <c r="Q75" s="66">
        <f>'KQuote Mitarbeiter'!L75</f>
        <v/>
      </c>
      <c r="R75" s="57">
        <f>'KQuote Mitarbeiter'!D75</f>
        <v/>
      </c>
      <c r="S75" s="66">
        <f>'KQuote Mitarbeiter'!K75</f>
        <v/>
      </c>
    </row>
    <row r="76">
      <c r="A76" s="47">
        <f>'KQuote Mitarbeiter'!A76</f>
        <v/>
      </c>
      <c r="B76" s="48">
        <f>'KQuote Mitarbeiter'!B76</f>
        <v/>
      </c>
      <c r="C76" s="58">
        <f>IF($B76="","",(N(Berechnung!D76)+N(Berechnung!Q76))*N(Berechnung!C76))</f>
        <v/>
      </c>
      <c r="D76" s="58">
        <f>IF($B76="","",(N(Berechnung!E76)+N(Berechnung!R76))*N(Berechnung!C76))</f>
        <v/>
      </c>
      <c r="E76" s="58">
        <f>IF($B76="","",(N(Berechnung!F76)+N(Berechnung!S76))*N(Berechnung!C76))</f>
        <v/>
      </c>
      <c r="F76" s="58">
        <f>IF($B76="","",(N(Berechnung!G76)+N(Berechnung!T76))*N(Berechnung!C76))</f>
        <v/>
      </c>
      <c r="G76" s="58">
        <f>IF($B76="","",(N(Berechnung!H76)+N(Berechnung!U76))*N(Berechnung!C76))</f>
        <v/>
      </c>
      <c r="H76" s="58">
        <f>IF($B76="","",(N(Berechnung!I76)+N(Berechnung!V76))*N(Berechnung!C76))</f>
        <v/>
      </c>
      <c r="I76" s="58">
        <f>IF($B76="","",(N(Berechnung!J76)+N(Berechnung!W76))*N(Berechnung!C76))</f>
        <v/>
      </c>
      <c r="J76" s="58">
        <f>IF($B76="","",(N(Berechnung!K76)+N(Berechnung!X76))*N(Berechnung!C76))</f>
        <v/>
      </c>
      <c r="K76" s="58">
        <f>IF($B76="","",(N(Berechnung!L76)+N(Berechnung!Y76))*N(Berechnung!C76))</f>
        <v/>
      </c>
      <c r="L76" s="58">
        <f>IF($B76="","",(N(Berechnung!M76)+N(Berechnung!Z76))*N(Berechnung!C76))</f>
        <v/>
      </c>
      <c r="M76" s="58">
        <f>IF($B76="","",(N(Berechnung!N76)+N(Berechnung!AA76))*N(Berechnung!C76))</f>
        <v/>
      </c>
      <c r="N76" s="58">
        <f>IF($B76="","",(N(Berechnung!O76)+N(Berechnung!AB76))*N(Berechnung!C76))</f>
        <v/>
      </c>
      <c r="O76" s="65">
        <f>IF($B76="","",SUM(C76:N76))</f>
        <v/>
      </c>
      <c r="P76" s="57">
        <f>'KQuote Mitarbeiter'!E76</f>
        <v/>
      </c>
      <c r="Q76" s="66">
        <f>'KQuote Mitarbeiter'!L76</f>
        <v/>
      </c>
      <c r="R76" s="57">
        <f>'KQuote Mitarbeiter'!D76</f>
        <v/>
      </c>
      <c r="S76" s="66">
        <f>'KQuote Mitarbeiter'!K76</f>
        <v/>
      </c>
    </row>
    <row r="77">
      <c r="A77" s="47">
        <f>'KQuote Mitarbeiter'!A77</f>
        <v/>
      </c>
      <c r="B77" s="48">
        <f>'KQuote Mitarbeiter'!B77</f>
        <v/>
      </c>
      <c r="C77" s="58">
        <f>IF($B77="","",(N(Berechnung!D77)+N(Berechnung!Q77))*N(Berechnung!C77))</f>
        <v/>
      </c>
      <c r="D77" s="58">
        <f>IF($B77="","",(N(Berechnung!E77)+N(Berechnung!R77))*N(Berechnung!C77))</f>
        <v/>
      </c>
      <c r="E77" s="58">
        <f>IF($B77="","",(N(Berechnung!F77)+N(Berechnung!S77))*N(Berechnung!C77))</f>
        <v/>
      </c>
      <c r="F77" s="58">
        <f>IF($B77="","",(N(Berechnung!G77)+N(Berechnung!T77))*N(Berechnung!C77))</f>
        <v/>
      </c>
      <c r="G77" s="58">
        <f>IF($B77="","",(N(Berechnung!H77)+N(Berechnung!U77))*N(Berechnung!C77))</f>
        <v/>
      </c>
      <c r="H77" s="58">
        <f>IF($B77="","",(N(Berechnung!I77)+N(Berechnung!V77))*N(Berechnung!C77))</f>
        <v/>
      </c>
      <c r="I77" s="58">
        <f>IF($B77="","",(N(Berechnung!J77)+N(Berechnung!W77))*N(Berechnung!C77))</f>
        <v/>
      </c>
      <c r="J77" s="58">
        <f>IF($B77="","",(N(Berechnung!K77)+N(Berechnung!X77))*N(Berechnung!C77))</f>
        <v/>
      </c>
      <c r="K77" s="58">
        <f>IF($B77="","",(N(Berechnung!L77)+N(Berechnung!Y77))*N(Berechnung!C77))</f>
        <v/>
      </c>
      <c r="L77" s="58">
        <f>IF($B77="","",(N(Berechnung!M77)+N(Berechnung!Z77))*N(Berechnung!C77))</f>
        <v/>
      </c>
      <c r="M77" s="58">
        <f>IF($B77="","",(N(Berechnung!N77)+N(Berechnung!AA77))*N(Berechnung!C77))</f>
        <v/>
      </c>
      <c r="N77" s="58">
        <f>IF($B77="","",(N(Berechnung!O77)+N(Berechnung!AB77))*N(Berechnung!C77))</f>
        <v/>
      </c>
      <c r="O77" s="65">
        <f>IF($B77="","",SUM(C77:N77))</f>
        <v/>
      </c>
      <c r="P77" s="57">
        <f>'KQuote Mitarbeiter'!E77</f>
        <v/>
      </c>
      <c r="Q77" s="66">
        <f>'KQuote Mitarbeiter'!L77</f>
        <v/>
      </c>
      <c r="R77" s="57">
        <f>'KQuote Mitarbeiter'!D77</f>
        <v/>
      </c>
      <c r="S77" s="66">
        <f>'KQuote Mitarbeiter'!K77</f>
        <v/>
      </c>
    </row>
    <row r="78">
      <c r="A78" s="47">
        <f>'KQuote Mitarbeiter'!A78</f>
        <v/>
      </c>
      <c r="B78" s="48">
        <f>'KQuote Mitarbeiter'!B78</f>
        <v/>
      </c>
      <c r="C78" s="58">
        <f>IF($B78="","",(N(Berechnung!D78)+N(Berechnung!Q78))*N(Berechnung!C78))</f>
        <v/>
      </c>
      <c r="D78" s="58">
        <f>IF($B78="","",(N(Berechnung!E78)+N(Berechnung!R78))*N(Berechnung!C78))</f>
        <v/>
      </c>
      <c r="E78" s="58">
        <f>IF($B78="","",(N(Berechnung!F78)+N(Berechnung!S78))*N(Berechnung!C78))</f>
        <v/>
      </c>
      <c r="F78" s="58">
        <f>IF($B78="","",(N(Berechnung!G78)+N(Berechnung!T78))*N(Berechnung!C78))</f>
        <v/>
      </c>
      <c r="G78" s="58">
        <f>IF($B78="","",(N(Berechnung!H78)+N(Berechnung!U78))*N(Berechnung!C78))</f>
        <v/>
      </c>
      <c r="H78" s="58">
        <f>IF($B78="","",(N(Berechnung!I78)+N(Berechnung!V78))*N(Berechnung!C78))</f>
        <v/>
      </c>
      <c r="I78" s="58">
        <f>IF($B78="","",(N(Berechnung!J78)+N(Berechnung!W78))*N(Berechnung!C78))</f>
        <v/>
      </c>
      <c r="J78" s="58">
        <f>IF($B78="","",(N(Berechnung!K78)+N(Berechnung!X78))*N(Berechnung!C78))</f>
        <v/>
      </c>
      <c r="K78" s="58">
        <f>IF($B78="","",(N(Berechnung!L78)+N(Berechnung!Y78))*N(Berechnung!C78))</f>
        <v/>
      </c>
      <c r="L78" s="58">
        <f>IF($B78="","",(N(Berechnung!M78)+N(Berechnung!Z78))*N(Berechnung!C78))</f>
        <v/>
      </c>
      <c r="M78" s="58">
        <f>IF($B78="","",(N(Berechnung!N78)+N(Berechnung!AA78))*N(Berechnung!C78))</f>
        <v/>
      </c>
      <c r="N78" s="58">
        <f>IF($B78="","",(N(Berechnung!O78)+N(Berechnung!AB78))*N(Berechnung!C78))</f>
        <v/>
      </c>
      <c r="O78" s="65">
        <f>IF($B78="","",SUM(C78:N78))</f>
        <v/>
      </c>
      <c r="P78" s="57">
        <f>'KQuote Mitarbeiter'!E78</f>
        <v/>
      </c>
      <c r="Q78" s="66">
        <f>'KQuote Mitarbeiter'!L78</f>
        <v/>
      </c>
      <c r="R78" s="57">
        <f>'KQuote Mitarbeiter'!D78</f>
        <v/>
      </c>
      <c r="S78" s="66">
        <f>'KQuote Mitarbeiter'!K78</f>
        <v/>
      </c>
    </row>
    <row r="79">
      <c r="A79" s="47">
        <f>'KQuote Mitarbeiter'!A79</f>
        <v/>
      </c>
      <c r="B79" s="48">
        <f>'KQuote Mitarbeiter'!B79</f>
        <v/>
      </c>
      <c r="C79" s="58">
        <f>IF($B79="","",(N(Berechnung!D79)+N(Berechnung!Q79))*N(Berechnung!C79))</f>
        <v/>
      </c>
      <c r="D79" s="58">
        <f>IF($B79="","",(N(Berechnung!E79)+N(Berechnung!R79))*N(Berechnung!C79))</f>
        <v/>
      </c>
      <c r="E79" s="58">
        <f>IF($B79="","",(N(Berechnung!F79)+N(Berechnung!S79))*N(Berechnung!C79))</f>
        <v/>
      </c>
      <c r="F79" s="58">
        <f>IF($B79="","",(N(Berechnung!G79)+N(Berechnung!T79))*N(Berechnung!C79))</f>
        <v/>
      </c>
      <c r="G79" s="58">
        <f>IF($B79="","",(N(Berechnung!H79)+N(Berechnung!U79))*N(Berechnung!C79))</f>
        <v/>
      </c>
      <c r="H79" s="58">
        <f>IF($B79="","",(N(Berechnung!I79)+N(Berechnung!V79))*N(Berechnung!C79))</f>
        <v/>
      </c>
      <c r="I79" s="58">
        <f>IF($B79="","",(N(Berechnung!J79)+N(Berechnung!W79))*N(Berechnung!C79))</f>
        <v/>
      </c>
      <c r="J79" s="58">
        <f>IF($B79="","",(N(Berechnung!K79)+N(Berechnung!X79))*N(Berechnung!C79))</f>
        <v/>
      </c>
      <c r="K79" s="58">
        <f>IF($B79="","",(N(Berechnung!L79)+N(Berechnung!Y79))*N(Berechnung!C79))</f>
        <v/>
      </c>
      <c r="L79" s="58">
        <f>IF($B79="","",(N(Berechnung!M79)+N(Berechnung!Z79))*N(Berechnung!C79))</f>
        <v/>
      </c>
      <c r="M79" s="58">
        <f>IF($B79="","",(N(Berechnung!N79)+N(Berechnung!AA79))*N(Berechnung!C79))</f>
        <v/>
      </c>
      <c r="N79" s="58">
        <f>IF($B79="","",(N(Berechnung!O79)+N(Berechnung!AB79))*N(Berechnung!C79))</f>
        <v/>
      </c>
      <c r="O79" s="65">
        <f>IF($B79="","",SUM(C79:N79))</f>
        <v/>
      </c>
      <c r="P79" s="57">
        <f>'KQuote Mitarbeiter'!E79</f>
        <v/>
      </c>
      <c r="Q79" s="66">
        <f>'KQuote Mitarbeiter'!L79</f>
        <v/>
      </c>
      <c r="R79" s="57">
        <f>'KQuote Mitarbeiter'!D79</f>
        <v/>
      </c>
      <c r="S79" s="66">
        <f>'KQuote Mitarbeiter'!K79</f>
        <v/>
      </c>
    </row>
    <row r="80">
      <c r="A80" s="47">
        <f>'KQuote Mitarbeiter'!A80</f>
        <v/>
      </c>
      <c r="B80" s="48">
        <f>'KQuote Mitarbeiter'!B80</f>
        <v/>
      </c>
      <c r="C80" s="58">
        <f>IF($B80="","",(N(Berechnung!D80)+N(Berechnung!Q80))*N(Berechnung!C80))</f>
        <v/>
      </c>
      <c r="D80" s="58">
        <f>IF($B80="","",(N(Berechnung!E80)+N(Berechnung!R80))*N(Berechnung!C80))</f>
        <v/>
      </c>
      <c r="E80" s="58">
        <f>IF($B80="","",(N(Berechnung!F80)+N(Berechnung!S80))*N(Berechnung!C80))</f>
        <v/>
      </c>
      <c r="F80" s="58">
        <f>IF($B80="","",(N(Berechnung!G80)+N(Berechnung!T80))*N(Berechnung!C80))</f>
        <v/>
      </c>
      <c r="G80" s="58">
        <f>IF($B80="","",(N(Berechnung!H80)+N(Berechnung!U80))*N(Berechnung!C80))</f>
        <v/>
      </c>
      <c r="H80" s="58">
        <f>IF($B80="","",(N(Berechnung!I80)+N(Berechnung!V80))*N(Berechnung!C80))</f>
        <v/>
      </c>
      <c r="I80" s="58">
        <f>IF($B80="","",(N(Berechnung!J80)+N(Berechnung!W80))*N(Berechnung!C80))</f>
        <v/>
      </c>
      <c r="J80" s="58">
        <f>IF($B80="","",(N(Berechnung!K80)+N(Berechnung!X80))*N(Berechnung!C80))</f>
        <v/>
      </c>
      <c r="K80" s="58">
        <f>IF($B80="","",(N(Berechnung!L80)+N(Berechnung!Y80))*N(Berechnung!C80))</f>
        <v/>
      </c>
      <c r="L80" s="58">
        <f>IF($B80="","",(N(Berechnung!M80)+N(Berechnung!Z80))*N(Berechnung!C80))</f>
        <v/>
      </c>
      <c r="M80" s="58">
        <f>IF($B80="","",(N(Berechnung!N80)+N(Berechnung!AA80))*N(Berechnung!C80))</f>
        <v/>
      </c>
      <c r="N80" s="58">
        <f>IF($B80="","",(N(Berechnung!O80)+N(Berechnung!AB80))*N(Berechnung!C80))</f>
        <v/>
      </c>
      <c r="O80" s="65">
        <f>IF($B80="","",SUM(C80:N80))</f>
        <v/>
      </c>
      <c r="P80" s="57">
        <f>'KQuote Mitarbeiter'!E80</f>
        <v/>
      </c>
      <c r="Q80" s="66">
        <f>'KQuote Mitarbeiter'!L80</f>
        <v/>
      </c>
      <c r="R80" s="57">
        <f>'KQuote Mitarbeiter'!D80</f>
        <v/>
      </c>
      <c r="S80" s="66">
        <f>'KQuote Mitarbeiter'!K80</f>
        <v/>
      </c>
    </row>
    <row r="81">
      <c r="A81" s="47">
        <f>'KQuote Mitarbeiter'!A81</f>
        <v/>
      </c>
      <c r="B81" s="48">
        <f>'KQuote Mitarbeiter'!B81</f>
        <v/>
      </c>
      <c r="C81" s="58">
        <f>IF($B81="","",(N(Berechnung!D81)+N(Berechnung!Q81))*N(Berechnung!C81))</f>
        <v/>
      </c>
      <c r="D81" s="58">
        <f>IF($B81="","",(N(Berechnung!E81)+N(Berechnung!R81))*N(Berechnung!C81))</f>
        <v/>
      </c>
      <c r="E81" s="58">
        <f>IF($B81="","",(N(Berechnung!F81)+N(Berechnung!S81))*N(Berechnung!C81))</f>
        <v/>
      </c>
      <c r="F81" s="58">
        <f>IF($B81="","",(N(Berechnung!G81)+N(Berechnung!T81))*N(Berechnung!C81))</f>
        <v/>
      </c>
      <c r="G81" s="58">
        <f>IF($B81="","",(N(Berechnung!H81)+N(Berechnung!U81))*N(Berechnung!C81))</f>
        <v/>
      </c>
      <c r="H81" s="58">
        <f>IF($B81="","",(N(Berechnung!I81)+N(Berechnung!V81))*N(Berechnung!C81))</f>
        <v/>
      </c>
      <c r="I81" s="58">
        <f>IF($B81="","",(N(Berechnung!J81)+N(Berechnung!W81))*N(Berechnung!C81))</f>
        <v/>
      </c>
      <c r="J81" s="58">
        <f>IF($B81="","",(N(Berechnung!K81)+N(Berechnung!X81))*N(Berechnung!C81))</f>
        <v/>
      </c>
      <c r="K81" s="58">
        <f>IF($B81="","",(N(Berechnung!L81)+N(Berechnung!Y81))*N(Berechnung!C81))</f>
        <v/>
      </c>
      <c r="L81" s="58">
        <f>IF($B81="","",(N(Berechnung!M81)+N(Berechnung!Z81))*N(Berechnung!C81))</f>
        <v/>
      </c>
      <c r="M81" s="58">
        <f>IF($B81="","",(N(Berechnung!N81)+N(Berechnung!AA81))*N(Berechnung!C81))</f>
        <v/>
      </c>
      <c r="N81" s="58">
        <f>IF($B81="","",(N(Berechnung!O81)+N(Berechnung!AB81))*N(Berechnung!C81))</f>
        <v/>
      </c>
      <c r="O81" s="65">
        <f>IF($B81="","",SUM(C81:N81))</f>
        <v/>
      </c>
      <c r="P81" s="57">
        <f>'KQuote Mitarbeiter'!E81</f>
        <v/>
      </c>
      <c r="Q81" s="66">
        <f>'KQuote Mitarbeiter'!L81</f>
        <v/>
      </c>
      <c r="R81" s="57">
        <f>'KQuote Mitarbeiter'!D81</f>
        <v/>
      </c>
      <c r="S81" s="66">
        <f>'KQuote Mitarbeiter'!K81</f>
        <v/>
      </c>
    </row>
    <row r="82">
      <c r="A82" s="47">
        <f>'KQuote Mitarbeiter'!A82</f>
        <v/>
      </c>
      <c r="B82" s="48">
        <f>'KQuote Mitarbeiter'!B82</f>
        <v/>
      </c>
      <c r="C82" s="58">
        <f>IF($B82="","",(N(Berechnung!D82)+N(Berechnung!Q82))*N(Berechnung!C82))</f>
        <v/>
      </c>
      <c r="D82" s="58">
        <f>IF($B82="","",(N(Berechnung!E82)+N(Berechnung!R82))*N(Berechnung!C82))</f>
        <v/>
      </c>
      <c r="E82" s="58">
        <f>IF($B82="","",(N(Berechnung!F82)+N(Berechnung!S82))*N(Berechnung!C82))</f>
        <v/>
      </c>
      <c r="F82" s="58">
        <f>IF($B82="","",(N(Berechnung!G82)+N(Berechnung!T82))*N(Berechnung!C82))</f>
        <v/>
      </c>
      <c r="G82" s="58">
        <f>IF($B82="","",(N(Berechnung!H82)+N(Berechnung!U82))*N(Berechnung!C82))</f>
        <v/>
      </c>
      <c r="H82" s="58">
        <f>IF($B82="","",(N(Berechnung!I82)+N(Berechnung!V82))*N(Berechnung!C82))</f>
        <v/>
      </c>
      <c r="I82" s="58">
        <f>IF($B82="","",(N(Berechnung!J82)+N(Berechnung!W82))*N(Berechnung!C82))</f>
        <v/>
      </c>
      <c r="J82" s="58">
        <f>IF($B82="","",(N(Berechnung!K82)+N(Berechnung!X82))*N(Berechnung!C82))</f>
        <v/>
      </c>
      <c r="K82" s="58">
        <f>IF($B82="","",(N(Berechnung!L82)+N(Berechnung!Y82))*N(Berechnung!C82))</f>
        <v/>
      </c>
      <c r="L82" s="58">
        <f>IF($B82="","",(N(Berechnung!M82)+N(Berechnung!Z82))*N(Berechnung!C82))</f>
        <v/>
      </c>
      <c r="M82" s="58">
        <f>IF($B82="","",(N(Berechnung!N82)+N(Berechnung!AA82))*N(Berechnung!C82))</f>
        <v/>
      </c>
      <c r="N82" s="58">
        <f>IF($B82="","",(N(Berechnung!O82)+N(Berechnung!AB82))*N(Berechnung!C82))</f>
        <v/>
      </c>
      <c r="O82" s="65">
        <f>IF($B82="","",SUM(C82:N82))</f>
        <v/>
      </c>
      <c r="P82" s="57">
        <f>'KQuote Mitarbeiter'!E82</f>
        <v/>
      </c>
      <c r="Q82" s="66">
        <f>'KQuote Mitarbeiter'!L82</f>
        <v/>
      </c>
      <c r="R82" s="57">
        <f>'KQuote Mitarbeiter'!D82</f>
        <v/>
      </c>
      <c r="S82" s="66">
        <f>'KQuote Mitarbeiter'!K82</f>
        <v/>
      </c>
    </row>
    <row r="83">
      <c r="A83" s="47">
        <f>'KQuote Mitarbeiter'!A83</f>
        <v/>
      </c>
      <c r="B83" s="48">
        <f>'KQuote Mitarbeiter'!B83</f>
        <v/>
      </c>
      <c r="C83" s="58">
        <f>IF($B83="","",(N(Berechnung!D83)+N(Berechnung!Q83))*N(Berechnung!C83))</f>
        <v/>
      </c>
      <c r="D83" s="58">
        <f>IF($B83="","",(N(Berechnung!E83)+N(Berechnung!R83))*N(Berechnung!C83))</f>
        <v/>
      </c>
      <c r="E83" s="58">
        <f>IF($B83="","",(N(Berechnung!F83)+N(Berechnung!S83))*N(Berechnung!C83))</f>
        <v/>
      </c>
      <c r="F83" s="58">
        <f>IF($B83="","",(N(Berechnung!G83)+N(Berechnung!T83))*N(Berechnung!C83))</f>
        <v/>
      </c>
      <c r="G83" s="58">
        <f>IF($B83="","",(N(Berechnung!H83)+N(Berechnung!U83))*N(Berechnung!C83))</f>
        <v/>
      </c>
      <c r="H83" s="58">
        <f>IF($B83="","",(N(Berechnung!I83)+N(Berechnung!V83))*N(Berechnung!C83))</f>
        <v/>
      </c>
      <c r="I83" s="58">
        <f>IF($B83="","",(N(Berechnung!J83)+N(Berechnung!W83))*N(Berechnung!C83))</f>
        <v/>
      </c>
      <c r="J83" s="58">
        <f>IF($B83="","",(N(Berechnung!K83)+N(Berechnung!X83))*N(Berechnung!C83))</f>
        <v/>
      </c>
      <c r="K83" s="58">
        <f>IF($B83="","",(N(Berechnung!L83)+N(Berechnung!Y83))*N(Berechnung!C83))</f>
        <v/>
      </c>
      <c r="L83" s="58">
        <f>IF($B83="","",(N(Berechnung!M83)+N(Berechnung!Z83))*N(Berechnung!C83))</f>
        <v/>
      </c>
      <c r="M83" s="58">
        <f>IF($B83="","",(N(Berechnung!N83)+N(Berechnung!AA83))*N(Berechnung!C83))</f>
        <v/>
      </c>
      <c r="N83" s="58">
        <f>IF($B83="","",(N(Berechnung!O83)+N(Berechnung!AB83))*N(Berechnung!C83))</f>
        <v/>
      </c>
      <c r="O83" s="65">
        <f>IF($B83="","",SUM(C83:N83))</f>
        <v/>
      </c>
      <c r="P83" s="57">
        <f>'KQuote Mitarbeiter'!E83</f>
        <v/>
      </c>
      <c r="Q83" s="66">
        <f>'KQuote Mitarbeiter'!L83</f>
        <v/>
      </c>
      <c r="R83" s="57">
        <f>'KQuote Mitarbeiter'!D83</f>
        <v/>
      </c>
      <c r="S83" s="66">
        <f>'KQuote Mitarbeiter'!K83</f>
        <v/>
      </c>
    </row>
    <row r="84">
      <c r="A84" s="47">
        <f>'KQuote Mitarbeiter'!A84</f>
        <v/>
      </c>
      <c r="B84" s="48">
        <f>'KQuote Mitarbeiter'!B84</f>
        <v/>
      </c>
      <c r="C84" s="58">
        <f>IF($B84="","",(N(Berechnung!D84)+N(Berechnung!Q84))*N(Berechnung!C84))</f>
        <v/>
      </c>
      <c r="D84" s="58">
        <f>IF($B84="","",(N(Berechnung!E84)+N(Berechnung!R84))*N(Berechnung!C84))</f>
        <v/>
      </c>
      <c r="E84" s="58">
        <f>IF($B84="","",(N(Berechnung!F84)+N(Berechnung!S84))*N(Berechnung!C84))</f>
        <v/>
      </c>
      <c r="F84" s="58">
        <f>IF($B84="","",(N(Berechnung!G84)+N(Berechnung!T84))*N(Berechnung!C84))</f>
        <v/>
      </c>
      <c r="G84" s="58">
        <f>IF($B84="","",(N(Berechnung!H84)+N(Berechnung!U84))*N(Berechnung!C84))</f>
        <v/>
      </c>
      <c r="H84" s="58">
        <f>IF($B84="","",(N(Berechnung!I84)+N(Berechnung!V84))*N(Berechnung!C84))</f>
        <v/>
      </c>
      <c r="I84" s="58">
        <f>IF($B84="","",(N(Berechnung!J84)+N(Berechnung!W84))*N(Berechnung!C84))</f>
        <v/>
      </c>
      <c r="J84" s="58">
        <f>IF($B84="","",(N(Berechnung!K84)+N(Berechnung!X84))*N(Berechnung!C84))</f>
        <v/>
      </c>
      <c r="K84" s="58">
        <f>IF($B84="","",(N(Berechnung!L84)+N(Berechnung!Y84))*N(Berechnung!C84))</f>
        <v/>
      </c>
      <c r="L84" s="58">
        <f>IF($B84="","",(N(Berechnung!M84)+N(Berechnung!Z84))*N(Berechnung!C84))</f>
        <v/>
      </c>
      <c r="M84" s="58">
        <f>IF($B84="","",(N(Berechnung!N84)+N(Berechnung!AA84))*N(Berechnung!C84))</f>
        <v/>
      </c>
      <c r="N84" s="58">
        <f>IF($B84="","",(N(Berechnung!O84)+N(Berechnung!AB84))*N(Berechnung!C84))</f>
        <v/>
      </c>
      <c r="O84" s="65">
        <f>IF($B84="","",SUM(C84:N84))</f>
        <v/>
      </c>
      <c r="P84" s="57">
        <f>'KQuote Mitarbeiter'!E84</f>
        <v/>
      </c>
      <c r="Q84" s="66">
        <f>'KQuote Mitarbeiter'!L84</f>
        <v/>
      </c>
      <c r="R84" s="57">
        <f>'KQuote Mitarbeiter'!D84</f>
        <v/>
      </c>
      <c r="S84" s="66">
        <f>'KQuote Mitarbeiter'!K84</f>
        <v/>
      </c>
    </row>
    <row r="85">
      <c r="A85" s="47">
        <f>'KQuote Mitarbeiter'!A85</f>
        <v/>
      </c>
      <c r="B85" s="48">
        <f>'KQuote Mitarbeiter'!B85</f>
        <v/>
      </c>
      <c r="C85" s="58">
        <f>IF($B85="","",(N(Berechnung!D85)+N(Berechnung!Q85))*N(Berechnung!C85))</f>
        <v/>
      </c>
      <c r="D85" s="58">
        <f>IF($B85="","",(N(Berechnung!E85)+N(Berechnung!R85))*N(Berechnung!C85))</f>
        <v/>
      </c>
      <c r="E85" s="58">
        <f>IF($B85="","",(N(Berechnung!F85)+N(Berechnung!S85))*N(Berechnung!C85))</f>
        <v/>
      </c>
      <c r="F85" s="58">
        <f>IF($B85="","",(N(Berechnung!G85)+N(Berechnung!T85))*N(Berechnung!C85))</f>
        <v/>
      </c>
      <c r="G85" s="58">
        <f>IF($B85="","",(N(Berechnung!H85)+N(Berechnung!U85))*N(Berechnung!C85))</f>
        <v/>
      </c>
      <c r="H85" s="58">
        <f>IF($B85="","",(N(Berechnung!I85)+N(Berechnung!V85))*N(Berechnung!C85))</f>
        <v/>
      </c>
      <c r="I85" s="58">
        <f>IF($B85="","",(N(Berechnung!J85)+N(Berechnung!W85))*N(Berechnung!C85))</f>
        <v/>
      </c>
      <c r="J85" s="58">
        <f>IF($B85="","",(N(Berechnung!K85)+N(Berechnung!X85))*N(Berechnung!C85))</f>
        <v/>
      </c>
      <c r="K85" s="58">
        <f>IF($B85="","",(N(Berechnung!L85)+N(Berechnung!Y85))*N(Berechnung!C85))</f>
        <v/>
      </c>
      <c r="L85" s="58">
        <f>IF($B85="","",(N(Berechnung!M85)+N(Berechnung!Z85))*N(Berechnung!C85))</f>
        <v/>
      </c>
      <c r="M85" s="58">
        <f>IF($B85="","",(N(Berechnung!N85)+N(Berechnung!AA85))*N(Berechnung!C85))</f>
        <v/>
      </c>
      <c r="N85" s="58">
        <f>IF($B85="","",(N(Berechnung!O85)+N(Berechnung!AB85))*N(Berechnung!C85))</f>
        <v/>
      </c>
      <c r="O85" s="65">
        <f>IF($B85="","",SUM(C85:N85))</f>
        <v/>
      </c>
      <c r="P85" s="57">
        <f>'KQuote Mitarbeiter'!E85</f>
        <v/>
      </c>
      <c r="Q85" s="66">
        <f>'KQuote Mitarbeiter'!L85</f>
        <v/>
      </c>
      <c r="R85" s="57">
        <f>'KQuote Mitarbeiter'!D85</f>
        <v/>
      </c>
      <c r="S85" s="66">
        <f>'KQuote Mitarbeiter'!K85</f>
        <v/>
      </c>
    </row>
    <row r="86">
      <c r="A86" s="47">
        <f>'KQuote Mitarbeiter'!A86</f>
        <v/>
      </c>
      <c r="B86" s="48">
        <f>'KQuote Mitarbeiter'!B86</f>
        <v/>
      </c>
      <c r="C86" s="58">
        <f>IF($B86="","",(N(Berechnung!D86)+N(Berechnung!Q86))*N(Berechnung!C86))</f>
        <v/>
      </c>
      <c r="D86" s="58">
        <f>IF($B86="","",(N(Berechnung!E86)+N(Berechnung!R86))*N(Berechnung!C86))</f>
        <v/>
      </c>
      <c r="E86" s="58">
        <f>IF($B86="","",(N(Berechnung!F86)+N(Berechnung!S86))*N(Berechnung!C86))</f>
        <v/>
      </c>
      <c r="F86" s="58">
        <f>IF($B86="","",(N(Berechnung!G86)+N(Berechnung!T86))*N(Berechnung!C86))</f>
        <v/>
      </c>
      <c r="G86" s="58">
        <f>IF($B86="","",(N(Berechnung!H86)+N(Berechnung!U86))*N(Berechnung!C86))</f>
        <v/>
      </c>
      <c r="H86" s="58">
        <f>IF($B86="","",(N(Berechnung!I86)+N(Berechnung!V86))*N(Berechnung!C86))</f>
        <v/>
      </c>
      <c r="I86" s="58">
        <f>IF($B86="","",(N(Berechnung!J86)+N(Berechnung!W86))*N(Berechnung!C86))</f>
        <v/>
      </c>
      <c r="J86" s="58">
        <f>IF($B86="","",(N(Berechnung!K86)+N(Berechnung!X86))*N(Berechnung!C86))</f>
        <v/>
      </c>
      <c r="K86" s="58">
        <f>IF($B86="","",(N(Berechnung!L86)+N(Berechnung!Y86))*N(Berechnung!C86))</f>
        <v/>
      </c>
      <c r="L86" s="58">
        <f>IF($B86="","",(N(Berechnung!M86)+N(Berechnung!Z86))*N(Berechnung!C86))</f>
        <v/>
      </c>
      <c r="M86" s="58">
        <f>IF($B86="","",(N(Berechnung!N86)+N(Berechnung!AA86))*N(Berechnung!C86))</f>
        <v/>
      </c>
      <c r="N86" s="58">
        <f>IF($B86="","",(N(Berechnung!O86)+N(Berechnung!AB86))*N(Berechnung!C86))</f>
        <v/>
      </c>
      <c r="O86" s="65">
        <f>IF($B86="","",SUM(C86:N86))</f>
        <v/>
      </c>
      <c r="P86" s="57">
        <f>'KQuote Mitarbeiter'!E86</f>
        <v/>
      </c>
      <c r="Q86" s="66">
        <f>'KQuote Mitarbeiter'!L86</f>
        <v/>
      </c>
      <c r="R86" s="57">
        <f>'KQuote Mitarbeiter'!D86</f>
        <v/>
      </c>
      <c r="S86" s="66">
        <f>'KQuote Mitarbeiter'!K86</f>
        <v/>
      </c>
    </row>
    <row r="87">
      <c r="A87" s="47">
        <f>'KQuote Mitarbeiter'!A87</f>
        <v/>
      </c>
      <c r="B87" s="48">
        <f>'KQuote Mitarbeiter'!B87</f>
        <v/>
      </c>
      <c r="C87" s="58">
        <f>IF($B87="","",(N(Berechnung!D87)+N(Berechnung!Q87))*N(Berechnung!C87))</f>
        <v/>
      </c>
      <c r="D87" s="58">
        <f>IF($B87="","",(N(Berechnung!E87)+N(Berechnung!R87))*N(Berechnung!C87))</f>
        <v/>
      </c>
      <c r="E87" s="58">
        <f>IF($B87="","",(N(Berechnung!F87)+N(Berechnung!S87))*N(Berechnung!C87))</f>
        <v/>
      </c>
      <c r="F87" s="58">
        <f>IF($B87="","",(N(Berechnung!G87)+N(Berechnung!T87))*N(Berechnung!C87))</f>
        <v/>
      </c>
      <c r="G87" s="58">
        <f>IF($B87="","",(N(Berechnung!H87)+N(Berechnung!U87))*N(Berechnung!C87))</f>
        <v/>
      </c>
      <c r="H87" s="58">
        <f>IF($B87="","",(N(Berechnung!I87)+N(Berechnung!V87))*N(Berechnung!C87))</f>
        <v/>
      </c>
      <c r="I87" s="58">
        <f>IF($B87="","",(N(Berechnung!J87)+N(Berechnung!W87))*N(Berechnung!C87))</f>
        <v/>
      </c>
      <c r="J87" s="58">
        <f>IF($B87="","",(N(Berechnung!K87)+N(Berechnung!X87))*N(Berechnung!C87))</f>
        <v/>
      </c>
      <c r="K87" s="58">
        <f>IF($B87="","",(N(Berechnung!L87)+N(Berechnung!Y87))*N(Berechnung!C87))</f>
        <v/>
      </c>
      <c r="L87" s="58">
        <f>IF($B87="","",(N(Berechnung!M87)+N(Berechnung!Z87))*N(Berechnung!C87))</f>
        <v/>
      </c>
      <c r="M87" s="58">
        <f>IF($B87="","",(N(Berechnung!N87)+N(Berechnung!AA87))*N(Berechnung!C87))</f>
        <v/>
      </c>
      <c r="N87" s="58">
        <f>IF($B87="","",(N(Berechnung!O87)+N(Berechnung!AB87))*N(Berechnung!C87))</f>
        <v/>
      </c>
      <c r="O87" s="65">
        <f>IF($B87="","",SUM(C87:N87))</f>
        <v/>
      </c>
      <c r="P87" s="57">
        <f>'KQuote Mitarbeiter'!E87</f>
        <v/>
      </c>
      <c r="Q87" s="66">
        <f>'KQuote Mitarbeiter'!L87</f>
        <v/>
      </c>
      <c r="R87" s="57">
        <f>'KQuote Mitarbeiter'!D87</f>
        <v/>
      </c>
      <c r="S87" s="66">
        <f>'KQuote Mitarbeiter'!K87</f>
        <v/>
      </c>
    </row>
    <row r="88">
      <c r="A88" s="47">
        <f>'KQuote Mitarbeiter'!A88</f>
        <v/>
      </c>
      <c r="B88" s="48">
        <f>'KQuote Mitarbeiter'!B88</f>
        <v/>
      </c>
      <c r="C88" s="58">
        <f>IF($B88="","",(N(Berechnung!D88)+N(Berechnung!Q88))*N(Berechnung!C88))</f>
        <v/>
      </c>
      <c r="D88" s="58">
        <f>IF($B88="","",(N(Berechnung!E88)+N(Berechnung!R88))*N(Berechnung!C88))</f>
        <v/>
      </c>
      <c r="E88" s="58">
        <f>IF($B88="","",(N(Berechnung!F88)+N(Berechnung!S88))*N(Berechnung!C88))</f>
        <v/>
      </c>
      <c r="F88" s="58">
        <f>IF($B88="","",(N(Berechnung!G88)+N(Berechnung!T88))*N(Berechnung!C88))</f>
        <v/>
      </c>
      <c r="G88" s="58">
        <f>IF($B88="","",(N(Berechnung!H88)+N(Berechnung!U88))*N(Berechnung!C88))</f>
        <v/>
      </c>
      <c r="H88" s="58">
        <f>IF($B88="","",(N(Berechnung!I88)+N(Berechnung!V88))*N(Berechnung!C88))</f>
        <v/>
      </c>
      <c r="I88" s="58">
        <f>IF($B88="","",(N(Berechnung!J88)+N(Berechnung!W88))*N(Berechnung!C88))</f>
        <v/>
      </c>
      <c r="J88" s="58">
        <f>IF($B88="","",(N(Berechnung!K88)+N(Berechnung!X88))*N(Berechnung!C88))</f>
        <v/>
      </c>
      <c r="K88" s="58">
        <f>IF($B88="","",(N(Berechnung!L88)+N(Berechnung!Y88))*N(Berechnung!C88))</f>
        <v/>
      </c>
      <c r="L88" s="58">
        <f>IF($B88="","",(N(Berechnung!M88)+N(Berechnung!Z88))*N(Berechnung!C88))</f>
        <v/>
      </c>
      <c r="M88" s="58">
        <f>IF($B88="","",(N(Berechnung!N88)+N(Berechnung!AA88))*N(Berechnung!C88))</f>
        <v/>
      </c>
      <c r="N88" s="58">
        <f>IF($B88="","",(N(Berechnung!O88)+N(Berechnung!AB88))*N(Berechnung!C88))</f>
        <v/>
      </c>
      <c r="O88" s="65">
        <f>IF($B88="","",SUM(C88:N88))</f>
        <v/>
      </c>
      <c r="P88" s="57">
        <f>'KQuote Mitarbeiter'!E88</f>
        <v/>
      </c>
      <c r="Q88" s="66">
        <f>'KQuote Mitarbeiter'!L88</f>
        <v/>
      </c>
      <c r="R88" s="57">
        <f>'KQuote Mitarbeiter'!D88</f>
        <v/>
      </c>
      <c r="S88" s="66">
        <f>'KQuote Mitarbeiter'!K88</f>
        <v/>
      </c>
    </row>
    <row r="89">
      <c r="A89" s="47">
        <f>'KQuote Mitarbeiter'!A89</f>
        <v/>
      </c>
      <c r="B89" s="48">
        <f>'KQuote Mitarbeiter'!B89</f>
        <v/>
      </c>
      <c r="C89" s="58">
        <f>IF($B89="","",(N(Berechnung!D89)+N(Berechnung!Q89))*N(Berechnung!C89))</f>
        <v/>
      </c>
      <c r="D89" s="58">
        <f>IF($B89="","",(N(Berechnung!E89)+N(Berechnung!R89))*N(Berechnung!C89))</f>
        <v/>
      </c>
      <c r="E89" s="58">
        <f>IF($B89="","",(N(Berechnung!F89)+N(Berechnung!S89))*N(Berechnung!C89))</f>
        <v/>
      </c>
      <c r="F89" s="58">
        <f>IF($B89="","",(N(Berechnung!G89)+N(Berechnung!T89))*N(Berechnung!C89))</f>
        <v/>
      </c>
      <c r="G89" s="58">
        <f>IF($B89="","",(N(Berechnung!H89)+N(Berechnung!U89))*N(Berechnung!C89))</f>
        <v/>
      </c>
      <c r="H89" s="58">
        <f>IF($B89="","",(N(Berechnung!I89)+N(Berechnung!V89))*N(Berechnung!C89))</f>
        <v/>
      </c>
      <c r="I89" s="58">
        <f>IF($B89="","",(N(Berechnung!J89)+N(Berechnung!W89))*N(Berechnung!C89))</f>
        <v/>
      </c>
      <c r="J89" s="58">
        <f>IF($B89="","",(N(Berechnung!K89)+N(Berechnung!X89))*N(Berechnung!C89))</f>
        <v/>
      </c>
      <c r="K89" s="58">
        <f>IF($B89="","",(N(Berechnung!L89)+N(Berechnung!Y89))*N(Berechnung!C89))</f>
        <v/>
      </c>
      <c r="L89" s="58">
        <f>IF($B89="","",(N(Berechnung!M89)+N(Berechnung!Z89))*N(Berechnung!C89))</f>
        <v/>
      </c>
      <c r="M89" s="58">
        <f>IF($B89="","",(N(Berechnung!N89)+N(Berechnung!AA89))*N(Berechnung!C89))</f>
        <v/>
      </c>
      <c r="N89" s="58">
        <f>IF($B89="","",(N(Berechnung!O89)+N(Berechnung!AB89))*N(Berechnung!C89))</f>
        <v/>
      </c>
      <c r="O89" s="65">
        <f>IF($B89="","",SUM(C89:N89))</f>
        <v/>
      </c>
      <c r="P89" s="57">
        <f>'KQuote Mitarbeiter'!E89</f>
        <v/>
      </c>
      <c r="Q89" s="66">
        <f>'KQuote Mitarbeiter'!L89</f>
        <v/>
      </c>
      <c r="R89" s="57">
        <f>'KQuote Mitarbeiter'!D89</f>
        <v/>
      </c>
      <c r="S89" s="66">
        <f>'KQuote Mitarbeiter'!K89</f>
        <v/>
      </c>
    </row>
    <row r="90">
      <c r="A90" s="47">
        <f>'KQuote Mitarbeiter'!A90</f>
        <v/>
      </c>
      <c r="B90" s="48">
        <f>'KQuote Mitarbeiter'!B90</f>
        <v/>
      </c>
      <c r="C90" s="58">
        <f>IF($B90="","",(N(Berechnung!D90)+N(Berechnung!Q90))*N(Berechnung!C90))</f>
        <v/>
      </c>
      <c r="D90" s="58">
        <f>IF($B90="","",(N(Berechnung!E90)+N(Berechnung!R90))*N(Berechnung!C90))</f>
        <v/>
      </c>
      <c r="E90" s="58">
        <f>IF($B90="","",(N(Berechnung!F90)+N(Berechnung!S90))*N(Berechnung!C90))</f>
        <v/>
      </c>
      <c r="F90" s="58">
        <f>IF($B90="","",(N(Berechnung!G90)+N(Berechnung!T90))*N(Berechnung!C90))</f>
        <v/>
      </c>
      <c r="G90" s="58">
        <f>IF($B90="","",(N(Berechnung!H90)+N(Berechnung!U90))*N(Berechnung!C90))</f>
        <v/>
      </c>
      <c r="H90" s="58">
        <f>IF($B90="","",(N(Berechnung!I90)+N(Berechnung!V90))*N(Berechnung!C90))</f>
        <v/>
      </c>
      <c r="I90" s="58">
        <f>IF($B90="","",(N(Berechnung!J90)+N(Berechnung!W90))*N(Berechnung!C90))</f>
        <v/>
      </c>
      <c r="J90" s="58">
        <f>IF($B90="","",(N(Berechnung!K90)+N(Berechnung!X90))*N(Berechnung!C90))</f>
        <v/>
      </c>
      <c r="K90" s="58">
        <f>IF($B90="","",(N(Berechnung!L90)+N(Berechnung!Y90))*N(Berechnung!C90))</f>
        <v/>
      </c>
      <c r="L90" s="58">
        <f>IF($B90="","",(N(Berechnung!M90)+N(Berechnung!Z90))*N(Berechnung!C90))</f>
        <v/>
      </c>
      <c r="M90" s="58">
        <f>IF($B90="","",(N(Berechnung!N90)+N(Berechnung!AA90))*N(Berechnung!C90))</f>
        <v/>
      </c>
      <c r="N90" s="58">
        <f>IF($B90="","",(N(Berechnung!O90)+N(Berechnung!AB90))*N(Berechnung!C90))</f>
        <v/>
      </c>
      <c r="O90" s="65">
        <f>IF($B90="","",SUM(C90:N90))</f>
        <v/>
      </c>
      <c r="P90" s="57">
        <f>'KQuote Mitarbeiter'!E90</f>
        <v/>
      </c>
      <c r="Q90" s="66">
        <f>'KQuote Mitarbeiter'!L90</f>
        <v/>
      </c>
      <c r="R90" s="57">
        <f>'KQuote Mitarbeiter'!D90</f>
        <v/>
      </c>
      <c r="S90" s="66">
        <f>'KQuote Mitarbeiter'!K90</f>
        <v/>
      </c>
    </row>
    <row r="91">
      <c r="A91" s="47">
        <f>'KQuote Mitarbeiter'!A91</f>
        <v/>
      </c>
      <c r="B91" s="48">
        <f>'KQuote Mitarbeiter'!B91</f>
        <v/>
      </c>
      <c r="C91" s="58">
        <f>IF($B91="","",(N(Berechnung!D91)+N(Berechnung!Q91))*N(Berechnung!C91))</f>
        <v/>
      </c>
      <c r="D91" s="58">
        <f>IF($B91="","",(N(Berechnung!E91)+N(Berechnung!R91))*N(Berechnung!C91))</f>
        <v/>
      </c>
      <c r="E91" s="58">
        <f>IF($B91="","",(N(Berechnung!F91)+N(Berechnung!S91))*N(Berechnung!C91))</f>
        <v/>
      </c>
      <c r="F91" s="58">
        <f>IF($B91="","",(N(Berechnung!G91)+N(Berechnung!T91))*N(Berechnung!C91))</f>
        <v/>
      </c>
      <c r="G91" s="58">
        <f>IF($B91="","",(N(Berechnung!H91)+N(Berechnung!U91))*N(Berechnung!C91))</f>
        <v/>
      </c>
      <c r="H91" s="58">
        <f>IF($B91="","",(N(Berechnung!I91)+N(Berechnung!V91))*N(Berechnung!C91))</f>
        <v/>
      </c>
      <c r="I91" s="58">
        <f>IF($B91="","",(N(Berechnung!J91)+N(Berechnung!W91))*N(Berechnung!C91))</f>
        <v/>
      </c>
      <c r="J91" s="58">
        <f>IF($B91="","",(N(Berechnung!K91)+N(Berechnung!X91))*N(Berechnung!C91))</f>
        <v/>
      </c>
      <c r="K91" s="58">
        <f>IF($B91="","",(N(Berechnung!L91)+N(Berechnung!Y91))*N(Berechnung!C91))</f>
        <v/>
      </c>
      <c r="L91" s="58">
        <f>IF($B91="","",(N(Berechnung!M91)+N(Berechnung!Z91))*N(Berechnung!C91))</f>
        <v/>
      </c>
      <c r="M91" s="58">
        <f>IF($B91="","",(N(Berechnung!N91)+N(Berechnung!AA91))*N(Berechnung!C91))</f>
        <v/>
      </c>
      <c r="N91" s="58">
        <f>IF($B91="","",(N(Berechnung!O91)+N(Berechnung!AB91))*N(Berechnung!C91))</f>
        <v/>
      </c>
      <c r="O91" s="65">
        <f>IF($B91="","",SUM(C91:N91))</f>
        <v/>
      </c>
      <c r="P91" s="57">
        <f>'KQuote Mitarbeiter'!E91</f>
        <v/>
      </c>
      <c r="Q91" s="66">
        <f>'KQuote Mitarbeiter'!L91</f>
        <v/>
      </c>
      <c r="R91" s="57">
        <f>'KQuote Mitarbeiter'!D91</f>
        <v/>
      </c>
      <c r="S91" s="66">
        <f>'KQuote Mitarbeiter'!K91</f>
        <v/>
      </c>
    </row>
    <row r="92">
      <c r="A92" s="47">
        <f>'KQuote Mitarbeiter'!A92</f>
        <v/>
      </c>
      <c r="B92" s="48">
        <f>'KQuote Mitarbeiter'!B92</f>
        <v/>
      </c>
      <c r="C92" s="58">
        <f>IF($B92="","",(N(Berechnung!D92)+N(Berechnung!Q92))*N(Berechnung!C92))</f>
        <v/>
      </c>
      <c r="D92" s="58">
        <f>IF($B92="","",(N(Berechnung!E92)+N(Berechnung!R92))*N(Berechnung!C92))</f>
        <v/>
      </c>
      <c r="E92" s="58">
        <f>IF($B92="","",(N(Berechnung!F92)+N(Berechnung!S92))*N(Berechnung!C92))</f>
        <v/>
      </c>
      <c r="F92" s="58">
        <f>IF($B92="","",(N(Berechnung!G92)+N(Berechnung!T92))*N(Berechnung!C92))</f>
        <v/>
      </c>
      <c r="G92" s="58">
        <f>IF($B92="","",(N(Berechnung!H92)+N(Berechnung!U92))*N(Berechnung!C92))</f>
        <v/>
      </c>
      <c r="H92" s="58">
        <f>IF($B92="","",(N(Berechnung!I92)+N(Berechnung!V92))*N(Berechnung!C92))</f>
        <v/>
      </c>
      <c r="I92" s="58">
        <f>IF($B92="","",(N(Berechnung!J92)+N(Berechnung!W92))*N(Berechnung!C92))</f>
        <v/>
      </c>
      <c r="J92" s="58">
        <f>IF($B92="","",(N(Berechnung!K92)+N(Berechnung!X92))*N(Berechnung!C92))</f>
        <v/>
      </c>
      <c r="K92" s="58">
        <f>IF($B92="","",(N(Berechnung!L92)+N(Berechnung!Y92))*N(Berechnung!C92))</f>
        <v/>
      </c>
      <c r="L92" s="58">
        <f>IF($B92="","",(N(Berechnung!M92)+N(Berechnung!Z92))*N(Berechnung!C92))</f>
        <v/>
      </c>
      <c r="M92" s="58">
        <f>IF($B92="","",(N(Berechnung!N92)+N(Berechnung!AA92))*N(Berechnung!C92))</f>
        <v/>
      </c>
      <c r="N92" s="58">
        <f>IF($B92="","",(N(Berechnung!O92)+N(Berechnung!AB92))*N(Berechnung!C92))</f>
        <v/>
      </c>
      <c r="O92" s="65">
        <f>IF($B92="","",SUM(C92:N92))</f>
        <v/>
      </c>
      <c r="P92" s="57">
        <f>'KQuote Mitarbeiter'!E92</f>
        <v/>
      </c>
      <c r="Q92" s="66">
        <f>'KQuote Mitarbeiter'!L92</f>
        <v/>
      </c>
      <c r="R92" s="57">
        <f>'KQuote Mitarbeiter'!D92</f>
        <v/>
      </c>
      <c r="S92" s="66">
        <f>'KQuote Mitarbeiter'!K92</f>
        <v/>
      </c>
    </row>
    <row r="93">
      <c r="A93" s="47">
        <f>'KQuote Mitarbeiter'!A93</f>
        <v/>
      </c>
      <c r="B93" s="48">
        <f>'KQuote Mitarbeiter'!B93</f>
        <v/>
      </c>
      <c r="C93" s="58">
        <f>IF($B93="","",(N(Berechnung!D93)+N(Berechnung!Q93))*N(Berechnung!C93))</f>
        <v/>
      </c>
      <c r="D93" s="58">
        <f>IF($B93="","",(N(Berechnung!E93)+N(Berechnung!R93))*N(Berechnung!C93))</f>
        <v/>
      </c>
      <c r="E93" s="58">
        <f>IF($B93="","",(N(Berechnung!F93)+N(Berechnung!S93))*N(Berechnung!C93))</f>
        <v/>
      </c>
      <c r="F93" s="58">
        <f>IF($B93="","",(N(Berechnung!G93)+N(Berechnung!T93))*N(Berechnung!C93))</f>
        <v/>
      </c>
      <c r="G93" s="58">
        <f>IF($B93="","",(N(Berechnung!H93)+N(Berechnung!U93))*N(Berechnung!C93))</f>
        <v/>
      </c>
      <c r="H93" s="58">
        <f>IF($B93="","",(N(Berechnung!I93)+N(Berechnung!V93))*N(Berechnung!C93))</f>
        <v/>
      </c>
      <c r="I93" s="58">
        <f>IF($B93="","",(N(Berechnung!J93)+N(Berechnung!W93))*N(Berechnung!C93))</f>
        <v/>
      </c>
      <c r="J93" s="58">
        <f>IF($B93="","",(N(Berechnung!K93)+N(Berechnung!X93))*N(Berechnung!C93))</f>
        <v/>
      </c>
      <c r="K93" s="58">
        <f>IF($B93="","",(N(Berechnung!L93)+N(Berechnung!Y93))*N(Berechnung!C93))</f>
        <v/>
      </c>
      <c r="L93" s="58">
        <f>IF($B93="","",(N(Berechnung!M93)+N(Berechnung!Z93))*N(Berechnung!C93))</f>
        <v/>
      </c>
      <c r="M93" s="58">
        <f>IF($B93="","",(N(Berechnung!N93)+N(Berechnung!AA93))*N(Berechnung!C93))</f>
        <v/>
      </c>
      <c r="N93" s="58">
        <f>IF($B93="","",(N(Berechnung!O93)+N(Berechnung!AB93))*N(Berechnung!C93))</f>
        <v/>
      </c>
      <c r="O93" s="65">
        <f>IF($B93="","",SUM(C93:N93))</f>
        <v/>
      </c>
      <c r="P93" s="57">
        <f>'KQuote Mitarbeiter'!E93</f>
        <v/>
      </c>
      <c r="Q93" s="66">
        <f>'KQuote Mitarbeiter'!L93</f>
        <v/>
      </c>
      <c r="R93" s="57">
        <f>'KQuote Mitarbeiter'!D93</f>
        <v/>
      </c>
      <c r="S93" s="66">
        <f>'KQuote Mitarbeiter'!K93</f>
        <v/>
      </c>
    </row>
    <row r="94">
      <c r="A94" s="47">
        <f>'KQuote Mitarbeiter'!A94</f>
        <v/>
      </c>
      <c r="B94" s="48">
        <f>'KQuote Mitarbeiter'!B94</f>
        <v/>
      </c>
      <c r="C94" s="58">
        <f>IF($B94="","",(N(Berechnung!D94)+N(Berechnung!Q94))*N(Berechnung!C94))</f>
        <v/>
      </c>
      <c r="D94" s="58">
        <f>IF($B94="","",(N(Berechnung!E94)+N(Berechnung!R94))*N(Berechnung!C94))</f>
        <v/>
      </c>
      <c r="E94" s="58">
        <f>IF($B94="","",(N(Berechnung!F94)+N(Berechnung!S94))*N(Berechnung!C94))</f>
        <v/>
      </c>
      <c r="F94" s="58">
        <f>IF($B94="","",(N(Berechnung!G94)+N(Berechnung!T94))*N(Berechnung!C94))</f>
        <v/>
      </c>
      <c r="G94" s="58">
        <f>IF($B94="","",(N(Berechnung!H94)+N(Berechnung!U94))*N(Berechnung!C94))</f>
        <v/>
      </c>
      <c r="H94" s="58">
        <f>IF($B94="","",(N(Berechnung!I94)+N(Berechnung!V94))*N(Berechnung!C94))</f>
        <v/>
      </c>
      <c r="I94" s="58">
        <f>IF($B94="","",(N(Berechnung!J94)+N(Berechnung!W94))*N(Berechnung!C94))</f>
        <v/>
      </c>
      <c r="J94" s="58">
        <f>IF($B94="","",(N(Berechnung!K94)+N(Berechnung!X94))*N(Berechnung!C94))</f>
        <v/>
      </c>
      <c r="K94" s="58">
        <f>IF($B94="","",(N(Berechnung!L94)+N(Berechnung!Y94))*N(Berechnung!C94))</f>
        <v/>
      </c>
      <c r="L94" s="58">
        <f>IF($B94="","",(N(Berechnung!M94)+N(Berechnung!Z94))*N(Berechnung!C94))</f>
        <v/>
      </c>
      <c r="M94" s="58">
        <f>IF($B94="","",(N(Berechnung!N94)+N(Berechnung!AA94))*N(Berechnung!C94))</f>
        <v/>
      </c>
      <c r="N94" s="58">
        <f>IF($B94="","",(N(Berechnung!O94)+N(Berechnung!AB94))*N(Berechnung!C94))</f>
        <v/>
      </c>
      <c r="O94" s="65">
        <f>IF($B94="","",SUM(C94:N94))</f>
        <v/>
      </c>
      <c r="P94" s="57">
        <f>'KQuote Mitarbeiter'!E94</f>
        <v/>
      </c>
      <c r="Q94" s="66">
        <f>'KQuote Mitarbeiter'!L94</f>
        <v/>
      </c>
      <c r="R94" s="57">
        <f>'KQuote Mitarbeiter'!D94</f>
        <v/>
      </c>
      <c r="S94" s="66">
        <f>'KQuote Mitarbeiter'!K94</f>
        <v/>
      </c>
    </row>
    <row r="95">
      <c r="A95" s="47">
        <f>'KQuote Mitarbeiter'!A95</f>
        <v/>
      </c>
      <c r="B95" s="48">
        <f>'KQuote Mitarbeiter'!B95</f>
        <v/>
      </c>
      <c r="C95" s="58">
        <f>IF($B95="","",(N(Berechnung!D95)+N(Berechnung!Q95))*N(Berechnung!C95))</f>
        <v/>
      </c>
      <c r="D95" s="58">
        <f>IF($B95="","",(N(Berechnung!E95)+N(Berechnung!R95))*N(Berechnung!C95))</f>
        <v/>
      </c>
      <c r="E95" s="58">
        <f>IF($B95="","",(N(Berechnung!F95)+N(Berechnung!S95))*N(Berechnung!C95))</f>
        <v/>
      </c>
      <c r="F95" s="58">
        <f>IF($B95="","",(N(Berechnung!G95)+N(Berechnung!T95))*N(Berechnung!C95))</f>
        <v/>
      </c>
      <c r="G95" s="58">
        <f>IF($B95="","",(N(Berechnung!H95)+N(Berechnung!U95))*N(Berechnung!C95))</f>
        <v/>
      </c>
      <c r="H95" s="58">
        <f>IF($B95="","",(N(Berechnung!I95)+N(Berechnung!V95))*N(Berechnung!C95))</f>
        <v/>
      </c>
      <c r="I95" s="58">
        <f>IF($B95="","",(N(Berechnung!J95)+N(Berechnung!W95))*N(Berechnung!C95))</f>
        <v/>
      </c>
      <c r="J95" s="58">
        <f>IF($B95="","",(N(Berechnung!K95)+N(Berechnung!X95))*N(Berechnung!C95))</f>
        <v/>
      </c>
      <c r="K95" s="58">
        <f>IF($B95="","",(N(Berechnung!L95)+N(Berechnung!Y95))*N(Berechnung!C95))</f>
        <v/>
      </c>
      <c r="L95" s="58">
        <f>IF($B95="","",(N(Berechnung!M95)+N(Berechnung!Z95))*N(Berechnung!C95))</f>
        <v/>
      </c>
      <c r="M95" s="58">
        <f>IF($B95="","",(N(Berechnung!N95)+N(Berechnung!AA95))*N(Berechnung!C95))</f>
        <v/>
      </c>
      <c r="N95" s="58">
        <f>IF($B95="","",(N(Berechnung!O95)+N(Berechnung!AB95))*N(Berechnung!C95))</f>
        <v/>
      </c>
      <c r="O95" s="65">
        <f>IF($B95="","",SUM(C95:N95))</f>
        <v/>
      </c>
      <c r="P95" s="57">
        <f>'KQuote Mitarbeiter'!E95</f>
        <v/>
      </c>
      <c r="Q95" s="66">
        <f>'KQuote Mitarbeiter'!L95</f>
        <v/>
      </c>
      <c r="R95" s="57">
        <f>'KQuote Mitarbeiter'!D95</f>
        <v/>
      </c>
      <c r="S95" s="66">
        <f>'KQuote Mitarbeiter'!K95</f>
        <v/>
      </c>
    </row>
    <row r="96">
      <c r="A96" s="47">
        <f>'KQuote Mitarbeiter'!A96</f>
        <v/>
      </c>
      <c r="B96" s="48">
        <f>'KQuote Mitarbeiter'!B96</f>
        <v/>
      </c>
      <c r="C96" s="58">
        <f>IF($B96="","",(N(Berechnung!D96)+N(Berechnung!Q96))*N(Berechnung!C96))</f>
        <v/>
      </c>
      <c r="D96" s="58">
        <f>IF($B96="","",(N(Berechnung!E96)+N(Berechnung!R96))*N(Berechnung!C96))</f>
        <v/>
      </c>
      <c r="E96" s="58">
        <f>IF($B96="","",(N(Berechnung!F96)+N(Berechnung!S96))*N(Berechnung!C96))</f>
        <v/>
      </c>
      <c r="F96" s="58">
        <f>IF($B96="","",(N(Berechnung!G96)+N(Berechnung!T96))*N(Berechnung!C96))</f>
        <v/>
      </c>
      <c r="G96" s="58">
        <f>IF($B96="","",(N(Berechnung!H96)+N(Berechnung!U96))*N(Berechnung!C96))</f>
        <v/>
      </c>
      <c r="H96" s="58">
        <f>IF($B96="","",(N(Berechnung!I96)+N(Berechnung!V96))*N(Berechnung!C96))</f>
        <v/>
      </c>
      <c r="I96" s="58">
        <f>IF($B96="","",(N(Berechnung!J96)+N(Berechnung!W96))*N(Berechnung!C96))</f>
        <v/>
      </c>
      <c r="J96" s="58">
        <f>IF($B96="","",(N(Berechnung!K96)+N(Berechnung!X96))*N(Berechnung!C96))</f>
        <v/>
      </c>
      <c r="K96" s="58">
        <f>IF($B96="","",(N(Berechnung!L96)+N(Berechnung!Y96))*N(Berechnung!C96))</f>
        <v/>
      </c>
      <c r="L96" s="58">
        <f>IF($B96="","",(N(Berechnung!M96)+N(Berechnung!Z96))*N(Berechnung!C96))</f>
        <v/>
      </c>
      <c r="M96" s="58">
        <f>IF($B96="","",(N(Berechnung!N96)+N(Berechnung!AA96))*N(Berechnung!C96))</f>
        <v/>
      </c>
      <c r="N96" s="58">
        <f>IF($B96="","",(N(Berechnung!O96)+N(Berechnung!AB96))*N(Berechnung!C96))</f>
        <v/>
      </c>
      <c r="O96" s="65">
        <f>IF($B96="","",SUM(C96:N96))</f>
        <v/>
      </c>
      <c r="P96" s="57">
        <f>'KQuote Mitarbeiter'!E96</f>
        <v/>
      </c>
      <c r="Q96" s="66">
        <f>'KQuote Mitarbeiter'!L96</f>
        <v/>
      </c>
      <c r="R96" s="57">
        <f>'KQuote Mitarbeiter'!D96</f>
        <v/>
      </c>
      <c r="S96" s="66">
        <f>'KQuote Mitarbeiter'!K96</f>
        <v/>
      </c>
    </row>
    <row r="97">
      <c r="A97" s="47">
        <f>'KQuote Mitarbeiter'!A97</f>
        <v/>
      </c>
      <c r="B97" s="48">
        <f>'KQuote Mitarbeiter'!B97</f>
        <v/>
      </c>
      <c r="C97" s="58">
        <f>IF($B97="","",(N(Berechnung!D97)+N(Berechnung!Q97))*N(Berechnung!C97))</f>
        <v/>
      </c>
      <c r="D97" s="58">
        <f>IF($B97="","",(N(Berechnung!E97)+N(Berechnung!R97))*N(Berechnung!C97))</f>
        <v/>
      </c>
      <c r="E97" s="58">
        <f>IF($B97="","",(N(Berechnung!F97)+N(Berechnung!S97))*N(Berechnung!C97))</f>
        <v/>
      </c>
      <c r="F97" s="58">
        <f>IF($B97="","",(N(Berechnung!G97)+N(Berechnung!T97))*N(Berechnung!C97))</f>
        <v/>
      </c>
      <c r="G97" s="58">
        <f>IF($B97="","",(N(Berechnung!H97)+N(Berechnung!U97))*N(Berechnung!C97))</f>
        <v/>
      </c>
      <c r="H97" s="58">
        <f>IF($B97="","",(N(Berechnung!I97)+N(Berechnung!V97))*N(Berechnung!C97))</f>
        <v/>
      </c>
      <c r="I97" s="58">
        <f>IF($B97="","",(N(Berechnung!J97)+N(Berechnung!W97))*N(Berechnung!C97))</f>
        <v/>
      </c>
      <c r="J97" s="58">
        <f>IF($B97="","",(N(Berechnung!K97)+N(Berechnung!X97))*N(Berechnung!C97))</f>
        <v/>
      </c>
      <c r="K97" s="58">
        <f>IF($B97="","",(N(Berechnung!L97)+N(Berechnung!Y97))*N(Berechnung!C97))</f>
        <v/>
      </c>
      <c r="L97" s="58">
        <f>IF($B97="","",(N(Berechnung!M97)+N(Berechnung!Z97))*N(Berechnung!C97))</f>
        <v/>
      </c>
      <c r="M97" s="58">
        <f>IF($B97="","",(N(Berechnung!N97)+N(Berechnung!AA97))*N(Berechnung!C97))</f>
        <v/>
      </c>
      <c r="N97" s="58">
        <f>IF($B97="","",(N(Berechnung!O97)+N(Berechnung!AB97))*N(Berechnung!C97))</f>
        <v/>
      </c>
      <c r="O97" s="65">
        <f>IF($B97="","",SUM(C97:N97))</f>
        <v/>
      </c>
      <c r="P97" s="57">
        <f>'KQuote Mitarbeiter'!E97</f>
        <v/>
      </c>
      <c r="Q97" s="66">
        <f>'KQuote Mitarbeiter'!L97</f>
        <v/>
      </c>
      <c r="R97" s="57">
        <f>'KQuote Mitarbeiter'!D97</f>
        <v/>
      </c>
      <c r="S97" s="66">
        <f>'KQuote Mitarbeiter'!K97</f>
        <v/>
      </c>
    </row>
    <row r="98">
      <c r="A98" s="47">
        <f>'KQuote Mitarbeiter'!A98</f>
        <v/>
      </c>
      <c r="B98" s="48">
        <f>'KQuote Mitarbeiter'!B98</f>
        <v/>
      </c>
      <c r="C98" s="58">
        <f>IF($B98="","",(N(Berechnung!D98)+N(Berechnung!Q98))*N(Berechnung!C98))</f>
        <v/>
      </c>
      <c r="D98" s="58">
        <f>IF($B98="","",(N(Berechnung!E98)+N(Berechnung!R98))*N(Berechnung!C98))</f>
        <v/>
      </c>
      <c r="E98" s="58">
        <f>IF($B98="","",(N(Berechnung!F98)+N(Berechnung!S98))*N(Berechnung!C98))</f>
        <v/>
      </c>
      <c r="F98" s="58">
        <f>IF($B98="","",(N(Berechnung!G98)+N(Berechnung!T98))*N(Berechnung!C98))</f>
        <v/>
      </c>
      <c r="G98" s="58">
        <f>IF($B98="","",(N(Berechnung!H98)+N(Berechnung!U98))*N(Berechnung!C98))</f>
        <v/>
      </c>
      <c r="H98" s="58">
        <f>IF($B98="","",(N(Berechnung!I98)+N(Berechnung!V98))*N(Berechnung!C98))</f>
        <v/>
      </c>
      <c r="I98" s="58">
        <f>IF($B98="","",(N(Berechnung!J98)+N(Berechnung!W98))*N(Berechnung!C98))</f>
        <v/>
      </c>
      <c r="J98" s="58">
        <f>IF($B98="","",(N(Berechnung!K98)+N(Berechnung!X98))*N(Berechnung!C98))</f>
        <v/>
      </c>
      <c r="K98" s="58">
        <f>IF($B98="","",(N(Berechnung!L98)+N(Berechnung!Y98))*N(Berechnung!C98))</f>
        <v/>
      </c>
      <c r="L98" s="58">
        <f>IF($B98="","",(N(Berechnung!M98)+N(Berechnung!Z98))*N(Berechnung!C98))</f>
        <v/>
      </c>
      <c r="M98" s="58">
        <f>IF($B98="","",(N(Berechnung!N98)+N(Berechnung!AA98))*N(Berechnung!C98))</f>
        <v/>
      </c>
      <c r="N98" s="58">
        <f>IF($B98="","",(N(Berechnung!O98)+N(Berechnung!AB98))*N(Berechnung!C98))</f>
        <v/>
      </c>
      <c r="O98" s="65">
        <f>IF($B98="","",SUM(C98:N98))</f>
        <v/>
      </c>
      <c r="P98" s="57">
        <f>'KQuote Mitarbeiter'!E98</f>
        <v/>
      </c>
      <c r="Q98" s="66">
        <f>'KQuote Mitarbeiter'!L98</f>
        <v/>
      </c>
      <c r="R98" s="57">
        <f>'KQuote Mitarbeiter'!D98</f>
        <v/>
      </c>
      <c r="S98" s="66">
        <f>'KQuote Mitarbeiter'!K98</f>
        <v/>
      </c>
    </row>
    <row r="99">
      <c r="A99" s="47">
        <f>'KQuote Mitarbeiter'!A99</f>
        <v/>
      </c>
      <c r="B99" s="48">
        <f>'KQuote Mitarbeiter'!B99</f>
        <v/>
      </c>
      <c r="C99" s="58">
        <f>IF($B99="","",(N(Berechnung!D99)+N(Berechnung!Q99))*N(Berechnung!C99))</f>
        <v/>
      </c>
      <c r="D99" s="58">
        <f>IF($B99="","",(N(Berechnung!E99)+N(Berechnung!R99))*N(Berechnung!C99))</f>
        <v/>
      </c>
      <c r="E99" s="58">
        <f>IF($B99="","",(N(Berechnung!F99)+N(Berechnung!S99))*N(Berechnung!C99))</f>
        <v/>
      </c>
      <c r="F99" s="58">
        <f>IF($B99="","",(N(Berechnung!G99)+N(Berechnung!T99))*N(Berechnung!C99))</f>
        <v/>
      </c>
      <c r="G99" s="58">
        <f>IF($B99="","",(N(Berechnung!H99)+N(Berechnung!U99))*N(Berechnung!C99))</f>
        <v/>
      </c>
      <c r="H99" s="58">
        <f>IF($B99="","",(N(Berechnung!I99)+N(Berechnung!V99))*N(Berechnung!C99))</f>
        <v/>
      </c>
      <c r="I99" s="58">
        <f>IF($B99="","",(N(Berechnung!J99)+N(Berechnung!W99))*N(Berechnung!C99))</f>
        <v/>
      </c>
      <c r="J99" s="58">
        <f>IF($B99="","",(N(Berechnung!K99)+N(Berechnung!X99))*N(Berechnung!C99))</f>
        <v/>
      </c>
      <c r="K99" s="58">
        <f>IF($B99="","",(N(Berechnung!L99)+N(Berechnung!Y99))*N(Berechnung!C99))</f>
        <v/>
      </c>
      <c r="L99" s="58">
        <f>IF($B99="","",(N(Berechnung!M99)+N(Berechnung!Z99))*N(Berechnung!C99))</f>
        <v/>
      </c>
      <c r="M99" s="58">
        <f>IF($B99="","",(N(Berechnung!N99)+N(Berechnung!AA99))*N(Berechnung!C99))</f>
        <v/>
      </c>
      <c r="N99" s="58">
        <f>IF($B99="","",(N(Berechnung!O99)+N(Berechnung!AB99))*N(Berechnung!C99))</f>
        <v/>
      </c>
      <c r="O99" s="65">
        <f>IF($B99="","",SUM(C99:N99))</f>
        <v/>
      </c>
      <c r="P99" s="57">
        <f>'KQuote Mitarbeiter'!E99</f>
        <v/>
      </c>
      <c r="Q99" s="66">
        <f>'KQuote Mitarbeiter'!L99</f>
        <v/>
      </c>
      <c r="R99" s="57">
        <f>'KQuote Mitarbeiter'!D99</f>
        <v/>
      </c>
      <c r="S99" s="66">
        <f>'KQuote Mitarbeiter'!K99</f>
        <v/>
      </c>
    </row>
    <row r="100">
      <c r="A100" s="47">
        <f>'KQuote Mitarbeiter'!A100</f>
        <v/>
      </c>
      <c r="B100" s="48">
        <f>'KQuote Mitarbeiter'!B100</f>
        <v/>
      </c>
      <c r="C100" s="58">
        <f>IF($B100="","",(N(Berechnung!D100)+N(Berechnung!Q100))*N(Berechnung!C100))</f>
        <v/>
      </c>
      <c r="D100" s="58">
        <f>IF($B100="","",(N(Berechnung!E100)+N(Berechnung!R100))*N(Berechnung!C100))</f>
        <v/>
      </c>
      <c r="E100" s="58">
        <f>IF($B100="","",(N(Berechnung!F100)+N(Berechnung!S100))*N(Berechnung!C100))</f>
        <v/>
      </c>
      <c r="F100" s="58">
        <f>IF($B100="","",(N(Berechnung!G100)+N(Berechnung!T100))*N(Berechnung!C100))</f>
        <v/>
      </c>
      <c r="G100" s="58">
        <f>IF($B100="","",(N(Berechnung!H100)+N(Berechnung!U100))*N(Berechnung!C100))</f>
        <v/>
      </c>
      <c r="H100" s="58">
        <f>IF($B100="","",(N(Berechnung!I100)+N(Berechnung!V100))*N(Berechnung!C100))</f>
        <v/>
      </c>
      <c r="I100" s="58">
        <f>IF($B100="","",(N(Berechnung!J100)+N(Berechnung!W100))*N(Berechnung!C100))</f>
        <v/>
      </c>
      <c r="J100" s="58">
        <f>IF($B100="","",(N(Berechnung!K100)+N(Berechnung!X100))*N(Berechnung!C100))</f>
        <v/>
      </c>
      <c r="K100" s="58">
        <f>IF($B100="","",(N(Berechnung!L100)+N(Berechnung!Y100))*N(Berechnung!C100))</f>
        <v/>
      </c>
      <c r="L100" s="58">
        <f>IF($B100="","",(N(Berechnung!M100)+N(Berechnung!Z100))*N(Berechnung!C100))</f>
        <v/>
      </c>
      <c r="M100" s="58">
        <f>IF($B100="","",(N(Berechnung!N100)+N(Berechnung!AA100))*N(Berechnung!C100))</f>
        <v/>
      </c>
      <c r="N100" s="58">
        <f>IF($B100="","",(N(Berechnung!O100)+N(Berechnung!AB100))*N(Berechnung!C100))</f>
        <v/>
      </c>
      <c r="O100" s="65">
        <f>IF($B100="","",SUM(C100:N100))</f>
        <v/>
      </c>
      <c r="P100" s="57">
        <f>'KQuote Mitarbeiter'!E100</f>
        <v/>
      </c>
      <c r="Q100" s="66">
        <f>'KQuote Mitarbeiter'!L100</f>
        <v/>
      </c>
      <c r="R100" s="57">
        <f>'KQuote Mitarbeiter'!D100</f>
        <v/>
      </c>
      <c r="S100" s="66">
        <f>'KQuote Mitarbeiter'!K100</f>
        <v/>
      </c>
    </row>
    <row r="101">
      <c r="A101" s="47">
        <f>'KQuote Mitarbeiter'!A101</f>
        <v/>
      </c>
      <c r="B101" s="48">
        <f>'KQuote Mitarbeiter'!B101</f>
        <v/>
      </c>
      <c r="C101" s="58">
        <f>IF($B101="","",(N(Berechnung!D101)+N(Berechnung!Q101))*N(Berechnung!C101))</f>
        <v/>
      </c>
      <c r="D101" s="58">
        <f>IF($B101="","",(N(Berechnung!E101)+N(Berechnung!R101))*N(Berechnung!C101))</f>
        <v/>
      </c>
      <c r="E101" s="58">
        <f>IF($B101="","",(N(Berechnung!F101)+N(Berechnung!S101))*N(Berechnung!C101))</f>
        <v/>
      </c>
      <c r="F101" s="58">
        <f>IF($B101="","",(N(Berechnung!G101)+N(Berechnung!T101))*N(Berechnung!C101))</f>
        <v/>
      </c>
      <c r="G101" s="58">
        <f>IF($B101="","",(N(Berechnung!H101)+N(Berechnung!U101))*N(Berechnung!C101))</f>
        <v/>
      </c>
      <c r="H101" s="58">
        <f>IF($B101="","",(N(Berechnung!I101)+N(Berechnung!V101))*N(Berechnung!C101))</f>
        <v/>
      </c>
      <c r="I101" s="58">
        <f>IF($B101="","",(N(Berechnung!J101)+N(Berechnung!W101))*N(Berechnung!C101))</f>
        <v/>
      </c>
      <c r="J101" s="58">
        <f>IF($B101="","",(N(Berechnung!K101)+N(Berechnung!X101))*N(Berechnung!C101))</f>
        <v/>
      </c>
      <c r="K101" s="58">
        <f>IF($B101="","",(N(Berechnung!L101)+N(Berechnung!Y101))*N(Berechnung!C101))</f>
        <v/>
      </c>
      <c r="L101" s="58">
        <f>IF($B101="","",(N(Berechnung!M101)+N(Berechnung!Z101))*N(Berechnung!C101))</f>
        <v/>
      </c>
      <c r="M101" s="58">
        <f>IF($B101="","",(N(Berechnung!N101)+N(Berechnung!AA101))*N(Berechnung!C101))</f>
        <v/>
      </c>
      <c r="N101" s="58">
        <f>IF($B101="","",(N(Berechnung!O101)+N(Berechnung!AB101))*N(Berechnung!C101))</f>
        <v/>
      </c>
      <c r="O101" s="65">
        <f>IF($B101="","",SUM(C101:N101))</f>
        <v/>
      </c>
      <c r="P101" s="57">
        <f>'KQuote Mitarbeiter'!E101</f>
        <v/>
      </c>
      <c r="Q101" s="66">
        <f>'KQuote Mitarbeiter'!L101</f>
        <v/>
      </c>
      <c r="R101" s="57">
        <f>'KQuote Mitarbeiter'!D101</f>
        <v/>
      </c>
      <c r="S101" s="66">
        <f>'KQuote Mitarbeiter'!K101</f>
        <v/>
      </c>
    </row>
    <row r="102">
      <c r="A102" s="47">
        <f>'KQuote Mitarbeiter'!A102</f>
        <v/>
      </c>
      <c r="B102" s="48">
        <f>'KQuote Mitarbeiter'!B102</f>
        <v/>
      </c>
      <c r="C102" s="58">
        <f>IF($B102="","",(N(Berechnung!D102)+N(Berechnung!Q102))*N(Berechnung!C102))</f>
        <v/>
      </c>
      <c r="D102" s="58">
        <f>IF($B102="","",(N(Berechnung!E102)+N(Berechnung!R102))*N(Berechnung!C102))</f>
        <v/>
      </c>
      <c r="E102" s="58">
        <f>IF($B102="","",(N(Berechnung!F102)+N(Berechnung!S102))*N(Berechnung!C102))</f>
        <v/>
      </c>
      <c r="F102" s="58">
        <f>IF($B102="","",(N(Berechnung!G102)+N(Berechnung!T102))*N(Berechnung!C102))</f>
        <v/>
      </c>
      <c r="G102" s="58">
        <f>IF($B102="","",(N(Berechnung!H102)+N(Berechnung!U102))*N(Berechnung!C102))</f>
        <v/>
      </c>
      <c r="H102" s="58">
        <f>IF($B102="","",(N(Berechnung!I102)+N(Berechnung!V102))*N(Berechnung!C102))</f>
        <v/>
      </c>
      <c r="I102" s="58">
        <f>IF($B102="","",(N(Berechnung!J102)+N(Berechnung!W102))*N(Berechnung!C102))</f>
        <v/>
      </c>
      <c r="J102" s="58">
        <f>IF($B102="","",(N(Berechnung!K102)+N(Berechnung!X102))*N(Berechnung!C102))</f>
        <v/>
      </c>
      <c r="K102" s="58">
        <f>IF($B102="","",(N(Berechnung!L102)+N(Berechnung!Y102))*N(Berechnung!C102))</f>
        <v/>
      </c>
      <c r="L102" s="58">
        <f>IF($B102="","",(N(Berechnung!M102)+N(Berechnung!Z102))*N(Berechnung!C102))</f>
        <v/>
      </c>
      <c r="M102" s="58">
        <f>IF($B102="","",(N(Berechnung!N102)+N(Berechnung!AA102))*N(Berechnung!C102))</f>
        <v/>
      </c>
      <c r="N102" s="58">
        <f>IF($B102="","",(N(Berechnung!O102)+N(Berechnung!AB102))*N(Berechnung!C102))</f>
        <v/>
      </c>
      <c r="O102" s="65">
        <f>IF($B102="","",SUM(C102:N102))</f>
        <v/>
      </c>
      <c r="P102" s="57">
        <f>'KQuote Mitarbeiter'!E102</f>
        <v/>
      </c>
      <c r="Q102" s="66">
        <f>'KQuote Mitarbeiter'!L102</f>
        <v/>
      </c>
      <c r="R102" s="57">
        <f>'KQuote Mitarbeiter'!D102</f>
        <v/>
      </c>
      <c r="S102" s="66">
        <f>'KQuote Mitarbeiter'!K102</f>
        <v/>
      </c>
    </row>
    <row r="103">
      <c r="A103" s="47">
        <f>'KQuote Mitarbeiter'!A103</f>
        <v/>
      </c>
      <c r="B103" s="48">
        <f>'KQuote Mitarbeiter'!B103</f>
        <v/>
      </c>
      <c r="C103" s="58">
        <f>IF($B103="","",(N(Berechnung!D103)+N(Berechnung!Q103))*N(Berechnung!C103))</f>
        <v/>
      </c>
      <c r="D103" s="58">
        <f>IF($B103="","",(N(Berechnung!E103)+N(Berechnung!R103))*N(Berechnung!C103))</f>
        <v/>
      </c>
      <c r="E103" s="58">
        <f>IF($B103="","",(N(Berechnung!F103)+N(Berechnung!S103))*N(Berechnung!C103))</f>
        <v/>
      </c>
      <c r="F103" s="58">
        <f>IF($B103="","",(N(Berechnung!G103)+N(Berechnung!T103))*N(Berechnung!C103))</f>
        <v/>
      </c>
      <c r="G103" s="58">
        <f>IF($B103="","",(N(Berechnung!H103)+N(Berechnung!U103))*N(Berechnung!C103))</f>
        <v/>
      </c>
      <c r="H103" s="58">
        <f>IF($B103="","",(N(Berechnung!I103)+N(Berechnung!V103))*N(Berechnung!C103))</f>
        <v/>
      </c>
      <c r="I103" s="58">
        <f>IF($B103="","",(N(Berechnung!J103)+N(Berechnung!W103))*N(Berechnung!C103))</f>
        <v/>
      </c>
      <c r="J103" s="58">
        <f>IF($B103="","",(N(Berechnung!K103)+N(Berechnung!X103))*N(Berechnung!C103))</f>
        <v/>
      </c>
      <c r="K103" s="58">
        <f>IF($B103="","",(N(Berechnung!L103)+N(Berechnung!Y103))*N(Berechnung!C103))</f>
        <v/>
      </c>
      <c r="L103" s="58">
        <f>IF($B103="","",(N(Berechnung!M103)+N(Berechnung!Z103))*N(Berechnung!C103))</f>
        <v/>
      </c>
      <c r="M103" s="58">
        <f>IF($B103="","",(N(Berechnung!N103)+N(Berechnung!AA103))*N(Berechnung!C103))</f>
        <v/>
      </c>
      <c r="N103" s="58">
        <f>IF($B103="","",(N(Berechnung!O103)+N(Berechnung!AB103))*N(Berechnung!C103))</f>
        <v/>
      </c>
      <c r="O103" s="65">
        <f>IF($B103="","",SUM(C103:N103))</f>
        <v/>
      </c>
      <c r="P103" s="57">
        <f>'KQuote Mitarbeiter'!E103</f>
        <v/>
      </c>
      <c r="Q103" s="66">
        <f>'KQuote Mitarbeiter'!L103</f>
        <v/>
      </c>
      <c r="R103" s="57">
        <f>'KQuote Mitarbeiter'!D103</f>
        <v/>
      </c>
      <c r="S103" s="66">
        <f>'KQuote Mitarbeiter'!K103</f>
        <v/>
      </c>
    </row>
    <row r="104">
      <c r="A104" s="47">
        <f>'KQuote Mitarbeiter'!A104</f>
        <v/>
      </c>
      <c r="B104" s="48">
        <f>'KQuote Mitarbeiter'!B104</f>
        <v/>
      </c>
      <c r="C104" s="58">
        <f>IF($B104="","",(N(Berechnung!D104)+N(Berechnung!Q104))*N(Berechnung!C104))</f>
        <v/>
      </c>
      <c r="D104" s="58">
        <f>IF($B104="","",(N(Berechnung!E104)+N(Berechnung!R104))*N(Berechnung!C104))</f>
        <v/>
      </c>
      <c r="E104" s="58">
        <f>IF($B104="","",(N(Berechnung!F104)+N(Berechnung!S104))*N(Berechnung!C104))</f>
        <v/>
      </c>
      <c r="F104" s="58">
        <f>IF($B104="","",(N(Berechnung!G104)+N(Berechnung!T104))*N(Berechnung!C104))</f>
        <v/>
      </c>
      <c r="G104" s="58">
        <f>IF($B104="","",(N(Berechnung!H104)+N(Berechnung!U104))*N(Berechnung!C104))</f>
        <v/>
      </c>
      <c r="H104" s="58">
        <f>IF($B104="","",(N(Berechnung!I104)+N(Berechnung!V104))*N(Berechnung!C104))</f>
        <v/>
      </c>
      <c r="I104" s="58">
        <f>IF($B104="","",(N(Berechnung!J104)+N(Berechnung!W104))*N(Berechnung!C104))</f>
        <v/>
      </c>
      <c r="J104" s="58">
        <f>IF($B104="","",(N(Berechnung!K104)+N(Berechnung!X104))*N(Berechnung!C104))</f>
        <v/>
      </c>
      <c r="K104" s="58">
        <f>IF($B104="","",(N(Berechnung!L104)+N(Berechnung!Y104))*N(Berechnung!C104))</f>
        <v/>
      </c>
      <c r="L104" s="58">
        <f>IF($B104="","",(N(Berechnung!M104)+N(Berechnung!Z104))*N(Berechnung!C104))</f>
        <v/>
      </c>
      <c r="M104" s="58">
        <f>IF($B104="","",(N(Berechnung!N104)+N(Berechnung!AA104))*N(Berechnung!C104))</f>
        <v/>
      </c>
      <c r="N104" s="58">
        <f>IF($B104="","",(N(Berechnung!O104)+N(Berechnung!AB104))*N(Berechnung!C104))</f>
        <v/>
      </c>
      <c r="O104" s="65">
        <f>IF($B104="","",SUM(C104:N104))</f>
        <v/>
      </c>
      <c r="P104" s="57">
        <f>'KQuote Mitarbeiter'!E104</f>
        <v/>
      </c>
      <c r="Q104" s="66">
        <f>'KQuote Mitarbeiter'!L104</f>
        <v/>
      </c>
      <c r="R104" s="57">
        <f>'KQuote Mitarbeiter'!D104</f>
        <v/>
      </c>
      <c r="S104" s="66">
        <f>'KQuote Mitarbeiter'!K104</f>
        <v/>
      </c>
    </row>
    <row r="105">
      <c r="A105" s="47">
        <f>'KQuote Mitarbeiter'!A105</f>
        <v/>
      </c>
      <c r="B105" s="48">
        <f>'KQuote Mitarbeiter'!B105</f>
        <v/>
      </c>
      <c r="C105" s="58">
        <f>IF($B105="","",(N(Berechnung!D105)+N(Berechnung!Q105))*N(Berechnung!C105))</f>
        <v/>
      </c>
      <c r="D105" s="58">
        <f>IF($B105="","",(N(Berechnung!E105)+N(Berechnung!R105))*N(Berechnung!C105))</f>
        <v/>
      </c>
      <c r="E105" s="58">
        <f>IF($B105="","",(N(Berechnung!F105)+N(Berechnung!S105))*N(Berechnung!C105))</f>
        <v/>
      </c>
      <c r="F105" s="58">
        <f>IF($B105="","",(N(Berechnung!G105)+N(Berechnung!T105))*N(Berechnung!C105))</f>
        <v/>
      </c>
      <c r="G105" s="58">
        <f>IF($B105="","",(N(Berechnung!H105)+N(Berechnung!U105))*N(Berechnung!C105))</f>
        <v/>
      </c>
      <c r="H105" s="58">
        <f>IF($B105="","",(N(Berechnung!I105)+N(Berechnung!V105))*N(Berechnung!C105))</f>
        <v/>
      </c>
      <c r="I105" s="58">
        <f>IF($B105="","",(N(Berechnung!J105)+N(Berechnung!W105))*N(Berechnung!C105))</f>
        <v/>
      </c>
      <c r="J105" s="58">
        <f>IF($B105="","",(N(Berechnung!K105)+N(Berechnung!X105))*N(Berechnung!C105))</f>
        <v/>
      </c>
      <c r="K105" s="58">
        <f>IF($B105="","",(N(Berechnung!L105)+N(Berechnung!Y105))*N(Berechnung!C105))</f>
        <v/>
      </c>
      <c r="L105" s="58">
        <f>IF($B105="","",(N(Berechnung!M105)+N(Berechnung!Z105))*N(Berechnung!C105))</f>
        <v/>
      </c>
      <c r="M105" s="58">
        <f>IF($B105="","",(N(Berechnung!N105)+N(Berechnung!AA105))*N(Berechnung!C105))</f>
        <v/>
      </c>
      <c r="N105" s="58">
        <f>IF($B105="","",(N(Berechnung!O105)+N(Berechnung!AB105))*N(Berechnung!C105))</f>
        <v/>
      </c>
      <c r="O105" s="65">
        <f>IF($B105="","",SUM(C105:N105))</f>
        <v/>
      </c>
      <c r="P105" s="57">
        <f>'KQuote Mitarbeiter'!E105</f>
        <v/>
      </c>
      <c r="Q105" s="66">
        <f>'KQuote Mitarbeiter'!L105</f>
        <v/>
      </c>
      <c r="R105" s="57">
        <f>'KQuote Mitarbeiter'!D105</f>
        <v/>
      </c>
      <c r="S105" s="66">
        <f>'KQuote Mitarbeiter'!K105</f>
        <v/>
      </c>
    </row>
    <row r="106">
      <c r="A106" s="47">
        <f>'KQuote Mitarbeiter'!A106</f>
        <v/>
      </c>
      <c r="B106" s="48">
        <f>'KQuote Mitarbeiter'!B106</f>
        <v/>
      </c>
      <c r="C106" s="58">
        <f>IF($B106="","",(N(Berechnung!D106)+N(Berechnung!Q106))*N(Berechnung!C106))</f>
        <v/>
      </c>
      <c r="D106" s="58">
        <f>IF($B106="","",(N(Berechnung!E106)+N(Berechnung!R106))*N(Berechnung!C106))</f>
        <v/>
      </c>
      <c r="E106" s="58">
        <f>IF($B106="","",(N(Berechnung!F106)+N(Berechnung!S106))*N(Berechnung!C106))</f>
        <v/>
      </c>
      <c r="F106" s="58">
        <f>IF($B106="","",(N(Berechnung!G106)+N(Berechnung!T106))*N(Berechnung!C106))</f>
        <v/>
      </c>
      <c r="G106" s="58">
        <f>IF($B106="","",(N(Berechnung!H106)+N(Berechnung!U106))*N(Berechnung!C106))</f>
        <v/>
      </c>
      <c r="H106" s="58">
        <f>IF($B106="","",(N(Berechnung!I106)+N(Berechnung!V106))*N(Berechnung!C106))</f>
        <v/>
      </c>
      <c r="I106" s="58">
        <f>IF($B106="","",(N(Berechnung!J106)+N(Berechnung!W106))*N(Berechnung!C106))</f>
        <v/>
      </c>
      <c r="J106" s="58">
        <f>IF($B106="","",(N(Berechnung!K106)+N(Berechnung!X106))*N(Berechnung!C106))</f>
        <v/>
      </c>
      <c r="K106" s="58">
        <f>IF($B106="","",(N(Berechnung!L106)+N(Berechnung!Y106))*N(Berechnung!C106))</f>
        <v/>
      </c>
      <c r="L106" s="58">
        <f>IF($B106="","",(N(Berechnung!M106)+N(Berechnung!Z106))*N(Berechnung!C106))</f>
        <v/>
      </c>
      <c r="M106" s="58">
        <f>IF($B106="","",(N(Berechnung!N106)+N(Berechnung!AA106))*N(Berechnung!C106))</f>
        <v/>
      </c>
      <c r="N106" s="58">
        <f>IF($B106="","",(N(Berechnung!O106)+N(Berechnung!AB106))*N(Berechnung!C106))</f>
        <v/>
      </c>
      <c r="O106" s="65">
        <f>IF($B106="","",SUM(C106:N106))</f>
        <v/>
      </c>
      <c r="P106" s="57">
        <f>'KQuote Mitarbeiter'!E106</f>
        <v/>
      </c>
      <c r="Q106" s="66">
        <f>'KQuote Mitarbeiter'!L106</f>
        <v/>
      </c>
      <c r="R106" s="57">
        <f>'KQuote Mitarbeiter'!D106</f>
        <v/>
      </c>
      <c r="S106" s="66">
        <f>'KQuote Mitarbeiter'!K106</f>
        <v/>
      </c>
    </row>
    <row r="107">
      <c r="A107" s="47">
        <f>'KQuote Mitarbeiter'!A107</f>
        <v/>
      </c>
      <c r="B107" s="48">
        <f>'KQuote Mitarbeiter'!B107</f>
        <v/>
      </c>
      <c r="C107" s="58">
        <f>IF($B107="","",(N(Berechnung!D107)+N(Berechnung!Q107))*N(Berechnung!C107))</f>
        <v/>
      </c>
      <c r="D107" s="58">
        <f>IF($B107="","",(N(Berechnung!E107)+N(Berechnung!R107))*N(Berechnung!C107))</f>
        <v/>
      </c>
      <c r="E107" s="58">
        <f>IF($B107="","",(N(Berechnung!F107)+N(Berechnung!S107))*N(Berechnung!C107))</f>
        <v/>
      </c>
      <c r="F107" s="58">
        <f>IF($B107="","",(N(Berechnung!G107)+N(Berechnung!T107))*N(Berechnung!C107))</f>
        <v/>
      </c>
      <c r="G107" s="58">
        <f>IF($B107="","",(N(Berechnung!H107)+N(Berechnung!U107))*N(Berechnung!C107))</f>
        <v/>
      </c>
      <c r="H107" s="58">
        <f>IF($B107="","",(N(Berechnung!I107)+N(Berechnung!V107))*N(Berechnung!C107))</f>
        <v/>
      </c>
      <c r="I107" s="58">
        <f>IF($B107="","",(N(Berechnung!J107)+N(Berechnung!W107))*N(Berechnung!C107))</f>
        <v/>
      </c>
      <c r="J107" s="58">
        <f>IF($B107="","",(N(Berechnung!K107)+N(Berechnung!X107))*N(Berechnung!C107))</f>
        <v/>
      </c>
      <c r="K107" s="58">
        <f>IF($B107="","",(N(Berechnung!L107)+N(Berechnung!Y107))*N(Berechnung!C107))</f>
        <v/>
      </c>
      <c r="L107" s="58">
        <f>IF($B107="","",(N(Berechnung!M107)+N(Berechnung!Z107))*N(Berechnung!C107))</f>
        <v/>
      </c>
      <c r="M107" s="58">
        <f>IF($B107="","",(N(Berechnung!N107)+N(Berechnung!AA107))*N(Berechnung!C107))</f>
        <v/>
      </c>
      <c r="N107" s="58">
        <f>IF($B107="","",(N(Berechnung!O107)+N(Berechnung!AB107))*N(Berechnung!C107))</f>
        <v/>
      </c>
      <c r="O107" s="65">
        <f>IF($B107="","",SUM(C107:N107))</f>
        <v/>
      </c>
      <c r="P107" s="57">
        <f>'KQuote Mitarbeiter'!E107</f>
        <v/>
      </c>
      <c r="Q107" s="66">
        <f>'KQuote Mitarbeiter'!L107</f>
        <v/>
      </c>
      <c r="R107" s="57">
        <f>'KQuote Mitarbeiter'!D107</f>
        <v/>
      </c>
      <c r="S107" s="66">
        <f>'KQuote Mitarbeiter'!K107</f>
        <v/>
      </c>
    </row>
    <row r="108">
      <c r="A108" s="47">
        <f>'KQuote Mitarbeiter'!A108</f>
        <v/>
      </c>
      <c r="B108" s="48">
        <f>'KQuote Mitarbeiter'!B108</f>
        <v/>
      </c>
      <c r="C108" s="58">
        <f>IF($B108="","",(N(Berechnung!D108)+N(Berechnung!Q108))*N(Berechnung!C108))</f>
        <v/>
      </c>
      <c r="D108" s="58">
        <f>IF($B108="","",(N(Berechnung!E108)+N(Berechnung!R108))*N(Berechnung!C108))</f>
        <v/>
      </c>
      <c r="E108" s="58">
        <f>IF($B108="","",(N(Berechnung!F108)+N(Berechnung!S108))*N(Berechnung!C108))</f>
        <v/>
      </c>
      <c r="F108" s="58">
        <f>IF($B108="","",(N(Berechnung!G108)+N(Berechnung!T108))*N(Berechnung!C108))</f>
        <v/>
      </c>
      <c r="G108" s="58">
        <f>IF($B108="","",(N(Berechnung!H108)+N(Berechnung!U108))*N(Berechnung!C108))</f>
        <v/>
      </c>
      <c r="H108" s="58">
        <f>IF($B108="","",(N(Berechnung!I108)+N(Berechnung!V108))*N(Berechnung!C108))</f>
        <v/>
      </c>
      <c r="I108" s="58">
        <f>IF($B108="","",(N(Berechnung!J108)+N(Berechnung!W108))*N(Berechnung!C108))</f>
        <v/>
      </c>
      <c r="J108" s="58">
        <f>IF($B108="","",(N(Berechnung!K108)+N(Berechnung!X108))*N(Berechnung!C108))</f>
        <v/>
      </c>
      <c r="K108" s="58">
        <f>IF($B108="","",(N(Berechnung!L108)+N(Berechnung!Y108))*N(Berechnung!C108))</f>
        <v/>
      </c>
      <c r="L108" s="58">
        <f>IF($B108="","",(N(Berechnung!M108)+N(Berechnung!Z108))*N(Berechnung!C108))</f>
        <v/>
      </c>
      <c r="M108" s="58">
        <f>IF($B108="","",(N(Berechnung!N108)+N(Berechnung!AA108))*N(Berechnung!C108))</f>
        <v/>
      </c>
      <c r="N108" s="58">
        <f>IF($B108="","",(N(Berechnung!O108)+N(Berechnung!AB108))*N(Berechnung!C108))</f>
        <v/>
      </c>
      <c r="O108" s="65">
        <f>IF($B108="","",SUM(C108:N108))</f>
        <v/>
      </c>
      <c r="P108" s="57">
        <f>'KQuote Mitarbeiter'!E108</f>
        <v/>
      </c>
      <c r="Q108" s="66">
        <f>'KQuote Mitarbeiter'!L108</f>
        <v/>
      </c>
      <c r="R108" s="57">
        <f>'KQuote Mitarbeiter'!D108</f>
        <v/>
      </c>
      <c r="S108" s="66">
        <f>'KQuote Mitarbeiter'!K108</f>
        <v/>
      </c>
    </row>
    <row r="109">
      <c r="A109" s="47">
        <f>'KQuote Mitarbeiter'!A109</f>
        <v/>
      </c>
      <c r="B109" s="48">
        <f>'KQuote Mitarbeiter'!B109</f>
        <v/>
      </c>
      <c r="C109" s="58">
        <f>IF($B109="","",(N(Berechnung!D109)+N(Berechnung!Q109))*N(Berechnung!C109))</f>
        <v/>
      </c>
      <c r="D109" s="58">
        <f>IF($B109="","",(N(Berechnung!E109)+N(Berechnung!R109))*N(Berechnung!C109))</f>
        <v/>
      </c>
      <c r="E109" s="58">
        <f>IF($B109="","",(N(Berechnung!F109)+N(Berechnung!S109))*N(Berechnung!C109))</f>
        <v/>
      </c>
      <c r="F109" s="58">
        <f>IF($B109="","",(N(Berechnung!G109)+N(Berechnung!T109))*N(Berechnung!C109))</f>
        <v/>
      </c>
      <c r="G109" s="58">
        <f>IF($B109="","",(N(Berechnung!H109)+N(Berechnung!U109))*N(Berechnung!C109))</f>
        <v/>
      </c>
      <c r="H109" s="58">
        <f>IF($B109="","",(N(Berechnung!I109)+N(Berechnung!V109))*N(Berechnung!C109))</f>
        <v/>
      </c>
      <c r="I109" s="58">
        <f>IF($B109="","",(N(Berechnung!J109)+N(Berechnung!W109))*N(Berechnung!C109))</f>
        <v/>
      </c>
      <c r="J109" s="58">
        <f>IF($B109="","",(N(Berechnung!K109)+N(Berechnung!X109))*N(Berechnung!C109))</f>
        <v/>
      </c>
      <c r="K109" s="58">
        <f>IF($B109="","",(N(Berechnung!L109)+N(Berechnung!Y109))*N(Berechnung!C109))</f>
        <v/>
      </c>
      <c r="L109" s="58">
        <f>IF($B109="","",(N(Berechnung!M109)+N(Berechnung!Z109))*N(Berechnung!C109))</f>
        <v/>
      </c>
      <c r="M109" s="58">
        <f>IF($B109="","",(N(Berechnung!N109)+N(Berechnung!AA109))*N(Berechnung!C109))</f>
        <v/>
      </c>
      <c r="N109" s="58">
        <f>IF($B109="","",(N(Berechnung!O109)+N(Berechnung!AB109))*N(Berechnung!C109))</f>
        <v/>
      </c>
      <c r="O109" s="65">
        <f>IF($B109="","",SUM(C109:N109))</f>
        <v/>
      </c>
      <c r="P109" s="57">
        <f>'KQuote Mitarbeiter'!E109</f>
        <v/>
      </c>
      <c r="Q109" s="66">
        <f>'KQuote Mitarbeiter'!L109</f>
        <v/>
      </c>
      <c r="R109" s="57">
        <f>'KQuote Mitarbeiter'!D109</f>
        <v/>
      </c>
      <c r="S109" s="66">
        <f>'KQuote Mitarbeiter'!K109</f>
        <v/>
      </c>
    </row>
    <row r="110">
      <c r="A110" s="47">
        <f>'KQuote Mitarbeiter'!A110</f>
        <v/>
      </c>
      <c r="B110" s="48">
        <f>'KQuote Mitarbeiter'!B110</f>
        <v/>
      </c>
      <c r="C110" s="58">
        <f>IF($B110="","",(N(Berechnung!D110)+N(Berechnung!Q110))*N(Berechnung!C110))</f>
        <v/>
      </c>
      <c r="D110" s="58">
        <f>IF($B110="","",(N(Berechnung!E110)+N(Berechnung!R110))*N(Berechnung!C110))</f>
        <v/>
      </c>
      <c r="E110" s="58">
        <f>IF($B110="","",(N(Berechnung!F110)+N(Berechnung!S110))*N(Berechnung!C110))</f>
        <v/>
      </c>
      <c r="F110" s="58">
        <f>IF($B110="","",(N(Berechnung!G110)+N(Berechnung!T110))*N(Berechnung!C110))</f>
        <v/>
      </c>
      <c r="G110" s="58">
        <f>IF($B110="","",(N(Berechnung!H110)+N(Berechnung!U110))*N(Berechnung!C110))</f>
        <v/>
      </c>
      <c r="H110" s="58">
        <f>IF($B110="","",(N(Berechnung!I110)+N(Berechnung!V110))*N(Berechnung!C110))</f>
        <v/>
      </c>
      <c r="I110" s="58">
        <f>IF($B110="","",(N(Berechnung!J110)+N(Berechnung!W110))*N(Berechnung!C110))</f>
        <v/>
      </c>
      <c r="J110" s="58">
        <f>IF($B110="","",(N(Berechnung!K110)+N(Berechnung!X110))*N(Berechnung!C110))</f>
        <v/>
      </c>
      <c r="K110" s="58">
        <f>IF($B110="","",(N(Berechnung!L110)+N(Berechnung!Y110))*N(Berechnung!C110))</f>
        <v/>
      </c>
      <c r="L110" s="58">
        <f>IF($B110="","",(N(Berechnung!M110)+N(Berechnung!Z110))*N(Berechnung!C110))</f>
        <v/>
      </c>
      <c r="M110" s="58">
        <f>IF($B110="","",(N(Berechnung!N110)+N(Berechnung!AA110))*N(Berechnung!C110))</f>
        <v/>
      </c>
      <c r="N110" s="58">
        <f>IF($B110="","",(N(Berechnung!O110)+N(Berechnung!AB110))*N(Berechnung!C110))</f>
        <v/>
      </c>
      <c r="O110" s="65">
        <f>IF($B110="","",SUM(C110:N110))</f>
        <v/>
      </c>
      <c r="P110" s="57">
        <f>'KQuote Mitarbeiter'!E110</f>
        <v/>
      </c>
      <c r="Q110" s="66">
        <f>'KQuote Mitarbeiter'!L110</f>
        <v/>
      </c>
      <c r="R110" s="57">
        <f>'KQuote Mitarbeiter'!D110</f>
        <v/>
      </c>
      <c r="S110" s="66">
        <f>'KQuote Mitarbeiter'!K110</f>
        <v/>
      </c>
    </row>
    <row r="111">
      <c r="A111" s="47">
        <f>'KQuote Mitarbeiter'!A111</f>
        <v/>
      </c>
      <c r="B111" s="48">
        <f>'KQuote Mitarbeiter'!B111</f>
        <v/>
      </c>
      <c r="C111" s="58">
        <f>IF($B111="","",(N(Berechnung!D111)+N(Berechnung!Q111))*N(Berechnung!C111))</f>
        <v/>
      </c>
      <c r="D111" s="58">
        <f>IF($B111="","",(N(Berechnung!E111)+N(Berechnung!R111))*N(Berechnung!C111))</f>
        <v/>
      </c>
      <c r="E111" s="58">
        <f>IF($B111="","",(N(Berechnung!F111)+N(Berechnung!S111))*N(Berechnung!C111))</f>
        <v/>
      </c>
      <c r="F111" s="58">
        <f>IF($B111="","",(N(Berechnung!G111)+N(Berechnung!T111))*N(Berechnung!C111))</f>
        <v/>
      </c>
      <c r="G111" s="58">
        <f>IF($B111="","",(N(Berechnung!H111)+N(Berechnung!U111))*N(Berechnung!C111))</f>
        <v/>
      </c>
      <c r="H111" s="58">
        <f>IF($B111="","",(N(Berechnung!I111)+N(Berechnung!V111))*N(Berechnung!C111))</f>
        <v/>
      </c>
      <c r="I111" s="58">
        <f>IF($B111="","",(N(Berechnung!J111)+N(Berechnung!W111))*N(Berechnung!C111))</f>
        <v/>
      </c>
      <c r="J111" s="58">
        <f>IF($B111="","",(N(Berechnung!K111)+N(Berechnung!X111))*N(Berechnung!C111))</f>
        <v/>
      </c>
      <c r="K111" s="58">
        <f>IF($B111="","",(N(Berechnung!L111)+N(Berechnung!Y111))*N(Berechnung!C111))</f>
        <v/>
      </c>
      <c r="L111" s="58">
        <f>IF($B111="","",(N(Berechnung!M111)+N(Berechnung!Z111))*N(Berechnung!C111))</f>
        <v/>
      </c>
      <c r="M111" s="58">
        <f>IF($B111="","",(N(Berechnung!N111)+N(Berechnung!AA111))*N(Berechnung!C111))</f>
        <v/>
      </c>
      <c r="N111" s="58">
        <f>IF($B111="","",(N(Berechnung!O111)+N(Berechnung!AB111))*N(Berechnung!C111))</f>
        <v/>
      </c>
      <c r="O111" s="65">
        <f>IF($B111="","",SUM(C111:N111))</f>
        <v/>
      </c>
      <c r="P111" s="57">
        <f>'KQuote Mitarbeiter'!E111</f>
        <v/>
      </c>
      <c r="Q111" s="66">
        <f>'KQuote Mitarbeiter'!L111</f>
        <v/>
      </c>
      <c r="R111" s="57">
        <f>'KQuote Mitarbeiter'!D111</f>
        <v/>
      </c>
      <c r="S111" s="66">
        <f>'KQuote Mitarbeiter'!K111</f>
        <v/>
      </c>
    </row>
    <row r="112">
      <c r="A112" s="47">
        <f>'KQuote Mitarbeiter'!A112</f>
        <v/>
      </c>
      <c r="B112" s="48">
        <f>'KQuote Mitarbeiter'!B112</f>
        <v/>
      </c>
      <c r="C112" s="58">
        <f>IF($B112="","",(N(Berechnung!D112)+N(Berechnung!Q112))*N(Berechnung!C112))</f>
        <v/>
      </c>
      <c r="D112" s="58">
        <f>IF($B112="","",(N(Berechnung!E112)+N(Berechnung!R112))*N(Berechnung!C112))</f>
        <v/>
      </c>
      <c r="E112" s="58">
        <f>IF($B112="","",(N(Berechnung!F112)+N(Berechnung!S112))*N(Berechnung!C112))</f>
        <v/>
      </c>
      <c r="F112" s="58">
        <f>IF($B112="","",(N(Berechnung!G112)+N(Berechnung!T112))*N(Berechnung!C112))</f>
        <v/>
      </c>
      <c r="G112" s="58">
        <f>IF($B112="","",(N(Berechnung!H112)+N(Berechnung!U112))*N(Berechnung!C112))</f>
        <v/>
      </c>
      <c r="H112" s="58">
        <f>IF($B112="","",(N(Berechnung!I112)+N(Berechnung!V112))*N(Berechnung!C112))</f>
        <v/>
      </c>
      <c r="I112" s="58">
        <f>IF($B112="","",(N(Berechnung!J112)+N(Berechnung!W112))*N(Berechnung!C112))</f>
        <v/>
      </c>
      <c r="J112" s="58">
        <f>IF($B112="","",(N(Berechnung!K112)+N(Berechnung!X112))*N(Berechnung!C112))</f>
        <v/>
      </c>
      <c r="K112" s="58">
        <f>IF($B112="","",(N(Berechnung!L112)+N(Berechnung!Y112))*N(Berechnung!C112))</f>
        <v/>
      </c>
      <c r="L112" s="58">
        <f>IF($B112="","",(N(Berechnung!M112)+N(Berechnung!Z112))*N(Berechnung!C112))</f>
        <v/>
      </c>
      <c r="M112" s="58">
        <f>IF($B112="","",(N(Berechnung!N112)+N(Berechnung!AA112))*N(Berechnung!C112))</f>
        <v/>
      </c>
      <c r="N112" s="58">
        <f>IF($B112="","",(N(Berechnung!O112)+N(Berechnung!AB112))*N(Berechnung!C112))</f>
        <v/>
      </c>
      <c r="O112" s="65">
        <f>IF($B112="","",SUM(C112:N112))</f>
        <v/>
      </c>
      <c r="P112" s="57">
        <f>'KQuote Mitarbeiter'!E112</f>
        <v/>
      </c>
      <c r="Q112" s="66">
        <f>'KQuote Mitarbeiter'!L112</f>
        <v/>
      </c>
      <c r="R112" s="57">
        <f>'KQuote Mitarbeiter'!D112</f>
        <v/>
      </c>
      <c r="S112" s="66">
        <f>'KQuote Mitarbeiter'!K112</f>
        <v/>
      </c>
    </row>
    <row r="113">
      <c r="A113" s="47">
        <f>'KQuote Mitarbeiter'!A113</f>
        <v/>
      </c>
      <c r="B113" s="48">
        <f>'KQuote Mitarbeiter'!B113</f>
        <v/>
      </c>
      <c r="C113" s="58">
        <f>IF($B113="","",(N(Berechnung!D113)+N(Berechnung!Q113))*N(Berechnung!C113))</f>
        <v/>
      </c>
      <c r="D113" s="58">
        <f>IF($B113="","",(N(Berechnung!E113)+N(Berechnung!R113))*N(Berechnung!C113))</f>
        <v/>
      </c>
      <c r="E113" s="58">
        <f>IF($B113="","",(N(Berechnung!F113)+N(Berechnung!S113))*N(Berechnung!C113))</f>
        <v/>
      </c>
      <c r="F113" s="58">
        <f>IF($B113="","",(N(Berechnung!G113)+N(Berechnung!T113))*N(Berechnung!C113))</f>
        <v/>
      </c>
      <c r="G113" s="58">
        <f>IF($B113="","",(N(Berechnung!H113)+N(Berechnung!U113))*N(Berechnung!C113))</f>
        <v/>
      </c>
      <c r="H113" s="58">
        <f>IF($B113="","",(N(Berechnung!I113)+N(Berechnung!V113))*N(Berechnung!C113))</f>
        <v/>
      </c>
      <c r="I113" s="58">
        <f>IF($B113="","",(N(Berechnung!J113)+N(Berechnung!W113))*N(Berechnung!C113))</f>
        <v/>
      </c>
      <c r="J113" s="58">
        <f>IF($B113="","",(N(Berechnung!K113)+N(Berechnung!X113))*N(Berechnung!C113))</f>
        <v/>
      </c>
      <c r="K113" s="58">
        <f>IF($B113="","",(N(Berechnung!L113)+N(Berechnung!Y113))*N(Berechnung!C113))</f>
        <v/>
      </c>
      <c r="L113" s="58">
        <f>IF($B113="","",(N(Berechnung!M113)+N(Berechnung!Z113))*N(Berechnung!C113))</f>
        <v/>
      </c>
      <c r="M113" s="58">
        <f>IF($B113="","",(N(Berechnung!N113)+N(Berechnung!AA113))*N(Berechnung!C113))</f>
        <v/>
      </c>
      <c r="N113" s="58">
        <f>IF($B113="","",(N(Berechnung!O113)+N(Berechnung!AB113))*N(Berechnung!C113))</f>
        <v/>
      </c>
      <c r="O113" s="65">
        <f>IF($B113="","",SUM(C113:N113))</f>
        <v/>
      </c>
      <c r="P113" s="57">
        <f>'KQuote Mitarbeiter'!E113</f>
        <v/>
      </c>
      <c r="Q113" s="66">
        <f>'KQuote Mitarbeiter'!L113</f>
        <v/>
      </c>
      <c r="R113" s="57">
        <f>'KQuote Mitarbeiter'!D113</f>
        <v/>
      </c>
      <c r="S113" s="66">
        <f>'KQuote Mitarbeiter'!K113</f>
        <v/>
      </c>
    </row>
    <row r="114">
      <c r="A114" s="47">
        <f>'KQuote Mitarbeiter'!A114</f>
        <v/>
      </c>
      <c r="B114" s="48">
        <f>'KQuote Mitarbeiter'!B114</f>
        <v/>
      </c>
      <c r="C114" s="58">
        <f>IF($B114="","",(N(Berechnung!D114)+N(Berechnung!Q114))*N(Berechnung!C114))</f>
        <v/>
      </c>
      <c r="D114" s="58">
        <f>IF($B114="","",(N(Berechnung!E114)+N(Berechnung!R114))*N(Berechnung!C114))</f>
        <v/>
      </c>
      <c r="E114" s="58">
        <f>IF($B114="","",(N(Berechnung!F114)+N(Berechnung!S114))*N(Berechnung!C114))</f>
        <v/>
      </c>
      <c r="F114" s="58">
        <f>IF($B114="","",(N(Berechnung!G114)+N(Berechnung!T114))*N(Berechnung!C114))</f>
        <v/>
      </c>
      <c r="G114" s="58">
        <f>IF($B114="","",(N(Berechnung!H114)+N(Berechnung!U114))*N(Berechnung!C114))</f>
        <v/>
      </c>
      <c r="H114" s="58">
        <f>IF($B114="","",(N(Berechnung!I114)+N(Berechnung!V114))*N(Berechnung!C114))</f>
        <v/>
      </c>
      <c r="I114" s="58">
        <f>IF($B114="","",(N(Berechnung!J114)+N(Berechnung!W114))*N(Berechnung!C114))</f>
        <v/>
      </c>
      <c r="J114" s="58">
        <f>IF($B114="","",(N(Berechnung!K114)+N(Berechnung!X114))*N(Berechnung!C114))</f>
        <v/>
      </c>
      <c r="K114" s="58">
        <f>IF($B114="","",(N(Berechnung!L114)+N(Berechnung!Y114))*N(Berechnung!C114))</f>
        <v/>
      </c>
      <c r="L114" s="58">
        <f>IF($B114="","",(N(Berechnung!M114)+N(Berechnung!Z114))*N(Berechnung!C114))</f>
        <v/>
      </c>
      <c r="M114" s="58">
        <f>IF($B114="","",(N(Berechnung!N114)+N(Berechnung!AA114))*N(Berechnung!C114))</f>
        <v/>
      </c>
      <c r="N114" s="58">
        <f>IF($B114="","",(N(Berechnung!O114)+N(Berechnung!AB114))*N(Berechnung!C114))</f>
        <v/>
      </c>
      <c r="O114" s="65">
        <f>IF($B114="","",SUM(C114:N114))</f>
        <v/>
      </c>
      <c r="P114" s="57">
        <f>'KQuote Mitarbeiter'!E114</f>
        <v/>
      </c>
      <c r="Q114" s="66">
        <f>'KQuote Mitarbeiter'!L114</f>
        <v/>
      </c>
      <c r="R114" s="57">
        <f>'KQuote Mitarbeiter'!D114</f>
        <v/>
      </c>
      <c r="S114" s="66">
        <f>'KQuote Mitarbeiter'!K114</f>
        <v/>
      </c>
    </row>
    <row r="115">
      <c r="A115" s="47">
        <f>'KQuote Mitarbeiter'!A115</f>
        <v/>
      </c>
      <c r="B115" s="48">
        <f>'KQuote Mitarbeiter'!B115</f>
        <v/>
      </c>
      <c r="C115" s="58">
        <f>IF($B115="","",(N(Berechnung!D115)+N(Berechnung!Q115))*N(Berechnung!C115))</f>
        <v/>
      </c>
      <c r="D115" s="58">
        <f>IF($B115="","",(N(Berechnung!E115)+N(Berechnung!R115))*N(Berechnung!C115))</f>
        <v/>
      </c>
      <c r="E115" s="58">
        <f>IF($B115="","",(N(Berechnung!F115)+N(Berechnung!S115))*N(Berechnung!C115))</f>
        <v/>
      </c>
      <c r="F115" s="58">
        <f>IF($B115="","",(N(Berechnung!G115)+N(Berechnung!T115))*N(Berechnung!C115))</f>
        <v/>
      </c>
      <c r="G115" s="58">
        <f>IF($B115="","",(N(Berechnung!H115)+N(Berechnung!U115))*N(Berechnung!C115))</f>
        <v/>
      </c>
      <c r="H115" s="58">
        <f>IF($B115="","",(N(Berechnung!I115)+N(Berechnung!V115))*N(Berechnung!C115))</f>
        <v/>
      </c>
      <c r="I115" s="58">
        <f>IF($B115="","",(N(Berechnung!J115)+N(Berechnung!W115))*N(Berechnung!C115))</f>
        <v/>
      </c>
      <c r="J115" s="58">
        <f>IF($B115="","",(N(Berechnung!K115)+N(Berechnung!X115))*N(Berechnung!C115))</f>
        <v/>
      </c>
      <c r="K115" s="58">
        <f>IF($B115="","",(N(Berechnung!L115)+N(Berechnung!Y115))*N(Berechnung!C115))</f>
        <v/>
      </c>
      <c r="L115" s="58">
        <f>IF($B115="","",(N(Berechnung!M115)+N(Berechnung!Z115))*N(Berechnung!C115))</f>
        <v/>
      </c>
      <c r="M115" s="58">
        <f>IF($B115="","",(N(Berechnung!N115)+N(Berechnung!AA115))*N(Berechnung!C115))</f>
        <v/>
      </c>
      <c r="N115" s="58">
        <f>IF($B115="","",(N(Berechnung!O115)+N(Berechnung!AB115))*N(Berechnung!C115))</f>
        <v/>
      </c>
      <c r="O115" s="65">
        <f>IF($B115="","",SUM(C115:N115))</f>
        <v/>
      </c>
      <c r="P115" s="57">
        <f>'KQuote Mitarbeiter'!E115</f>
        <v/>
      </c>
      <c r="Q115" s="66">
        <f>'KQuote Mitarbeiter'!L115</f>
        <v/>
      </c>
      <c r="R115" s="57">
        <f>'KQuote Mitarbeiter'!D115</f>
        <v/>
      </c>
      <c r="S115" s="66">
        <f>'KQuote Mitarbeiter'!K115</f>
        <v/>
      </c>
    </row>
    <row r="116">
      <c r="A116" s="47">
        <f>'KQuote Mitarbeiter'!A116</f>
        <v/>
      </c>
      <c r="B116" s="48">
        <f>'KQuote Mitarbeiter'!B116</f>
        <v/>
      </c>
      <c r="C116" s="58">
        <f>IF($B116="","",(N(Berechnung!D116)+N(Berechnung!Q116))*N(Berechnung!C116))</f>
        <v/>
      </c>
      <c r="D116" s="58">
        <f>IF($B116="","",(N(Berechnung!E116)+N(Berechnung!R116))*N(Berechnung!C116))</f>
        <v/>
      </c>
      <c r="E116" s="58">
        <f>IF($B116="","",(N(Berechnung!F116)+N(Berechnung!S116))*N(Berechnung!C116))</f>
        <v/>
      </c>
      <c r="F116" s="58">
        <f>IF($B116="","",(N(Berechnung!G116)+N(Berechnung!T116))*N(Berechnung!C116))</f>
        <v/>
      </c>
      <c r="G116" s="58">
        <f>IF($B116="","",(N(Berechnung!H116)+N(Berechnung!U116))*N(Berechnung!C116))</f>
        <v/>
      </c>
      <c r="H116" s="58">
        <f>IF($B116="","",(N(Berechnung!I116)+N(Berechnung!V116))*N(Berechnung!C116))</f>
        <v/>
      </c>
      <c r="I116" s="58">
        <f>IF($B116="","",(N(Berechnung!J116)+N(Berechnung!W116))*N(Berechnung!C116))</f>
        <v/>
      </c>
      <c r="J116" s="58">
        <f>IF($B116="","",(N(Berechnung!K116)+N(Berechnung!X116))*N(Berechnung!C116))</f>
        <v/>
      </c>
      <c r="K116" s="58">
        <f>IF($B116="","",(N(Berechnung!L116)+N(Berechnung!Y116))*N(Berechnung!C116))</f>
        <v/>
      </c>
      <c r="L116" s="58">
        <f>IF($B116="","",(N(Berechnung!M116)+N(Berechnung!Z116))*N(Berechnung!C116))</f>
        <v/>
      </c>
      <c r="M116" s="58">
        <f>IF($B116="","",(N(Berechnung!N116)+N(Berechnung!AA116))*N(Berechnung!C116))</f>
        <v/>
      </c>
      <c r="N116" s="58">
        <f>IF($B116="","",(N(Berechnung!O116)+N(Berechnung!AB116))*N(Berechnung!C116))</f>
        <v/>
      </c>
      <c r="O116" s="65">
        <f>IF($B116="","",SUM(C116:N116))</f>
        <v/>
      </c>
      <c r="P116" s="57">
        <f>'KQuote Mitarbeiter'!E116</f>
        <v/>
      </c>
      <c r="Q116" s="66">
        <f>'KQuote Mitarbeiter'!L116</f>
        <v/>
      </c>
      <c r="R116" s="57">
        <f>'KQuote Mitarbeiter'!D116</f>
        <v/>
      </c>
      <c r="S116" s="66">
        <f>'KQuote Mitarbeiter'!K116</f>
        <v/>
      </c>
    </row>
    <row r="117">
      <c r="A117" s="47">
        <f>'KQuote Mitarbeiter'!A117</f>
        <v/>
      </c>
      <c r="B117" s="48">
        <f>'KQuote Mitarbeiter'!B117</f>
        <v/>
      </c>
      <c r="C117" s="58">
        <f>IF($B117="","",(N(Berechnung!D117)+N(Berechnung!Q117))*N(Berechnung!C117))</f>
        <v/>
      </c>
      <c r="D117" s="58">
        <f>IF($B117="","",(N(Berechnung!E117)+N(Berechnung!R117))*N(Berechnung!C117))</f>
        <v/>
      </c>
      <c r="E117" s="58">
        <f>IF($B117="","",(N(Berechnung!F117)+N(Berechnung!S117))*N(Berechnung!C117))</f>
        <v/>
      </c>
      <c r="F117" s="58">
        <f>IF($B117="","",(N(Berechnung!G117)+N(Berechnung!T117))*N(Berechnung!C117))</f>
        <v/>
      </c>
      <c r="G117" s="58">
        <f>IF($B117="","",(N(Berechnung!H117)+N(Berechnung!U117))*N(Berechnung!C117))</f>
        <v/>
      </c>
      <c r="H117" s="58">
        <f>IF($B117="","",(N(Berechnung!I117)+N(Berechnung!V117))*N(Berechnung!C117))</f>
        <v/>
      </c>
      <c r="I117" s="58">
        <f>IF($B117="","",(N(Berechnung!J117)+N(Berechnung!W117))*N(Berechnung!C117))</f>
        <v/>
      </c>
      <c r="J117" s="58">
        <f>IF($B117="","",(N(Berechnung!K117)+N(Berechnung!X117))*N(Berechnung!C117))</f>
        <v/>
      </c>
      <c r="K117" s="58">
        <f>IF($B117="","",(N(Berechnung!L117)+N(Berechnung!Y117))*N(Berechnung!C117))</f>
        <v/>
      </c>
      <c r="L117" s="58">
        <f>IF($B117="","",(N(Berechnung!M117)+N(Berechnung!Z117))*N(Berechnung!C117))</f>
        <v/>
      </c>
      <c r="M117" s="58">
        <f>IF($B117="","",(N(Berechnung!N117)+N(Berechnung!AA117))*N(Berechnung!C117))</f>
        <v/>
      </c>
      <c r="N117" s="58">
        <f>IF($B117="","",(N(Berechnung!O117)+N(Berechnung!AB117))*N(Berechnung!C117))</f>
        <v/>
      </c>
      <c r="O117" s="65">
        <f>IF($B117="","",SUM(C117:N117))</f>
        <v/>
      </c>
      <c r="P117" s="57">
        <f>'KQuote Mitarbeiter'!E117</f>
        <v/>
      </c>
      <c r="Q117" s="66">
        <f>'KQuote Mitarbeiter'!L117</f>
        <v/>
      </c>
      <c r="R117" s="57">
        <f>'KQuote Mitarbeiter'!D117</f>
        <v/>
      </c>
      <c r="S117" s="66">
        <f>'KQuote Mitarbeiter'!K117</f>
        <v/>
      </c>
    </row>
    <row r="118">
      <c r="A118" s="47">
        <f>'KQuote Mitarbeiter'!A118</f>
        <v/>
      </c>
      <c r="B118" s="48">
        <f>'KQuote Mitarbeiter'!B118</f>
        <v/>
      </c>
      <c r="C118" s="58">
        <f>IF($B118="","",(N(Berechnung!D118)+N(Berechnung!Q118))*N(Berechnung!C118))</f>
        <v/>
      </c>
      <c r="D118" s="58">
        <f>IF($B118="","",(N(Berechnung!E118)+N(Berechnung!R118))*N(Berechnung!C118))</f>
        <v/>
      </c>
      <c r="E118" s="58">
        <f>IF($B118="","",(N(Berechnung!F118)+N(Berechnung!S118))*N(Berechnung!C118))</f>
        <v/>
      </c>
      <c r="F118" s="58">
        <f>IF($B118="","",(N(Berechnung!G118)+N(Berechnung!T118))*N(Berechnung!C118))</f>
        <v/>
      </c>
      <c r="G118" s="58">
        <f>IF($B118="","",(N(Berechnung!H118)+N(Berechnung!U118))*N(Berechnung!C118))</f>
        <v/>
      </c>
      <c r="H118" s="58">
        <f>IF($B118="","",(N(Berechnung!I118)+N(Berechnung!V118))*N(Berechnung!C118))</f>
        <v/>
      </c>
      <c r="I118" s="58">
        <f>IF($B118="","",(N(Berechnung!J118)+N(Berechnung!W118))*N(Berechnung!C118))</f>
        <v/>
      </c>
      <c r="J118" s="58">
        <f>IF($B118="","",(N(Berechnung!K118)+N(Berechnung!X118))*N(Berechnung!C118))</f>
        <v/>
      </c>
      <c r="K118" s="58">
        <f>IF($B118="","",(N(Berechnung!L118)+N(Berechnung!Y118))*N(Berechnung!C118))</f>
        <v/>
      </c>
      <c r="L118" s="58">
        <f>IF($B118="","",(N(Berechnung!M118)+N(Berechnung!Z118))*N(Berechnung!C118))</f>
        <v/>
      </c>
      <c r="M118" s="58">
        <f>IF($B118="","",(N(Berechnung!N118)+N(Berechnung!AA118))*N(Berechnung!C118))</f>
        <v/>
      </c>
      <c r="N118" s="58">
        <f>IF($B118="","",(N(Berechnung!O118)+N(Berechnung!AB118))*N(Berechnung!C118))</f>
        <v/>
      </c>
      <c r="O118" s="65">
        <f>IF($B118="","",SUM(C118:N118))</f>
        <v/>
      </c>
      <c r="P118" s="57">
        <f>'KQuote Mitarbeiter'!E118</f>
        <v/>
      </c>
      <c r="Q118" s="66">
        <f>'KQuote Mitarbeiter'!L118</f>
        <v/>
      </c>
      <c r="R118" s="57">
        <f>'KQuote Mitarbeiter'!D118</f>
        <v/>
      </c>
      <c r="S118" s="66">
        <f>'KQuote Mitarbeiter'!K118</f>
        <v/>
      </c>
    </row>
    <row r="119">
      <c r="A119" s="47">
        <f>'KQuote Mitarbeiter'!A119</f>
        <v/>
      </c>
      <c r="B119" s="48">
        <f>'KQuote Mitarbeiter'!B119</f>
        <v/>
      </c>
      <c r="C119" s="58">
        <f>IF($B119="","",(N(Berechnung!D119)+N(Berechnung!Q119))*N(Berechnung!C119))</f>
        <v/>
      </c>
      <c r="D119" s="58">
        <f>IF($B119="","",(N(Berechnung!E119)+N(Berechnung!R119))*N(Berechnung!C119))</f>
        <v/>
      </c>
      <c r="E119" s="58">
        <f>IF($B119="","",(N(Berechnung!F119)+N(Berechnung!S119))*N(Berechnung!C119))</f>
        <v/>
      </c>
      <c r="F119" s="58">
        <f>IF($B119="","",(N(Berechnung!G119)+N(Berechnung!T119))*N(Berechnung!C119))</f>
        <v/>
      </c>
      <c r="G119" s="58">
        <f>IF($B119="","",(N(Berechnung!H119)+N(Berechnung!U119))*N(Berechnung!C119))</f>
        <v/>
      </c>
      <c r="H119" s="58">
        <f>IF($B119="","",(N(Berechnung!I119)+N(Berechnung!V119))*N(Berechnung!C119))</f>
        <v/>
      </c>
      <c r="I119" s="58">
        <f>IF($B119="","",(N(Berechnung!J119)+N(Berechnung!W119))*N(Berechnung!C119))</f>
        <v/>
      </c>
      <c r="J119" s="58">
        <f>IF($B119="","",(N(Berechnung!K119)+N(Berechnung!X119))*N(Berechnung!C119))</f>
        <v/>
      </c>
      <c r="K119" s="58">
        <f>IF($B119="","",(N(Berechnung!L119)+N(Berechnung!Y119))*N(Berechnung!C119))</f>
        <v/>
      </c>
      <c r="L119" s="58">
        <f>IF($B119="","",(N(Berechnung!M119)+N(Berechnung!Z119))*N(Berechnung!C119))</f>
        <v/>
      </c>
      <c r="M119" s="58">
        <f>IF($B119="","",(N(Berechnung!N119)+N(Berechnung!AA119))*N(Berechnung!C119))</f>
        <v/>
      </c>
      <c r="N119" s="58">
        <f>IF($B119="","",(N(Berechnung!O119)+N(Berechnung!AB119))*N(Berechnung!C119))</f>
        <v/>
      </c>
      <c r="O119" s="65">
        <f>IF($B119="","",SUM(C119:N119))</f>
        <v/>
      </c>
      <c r="P119" s="57">
        <f>'KQuote Mitarbeiter'!E119</f>
        <v/>
      </c>
      <c r="Q119" s="66">
        <f>'KQuote Mitarbeiter'!L119</f>
        <v/>
      </c>
      <c r="R119" s="57">
        <f>'KQuote Mitarbeiter'!D119</f>
        <v/>
      </c>
      <c r="S119" s="66">
        <f>'KQuote Mitarbeiter'!K119</f>
        <v/>
      </c>
    </row>
    <row r="120">
      <c r="A120" s="47">
        <f>'KQuote Mitarbeiter'!A120</f>
        <v/>
      </c>
      <c r="B120" s="48">
        <f>'KQuote Mitarbeiter'!B120</f>
        <v/>
      </c>
      <c r="C120" s="58">
        <f>IF($B120="","",(N(Berechnung!D120)+N(Berechnung!Q120))*N(Berechnung!C120))</f>
        <v/>
      </c>
      <c r="D120" s="58">
        <f>IF($B120="","",(N(Berechnung!E120)+N(Berechnung!R120))*N(Berechnung!C120))</f>
        <v/>
      </c>
      <c r="E120" s="58">
        <f>IF($B120="","",(N(Berechnung!F120)+N(Berechnung!S120))*N(Berechnung!C120))</f>
        <v/>
      </c>
      <c r="F120" s="58">
        <f>IF($B120="","",(N(Berechnung!G120)+N(Berechnung!T120))*N(Berechnung!C120))</f>
        <v/>
      </c>
      <c r="G120" s="58">
        <f>IF($B120="","",(N(Berechnung!H120)+N(Berechnung!U120))*N(Berechnung!C120))</f>
        <v/>
      </c>
      <c r="H120" s="58">
        <f>IF($B120="","",(N(Berechnung!I120)+N(Berechnung!V120))*N(Berechnung!C120))</f>
        <v/>
      </c>
      <c r="I120" s="58">
        <f>IF($B120="","",(N(Berechnung!J120)+N(Berechnung!W120))*N(Berechnung!C120))</f>
        <v/>
      </c>
      <c r="J120" s="58">
        <f>IF($B120="","",(N(Berechnung!K120)+N(Berechnung!X120))*N(Berechnung!C120))</f>
        <v/>
      </c>
      <c r="K120" s="58">
        <f>IF($B120="","",(N(Berechnung!L120)+N(Berechnung!Y120))*N(Berechnung!C120))</f>
        <v/>
      </c>
      <c r="L120" s="58">
        <f>IF($B120="","",(N(Berechnung!M120)+N(Berechnung!Z120))*N(Berechnung!C120))</f>
        <v/>
      </c>
      <c r="M120" s="58">
        <f>IF($B120="","",(N(Berechnung!N120)+N(Berechnung!AA120))*N(Berechnung!C120))</f>
        <v/>
      </c>
      <c r="N120" s="58">
        <f>IF($B120="","",(N(Berechnung!O120)+N(Berechnung!AB120))*N(Berechnung!C120))</f>
        <v/>
      </c>
      <c r="O120" s="65">
        <f>IF($B120="","",SUM(C120:N120))</f>
        <v/>
      </c>
      <c r="P120" s="57">
        <f>'KQuote Mitarbeiter'!E120</f>
        <v/>
      </c>
      <c r="Q120" s="66">
        <f>'KQuote Mitarbeiter'!L120</f>
        <v/>
      </c>
      <c r="R120" s="57">
        <f>'KQuote Mitarbeiter'!D120</f>
        <v/>
      </c>
      <c r="S120" s="66">
        <f>'KQuote Mitarbeiter'!K120</f>
        <v/>
      </c>
    </row>
    <row r="121">
      <c r="A121" s="47">
        <f>'KQuote Mitarbeiter'!A121</f>
        <v/>
      </c>
      <c r="B121" s="48">
        <f>'KQuote Mitarbeiter'!B121</f>
        <v/>
      </c>
      <c r="C121" s="58">
        <f>IF($B121="","",(N(Berechnung!D121)+N(Berechnung!Q121))*N(Berechnung!C121))</f>
        <v/>
      </c>
      <c r="D121" s="58">
        <f>IF($B121="","",(N(Berechnung!E121)+N(Berechnung!R121))*N(Berechnung!C121))</f>
        <v/>
      </c>
      <c r="E121" s="58">
        <f>IF($B121="","",(N(Berechnung!F121)+N(Berechnung!S121))*N(Berechnung!C121))</f>
        <v/>
      </c>
      <c r="F121" s="58">
        <f>IF($B121="","",(N(Berechnung!G121)+N(Berechnung!T121))*N(Berechnung!C121))</f>
        <v/>
      </c>
      <c r="G121" s="58">
        <f>IF($B121="","",(N(Berechnung!H121)+N(Berechnung!U121))*N(Berechnung!C121))</f>
        <v/>
      </c>
      <c r="H121" s="58">
        <f>IF($B121="","",(N(Berechnung!I121)+N(Berechnung!V121))*N(Berechnung!C121))</f>
        <v/>
      </c>
      <c r="I121" s="58">
        <f>IF($B121="","",(N(Berechnung!J121)+N(Berechnung!W121))*N(Berechnung!C121))</f>
        <v/>
      </c>
      <c r="J121" s="58">
        <f>IF($B121="","",(N(Berechnung!K121)+N(Berechnung!X121))*N(Berechnung!C121))</f>
        <v/>
      </c>
      <c r="K121" s="58">
        <f>IF($B121="","",(N(Berechnung!L121)+N(Berechnung!Y121))*N(Berechnung!C121))</f>
        <v/>
      </c>
      <c r="L121" s="58">
        <f>IF($B121="","",(N(Berechnung!M121)+N(Berechnung!Z121))*N(Berechnung!C121))</f>
        <v/>
      </c>
      <c r="M121" s="58">
        <f>IF($B121="","",(N(Berechnung!N121)+N(Berechnung!AA121))*N(Berechnung!C121))</f>
        <v/>
      </c>
      <c r="N121" s="58">
        <f>IF($B121="","",(N(Berechnung!O121)+N(Berechnung!AB121))*N(Berechnung!C121))</f>
        <v/>
      </c>
      <c r="O121" s="65">
        <f>IF($B121="","",SUM(C121:N121))</f>
        <v/>
      </c>
      <c r="P121" s="57">
        <f>'KQuote Mitarbeiter'!E121</f>
        <v/>
      </c>
      <c r="Q121" s="66">
        <f>'KQuote Mitarbeiter'!L121</f>
        <v/>
      </c>
      <c r="R121" s="57">
        <f>'KQuote Mitarbeiter'!D121</f>
        <v/>
      </c>
      <c r="S121" s="66">
        <f>'KQuote Mitarbeiter'!K121</f>
        <v/>
      </c>
    </row>
    <row r="122">
      <c r="A122" s="47">
        <f>'KQuote Mitarbeiter'!A122</f>
        <v/>
      </c>
      <c r="B122" s="48">
        <f>'KQuote Mitarbeiter'!B122</f>
        <v/>
      </c>
      <c r="C122" s="58">
        <f>IF($B122="","",(N(Berechnung!D122)+N(Berechnung!Q122))*N(Berechnung!C122))</f>
        <v/>
      </c>
      <c r="D122" s="58">
        <f>IF($B122="","",(N(Berechnung!E122)+N(Berechnung!R122))*N(Berechnung!C122))</f>
        <v/>
      </c>
      <c r="E122" s="58">
        <f>IF($B122="","",(N(Berechnung!F122)+N(Berechnung!S122))*N(Berechnung!C122))</f>
        <v/>
      </c>
      <c r="F122" s="58">
        <f>IF($B122="","",(N(Berechnung!G122)+N(Berechnung!T122))*N(Berechnung!C122))</f>
        <v/>
      </c>
      <c r="G122" s="58">
        <f>IF($B122="","",(N(Berechnung!H122)+N(Berechnung!U122))*N(Berechnung!C122))</f>
        <v/>
      </c>
      <c r="H122" s="58">
        <f>IF($B122="","",(N(Berechnung!I122)+N(Berechnung!V122))*N(Berechnung!C122))</f>
        <v/>
      </c>
      <c r="I122" s="58">
        <f>IF($B122="","",(N(Berechnung!J122)+N(Berechnung!W122))*N(Berechnung!C122))</f>
        <v/>
      </c>
      <c r="J122" s="58">
        <f>IF($B122="","",(N(Berechnung!K122)+N(Berechnung!X122))*N(Berechnung!C122))</f>
        <v/>
      </c>
      <c r="K122" s="58">
        <f>IF($B122="","",(N(Berechnung!L122)+N(Berechnung!Y122))*N(Berechnung!C122))</f>
        <v/>
      </c>
      <c r="L122" s="58">
        <f>IF($B122="","",(N(Berechnung!M122)+N(Berechnung!Z122))*N(Berechnung!C122))</f>
        <v/>
      </c>
      <c r="M122" s="58">
        <f>IF($B122="","",(N(Berechnung!N122)+N(Berechnung!AA122))*N(Berechnung!C122))</f>
        <v/>
      </c>
      <c r="N122" s="58">
        <f>IF($B122="","",(N(Berechnung!O122)+N(Berechnung!AB122))*N(Berechnung!C122))</f>
        <v/>
      </c>
      <c r="O122" s="65">
        <f>IF($B122="","",SUM(C122:N122))</f>
        <v/>
      </c>
      <c r="P122" s="57">
        <f>'KQuote Mitarbeiter'!E122</f>
        <v/>
      </c>
      <c r="Q122" s="66">
        <f>'KQuote Mitarbeiter'!L122</f>
        <v/>
      </c>
      <c r="R122" s="57">
        <f>'KQuote Mitarbeiter'!D122</f>
        <v/>
      </c>
      <c r="S122" s="66">
        <f>'KQuote Mitarbeiter'!K122</f>
        <v/>
      </c>
    </row>
    <row r="123">
      <c r="A123" s="47">
        <f>'KQuote Mitarbeiter'!A123</f>
        <v/>
      </c>
      <c r="B123" s="48">
        <f>'KQuote Mitarbeiter'!B123</f>
        <v/>
      </c>
      <c r="C123" s="58">
        <f>IF($B123="","",(N(Berechnung!D123)+N(Berechnung!Q123))*N(Berechnung!C123))</f>
        <v/>
      </c>
      <c r="D123" s="58">
        <f>IF($B123="","",(N(Berechnung!E123)+N(Berechnung!R123))*N(Berechnung!C123))</f>
        <v/>
      </c>
      <c r="E123" s="58">
        <f>IF($B123="","",(N(Berechnung!F123)+N(Berechnung!S123))*N(Berechnung!C123))</f>
        <v/>
      </c>
      <c r="F123" s="58">
        <f>IF($B123="","",(N(Berechnung!G123)+N(Berechnung!T123))*N(Berechnung!C123))</f>
        <v/>
      </c>
      <c r="G123" s="58">
        <f>IF($B123="","",(N(Berechnung!H123)+N(Berechnung!U123))*N(Berechnung!C123))</f>
        <v/>
      </c>
      <c r="H123" s="58">
        <f>IF($B123="","",(N(Berechnung!I123)+N(Berechnung!V123))*N(Berechnung!C123))</f>
        <v/>
      </c>
      <c r="I123" s="58">
        <f>IF($B123="","",(N(Berechnung!J123)+N(Berechnung!W123))*N(Berechnung!C123))</f>
        <v/>
      </c>
      <c r="J123" s="58">
        <f>IF($B123="","",(N(Berechnung!K123)+N(Berechnung!X123))*N(Berechnung!C123))</f>
        <v/>
      </c>
      <c r="K123" s="58">
        <f>IF($B123="","",(N(Berechnung!L123)+N(Berechnung!Y123))*N(Berechnung!C123))</f>
        <v/>
      </c>
      <c r="L123" s="58">
        <f>IF($B123="","",(N(Berechnung!M123)+N(Berechnung!Z123))*N(Berechnung!C123))</f>
        <v/>
      </c>
      <c r="M123" s="58">
        <f>IF($B123="","",(N(Berechnung!N123)+N(Berechnung!AA123))*N(Berechnung!C123))</f>
        <v/>
      </c>
      <c r="N123" s="58">
        <f>IF($B123="","",(N(Berechnung!O123)+N(Berechnung!AB123))*N(Berechnung!C123))</f>
        <v/>
      </c>
      <c r="O123" s="65">
        <f>IF($B123="","",SUM(C123:N123))</f>
        <v/>
      </c>
      <c r="P123" s="57">
        <f>'KQuote Mitarbeiter'!E123</f>
        <v/>
      </c>
      <c r="Q123" s="66">
        <f>'KQuote Mitarbeiter'!L123</f>
        <v/>
      </c>
      <c r="R123" s="57">
        <f>'KQuote Mitarbeiter'!D123</f>
        <v/>
      </c>
      <c r="S123" s="66">
        <f>'KQuote Mitarbeiter'!K123</f>
        <v/>
      </c>
    </row>
    <row r="124">
      <c r="A124" s="47">
        <f>'KQuote Mitarbeiter'!A124</f>
        <v/>
      </c>
      <c r="B124" s="48">
        <f>'KQuote Mitarbeiter'!B124</f>
        <v/>
      </c>
      <c r="C124" s="58">
        <f>IF($B124="","",(N(Berechnung!D124)+N(Berechnung!Q124))*N(Berechnung!C124))</f>
        <v/>
      </c>
      <c r="D124" s="58">
        <f>IF($B124="","",(N(Berechnung!E124)+N(Berechnung!R124))*N(Berechnung!C124))</f>
        <v/>
      </c>
      <c r="E124" s="58">
        <f>IF($B124="","",(N(Berechnung!F124)+N(Berechnung!S124))*N(Berechnung!C124))</f>
        <v/>
      </c>
      <c r="F124" s="58">
        <f>IF($B124="","",(N(Berechnung!G124)+N(Berechnung!T124))*N(Berechnung!C124))</f>
        <v/>
      </c>
      <c r="G124" s="58">
        <f>IF($B124="","",(N(Berechnung!H124)+N(Berechnung!U124))*N(Berechnung!C124))</f>
        <v/>
      </c>
      <c r="H124" s="58">
        <f>IF($B124="","",(N(Berechnung!I124)+N(Berechnung!V124))*N(Berechnung!C124))</f>
        <v/>
      </c>
      <c r="I124" s="58">
        <f>IF($B124="","",(N(Berechnung!J124)+N(Berechnung!W124))*N(Berechnung!C124))</f>
        <v/>
      </c>
      <c r="J124" s="58">
        <f>IF($B124="","",(N(Berechnung!K124)+N(Berechnung!X124))*N(Berechnung!C124))</f>
        <v/>
      </c>
      <c r="K124" s="58">
        <f>IF($B124="","",(N(Berechnung!L124)+N(Berechnung!Y124))*N(Berechnung!C124))</f>
        <v/>
      </c>
      <c r="L124" s="58">
        <f>IF($B124="","",(N(Berechnung!M124)+N(Berechnung!Z124))*N(Berechnung!C124))</f>
        <v/>
      </c>
      <c r="M124" s="58">
        <f>IF($B124="","",(N(Berechnung!N124)+N(Berechnung!AA124))*N(Berechnung!C124))</f>
        <v/>
      </c>
      <c r="N124" s="58">
        <f>IF($B124="","",(N(Berechnung!O124)+N(Berechnung!AB124))*N(Berechnung!C124))</f>
        <v/>
      </c>
      <c r="O124" s="65">
        <f>IF($B124="","",SUM(C124:N124))</f>
        <v/>
      </c>
      <c r="P124" s="57">
        <f>'KQuote Mitarbeiter'!E124</f>
        <v/>
      </c>
      <c r="Q124" s="66">
        <f>'KQuote Mitarbeiter'!L124</f>
        <v/>
      </c>
      <c r="R124" s="57">
        <f>'KQuote Mitarbeiter'!D124</f>
        <v/>
      </c>
      <c r="S124" s="66">
        <f>'KQuote Mitarbeiter'!K124</f>
        <v/>
      </c>
    </row>
    <row r="125">
      <c r="A125" s="47">
        <f>'KQuote Mitarbeiter'!A125</f>
        <v/>
      </c>
      <c r="B125" s="48">
        <f>'KQuote Mitarbeiter'!B125</f>
        <v/>
      </c>
      <c r="C125" s="58">
        <f>IF($B125="","",(N(Berechnung!D125)+N(Berechnung!Q125))*N(Berechnung!C125))</f>
        <v/>
      </c>
      <c r="D125" s="58">
        <f>IF($B125="","",(N(Berechnung!E125)+N(Berechnung!R125))*N(Berechnung!C125))</f>
        <v/>
      </c>
      <c r="E125" s="58">
        <f>IF($B125="","",(N(Berechnung!F125)+N(Berechnung!S125))*N(Berechnung!C125))</f>
        <v/>
      </c>
      <c r="F125" s="58">
        <f>IF($B125="","",(N(Berechnung!G125)+N(Berechnung!T125))*N(Berechnung!C125))</f>
        <v/>
      </c>
      <c r="G125" s="58">
        <f>IF($B125="","",(N(Berechnung!H125)+N(Berechnung!U125))*N(Berechnung!C125))</f>
        <v/>
      </c>
      <c r="H125" s="58">
        <f>IF($B125="","",(N(Berechnung!I125)+N(Berechnung!V125))*N(Berechnung!C125))</f>
        <v/>
      </c>
      <c r="I125" s="58">
        <f>IF($B125="","",(N(Berechnung!J125)+N(Berechnung!W125))*N(Berechnung!C125))</f>
        <v/>
      </c>
      <c r="J125" s="58">
        <f>IF($B125="","",(N(Berechnung!K125)+N(Berechnung!X125))*N(Berechnung!C125))</f>
        <v/>
      </c>
      <c r="K125" s="58">
        <f>IF($B125="","",(N(Berechnung!L125)+N(Berechnung!Y125))*N(Berechnung!C125))</f>
        <v/>
      </c>
      <c r="L125" s="58">
        <f>IF($B125="","",(N(Berechnung!M125)+N(Berechnung!Z125))*N(Berechnung!C125))</f>
        <v/>
      </c>
      <c r="M125" s="58">
        <f>IF($B125="","",(N(Berechnung!N125)+N(Berechnung!AA125))*N(Berechnung!C125))</f>
        <v/>
      </c>
      <c r="N125" s="58">
        <f>IF($B125="","",(N(Berechnung!O125)+N(Berechnung!AB125))*N(Berechnung!C125))</f>
        <v/>
      </c>
      <c r="O125" s="65">
        <f>IF($B125="","",SUM(C125:N125))</f>
        <v/>
      </c>
      <c r="P125" s="57">
        <f>'KQuote Mitarbeiter'!E125</f>
        <v/>
      </c>
      <c r="Q125" s="66">
        <f>'KQuote Mitarbeiter'!L125</f>
        <v/>
      </c>
      <c r="R125" s="57">
        <f>'KQuote Mitarbeiter'!D125</f>
        <v/>
      </c>
      <c r="S125" s="66">
        <f>'KQuote Mitarbeiter'!K125</f>
        <v/>
      </c>
    </row>
    <row r="126">
      <c r="A126" s="47">
        <f>'KQuote Mitarbeiter'!A126</f>
        <v/>
      </c>
      <c r="B126" s="48">
        <f>'KQuote Mitarbeiter'!B126</f>
        <v/>
      </c>
      <c r="C126" s="58">
        <f>IF($B126="","",(N(Berechnung!D126)+N(Berechnung!Q126))*N(Berechnung!C126))</f>
        <v/>
      </c>
      <c r="D126" s="58">
        <f>IF($B126="","",(N(Berechnung!E126)+N(Berechnung!R126))*N(Berechnung!C126))</f>
        <v/>
      </c>
      <c r="E126" s="58">
        <f>IF($B126="","",(N(Berechnung!F126)+N(Berechnung!S126))*N(Berechnung!C126))</f>
        <v/>
      </c>
      <c r="F126" s="58">
        <f>IF($B126="","",(N(Berechnung!G126)+N(Berechnung!T126))*N(Berechnung!C126))</f>
        <v/>
      </c>
      <c r="G126" s="58">
        <f>IF($B126="","",(N(Berechnung!H126)+N(Berechnung!U126))*N(Berechnung!C126))</f>
        <v/>
      </c>
      <c r="H126" s="58">
        <f>IF($B126="","",(N(Berechnung!I126)+N(Berechnung!V126))*N(Berechnung!C126))</f>
        <v/>
      </c>
      <c r="I126" s="58">
        <f>IF($B126="","",(N(Berechnung!J126)+N(Berechnung!W126))*N(Berechnung!C126))</f>
        <v/>
      </c>
      <c r="J126" s="58">
        <f>IF($B126="","",(N(Berechnung!K126)+N(Berechnung!X126))*N(Berechnung!C126))</f>
        <v/>
      </c>
      <c r="K126" s="58">
        <f>IF($B126="","",(N(Berechnung!L126)+N(Berechnung!Y126))*N(Berechnung!C126))</f>
        <v/>
      </c>
      <c r="L126" s="58">
        <f>IF($B126="","",(N(Berechnung!M126)+N(Berechnung!Z126))*N(Berechnung!C126))</f>
        <v/>
      </c>
      <c r="M126" s="58">
        <f>IF($B126="","",(N(Berechnung!N126)+N(Berechnung!AA126))*N(Berechnung!C126))</f>
        <v/>
      </c>
      <c r="N126" s="58">
        <f>IF($B126="","",(N(Berechnung!O126)+N(Berechnung!AB126))*N(Berechnung!C126))</f>
        <v/>
      </c>
      <c r="O126" s="65">
        <f>IF($B126="","",SUM(C126:N126))</f>
        <v/>
      </c>
      <c r="P126" s="57">
        <f>'KQuote Mitarbeiter'!E126</f>
        <v/>
      </c>
      <c r="Q126" s="66">
        <f>'KQuote Mitarbeiter'!L126</f>
        <v/>
      </c>
      <c r="R126" s="57">
        <f>'KQuote Mitarbeiter'!D126</f>
        <v/>
      </c>
      <c r="S126" s="66">
        <f>'KQuote Mitarbeiter'!K126</f>
        <v/>
      </c>
    </row>
    <row r="127">
      <c r="A127" s="47">
        <f>'KQuote Mitarbeiter'!A127</f>
        <v/>
      </c>
      <c r="B127" s="48">
        <f>'KQuote Mitarbeiter'!B127</f>
        <v/>
      </c>
      <c r="C127" s="58">
        <f>IF($B127="","",(N(Berechnung!D127)+N(Berechnung!Q127))*N(Berechnung!C127))</f>
        <v/>
      </c>
      <c r="D127" s="58">
        <f>IF($B127="","",(N(Berechnung!E127)+N(Berechnung!R127))*N(Berechnung!C127))</f>
        <v/>
      </c>
      <c r="E127" s="58">
        <f>IF($B127="","",(N(Berechnung!F127)+N(Berechnung!S127))*N(Berechnung!C127))</f>
        <v/>
      </c>
      <c r="F127" s="58">
        <f>IF($B127="","",(N(Berechnung!G127)+N(Berechnung!T127))*N(Berechnung!C127))</f>
        <v/>
      </c>
      <c r="G127" s="58">
        <f>IF($B127="","",(N(Berechnung!H127)+N(Berechnung!U127))*N(Berechnung!C127))</f>
        <v/>
      </c>
      <c r="H127" s="58">
        <f>IF($B127="","",(N(Berechnung!I127)+N(Berechnung!V127))*N(Berechnung!C127))</f>
        <v/>
      </c>
      <c r="I127" s="58">
        <f>IF($B127="","",(N(Berechnung!J127)+N(Berechnung!W127))*N(Berechnung!C127))</f>
        <v/>
      </c>
      <c r="J127" s="58">
        <f>IF($B127="","",(N(Berechnung!K127)+N(Berechnung!X127))*N(Berechnung!C127))</f>
        <v/>
      </c>
      <c r="K127" s="58">
        <f>IF($B127="","",(N(Berechnung!L127)+N(Berechnung!Y127))*N(Berechnung!C127))</f>
        <v/>
      </c>
      <c r="L127" s="58">
        <f>IF($B127="","",(N(Berechnung!M127)+N(Berechnung!Z127))*N(Berechnung!C127))</f>
        <v/>
      </c>
      <c r="M127" s="58">
        <f>IF($B127="","",(N(Berechnung!N127)+N(Berechnung!AA127))*N(Berechnung!C127))</f>
        <v/>
      </c>
      <c r="N127" s="58">
        <f>IF($B127="","",(N(Berechnung!O127)+N(Berechnung!AB127))*N(Berechnung!C127))</f>
        <v/>
      </c>
      <c r="O127" s="65">
        <f>IF($B127="","",SUM(C127:N127))</f>
        <v/>
      </c>
      <c r="P127" s="57">
        <f>'KQuote Mitarbeiter'!E127</f>
        <v/>
      </c>
      <c r="Q127" s="66">
        <f>'KQuote Mitarbeiter'!L127</f>
        <v/>
      </c>
      <c r="R127" s="57">
        <f>'KQuote Mitarbeiter'!D127</f>
        <v/>
      </c>
      <c r="S127" s="66">
        <f>'KQuote Mitarbeiter'!K127</f>
        <v/>
      </c>
    </row>
    <row r="128">
      <c r="A128" s="47">
        <f>'KQuote Mitarbeiter'!A128</f>
        <v/>
      </c>
      <c r="B128" s="48">
        <f>'KQuote Mitarbeiter'!B128</f>
        <v/>
      </c>
      <c r="C128" s="58">
        <f>IF($B128="","",(N(Berechnung!D128)+N(Berechnung!Q128))*N(Berechnung!C128))</f>
        <v/>
      </c>
      <c r="D128" s="58">
        <f>IF($B128="","",(N(Berechnung!E128)+N(Berechnung!R128))*N(Berechnung!C128))</f>
        <v/>
      </c>
      <c r="E128" s="58">
        <f>IF($B128="","",(N(Berechnung!F128)+N(Berechnung!S128))*N(Berechnung!C128))</f>
        <v/>
      </c>
      <c r="F128" s="58">
        <f>IF($B128="","",(N(Berechnung!G128)+N(Berechnung!T128))*N(Berechnung!C128))</f>
        <v/>
      </c>
      <c r="G128" s="58">
        <f>IF($B128="","",(N(Berechnung!H128)+N(Berechnung!U128))*N(Berechnung!C128))</f>
        <v/>
      </c>
      <c r="H128" s="58">
        <f>IF($B128="","",(N(Berechnung!I128)+N(Berechnung!V128))*N(Berechnung!C128))</f>
        <v/>
      </c>
      <c r="I128" s="58">
        <f>IF($B128="","",(N(Berechnung!J128)+N(Berechnung!W128))*N(Berechnung!C128))</f>
        <v/>
      </c>
      <c r="J128" s="58">
        <f>IF($B128="","",(N(Berechnung!K128)+N(Berechnung!X128))*N(Berechnung!C128))</f>
        <v/>
      </c>
      <c r="K128" s="58">
        <f>IF($B128="","",(N(Berechnung!L128)+N(Berechnung!Y128))*N(Berechnung!C128))</f>
        <v/>
      </c>
      <c r="L128" s="58">
        <f>IF($B128="","",(N(Berechnung!M128)+N(Berechnung!Z128))*N(Berechnung!C128))</f>
        <v/>
      </c>
      <c r="M128" s="58">
        <f>IF($B128="","",(N(Berechnung!N128)+N(Berechnung!AA128))*N(Berechnung!C128))</f>
        <v/>
      </c>
      <c r="N128" s="58">
        <f>IF($B128="","",(N(Berechnung!O128)+N(Berechnung!AB128))*N(Berechnung!C128))</f>
        <v/>
      </c>
      <c r="O128" s="65">
        <f>IF($B128="","",SUM(C128:N128))</f>
        <v/>
      </c>
      <c r="P128" s="57">
        <f>'KQuote Mitarbeiter'!E128</f>
        <v/>
      </c>
      <c r="Q128" s="66">
        <f>'KQuote Mitarbeiter'!L128</f>
        <v/>
      </c>
      <c r="R128" s="57">
        <f>'KQuote Mitarbeiter'!D128</f>
        <v/>
      </c>
      <c r="S128" s="66">
        <f>'KQuote Mitarbeiter'!K128</f>
        <v/>
      </c>
    </row>
    <row r="129">
      <c r="A129" s="47">
        <f>'KQuote Mitarbeiter'!A129</f>
        <v/>
      </c>
      <c r="B129" s="48">
        <f>'KQuote Mitarbeiter'!B129</f>
        <v/>
      </c>
      <c r="C129" s="58">
        <f>IF($B129="","",(N(Berechnung!D129)+N(Berechnung!Q129))*N(Berechnung!C129))</f>
        <v/>
      </c>
      <c r="D129" s="58">
        <f>IF($B129="","",(N(Berechnung!E129)+N(Berechnung!R129))*N(Berechnung!C129))</f>
        <v/>
      </c>
      <c r="E129" s="58">
        <f>IF($B129="","",(N(Berechnung!F129)+N(Berechnung!S129))*N(Berechnung!C129))</f>
        <v/>
      </c>
      <c r="F129" s="58">
        <f>IF($B129="","",(N(Berechnung!G129)+N(Berechnung!T129))*N(Berechnung!C129))</f>
        <v/>
      </c>
      <c r="G129" s="58">
        <f>IF($B129="","",(N(Berechnung!H129)+N(Berechnung!U129))*N(Berechnung!C129))</f>
        <v/>
      </c>
      <c r="H129" s="58">
        <f>IF($B129="","",(N(Berechnung!I129)+N(Berechnung!V129))*N(Berechnung!C129))</f>
        <v/>
      </c>
      <c r="I129" s="58">
        <f>IF($B129="","",(N(Berechnung!J129)+N(Berechnung!W129))*N(Berechnung!C129))</f>
        <v/>
      </c>
      <c r="J129" s="58">
        <f>IF($B129="","",(N(Berechnung!K129)+N(Berechnung!X129))*N(Berechnung!C129))</f>
        <v/>
      </c>
      <c r="K129" s="58">
        <f>IF($B129="","",(N(Berechnung!L129)+N(Berechnung!Y129))*N(Berechnung!C129))</f>
        <v/>
      </c>
      <c r="L129" s="58">
        <f>IF($B129="","",(N(Berechnung!M129)+N(Berechnung!Z129))*N(Berechnung!C129))</f>
        <v/>
      </c>
      <c r="M129" s="58">
        <f>IF($B129="","",(N(Berechnung!N129)+N(Berechnung!AA129))*N(Berechnung!C129))</f>
        <v/>
      </c>
      <c r="N129" s="58">
        <f>IF($B129="","",(N(Berechnung!O129)+N(Berechnung!AB129))*N(Berechnung!C129))</f>
        <v/>
      </c>
      <c r="O129" s="65">
        <f>IF($B129="","",SUM(C129:N129))</f>
        <v/>
      </c>
      <c r="P129" s="57">
        <f>'KQuote Mitarbeiter'!E129</f>
        <v/>
      </c>
      <c r="Q129" s="66">
        <f>'KQuote Mitarbeiter'!L129</f>
        <v/>
      </c>
      <c r="R129" s="57">
        <f>'KQuote Mitarbeiter'!D129</f>
        <v/>
      </c>
      <c r="S129" s="66">
        <f>'KQuote Mitarbeiter'!K129</f>
        <v/>
      </c>
    </row>
    <row r="130">
      <c r="A130" s="47">
        <f>'KQuote Mitarbeiter'!A130</f>
        <v/>
      </c>
      <c r="B130" s="48">
        <f>'KQuote Mitarbeiter'!B130</f>
        <v/>
      </c>
      <c r="C130" s="58">
        <f>IF($B130="","",(N(Berechnung!D130)+N(Berechnung!Q130))*N(Berechnung!C130))</f>
        <v/>
      </c>
      <c r="D130" s="58">
        <f>IF($B130="","",(N(Berechnung!E130)+N(Berechnung!R130))*N(Berechnung!C130))</f>
        <v/>
      </c>
      <c r="E130" s="58">
        <f>IF($B130="","",(N(Berechnung!F130)+N(Berechnung!S130))*N(Berechnung!C130))</f>
        <v/>
      </c>
      <c r="F130" s="58">
        <f>IF($B130="","",(N(Berechnung!G130)+N(Berechnung!T130))*N(Berechnung!C130))</f>
        <v/>
      </c>
      <c r="G130" s="58">
        <f>IF($B130="","",(N(Berechnung!H130)+N(Berechnung!U130))*N(Berechnung!C130))</f>
        <v/>
      </c>
      <c r="H130" s="58">
        <f>IF($B130="","",(N(Berechnung!I130)+N(Berechnung!V130))*N(Berechnung!C130))</f>
        <v/>
      </c>
      <c r="I130" s="58">
        <f>IF($B130="","",(N(Berechnung!J130)+N(Berechnung!W130))*N(Berechnung!C130))</f>
        <v/>
      </c>
      <c r="J130" s="58">
        <f>IF($B130="","",(N(Berechnung!K130)+N(Berechnung!X130))*N(Berechnung!C130))</f>
        <v/>
      </c>
      <c r="K130" s="58">
        <f>IF($B130="","",(N(Berechnung!L130)+N(Berechnung!Y130))*N(Berechnung!C130))</f>
        <v/>
      </c>
      <c r="L130" s="58">
        <f>IF($B130="","",(N(Berechnung!M130)+N(Berechnung!Z130))*N(Berechnung!C130))</f>
        <v/>
      </c>
      <c r="M130" s="58">
        <f>IF($B130="","",(N(Berechnung!N130)+N(Berechnung!AA130))*N(Berechnung!C130))</f>
        <v/>
      </c>
      <c r="N130" s="58">
        <f>IF($B130="","",(N(Berechnung!O130)+N(Berechnung!AB130))*N(Berechnung!C130))</f>
        <v/>
      </c>
      <c r="O130" s="65">
        <f>IF($B130="","",SUM(C130:N130))</f>
        <v/>
      </c>
      <c r="P130" s="57">
        <f>'KQuote Mitarbeiter'!E130</f>
        <v/>
      </c>
      <c r="Q130" s="66">
        <f>'KQuote Mitarbeiter'!L130</f>
        <v/>
      </c>
      <c r="R130" s="57">
        <f>'KQuote Mitarbeiter'!D130</f>
        <v/>
      </c>
      <c r="S130" s="66">
        <f>'KQuote Mitarbeiter'!K130</f>
        <v/>
      </c>
    </row>
    <row r="131">
      <c r="A131" s="47">
        <f>'KQuote Mitarbeiter'!A131</f>
        <v/>
      </c>
      <c r="B131" s="48">
        <f>'KQuote Mitarbeiter'!B131</f>
        <v/>
      </c>
      <c r="C131" s="58">
        <f>IF($B131="","",(N(Berechnung!D131)+N(Berechnung!Q131))*N(Berechnung!C131))</f>
        <v/>
      </c>
      <c r="D131" s="58">
        <f>IF($B131="","",(N(Berechnung!E131)+N(Berechnung!R131))*N(Berechnung!C131))</f>
        <v/>
      </c>
      <c r="E131" s="58">
        <f>IF($B131="","",(N(Berechnung!F131)+N(Berechnung!S131))*N(Berechnung!C131))</f>
        <v/>
      </c>
      <c r="F131" s="58">
        <f>IF($B131="","",(N(Berechnung!G131)+N(Berechnung!T131))*N(Berechnung!C131))</f>
        <v/>
      </c>
      <c r="G131" s="58">
        <f>IF($B131="","",(N(Berechnung!H131)+N(Berechnung!U131))*N(Berechnung!C131))</f>
        <v/>
      </c>
      <c r="H131" s="58">
        <f>IF($B131="","",(N(Berechnung!I131)+N(Berechnung!V131))*N(Berechnung!C131))</f>
        <v/>
      </c>
      <c r="I131" s="58">
        <f>IF($B131="","",(N(Berechnung!J131)+N(Berechnung!W131))*N(Berechnung!C131))</f>
        <v/>
      </c>
      <c r="J131" s="58">
        <f>IF($B131="","",(N(Berechnung!K131)+N(Berechnung!X131))*N(Berechnung!C131))</f>
        <v/>
      </c>
      <c r="K131" s="58">
        <f>IF($B131="","",(N(Berechnung!L131)+N(Berechnung!Y131))*N(Berechnung!C131))</f>
        <v/>
      </c>
      <c r="L131" s="58">
        <f>IF($B131="","",(N(Berechnung!M131)+N(Berechnung!Z131))*N(Berechnung!C131))</f>
        <v/>
      </c>
      <c r="M131" s="58">
        <f>IF($B131="","",(N(Berechnung!N131)+N(Berechnung!AA131))*N(Berechnung!C131))</f>
        <v/>
      </c>
      <c r="N131" s="58">
        <f>IF($B131="","",(N(Berechnung!O131)+N(Berechnung!AB131))*N(Berechnung!C131))</f>
        <v/>
      </c>
      <c r="O131" s="65">
        <f>IF($B131="","",SUM(C131:N131))</f>
        <v/>
      </c>
      <c r="P131" s="57">
        <f>'KQuote Mitarbeiter'!E131</f>
        <v/>
      </c>
      <c r="Q131" s="66">
        <f>'KQuote Mitarbeiter'!L131</f>
        <v/>
      </c>
      <c r="R131" s="57">
        <f>'KQuote Mitarbeiter'!D131</f>
        <v/>
      </c>
      <c r="S131" s="66">
        <f>'KQuote Mitarbeiter'!K131</f>
        <v/>
      </c>
    </row>
    <row r="132">
      <c r="A132" s="47">
        <f>'KQuote Mitarbeiter'!A132</f>
        <v/>
      </c>
      <c r="B132" s="48">
        <f>'KQuote Mitarbeiter'!B132</f>
        <v/>
      </c>
      <c r="C132" s="58">
        <f>IF($B132="","",(N(Berechnung!D132)+N(Berechnung!Q132))*N(Berechnung!C132))</f>
        <v/>
      </c>
      <c r="D132" s="58">
        <f>IF($B132="","",(N(Berechnung!E132)+N(Berechnung!R132))*N(Berechnung!C132))</f>
        <v/>
      </c>
      <c r="E132" s="58">
        <f>IF($B132="","",(N(Berechnung!F132)+N(Berechnung!S132))*N(Berechnung!C132))</f>
        <v/>
      </c>
      <c r="F132" s="58">
        <f>IF($B132="","",(N(Berechnung!G132)+N(Berechnung!T132))*N(Berechnung!C132))</f>
        <v/>
      </c>
      <c r="G132" s="58">
        <f>IF($B132="","",(N(Berechnung!H132)+N(Berechnung!U132))*N(Berechnung!C132))</f>
        <v/>
      </c>
      <c r="H132" s="58">
        <f>IF($B132="","",(N(Berechnung!I132)+N(Berechnung!V132))*N(Berechnung!C132))</f>
        <v/>
      </c>
      <c r="I132" s="58">
        <f>IF($B132="","",(N(Berechnung!J132)+N(Berechnung!W132))*N(Berechnung!C132))</f>
        <v/>
      </c>
      <c r="J132" s="58">
        <f>IF($B132="","",(N(Berechnung!K132)+N(Berechnung!X132))*N(Berechnung!C132))</f>
        <v/>
      </c>
      <c r="K132" s="58">
        <f>IF($B132="","",(N(Berechnung!L132)+N(Berechnung!Y132))*N(Berechnung!C132))</f>
        <v/>
      </c>
      <c r="L132" s="58">
        <f>IF($B132="","",(N(Berechnung!M132)+N(Berechnung!Z132))*N(Berechnung!C132))</f>
        <v/>
      </c>
      <c r="M132" s="58">
        <f>IF($B132="","",(N(Berechnung!N132)+N(Berechnung!AA132))*N(Berechnung!C132))</f>
        <v/>
      </c>
      <c r="N132" s="58">
        <f>IF($B132="","",(N(Berechnung!O132)+N(Berechnung!AB132))*N(Berechnung!C132))</f>
        <v/>
      </c>
      <c r="O132" s="65">
        <f>IF($B132="","",SUM(C132:N132))</f>
        <v/>
      </c>
      <c r="P132" s="57">
        <f>'KQuote Mitarbeiter'!E132</f>
        <v/>
      </c>
      <c r="Q132" s="66">
        <f>'KQuote Mitarbeiter'!L132</f>
        <v/>
      </c>
      <c r="R132" s="57">
        <f>'KQuote Mitarbeiter'!D132</f>
        <v/>
      </c>
      <c r="S132" s="66">
        <f>'KQuote Mitarbeiter'!K132</f>
        <v/>
      </c>
    </row>
    <row r="133">
      <c r="A133" s="47">
        <f>'KQuote Mitarbeiter'!A133</f>
        <v/>
      </c>
      <c r="B133" s="48">
        <f>'KQuote Mitarbeiter'!B133</f>
        <v/>
      </c>
      <c r="C133" s="58">
        <f>IF($B133="","",(N(Berechnung!D133)+N(Berechnung!Q133))*N(Berechnung!C133))</f>
        <v/>
      </c>
      <c r="D133" s="58">
        <f>IF($B133="","",(N(Berechnung!E133)+N(Berechnung!R133))*N(Berechnung!C133))</f>
        <v/>
      </c>
      <c r="E133" s="58">
        <f>IF($B133="","",(N(Berechnung!F133)+N(Berechnung!S133))*N(Berechnung!C133))</f>
        <v/>
      </c>
      <c r="F133" s="58">
        <f>IF($B133="","",(N(Berechnung!G133)+N(Berechnung!T133))*N(Berechnung!C133))</f>
        <v/>
      </c>
      <c r="G133" s="58">
        <f>IF($B133="","",(N(Berechnung!H133)+N(Berechnung!U133))*N(Berechnung!C133))</f>
        <v/>
      </c>
      <c r="H133" s="58">
        <f>IF($B133="","",(N(Berechnung!I133)+N(Berechnung!V133))*N(Berechnung!C133))</f>
        <v/>
      </c>
      <c r="I133" s="58">
        <f>IF($B133="","",(N(Berechnung!J133)+N(Berechnung!W133))*N(Berechnung!C133))</f>
        <v/>
      </c>
      <c r="J133" s="58">
        <f>IF($B133="","",(N(Berechnung!K133)+N(Berechnung!X133))*N(Berechnung!C133))</f>
        <v/>
      </c>
      <c r="K133" s="58">
        <f>IF($B133="","",(N(Berechnung!L133)+N(Berechnung!Y133))*N(Berechnung!C133))</f>
        <v/>
      </c>
      <c r="L133" s="58">
        <f>IF($B133="","",(N(Berechnung!M133)+N(Berechnung!Z133))*N(Berechnung!C133))</f>
        <v/>
      </c>
      <c r="M133" s="58">
        <f>IF($B133="","",(N(Berechnung!N133)+N(Berechnung!AA133))*N(Berechnung!C133))</f>
        <v/>
      </c>
      <c r="N133" s="58">
        <f>IF($B133="","",(N(Berechnung!O133)+N(Berechnung!AB133))*N(Berechnung!C133))</f>
        <v/>
      </c>
      <c r="O133" s="65">
        <f>IF($B133="","",SUM(C133:N133))</f>
        <v/>
      </c>
      <c r="P133" s="57">
        <f>'KQuote Mitarbeiter'!E133</f>
        <v/>
      </c>
      <c r="Q133" s="66">
        <f>'KQuote Mitarbeiter'!L133</f>
        <v/>
      </c>
      <c r="R133" s="57">
        <f>'KQuote Mitarbeiter'!D133</f>
        <v/>
      </c>
      <c r="S133" s="66">
        <f>'KQuote Mitarbeiter'!K133</f>
        <v/>
      </c>
    </row>
    <row r="134">
      <c r="A134" s="47">
        <f>'KQuote Mitarbeiter'!A134</f>
        <v/>
      </c>
      <c r="B134" s="48">
        <f>'KQuote Mitarbeiter'!B134</f>
        <v/>
      </c>
      <c r="C134" s="58">
        <f>IF($B134="","",(N(Berechnung!D134)+N(Berechnung!Q134))*N(Berechnung!C134))</f>
        <v/>
      </c>
      <c r="D134" s="58">
        <f>IF($B134="","",(N(Berechnung!E134)+N(Berechnung!R134))*N(Berechnung!C134))</f>
        <v/>
      </c>
      <c r="E134" s="58">
        <f>IF($B134="","",(N(Berechnung!F134)+N(Berechnung!S134))*N(Berechnung!C134))</f>
        <v/>
      </c>
      <c r="F134" s="58">
        <f>IF($B134="","",(N(Berechnung!G134)+N(Berechnung!T134))*N(Berechnung!C134))</f>
        <v/>
      </c>
      <c r="G134" s="58">
        <f>IF($B134="","",(N(Berechnung!H134)+N(Berechnung!U134))*N(Berechnung!C134))</f>
        <v/>
      </c>
      <c r="H134" s="58">
        <f>IF($B134="","",(N(Berechnung!I134)+N(Berechnung!V134))*N(Berechnung!C134))</f>
        <v/>
      </c>
      <c r="I134" s="58">
        <f>IF($B134="","",(N(Berechnung!J134)+N(Berechnung!W134))*N(Berechnung!C134))</f>
        <v/>
      </c>
      <c r="J134" s="58">
        <f>IF($B134="","",(N(Berechnung!K134)+N(Berechnung!X134))*N(Berechnung!C134))</f>
        <v/>
      </c>
      <c r="K134" s="58">
        <f>IF($B134="","",(N(Berechnung!L134)+N(Berechnung!Y134))*N(Berechnung!C134))</f>
        <v/>
      </c>
      <c r="L134" s="58">
        <f>IF($B134="","",(N(Berechnung!M134)+N(Berechnung!Z134))*N(Berechnung!C134))</f>
        <v/>
      </c>
      <c r="M134" s="58">
        <f>IF($B134="","",(N(Berechnung!N134)+N(Berechnung!AA134))*N(Berechnung!C134))</f>
        <v/>
      </c>
      <c r="N134" s="58">
        <f>IF($B134="","",(N(Berechnung!O134)+N(Berechnung!AB134))*N(Berechnung!C134))</f>
        <v/>
      </c>
      <c r="O134" s="65">
        <f>IF($B134="","",SUM(C134:N134))</f>
        <v/>
      </c>
      <c r="P134" s="57">
        <f>'KQuote Mitarbeiter'!E134</f>
        <v/>
      </c>
      <c r="Q134" s="66">
        <f>'KQuote Mitarbeiter'!L134</f>
        <v/>
      </c>
      <c r="R134" s="57">
        <f>'KQuote Mitarbeiter'!D134</f>
        <v/>
      </c>
      <c r="S134" s="66">
        <f>'KQuote Mitarbeiter'!K134</f>
        <v/>
      </c>
    </row>
    <row r="135">
      <c r="A135" s="47">
        <f>'KQuote Mitarbeiter'!A135</f>
        <v/>
      </c>
      <c r="B135" s="48">
        <f>'KQuote Mitarbeiter'!B135</f>
        <v/>
      </c>
      <c r="C135" s="58">
        <f>IF($B135="","",(N(Berechnung!D135)+N(Berechnung!Q135))*N(Berechnung!C135))</f>
        <v/>
      </c>
      <c r="D135" s="58">
        <f>IF($B135="","",(N(Berechnung!E135)+N(Berechnung!R135))*N(Berechnung!C135))</f>
        <v/>
      </c>
      <c r="E135" s="58">
        <f>IF($B135="","",(N(Berechnung!F135)+N(Berechnung!S135))*N(Berechnung!C135))</f>
        <v/>
      </c>
      <c r="F135" s="58">
        <f>IF($B135="","",(N(Berechnung!G135)+N(Berechnung!T135))*N(Berechnung!C135))</f>
        <v/>
      </c>
      <c r="G135" s="58">
        <f>IF($B135="","",(N(Berechnung!H135)+N(Berechnung!U135))*N(Berechnung!C135))</f>
        <v/>
      </c>
      <c r="H135" s="58">
        <f>IF($B135="","",(N(Berechnung!I135)+N(Berechnung!V135))*N(Berechnung!C135))</f>
        <v/>
      </c>
      <c r="I135" s="58">
        <f>IF($B135="","",(N(Berechnung!J135)+N(Berechnung!W135))*N(Berechnung!C135))</f>
        <v/>
      </c>
      <c r="J135" s="58">
        <f>IF($B135="","",(N(Berechnung!K135)+N(Berechnung!X135))*N(Berechnung!C135))</f>
        <v/>
      </c>
      <c r="K135" s="58">
        <f>IF($B135="","",(N(Berechnung!L135)+N(Berechnung!Y135))*N(Berechnung!C135))</f>
        <v/>
      </c>
      <c r="L135" s="58">
        <f>IF($B135="","",(N(Berechnung!M135)+N(Berechnung!Z135))*N(Berechnung!C135))</f>
        <v/>
      </c>
      <c r="M135" s="58">
        <f>IF($B135="","",(N(Berechnung!N135)+N(Berechnung!AA135))*N(Berechnung!C135))</f>
        <v/>
      </c>
      <c r="N135" s="58">
        <f>IF($B135="","",(N(Berechnung!O135)+N(Berechnung!AB135))*N(Berechnung!C135))</f>
        <v/>
      </c>
      <c r="O135" s="65">
        <f>IF($B135="","",SUM(C135:N135))</f>
        <v/>
      </c>
      <c r="P135" s="57">
        <f>'KQuote Mitarbeiter'!E135</f>
        <v/>
      </c>
      <c r="Q135" s="66">
        <f>'KQuote Mitarbeiter'!L135</f>
        <v/>
      </c>
      <c r="R135" s="57">
        <f>'KQuote Mitarbeiter'!D135</f>
        <v/>
      </c>
      <c r="S135" s="66">
        <f>'KQuote Mitarbeiter'!K135</f>
        <v/>
      </c>
    </row>
    <row r="136">
      <c r="A136" s="47">
        <f>'KQuote Mitarbeiter'!A136</f>
        <v/>
      </c>
      <c r="B136" s="48">
        <f>'KQuote Mitarbeiter'!B136</f>
        <v/>
      </c>
      <c r="C136" s="58">
        <f>IF($B136="","",(N(Berechnung!D136)+N(Berechnung!Q136))*N(Berechnung!C136))</f>
        <v/>
      </c>
      <c r="D136" s="58">
        <f>IF($B136="","",(N(Berechnung!E136)+N(Berechnung!R136))*N(Berechnung!C136))</f>
        <v/>
      </c>
      <c r="E136" s="58">
        <f>IF($B136="","",(N(Berechnung!F136)+N(Berechnung!S136))*N(Berechnung!C136))</f>
        <v/>
      </c>
      <c r="F136" s="58">
        <f>IF($B136="","",(N(Berechnung!G136)+N(Berechnung!T136))*N(Berechnung!C136))</f>
        <v/>
      </c>
      <c r="G136" s="58">
        <f>IF($B136="","",(N(Berechnung!H136)+N(Berechnung!U136))*N(Berechnung!C136))</f>
        <v/>
      </c>
      <c r="H136" s="58">
        <f>IF($B136="","",(N(Berechnung!I136)+N(Berechnung!V136))*N(Berechnung!C136))</f>
        <v/>
      </c>
      <c r="I136" s="58">
        <f>IF($B136="","",(N(Berechnung!J136)+N(Berechnung!W136))*N(Berechnung!C136))</f>
        <v/>
      </c>
      <c r="J136" s="58">
        <f>IF($B136="","",(N(Berechnung!K136)+N(Berechnung!X136))*N(Berechnung!C136))</f>
        <v/>
      </c>
      <c r="K136" s="58">
        <f>IF($B136="","",(N(Berechnung!L136)+N(Berechnung!Y136))*N(Berechnung!C136))</f>
        <v/>
      </c>
      <c r="L136" s="58">
        <f>IF($B136="","",(N(Berechnung!M136)+N(Berechnung!Z136))*N(Berechnung!C136))</f>
        <v/>
      </c>
      <c r="M136" s="58">
        <f>IF($B136="","",(N(Berechnung!N136)+N(Berechnung!AA136))*N(Berechnung!C136))</f>
        <v/>
      </c>
      <c r="N136" s="58">
        <f>IF($B136="","",(N(Berechnung!O136)+N(Berechnung!AB136))*N(Berechnung!C136))</f>
        <v/>
      </c>
      <c r="O136" s="65">
        <f>IF($B136="","",SUM(C136:N136))</f>
        <v/>
      </c>
      <c r="P136" s="57">
        <f>'KQuote Mitarbeiter'!E136</f>
        <v/>
      </c>
      <c r="Q136" s="66">
        <f>'KQuote Mitarbeiter'!L136</f>
        <v/>
      </c>
      <c r="R136" s="57">
        <f>'KQuote Mitarbeiter'!D136</f>
        <v/>
      </c>
      <c r="S136" s="66">
        <f>'KQuote Mitarbeiter'!K136</f>
        <v/>
      </c>
    </row>
    <row r="137">
      <c r="A137" s="47">
        <f>'KQuote Mitarbeiter'!A137</f>
        <v/>
      </c>
      <c r="B137" s="48">
        <f>'KQuote Mitarbeiter'!B137</f>
        <v/>
      </c>
      <c r="C137" s="58">
        <f>IF($B137="","",(N(Berechnung!D137)+N(Berechnung!Q137))*N(Berechnung!C137))</f>
        <v/>
      </c>
      <c r="D137" s="58">
        <f>IF($B137="","",(N(Berechnung!E137)+N(Berechnung!R137))*N(Berechnung!C137))</f>
        <v/>
      </c>
      <c r="E137" s="58">
        <f>IF($B137="","",(N(Berechnung!F137)+N(Berechnung!S137))*N(Berechnung!C137))</f>
        <v/>
      </c>
      <c r="F137" s="58">
        <f>IF($B137="","",(N(Berechnung!G137)+N(Berechnung!T137))*N(Berechnung!C137))</f>
        <v/>
      </c>
      <c r="G137" s="58">
        <f>IF($B137="","",(N(Berechnung!H137)+N(Berechnung!U137))*N(Berechnung!C137))</f>
        <v/>
      </c>
      <c r="H137" s="58">
        <f>IF($B137="","",(N(Berechnung!I137)+N(Berechnung!V137))*N(Berechnung!C137))</f>
        <v/>
      </c>
      <c r="I137" s="58">
        <f>IF($B137="","",(N(Berechnung!J137)+N(Berechnung!W137))*N(Berechnung!C137))</f>
        <v/>
      </c>
      <c r="J137" s="58">
        <f>IF($B137="","",(N(Berechnung!K137)+N(Berechnung!X137))*N(Berechnung!C137))</f>
        <v/>
      </c>
      <c r="K137" s="58">
        <f>IF($B137="","",(N(Berechnung!L137)+N(Berechnung!Y137))*N(Berechnung!C137))</f>
        <v/>
      </c>
      <c r="L137" s="58">
        <f>IF($B137="","",(N(Berechnung!M137)+N(Berechnung!Z137))*N(Berechnung!C137))</f>
        <v/>
      </c>
      <c r="M137" s="58">
        <f>IF($B137="","",(N(Berechnung!N137)+N(Berechnung!AA137))*N(Berechnung!C137))</f>
        <v/>
      </c>
      <c r="N137" s="58">
        <f>IF($B137="","",(N(Berechnung!O137)+N(Berechnung!AB137))*N(Berechnung!C137))</f>
        <v/>
      </c>
      <c r="O137" s="65">
        <f>IF($B137="","",SUM(C137:N137))</f>
        <v/>
      </c>
      <c r="P137" s="57">
        <f>'KQuote Mitarbeiter'!E137</f>
        <v/>
      </c>
      <c r="Q137" s="66">
        <f>'KQuote Mitarbeiter'!L137</f>
        <v/>
      </c>
      <c r="R137" s="57">
        <f>'KQuote Mitarbeiter'!D137</f>
        <v/>
      </c>
      <c r="S137" s="66">
        <f>'KQuote Mitarbeiter'!K137</f>
        <v/>
      </c>
    </row>
    <row r="138">
      <c r="A138" s="47">
        <f>'KQuote Mitarbeiter'!A138</f>
        <v/>
      </c>
      <c r="B138" s="48">
        <f>'KQuote Mitarbeiter'!B138</f>
        <v/>
      </c>
      <c r="C138" s="58">
        <f>IF($B138="","",(N(Berechnung!D138)+N(Berechnung!Q138))*N(Berechnung!C138))</f>
        <v/>
      </c>
      <c r="D138" s="58">
        <f>IF($B138="","",(N(Berechnung!E138)+N(Berechnung!R138))*N(Berechnung!C138))</f>
        <v/>
      </c>
      <c r="E138" s="58">
        <f>IF($B138="","",(N(Berechnung!F138)+N(Berechnung!S138))*N(Berechnung!C138))</f>
        <v/>
      </c>
      <c r="F138" s="58">
        <f>IF($B138="","",(N(Berechnung!G138)+N(Berechnung!T138))*N(Berechnung!C138))</f>
        <v/>
      </c>
      <c r="G138" s="58">
        <f>IF($B138="","",(N(Berechnung!H138)+N(Berechnung!U138))*N(Berechnung!C138))</f>
        <v/>
      </c>
      <c r="H138" s="58">
        <f>IF($B138="","",(N(Berechnung!I138)+N(Berechnung!V138))*N(Berechnung!C138))</f>
        <v/>
      </c>
      <c r="I138" s="58">
        <f>IF($B138="","",(N(Berechnung!J138)+N(Berechnung!W138))*N(Berechnung!C138))</f>
        <v/>
      </c>
      <c r="J138" s="58">
        <f>IF($B138="","",(N(Berechnung!K138)+N(Berechnung!X138))*N(Berechnung!C138))</f>
        <v/>
      </c>
      <c r="K138" s="58">
        <f>IF($B138="","",(N(Berechnung!L138)+N(Berechnung!Y138))*N(Berechnung!C138))</f>
        <v/>
      </c>
      <c r="L138" s="58">
        <f>IF($B138="","",(N(Berechnung!M138)+N(Berechnung!Z138))*N(Berechnung!C138))</f>
        <v/>
      </c>
      <c r="M138" s="58">
        <f>IF($B138="","",(N(Berechnung!N138)+N(Berechnung!AA138))*N(Berechnung!C138))</f>
        <v/>
      </c>
      <c r="N138" s="58">
        <f>IF($B138="","",(N(Berechnung!O138)+N(Berechnung!AB138))*N(Berechnung!C138))</f>
        <v/>
      </c>
      <c r="O138" s="65">
        <f>IF($B138="","",SUM(C138:N138))</f>
        <v/>
      </c>
      <c r="P138" s="57">
        <f>'KQuote Mitarbeiter'!E138</f>
        <v/>
      </c>
      <c r="Q138" s="66">
        <f>'KQuote Mitarbeiter'!L138</f>
        <v/>
      </c>
      <c r="R138" s="57">
        <f>'KQuote Mitarbeiter'!D138</f>
        <v/>
      </c>
      <c r="S138" s="66">
        <f>'KQuote Mitarbeiter'!K138</f>
        <v/>
      </c>
    </row>
    <row r="139">
      <c r="A139" s="47">
        <f>'KQuote Mitarbeiter'!A139</f>
        <v/>
      </c>
      <c r="B139" s="48">
        <f>'KQuote Mitarbeiter'!B139</f>
        <v/>
      </c>
      <c r="C139" s="58">
        <f>IF($B139="","",(N(Berechnung!D139)+N(Berechnung!Q139))*N(Berechnung!C139))</f>
        <v/>
      </c>
      <c r="D139" s="58">
        <f>IF($B139="","",(N(Berechnung!E139)+N(Berechnung!R139))*N(Berechnung!C139))</f>
        <v/>
      </c>
      <c r="E139" s="58">
        <f>IF($B139="","",(N(Berechnung!F139)+N(Berechnung!S139))*N(Berechnung!C139))</f>
        <v/>
      </c>
      <c r="F139" s="58">
        <f>IF($B139="","",(N(Berechnung!G139)+N(Berechnung!T139))*N(Berechnung!C139))</f>
        <v/>
      </c>
      <c r="G139" s="58">
        <f>IF($B139="","",(N(Berechnung!H139)+N(Berechnung!U139))*N(Berechnung!C139))</f>
        <v/>
      </c>
      <c r="H139" s="58">
        <f>IF($B139="","",(N(Berechnung!I139)+N(Berechnung!V139))*N(Berechnung!C139))</f>
        <v/>
      </c>
      <c r="I139" s="58">
        <f>IF($B139="","",(N(Berechnung!J139)+N(Berechnung!W139))*N(Berechnung!C139))</f>
        <v/>
      </c>
      <c r="J139" s="58">
        <f>IF($B139="","",(N(Berechnung!K139)+N(Berechnung!X139))*N(Berechnung!C139))</f>
        <v/>
      </c>
      <c r="K139" s="58">
        <f>IF($B139="","",(N(Berechnung!L139)+N(Berechnung!Y139))*N(Berechnung!C139))</f>
        <v/>
      </c>
      <c r="L139" s="58">
        <f>IF($B139="","",(N(Berechnung!M139)+N(Berechnung!Z139))*N(Berechnung!C139))</f>
        <v/>
      </c>
      <c r="M139" s="58">
        <f>IF($B139="","",(N(Berechnung!N139)+N(Berechnung!AA139))*N(Berechnung!C139))</f>
        <v/>
      </c>
      <c r="N139" s="58">
        <f>IF($B139="","",(N(Berechnung!O139)+N(Berechnung!AB139))*N(Berechnung!C139))</f>
        <v/>
      </c>
      <c r="O139" s="65">
        <f>IF($B139="","",SUM(C139:N139))</f>
        <v/>
      </c>
      <c r="P139" s="57">
        <f>'KQuote Mitarbeiter'!E139</f>
        <v/>
      </c>
      <c r="Q139" s="66">
        <f>'KQuote Mitarbeiter'!L139</f>
        <v/>
      </c>
      <c r="R139" s="57">
        <f>'KQuote Mitarbeiter'!D139</f>
        <v/>
      </c>
      <c r="S139" s="66">
        <f>'KQuote Mitarbeiter'!K139</f>
        <v/>
      </c>
    </row>
    <row r="140">
      <c r="A140" s="47">
        <f>'KQuote Mitarbeiter'!A140</f>
        <v/>
      </c>
      <c r="B140" s="48">
        <f>'KQuote Mitarbeiter'!B140</f>
        <v/>
      </c>
      <c r="C140" s="58">
        <f>IF($B140="","",(N(Berechnung!D140)+N(Berechnung!Q140))*N(Berechnung!C140))</f>
        <v/>
      </c>
      <c r="D140" s="58">
        <f>IF($B140="","",(N(Berechnung!E140)+N(Berechnung!R140))*N(Berechnung!C140))</f>
        <v/>
      </c>
      <c r="E140" s="58">
        <f>IF($B140="","",(N(Berechnung!F140)+N(Berechnung!S140))*N(Berechnung!C140))</f>
        <v/>
      </c>
      <c r="F140" s="58">
        <f>IF($B140="","",(N(Berechnung!G140)+N(Berechnung!T140))*N(Berechnung!C140))</f>
        <v/>
      </c>
      <c r="G140" s="58">
        <f>IF($B140="","",(N(Berechnung!H140)+N(Berechnung!U140))*N(Berechnung!C140))</f>
        <v/>
      </c>
      <c r="H140" s="58">
        <f>IF($B140="","",(N(Berechnung!I140)+N(Berechnung!V140))*N(Berechnung!C140))</f>
        <v/>
      </c>
      <c r="I140" s="58">
        <f>IF($B140="","",(N(Berechnung!J140)+N(Berechnung!W140))*N(Berechnung!C140))</f>
        <v/>
      </c>
      <c r="J140" s="58">
        <f>IF($B140="","",(N(Berechnung!K140)+N(Berechnung!X140))*N(Berechnung!C140))</f>
        <v/>
      </c>
      <c r="K140" s="58">
        <f>IF($B140="","",(N(Berechnung!L140)+N(Berechnung!Y140))*N(Berechnung!C140))</f>
        <v/>
      </c>
      <c r="L140" s="58">
        <f>IF($B140="","",(N(Berechnung!M140)+N(Berechnung!Z140))*N(Berechnung!C140))</f>
        <v/>
      </c>
      <c r="M140" s="58">
        <f>IF($B140="","",(N(Berechnung!N140)+N(Berechnung!AA140))*N(Berechnung!C140))</f>
        <v/>
      </c>
      <c r="N140" s="58">
        <f>IF($B140="","",(N(Berechnung!O140)+N(Berechnung!AB140))*N(Berechnung!C140))</f>
        <v/>
      </c>
      <c r="O140" s="65">
        <f>IF($B140="","",SUM(C140:N140))</f>
        <v/>
      </c>
      <c r="P140" s="57">
        <f>'KQuote Mitarbeiter'!E140</f>
        <v/>
      </c>
      <c r="Q140" s="66">
        <f>'KQuote Mitarbeiter'!L140</f>
        <v/>
      </c>
      <c r="R140" s="57">
        <f>'KQuote Mitarbeiter'!D140</f>
        <v/>
      </c>
      <c r="S140" s="66">
        <f>'KQuote Mitarbeiter'!K140</f>
        <v/>
      </c>
    </row>
    <row r="141">
      <c r="A141" s="47">
        <f>'KQuote Mitarbeiter'!A141</f>
        <v/>
      </c>
      <c r="B141" s="48">
        <f>'KQuote Mitarbeiter'!B141</f>
        <v/>
      </c>
      <c r="C141" s="58">
        <f>IF($B141="","",(N(Berechnung!D141)+N(Berechnung!Q141))*N(Berechnung!C141))</f>
        <v/>
      </c>
      <c r="D141" s="58">
        <f>IF($B141="","",(N(Berechnung!E141)+N(Berechnung!R141))*N(Berechnung!C141))</f>
        <v/>
      </c>
      <c r="E141" s="58">
        <f>IF($B141="","",(N(Berechnung!F141)+N(Berechnung!S141))*N(Berechnung!C141))</f>
        <v/>
      </c>
      <c r="F141" s="58">
        <f>IF($B141="","",(N(Berechnung!G141)+N(Berechnung!T141))*N(Berechnung!C141))</f>
        <v/>
      </c>
      <c r="G141" s="58">
        <f>IF($B141="","",(N(Berechnung!H141)+N(Berechnung!U141))*N(Berechnung!C141))</f>
        <v/>
      </c>
      <c r="H141" s="58">
        <f>IF($B141="","",(N(Berechnung!I141)+N(Berechnung!V141))*N(Berechnung!C141))</f>
        <v/>
      </c>
      <c r="I141" s="58">
        <f>IF($B141="","",(N(Berechnung!J141)+N(Berechnung!W141))*N(Berechnung!C141))</f>
        <v/>
      </c>
      <c r="J141" s="58">
        <f>IF($B141="","",(N(Berechnung!K141)+N(Berechnung!X141))*N(Berechnung!C141))</f>
        <v/>
      </c>
      <c r="K141" s="58">
        <f>IF($B141="","",(N(Berechnung!L141)+N(Berechnung!Y141))*N(Berechnung!C141))</f>
        <v/>
      </c>
      <c r="L141" s="58">
        <f>IF($B141="","",(N(Berechnung!M141)+N(Berechnung!Z141))*N(Berechnung!C141))</f>
        <v/>
      </c>
      <c r="M141" s="58">
        <f>IF($B141="","",(N(Berechnung!N141)+N(Berechnung!AA141))*N(Berechnung!C141))</f>
        <v/>
      </c>
      <c r="N141" s="58">
        <f>IF($B141="","",(N(Berechnung!O141)+N(Berechnung!AB141))*N(Berechnung!C141))</f>
        <v/>
      </c>
      <c r="O141" s="65">
        <f>IF($B141="","",SUM(C141:N141))</f>
        <v/>
      </c>
      <c r="P141" s="57">
        <f>'KQuote Mitarbeiter'!E141</f>
        <v/>
      </c>
      <c r="Q141" s="66">
        <f>'KQuote Mitarbeiter'!L141</f>
        <v/>
      </c>
      <c r="R141" s="57">
        <f>'KQuote Mitarbeiter'!D141</f>
        <v/>
      </c>
      <c r="S141" s="66">
        <f>'KQuote Mitarbeiter'!K141</f>
        <v/>
      </c>
    </row>
    <row r="142">
      <c r="A142" s="47">
        <f>'KQuote Mitarbeiter'!A142</f>
        <v/>
      </c>
      <c r="B142" s="48">
        <f>'KQuote Mitarbeiter'!B142</f>
        <v/>
      </c>
      <c r="C142" s="58">
        <f>IF($B142="","",(N(Berechnung!D142)+N(Berechnung!Q142))*N(Berechnung!C142))</f>
        <v/>
      </c>
      <c r="D142" s="58">
        <f>IF($B142="","",(N(Berechnung!E142)+N(Berechnung!R142))*N(Berechnung!C142))</f>
        <v/>
      </c>
      <c r="E142" s="58">
        <f>IF($B142="","",(N(Berechnung!F142)+N(Berechnung!S142))*N(Berechnung!C142))</f>
        <v/>
      </c>
      <c r="F142" s="58">
        <f>IF($B142="","",(N(Berechnung!G142)+N(Berechnung!T142))*N(Berechnung!C142))</f>
        <v/>
      </c>
      <c r="G142" s="58">
        <f>IF($B142="","",(N(Berechnung!H142)+N(Berechnung!U142))*N(Berechnung!C142))</f>
        <v/>
      </c>
      <c r="H142" s="58">
        <f>IF($B142="","",(N(Berechnung!I142)+N(Berechnung!V142))*N(Berechnung!C142))</f>
        <v/>
      </c>
      <c r="I142" s="58">
        <f>IF($B142="","",(N(Berechnung!J142)+N(Berechnung!W142))*N(Berechnung!C142))</f>
        <v/>
      </c>
      <c r="J142" s="58">
        <f>IF($B142="","",(N(Berechnung!K142)+N(Berechnung!X142))*N(Berechnung!C142))</f>
        <v/>
      </c>
      <c r="K142" s="58">
        <f>IF($B142="","",(N(Berechnung!L142)+N(Berechnung!Y142))*N(Berechnung!C142))</f>
        <v/>
      </c>
      <c r="L142" s="58">
        <f>IF($B142="","",(N(Berechnung!M142)+N(Berechnung!Z142))*N(Berechnung!C142))</f>
        <v/>
      </c>
      <c r="M142" s="58">
        <f>IF($B142="","",(N(Berechnung!N142)+N(Berechnung!AA142))*N(Berechnung!C142))</f>
        <v/>
      </c>
      <c r="N142" s="58">
        <f>IF($B142="","",(N(Berechnung!O142)+N(Berechnung!AB142))*N(Berechnung!C142))</f>
        <v/>
      </c>
      <c r="O142" s="65">
        <f>IF($B142="","",SUM(C142:N142))</f>
        <v/>
      </c>
      <c r="P142" s="57">
        <f>'KQuote Mitarbeiter'!E142</f>
        <v/>
      </c>
      <c r="Q142" s="66">
        <f>'KQuote Mitarbeiter'!L142</f>
        <v/>
      </c>
      <c r="R142" s="57">
        <f>'KQuote Mitarbeiter'!D142</f>
        <v/>
      </c>
      <c r="S142" s="66">
        <f>'KQuote Mitarbeiter'!K142</f>
        <v/>
      </c>
    </row>
    <row r="143">
      <c r="A143" s="47">
        <f>'KQuote Mitarbeiter'!A143</f>
        <v/>
      </c>
      <c r="B143" s="48">
        <f>'KQuote Mitarbeiter'!B143</f>
        <v/>
      </c>
      <c r="C143" s="58">
        <f>IF($B143="","",(N(Berechnung!D143)+N(Berechnung!Q143))*N(Berechnung!C143))</f>
        <v/>
      </c>
      <c r="D143" s="58">
        <f>IF($B143="","",(N(Berechnung!E143)+N(Berechnung!R143))*N(Berechnung!C143))</f>
        <v/>
      </c>
      <c r="E143" s="58">
        <f>IF($B143="","",(N(Berechnung!F143)+N(Berechnung!S143))*N(Berechnung!C143))</f>
        <v/>
      </c>
      <c r="F143" s="58">
        <f>IF($B143="","",(N(Berechnung!G143)+N(Berechnung!T143))*N(Berechnung!C143))</f>
        <v/>
      </c>
      <c r="G143" s="58">
        <f>IF($B143="","",(N(Berechnung!H143)+N(Berechnung!U143))*N(Berechnung!C143))</f>
        <v/>
      </c>
      <c r="H143" s="58">
        <f>IF($B143="","",(N(Berechnung!I143)+N(Berechnung!V143))*N(Berechnung!C143))</f>
        <v/>
      </c>
      <c r="I143" s="58">
        <f>IF($B143="","",(N(Berechnung!J143)+N(Berechnung!W143))*N(Berechnung!C143))</f>
        <v/>
      </c>
      <c r="J143" s="58">
        <f>IF($B143="","",(N(Berechnung!K143)+N(Berechnung!X143))*N(Berechnung!C143))</f>
        <v/>
      </c>
      <c r="K143" s="58">
        <f>IF($B143="","",(N(Berechnung!L143)+N(Berechnung!Y143))*N(Berechnung!C143))</f>
        <v/>
      </c>
      <c r="L143" s="58">
        <f>IF($B143="","",(N(Berechnung!M143)+N(Berechnung!Z143))*N(Berechnung!C143))</f>
        <v/>
      </c>
      <c r="M143" s="58">
        <f>IF($B143="","",(N(Berechnung!N143)+N(Berechnung!AA143))*N(Berechnung!C143))</f>
        <v/>
      </c>
      <c r="N143" s="58">
        <f>IF($B143="","",(N(Berechnung!O143)+N(Berechnung!AB143))*N(Berechnung!C143))</f>
        <v/>
      </c>
      <c r="O143" s="65">
        <f>IF($B143="","",SUM(C143:N143))</f>
        <v/>
      </c>
      <c r="P143" s="57">
        <f>'KQuote Mitarbeiter'!E143</f>
        <v/>
      </c>
      <c r="Q143" s="66">
        <f>'KQuote Mitarbeiter'!L143</f>
        <v/>
      </c>
      <c r="R143" s="57">
        <f>'KQuote Mitarbeiter'!D143</f>
        <v/>
      </c>
      <c r="S143" s="66">
        <f>'KQuote Mitarbeiter'!K143</f>
        <v/>
      </c>
    </row>
    <row r="144">
      <c r="A144" s="47">
        <f>'KQuote Mitarbeiter'!A144</f>
        <v/>
      </c>
      <c r="B144" s="48">
        <f>'KQuote Mitarbeiter'!B144</f>
        <v/>
      </c>
      <c r="C144" s="58">
        <f>IF($B144="","",(N(Berechnung!D144)+N(Berechnung!Q144))*N(Berechnung!C144))</f>
        <v/>
      </c>
      <c r="D144" s="58">
        <f>IF($B144="","",(N(Berechnung!E144)+N(Berechnung!R144))*N(Berechnung!C144))</f>
        <v/>
      </c>
      <c r="E144" s="58">
        <f>IF($B144="","",(N(Berechnung!F144)+N(Berechnung!S144))*N(Berechnung!C144))</f>
        <v/>
      </c>
      <c r="F144" s="58">
        <f>IF($B144="","",(N(Berechnung!G144)+N(Berechnung!T144))*N(Berechnung!C144))</f>
        <v/>
      </c>
      <c r="G144" s="58">
        <f>IF($B144="","",(N(Berechnung!H144)+N(Berechnung!U144))*N(Berechnung!C144))</f>
        <v/>
      </c>
      <c r="H144" s="58">
        <f>IF($B144="","",(N(Berechnung!I144)+N(Berechnung!V144))*N(Berechnung!C144))</f>
        <v/>
      </c>
      <c r="I144" s="58">
        <f>IF($B144="","",(N(Berechnung!J144)+N(Berechnung!W144))*N(Berechnung!C144))</f>
        <v/>
      </c>
      <c r="J144" s="58">
        <f>IF($B144="","",(N(Berechnung!K144)+N(Berechnung!X144))*N(Berechnung!C144))</f>
        <v/>
      </c>
      <c r="K144" s="58">
        <f>IF($B144="","",(N(Berechnung!L144)+N(Berechnung!Y144))*N(Berechnung!C144))</f>
        <v/>
      </c>
      <c r="L144" s="58">
        <f>IF($B144="","",(N(Berechnung!M144)+N(Berechnung!Z144))*N(Berechnung!C144))</f>
        <v/>
      </c>
      <c r="M144" s="58">
        <f>IF($B144="","",(N(Berechnung!N144)+N(Berechnung!AA144))*N(Berechnung!C144))</f>
        <v/>
      </c>
      <c r="N144" s="58">
        <f>IF($B144="","",(N(Berechnung!O144)+N(Berechnung!AB144))*N(Berechnung!C144))</f>
        <v/>
      </c>
      <c r="O144" s="65">
        <f>IF($B144="","",SUM(C144:N144))</f>
        <v/>
      </c>
      <c r="P144" s="57">
        <f>'KQuote Mitarbeiter'!E144</f>
        <v/>
      </c>
      <c r="Q144" s="66">
        <f>'KQuote Mitarbeiter'!L144</f>
        <v/>
      </c>
      <c r="R144" s="57">
        <f>'KQuote Mitarbeiter'!D144</f>
        <v/>
      </c>
      <c r="S144" s="66">
        <f>'KQuote Mitarbeiter'!K144</f>
        <v/>
      </c>
    </row>
    <row r="145">
      <c r="A145" s="47">
        <f>'KQuote Mitarbeiter'!A145</f>
        <v/>
      </c>
      <c r="B145" s="48">
        <f>'KQuote Mitarbeiter'!B145</f>
        <v/>
      </c>
      <c r="C145" s="58">
        <f>IF($B145="","",(N(Berechnung!D145)+N(Berechnung!Q145))*N(Berechnung!C145))</f>
        <v/>
      </c>
      <c r="D145" s="58">
        <f>IF($B145="","",(N(Berechnung!E145)+N(Berechnung!R145))*N(Berechnung!C145))</f>
        <v/>
      </c>
      <c r="E145" s="58">
        <f>IF($B145="","",(N(Berechnung!F145)+N(Berechnung!S145))*N(Berechnung!C145))</f>
        <v/>
      </c>
      <c r="F145" s="58">
        <f>IF($B145="","",(N(Berechnung!G145)+N(Berechnung!T145))*N(Berechnung!C145))</f>
        <v/>
      </c>
      <c r="G145" s="58">
        <f>IF($B145="","",(N(Berechnung!H145)+N(Berechnung!U145))*N(Berechnung!C145))</f>
        <v/>
      </c>
      <c r="H145" s="58">
        <f>IF($B145="","",(N(Berechnung!I145)+N(Berechnung!V145))*N(Berechnung!C145))</f>
        <v/>
      </c>
      <c r="I145" s="58">
        <f>IF($B145="","",(N(Berechnung!J145)+N(Berechnung!W145))*N(Berechnung!C145))</f>
        <v/>
      </c>
      <c r="J145" s="58">
        <f>IF($B145="","",(N(Berechnung!K145)+N(Berechnung!X145))*N(Berechnung!C145))</f>
        <v/>
      </c>
      <c r="K145" s="58">
        <f>IF($B145="","",(N(Berechnung!L145)+N(Berechnung!Y145))*N(Berechnung!C145))</f>
        <v/>
      </c>
      <c r="L145" s="58">
        <f>IF($B145="","",(N(Berechnung!M145)+N(Berechnung!Z145))*N(Berechnung!C145))</f>
        <v/>
      </c>
      <c r="M145" s="58">
        <f>IF($B145="","",(N(Berechnung!N145)+N(Berechnung!AA145))*N(Berechnung!C145))</f>
        <v/>
      </c>
      <c r="N145" s="58">
        <f>IF($B145="","",(N(Berechnung!O145)+N(Berechnung!AB145))*N(Berechnung!C145))</f>
        <v/>
      </c>
      <c r="O145" s="65">
        <f>IF($B145="","",SUM(C145:N145))</f>
        <v/>
      </c>
      <c r="P145" s="57">
        <f>'KQuote Mitarbeiter'!E145</f>
        <v/>
      </c>
      <c r="Q145" s="66">
        <f>'KQuote Mitarbeiter'!L145</f>
        <v/>
      </c>
      <c r="R145" s="57">
        <f>'KQuote Mitarbeiter'!D145</f>
        <v/>
      </c>
      <c r="S145" s="66">
        <f>'KQuote Mitarbeiter'!K145</f>
        <v/>
      </c>
    </row>
    <row r="146">
      <c r="A146" s="47">
        <f>'KQuote Mitarbeiter'!A146</f>
        <v/>
      </c>
      <c r="B146" s="48">
        <f>'KQuote Mitarbeiter'!B146</f>
        <v/>
      </c>
      <c r="C146" s="58">
        <f>IF($B146="","",(N(Berechnung!D146)+N(Berechnung!Q146))*N(Berechnung!C146))</f>
        <v/>
      </c>
      <c r="D146" s="58">
        <f>IF($B146="","",(N(Berechnung!E146)+N(Berechnung!R146))*N(Berechnung!C146))</f>
        <v/>
      </c>
      <c r="E146" s="58">
        <f>IF($B146="","",(N(Berechnung!F146)+N(Berechnung!S146))*N(Berechnung!C146))</f>
        <v/>
      </c>
      <c r="F146" s="58">
        <f>IF($B146="","",(N(Berechnung!G146)+N(Berechnung!T146))*N(Berechnung!C146))</f>
        <v/>
      </c>
      <c r="G146" s="58">
        <f>IF($B146="","",(N(Berechnung!H146)+N(Berechnung!U146))*N(Berechnung!C146))</f>
        <v/>
      </c>
      <c r="H146" s="58">
        <f>IF($B146="","",(N(Berechnung!I146)+N(Berechnung!V146))*N(Berechnung!C146))</f>
        <v/>
      </c>
      <c r="I146" s="58">
        <f>IF($B146="","",(N(Berechnung!J146)+N(Berechnung!W146))*N(Berechnung!C146))</f>
        <v/>
      </c>
      <c r="J146" s="58">
        <f>IF($B146="","",(N(Berechnung!K146)+N(Berechnung!X146))*N(Berechnung!C146))</f>
        <v/>
      </c>
      <c r="K146" s="58">
        <f>IF($B146="","",(N(Berechnung!L146)+N(Berechnung!Y146))*N(Berechnung!C146))</f>
        <v/>
      </c>
      <c r="L146" s="58">
        <f>IF($B146="","",(N(Berechnung!M146)+N(Berechnung!Z146))*N(Berechnung!C146))</f>
        <v/>
      </c>
      <c r="M146" s="58">
        <f>IF($B146="","",(N(Berechnung!N146)+N(Berechnung!AA146))*N(Berechnung!C146))</f>
        <v/>
      </c>
      <c r="N146" s="58">
        <f>IF($B146="","",(N(Berechnung!O146)+N(Berechnung!AB146))*N(Berechnung!C146))</f>
        <v/>
      </c>
      <c r="O146" s="65">
        <f>IF($B146="","",SUM(C146:N146))</f>
        <v/>
      </c>
      <c r="P146" s="57">
        <f>'KQuote Mitarbeiter'!E146</f>
        <v/>
      </c>
      <c r="Q146" s="66">
        <f>'KQuote Mitarbeiter'!L146</f>
        <v/>
      </c>
      <c r="R146" s="57">
        <f>'KQuote Mitarbeiter'!D146</f>
        <v/>
      </c>
      <c r="S146" s="66">
        <f>'KQuote Mitarbeiter'!K146</f>
        <v/>
      </c>
    </row>
    <row r="147">
      <c r="A147" s="47">
        <f>'KQuote Mitarbeiter'!A147</f>
        <v/>
      </c>
      <c r="B147" s="48">
        <f>'KQuote Mitarbeiter'!B147</f>
        <v/>
      </c>
      <c r="C147" s="58">
        <f>IF($B147="","",(N(Berechnung!D147)+N(Berechnung!Q147))*N(Berechnung!C147))</f>
        <v/>
      </c>
      <c r="D147" s="58">
        <f>IF($B147="","",(N(Berechnung!E147)+N(Berechnung!R147))*N(Berechnung!C147))</f>
        <v/>
      </c>
      <c r="E147" s="58">
        <f>IF($B147="","",(N(Berechnung!F147)+N(Berechnung!S147))*N(Berechnung!C147))</f>
        <v/>
      </c>
      <c r="F147" s="58">
        <f>IF($B147="","",(N(Berechnung!G147)+N(Berechnung!T147))*N(Berechnung!C147))</f>
        <v/>
      </c>
      <c r="G147" s="58">
        <f>IF($B147="","",(N(Berechnung!H147)+N(Berechnung!U147))*N(Berechnung!C147))</f>
        <v/>
      </c>
      <c r="H147" s="58">
        <f>IF($B147="","",(N(Berechnung!I147)+N(Berechnung!V147))*N(Berechnung!C147))</f>
        <v/>
      </c>
      <c r="I147" s="58">
        <f>IF($B147="","",(N(Berechnung!J147)+N(Berechnung!W147))*N(Berechnung!C147))</f>
        <v/>
      </c>
      <c r="J147" s="58">
        <f>IF($B147="","",(N(Berechnung!K147)+N(Berechnung!X147))*N(Berechnung!C147))</f>
        <v/>
      </c>
      <c r="K147" s="58">
        <f>IF($B147="","",(N(Berechnung!L147)+N(Berechnung!Y147))*N(Berechnung!C147))</f>
        <v/>
      </c>
      <c r="L147" s="58">
        <f>IF($B147="","",(N(Berechnung!M147)+N(Berechnung!Z147))*N(Berechnung!C147))</f>
        <v/>
      </c>
      <c r="M147" s="58">
        <f>IF($B147="","",(N(Berechnung!N147)+N(Berechnung!AA147))*N(Berechnung!C147))</f>
        <v/>
      </c>
      <c r="N147" s="58">
        <f>IF($B147="","",(N(Berechnung!O147)+N(Berechnung!AB147))*N(Berechnung!C147))</f>
        <v/>
      </c>
      <c r="O147" s="65">
        <f>IF($B147="","",SUM(C147:N147))</f>
        <v/>
      </c>
      <c r="P147" s="57">
        <f>'KQuote Mitarbeiter'!E147</f>
        <v/>
      </c>
      <c r="Q147" s="66">
        <f>'KQuote Mitarbeiter'!L147</f>
        <v/>
      </c>
      <c r="R147" s="57">
        <f>'KQuote Mitarbeiter'!D147</f>
        <v/>
      </c>
      <c r="S147" s="66">
        <f>'KQuote Mitarbeiter'!K147</f>
        <v/>
      </c>
    </row>
    <row r="148">
      <c r="A148" s="47">
        <f>'KQuote Mitarbeiter'!A148</f>
        <v/>
      </c>
      <c r="B148" s="48">
        <f>'KQuote Mitarbeiter'!B148</f>
        <v/>
      </c>
      <c r="C148" s="58">
        <f>IF($B148="","",(N(Berechnung!D148)+N(Berechnung!Q148))*N(Berechnung!C148))</f>
        <v/>
      </c>
      <c r="D148" s="58">
        <f>IF($B148="","",(N(Berechnung!E148)+N(Berechnung!R148))*N(Berechnung!C148))</f>
        <v/>
      </c>
      <c r="E148" s="58">
        <f>IF($B148="","",(N(Berechnung!F148)+N(Berechnung!S148))*N(Berechnung!C148))</f>
        <v/>
      </c>
      <c r="F148" s="58">
        <f>IF($B148="","",(N(Berechnung!G148)+N(Berechnung!T148))*N(Berechnung!C148))</f>
        <v/>
      </c>
      <c r="G148" s="58">
        <f>IF($B148="","",(N(Berechnung!H148)+N(Berechnung!U148))*N(Berechnung!C148))</f>
        <v/>
      </c>
      <c r="H148" s="58">
        <f>IF($B148="","",(N(Berechnung!I148)+N(Berechnung!V148))*N(Berechnung!C148))</f>
        <v/>
      </c>
      <c r="I148" s="58">
        <f>IF($B148="","",(N(Berechnung!J148)+N(Berechnung!W148))*N(Berechnung!C148))</f>
        <v/>
      </c>
      <c r="J148" s="58">
        <f>IF($B148="","",(N(Berechnung!K148)+N(Berechnung!X148))*N(Berechnung!C148))</f>
        <v/>
      </c>
      <c r="K148" s="58">
        <f>IF($B148="","",(N(Berechnung!L148)+N(Berechnung!Y148))*N(Berechnung!C148))</f>
        <v/>
      </c>
      <c r="L148" s="58">
        <f>IF($B148="","",(N(Berechnung!M148)+N(Berechnung!Z148))*N(Berechnung!C148))</f>
        <v/>
      </c>
      <c r="M148" s="58">
        <f>IF($B148="","",(N(Berechnung!N148)+N(Berechnung!AA148))*N(Berechnung!C148))</f>
        <v/>
      </c>
      <c r="N148" s="58">
        <f>IF($B148="","",(N(Berechnung!O148)+N(Berechnung!AB148))*N(Berechnung!C148))</f>
        <v/>
      </c>
      <c r="O148" s="65">
        <f>IF($B148="","",SUM(C148:N148))</f>
        <v/>
      </c>
      <c r="P148" s="57">
        <f>'KQuote Mitarbeiter'!E148</f>
        <v/>
      </c>
      <c r="Q148" s="66">
        <f>'KQuote Mitarbeiter'!L148</f>
        <v/>
      </c>
      <c r="R148" s="57">
        <f>'KQuote Mitarbeiter'!D148</f>
        <v/>
      </c>
      <c r="S148" s="66">
        <f>'KQuote Mitarbeiter'!K148</f>
        <v/>
      </c>
    </row>
    <row r="149">
      <c r="A149" s="47">
        <f>'KQuote Mitarbeiter'!A149</f>
        <v/>
      </c>
      <c r="B149" s="48">
        <f>'KQuote Mitarbeiter'!B149</f>
        <v/>
      </c>
      <c r="C149" s="58">
        <f>IF($B149="","",(N(Berechnung!D149)+N(Berechnung!Q149))*N(Berechnung!C149))</f>
        <v/>
      </c>
      <c r="D149" s="58">
        <f>IF($B149="","",(N(Berechnung!E149)+N(Berechnung!R149))*N(Berechnung!C149))</f>
        <v/>
      </c>
      <c r="E149" s="58">
        <f>IF($B149="","",(N(Berechnung!F149)+N(Berechnung!S149))*N(Berechnung!C149))</f>
        <v/>
      </c>
      <c r="F149" s="58">
        <f>IF($B149="","",(N(Berechnung!G149)+N(Berechnung!T149))*N(Berechnung!C149))</f>
        <v/>
      </c>
      <c r="G149" s="58">
        <f>IF($B149="","",(N(Berechnung!H149)+N(Berechnung!U149))*N(Berechnung!C149))</f>
        <v/>
      </c>
      <c r="H149" s="58">
        <f>IF($B149="","",(N(Berechnung!I149)+N(Berechnung!V149))*N(Berechnung!C149))</f>
        <v/>
      </c>
      <c r="I149" s="58">
        <f>IF($B149="","",(N(Berechnung!J149)+N(Berechnung!W149))*N(Berechnung!C149))</f>
        <v/>
      </c>
      <c r="J149" s="58">
        <f>IF($B149="","",(N(Berechnung!K149)+N(Berechnung!X149))*N(Berechnung!C149))</f>
        <v/>
      </c>
      <c r="K149" s="58">
        <f>IF($B149="","",(N(Berechnung!L149)+N(Berechnung!Y149))*N(Berechnung!C149))</f>
        <v/>
      </c>
      <c r="L149" s="58">
        <f>IF($B149="","",(N(Berechnung!M149)+N(Berechnung!Z149))*N(Berechnung!C149))</f>
        <v/>
      </c>
      <c r="M149" s="58">
        <f>IF($B149="","",(N(Berechnung!N149)+N(Berechnung!AA149))*N(Berechnung!C149))</f>
        <v/>
      </c>
      <c r="N149" s="58">
        <f>IF($B149="","",(N(Berechnung!O149)+N(Berechnung!AB149))*N(Berechnung!C149))</f>
        <v/>
      </c>
      <c r="O149" s="65">
        <f>IF($B149="","",SUM(C149:N149))</f>
        <v/>
      </c>
      <c r="P149" s="57">
        <f>'KQuote Mitarbeiter'!E149</f>
        <v/>
      </c>
      <c r="Q149" s="66">
        <f>'KQuote Mitarbeiter'!L149</f>
        <v/>
      </c>
      <c r="R149" s="57">
        <f>'KQuote Mitarbeiter'!D149</f>
        <v/>
      </c>
      <c r="S149" s="66">
        <f>'KQuote Mitarbeiter'!K149</f>
        <v/>
      </c>
    </row>
    <row r="150">
      <c r="A150" s="47">
        <f>'KQuote Mitarbeiter'!A150</f>
        <v/>
      </c>
      <c r="B150" s="48">
        <f>'KQuote Mitarbeiter'!B150</f>
        <v/>
      </c>
      <c r="C150" s="58">
        <f>IF($B150="","",(N(Berechnung!D150)+N(Berechnung!Q150))*N(Berechnung!C150))</f>
        <v/>
      </c>
      <c r="D150" s="58">
        <f>IF($B150="","",(N(Berechnung!E150)+N(Berechnung!R150))*N(Berechnung!C150))</f>
        <v/>
      </c>
      <c r="E150" s="58">
        <f>IF($B150="","",(N(Berechnung!F150)+N(Berechnung!S150))*N(Berechnung!C150))</f>
        <v/>
      </c>
      <c r="F150" s="58">
        <f>IF($B150="","",(N(Berechnung!G150)+N(Berechnung!T150))*N(Berechnung!C150))</f>
        <v/>
      </c>
      <c r="G150" s="58">
        <f>IF($B150="","",(N(Berechnung!H150)+N(Berechnung!U150))*N(Berechnung!C150))</f>
        <v/>
      </c>
      <c r="H150" s="58">
        <f>IF($B150="","",(N(Berechnung!I150)+N(Berechnung!V150))*N(Berechnung!C150))</f>
        <v/>
      </c>
      <c r="I150" s="58">
        <f>IF($B150="","",(N(Berechnung!J150)+N(Berechnung!W150))*N(Berechnung!C150))</f>
        <v/>
      </c>
      <c r="J150" s="58">
        <f>IF($B150="","",(N(Berechnung!K150)+N(Berechnung!X150))*N(Berechnung!C150))</f>
        <v/>
      </c>
      <c r="K150" s="58">
        <f>IF($B150="","",(N(Berechnung!L150)+N(Berechnung!Y150))*N(Berechnung!C150))</f>
        <v/>
      </c>
      <c r="L150" s="58">
        <f>IF($B150="","",(N(Berechnung!M150)+N(Berechnung!Z150))*N(Berechnung!C150))</f>
        <v/>
      </c>
      <c r="M150" s="58">
        <f>IF($B150="","",(N(Berechnung!N150)+N(Berechnung!AA150))*N(Berechnung!C150))</f>
        <v/>
      </c>
      <c r="N150" s="58">
        <f>IF($B150="","",(N(Berechnung!O150)+N(Berechnung!AB150))*N(Berechnung!C150))</f>
        <v/>
      </c>
      <c r="O150" s="65">
        <f>IF($B150="","",SUM(C150:N150))</f>
        <v/>
      </c>
      <c r="P150" s="57">
        <f>'KQuote Mitarbeiter'!E150</f>
        <v/>
      </c>
      <c r="Q150" s="66">
        <f>'KQuote Mitarbeiter'!L150</f>
        <v/>
      </c>
      <c r="R150" s="57">
        <f>'KQuote Mitarbeiter'!D150</f>
        <v/>
      </c>
      <c r="S150" s="66">
        <f>'KQuote Mitarbeiter'!K150</f>
        <v/>
      </c>
    </row>
    <row r="151">
      <c r="A151" s="47">
        <f>'KQuote Mitarbeiter'!A151</f>
        <v/>
      </c>
      <c r="B151" s="48">
        <f>'KQuote Mitarbeiter'!B151</f>
        <v/>
      </c>
      <c r="C151" s="58">
        <f>IF($B151="","",(N(Berechnung!D151)+N(Berechnung!Q151))*N(Berechnung!C151))</f>
        <v/>
      </c>
      <c r="D151" s="58">
        <f>IF($B151="","",(N(Berechnung!E151)+N(Berechnung!R151))*N(Berechnung!C151))</f>
        <v/>
      </c>
      <c r="E151" s="58">
        <f>IF($B151="","",(N(Berechnung!F151)+N(Berechnung!S151))*N(Berechnung!C151))</f>
        <v/>
      </c>
      <c r="F151" s="58">
        <f>IF($B151="","",(N(Berechnung!G151)+N(Berechnung!T151))*N(Berechnung!C151))</f>
        <v/>
      </c>
      <c r="G151" s="58">
        <f>IF($B151="","",(N(Berechnung!H151)+N(Berechnung!U151))*N(Berechnung!C151))</f>
        <v/>
      </c>
      <c r="H151" s="58">
        <f>IF($B151="","",(N(Berechnung!I151)+N(Berechnung!V151))*N(Berechnung!C151))</f>
        <v/>
      </c>
      <c r="I151" s="58">
        <f>IF($B151="","",(N(Berechnung!J151)+N(Berechnung!W151))*N(Berechnung!C151))</f>
        <v/>
      </c>
      <c r="J151" s="58">
        <f>IF($B151="","",(N(Berechnung!K151)+N(Berechnung!X151))*N(Berechnung!C151))</f>
        <v/>
      </c>
      <c r="K151" s="58">
        <f>IF($B151="","",(N(Berechnung!L151)+N(Berechnung!Y151))*N(Berechnung!C151))</f>
        <v/>
      </c>
      <c r="L151" s="58">
        <f>IF($B151="","",(N(Berechnung!M151)+N(Berechnung!Z151))*N(Berechnung!C151))</f>
        <v/>
      </c>
      <c r="M151" s="58">
        <f>IF($B151="","",(N(Berechnung!N151)+N(Berechnung!AA151))*N(Berechnung!C151))</f>
        <v/>
      </c>
      <c r="N151" s="58">
        <f>IF($B151="","",(N(Berechnung!O151)+N(Berechnung!AB151))*N(Berechnung!C151))</f>
        <v/>
      </c>
      <c r="O151" s="65">
        <f>IF($B151="","",SUM(C151:N151))</f>
        <v/>
      </c>
      <c r="P151" s="57">
        <f>'KQuote Mitarbeiter'!E151</f>
        <v/>
      </c>
      <c r="Q151" s="66">
        <f>'KQuote Mitarbeiter'!L151</f>
        <v/>
      </c>
      <c r="R151" s="57">
        <f>'KQuote Mitarbeiter'!D151</f>
        <v/>
      </c>
      <c r="S151" s="66">
        <f>'KQuote Mitarbeiter'!K151</f>
        <v/>
      </c>
    </row>
    <row r="152">
      <c r="A152" s="47">
        <f>'KQuote Mitarbeiter'!A152</f>
        <v/>
      </c>
      <c r="B152" s="48">
        <f>'KQuote Mitarbeiter'!B152</f>
        <v/>
      </c>
      <c r="C152" s="58">
        <f>IF($B152="","",(N(Berechnung!D152)+N(Berechnung!Q152))*N(Berechnung!C152))</f>
        <v/>
      </c>
      <c r="D152" s="58">
        <f>IF($B152="","",(N(Berechnung!E152)+N(Berechnung!R152))*N(Berechnung!C152))</f>
        <v/>
      </c>
      <c r="E152" s="58">
        <f>IF($B152="","",(N(Berechnung!F152)+N(Berechnung!S152))*N(Berechnung!C152))</f>
        <v/>
      </c>
      <c r="F152" s="58">
        <f>IF($B152="","",(N(Berechnung!G152)+N(Berechnung!T152))*N(Berechnung!C152))</f>
        <v/>
      </c>
      <c r="G152" s="58">
        <f>IF($B152="","",(N(Berechnung!H152)+N(Berechnung!U152))*N(Berechnung!C152))</f>
        <v/>
      </c>
      <c r="H152" s="58">
        <f>IF($B152="","",(N(Berechnung!I152)+N(Berechnung!V152))*N(Berechnung!C152))</f>
        <v/>
      </c>
      <c r="I152" s="58">
        <f>IF($B152="","",(N(Berechnung!J152)+N(Berechnung!W152))*N(Berechnung!C152))</f>
        <v/>
      </c>
      <c r="J152" s="58">
        <f>IF($B152="","",(N(Berechnung!K152)+N(Berechnung!X152))*N(Berechnung!C152))</f>
        <v/>
      </c>
      <c r="K152" s="58">
        <f>IF($B152="","",(N(Berechnung!L152)+N(Berechnung!Y152))*N(Berechnung!C152))</f>
        <v/>
      </c>
      <c r="L152" s="58">
        <f>IF($B152="","",(N(Berechnung!M152)+N(Berechnung!Z152))*N(Berechnung!C152))</f>
        <v/>
      </c>
      <c r="M152" s="58">
        <f>IF($B152="","",(N(Berechnung!N152)+N(Berechnung!AA152))*N(Berechnung!C152))</f>
        <v/>
      </c>
      <c r="N152" s="58">
        <f>IF($B152="","",(N(Berechnung!O152)+N(Berechnung!AB152))*N(Berechnung!C152))</f>
        <v/>
      </c>
      <c r="O152" s="65">
        <f>IF($B152="","",SUM(C152:N152))</f>
        <v/>
      </c>
      <c r="P152" s="57">
        <f>'KQuote Mitarbeiter'!E152</f>
        <v/>
      </c>
      <c r="Q152" s="66">
        <f>'KQuote Mitarbeiter'!L152</f>
        <v/>
      </c>
      <c r="R152" s="57">
        <f>'KQuote Mitarbeiter'!D152</f>
        <v/>
      </c>
      <c r="S152" s="66">
        <f>'KQuote Mitarbeiter'!K152</f>
        <v/>
      </c>
    </row>
    <row r="153">
      <c r="A153" s="47">
        <f>'KQuote Mitarbeiter'!A153</f>
        <v/>
      </c>
      <c r="B153" s="48">
        <f>'KQuote Mitarbeiter'!B153</f>
        <v/>
      </c>
      <c r="C153" s="58">
        <f>IF($B153="","",(N(Berechnung!D153)+N(Berechnung!Q153))*N(Berechnung!C153))</f>
        <v/>
      </c>
      <c r="D153" s="58">
        <f>IF($B153="","",(N(Berechnung!E153)+N(Berechnung!R153))*N(Berechnung!C153))</f>
        <v/>
      </c>
      <c r="E153" s="58">
        <f>IF($B153="","",(N(Berechnung!F153)+N(Berechnung!S153))*N(Berechnung!C153))</f>
        <v/>
      </c>
      <c r="F153" s="58">
        <f>IF($B153="","",(N(Berechnung!G153)+N(Berechnung!T153))*N(Berechnung!C153))</f>
        <v/>
      </c>
      <c r="G153" s="58">
        <f>IF($B153="","",(N(Berechnung!H153)+N(Berechnung!U153))*N(Berechnung!C153))</f>
        <v/>
      </c>
      <c r="H153" s="58">
        <f>IF($B153="","",(N(Berechnung!I153)+N(Berechnung!V153))*N(Berechnung!C153))</f>
        <v/>
      </c>
      <c r="I153" s="58">
        <f>IF($B153="","",(N(Berechnung!J153)+N(Berechnung!W153))*N(Berechnung!C153))</f>
        <v/>
      </c>
      <c r="J153" s="58">
        <f>IF($B153="","",(N(Berechnung!K153)+N(Berechnung!X153))*N(Berechnung!C153))</f>
        <v/>
      </c>
      <c r="K153" s="58">
        <f>IF($B153="","",(N(Berechnung!L153)+N(Berechnung!Y153))*N(Berechnung!C153))</f>
        <v/>
      </c>
      <c r="L153" s="58">
        <f>IF($B153="","",(N(Berechnung!M153)+N(Berechnung!Z153))*N(Berechnung!C153))</f>
        <v/>
      </c>
      <c r="M153" s="58">
        <f>IF($B153="","",(N(Berechnung!N153)+N(Berechnung!AA153))*N(Berechnung!C153))</f>
        <v/>
      </c>
      <c r="N153" s="58">
        <f>IF($B153="","",(N(Berechnung!O153)+N(Berechnung!AB153))*N(Berechnung!C153))</f>
        <v/>
      </c>
      <c r="O153" s="65">
        <f>IF($B153="","",SUM(C153:N153))</f>
        <v/>
      </c>
      <c r="P153" s="57">
        <f>'KQuote Mitarbeiter'!E153</f>
        <v/>
      </c>
      <c r="Q153" s="66">
        <f>'KQuote Mitarbeiter'!L153</f>
        <v/>
      </c>
      <c r="R153" s="57">
        <f>'KQuote Mitarbeiter'!D153</f>
        <v/>
      </c>
      <c r="S153" s="66">
        <f>'KQuote Mitarbeiter'!K153</f>
        <v/>
      </c>
    </row>
    <row r="154">
      <c r="A154" s="47">
        <f>'KQuote Mitarbeiter'!A154</f>
        <v/>
      </c>
      <c r="B154" s="48">
        <f>'KQuote Mitarbeiter'!B154</f>
        <v/>
      </c>
      <c r="C154" s="58">
        <f>IF($B154="","",(N(Berechnung!D154)+N(Berechnung!Q154))*N(Berechnung!C154))</f>
        <v/>
      </c>
      <c r="D154" s="58">
        <f>IF($B154="","",(N(Berechnung!E154)+N(Berechnung!R154))*N(Berechnung!C154))</f>
        <v/>
      </c>
      <c r="E154" s="58">
        <f>IF($B154="","",(N(Berechnung!F154)+N(Berechnung!S154))*N(Berechnung!C154))</f>
        <v/>
      </c>
      <c r="F154" s="58">
        <f>IF($B154="","",(N(Berechnung!G154)+N(Berechnung!T154))*N(Berechnung!C154))</f>
        <v/>
      </c>
      <c r="G154" s="58">
        <f>IF($B154="","",(N(Berechnung!H154)+N(Berechnung!U154))*N(Berechnung!C154))</f>
        <v/>
      </c>
      <c r="H154" s="58">
        <f>IF($B154="","",(N(Berechnung!I154)+N(Berechnung!V154))*N(Berechnung!C154))</f>
        <v/>
      </c>
      <c r="I154" s="58">
        <f>IF($B154="","",(N(Berechnung!J154)+N(Berechnung!W154))*N(Berechnung!C154))</f>
        <v/>
      </c>
      <c r="J154" s="58">
        <f>IF($B154="","",(N(Berechnung!K154)+N(Berechnung!X154))*N(Berechnung!C154))</f>
        <v/>
      </c>
      <c r="K154" s="58">
        <f>IF($B154="","",(N(Berechnung!L154)+N(Berechnung!Y154))*N(Berechnung!C154))</f>
        <v/>
      </c>
      <c r="L154" s="58">
        <f>IF($B154="","",(N(Berechnung!M154)+N(Berechnung!Z154))*N(Berechnung!C154))</f>
        <v/>
      </c>
      <c r="M154" s="58">
        <f>IF($B154="","",(N(Berechnung!N154)+N(Berechnung!AA154))*N(Berechnung!C154))</f>
        <v/>
      </c>
      <c r="N154" s="58">
        <f>IF($B154="","",(N(Berechnung!O154)+N(Berechnung!AB154))*N(Berechnung!C154))</f>
        <v/>
      </c>
      <c r="O154" s="65">
        <f>IF($B154="","",SUM(C154:N154))</f>
        <v/>
      </c>
      <c r="P154" s="57">
        <f>'KQuote Mitarbeiter'!E154</f>
        <v/>
      </c>
      <c r="Q154" s="66">
        <f>'KQuote Mitarbeiter'!L154</f>
        <v/>
      </c>
      <c r="R154" s="57">
        <f>'KQuote Mitarbeiter'!D154</f>
        <v/>
      </c>
      <c r="S154" s="66">
        <f>'KQuote Mitarbeiter'!K154</f>
        <v/>
      </c>
    </row>
    <row r="155">
      <c r="A155" s="47">
        <f>'KQuote Mitarbeiter'!A155</f>
        <v/>
      </c>
      <c r="B155" s="48">
        <f>'KQuote Mitarbeiter'!B155</f>
        <v/>
      </c>
      <c r="C155" s="58">
        <f>IF($B155="","",(N(Berechnung!D155)+N(Berechnung!Q155))*N(Berechnung!C155))</f>
        <v/>
      </c>
      <c r="D155" s="58">
        <f>IF($B155="","",(N(Berechnung!E155)+N(Berechnung!R155))*N(Berechnung!C155))</f>
        <v/>
      </c>
      <c r="E155" s="58">
        <f>IF($B155="","",(N(Berechnung!F155)+N(Berechnung!S155))*N(Berechnung!C155))</f>
        <v/>
      </c>
      <c r="F155" s="58">
        <f>IF($B155="","",(N(Berechnung!G155)+N(Berechnung!T155))*N(Berechnung!C155))</f>
        <v/>
      </c>
      <c r="G155" s="58">
        <f>IF($B155="","",(N(Berechnung!H155)+N(Berechnung!U155))*N(Berechnung!C155))</f>
        <v/>
      </c>
      <c r="H155" s="58">
        <f>IF($B155="","",(N(Berechnung!I155)+N(Berechnung!V155))*N(Berechnung!C155))</f>
        <v/>
      </c>
      <c r="I155" s="58">
        <f>IF($B155="","",(N(Berechnung!J155)+N(Berechnung!W155))*N(Berechnung!C155))</f>
        <v/>
      </c>
      <c r="J155" s="58">
        <f>IF($B155="","",(N(Berechnung!K155)+N(Berechnung!X155))*N(Berechnung!C155))</f>
        <v/>
      </c>
      <c r="K155" s="58">
        <f>IF($B155="","",(N(Berechnung!L155)+N(Berechnung!Y155))*N(Berechnung!C155))</f>
        <v/>
      </c>
      <c r="L155" s="58">
        <f>IF($B155="","",(N(Berechnung!M155)+N(Berechnung!Z155))*N(Berechnung!C155))</f>
        <v/>
      </c>
      <c r="M155" s="58">
        <f>IF($B155="","",(N(Berechnung!N155)+N(Berechnung!AA155))*N(Berechnung!C155))</f>
        <v/>
      </c>
      <c r="N155" s="58">
        <f>IF($B155="","",(N(Berechnung!O155)+N(Berechnung!AB155))*N(Berechnung!C155))</f>
        <v/>
      </c>
      <c r="O155" s="65">
        <f>IF($B155="","",SUM(C155:N155))</f>
        <v/>
      </c>
      <c r="P155" s="57">
        <f>'KQuote Mitarbeiter'!E155</f>
        <v/>
      </c>
      <c r="Q155" s="66">
        <f>'KQuote Mitarbeiter'!L155</f>
        <v/>
      </c>
      <c r="R155" s="57">
        <f>'KQuote Mitarbeiter'!D155</f>
        <v/>
      </c>
      <c r="S155" s="66">
        <f>'KQuote Mitarbeiter'!K155</f>
        <v/>
      </c>
    </row>
    <row r="156">
      <c r="A156" s="47">
        <f>'KQuote Mitarbeiter'!A156</f>
        <v/>
      </c>
      <c r="B156" s="48">
        <f>'KQuote Mitarbeiter'!B156</f>
        <v/>
      </c>
      <c r="C156" s="58">
        <f>IF($B156="","",(N(Berechnung!D156)+N(Berechnung!Q156))*N(Berechnung!C156))</f>
        <v/>
      </c>
      <c r="D156" s="58">
        <f>IF($B156="","",(N(Berechnung!E156)+N(Berechnung!R156))*N(Berechnung!C156))</f>
        <v/>
      </c>
      <c r="E156" s="58">
        <f>IF($B156="","",(N(Berechnung!F156)+N(Berechnung!S156))*N(Berechnung!C156))</f>
        <v/>
      </c>
      <c r="F156" s="58">
        <f>IF($B156="","",(N(Berechnung!G156)+N(Berechnung!T156))*N(Berechnung!C156))</f>
        <v/>
      </c>
      <c r="G156" s="58">
        <f>IF($B156="","",(N(Berechnung!H156)+N(Berechnung!U156))*N(Berechnung!C156))</f>
        <v/>
      </c>
      <c r="H156" s="58">
        <f>IF($B156="","",(N(Berechnung!I156)+N(Berechnung!V156))*N(Berechnung!C156))</f>
        <v/>
      </c>
      <c r="I156" s="58">
        <f>IF($B156="","",(N(Berechnung!J156)+N(Berechnung!W156))*N(Berechnung!C156))</f>
        <v/>
      </c>
      <c r="J156" s="58">
        <f>IF($B156="","",(N(Berechnung!K156)+N(Berechnung!X156))*N(Berechnung!C156))</f>
        <v/>
      </c>
      <c r="K156" s="58">
        <f>IF($B156="","",(N(Berechnung!L156)+N(Berechnung!Y156))*N(Berechnung!C156))</f>
        <v/>
      </c>
      <c r="L156" s="58">
        <f>IF($B156="","",(N(Berechnung!M156)+N(Berechnung!Z156))*N(Berechnung!C156))</f>
        <v/>
      </c>
      <c r="M156" s="58">
        <f>IF($B156="","",(N(Berechnung!N156)+N(Berechnung!AA156))*N(Berechnung!C156))</f>
        <v/>
      </c>
      <c r="N156" s="58">
        <f>IF($B156="","",(N(Berechnung!O156)+N(Berechnung!AB156))*N(Berechnung!C156))</f>
        <v/>
      </c>
      <c r="O156" s="65">
        <f>IF($B156="","",SUM(C156:N156))</f>
        <v/>
      </c>
      <c r="P156" s="57">
        <f>'KQuote Mitarbeiter'!E156</f>
        <v/>
      </c>
      <c r="Q156" s="66">
        <f>'KQuote Mitarbeiter'!L156</f>
        <v/>
      </c>
      <c r="R156" s="57">
        <f>'KQuote Mitarbeiter'!D156</f>
        <v/>
      </c>
      <c r="S156" s="66">
        <f>'KQuote Mitarbeiter'!K156</f>
        <v/>
      </c>
    </row>
    <row r="157">
      <c r="A157" s="47">
        <f>'KQuote Mitarbeiter'!A157</f>
        <v/>
      </c>
      <c r="B157" s="48">
        <f>'KQuote Mitarbeiter'!B157</f>
        <v/>
      </c>
      <c r="C157" s="58">
        <f>IF($B157="","",(N(Berechnung!D157)+N(Berechnung!Q157))*N(Berechnung!C157))</f>
        <v/>
      </c>
      <c r="D157" s="58">
        <f>IF($B157="","",(N(Berechnung!E157)+N(Berechnung!R157))*N(Berechnung!C157))</f>
        <v/>
      </c>
      <c r="E157" s="58">
        <f>IF($B157="","",(N(Berechnung!F157)+N(Berechnung!S157))*N(Berechnung!C157))</f>
        <v/>
      </c>
      <c r="F157" s="58">
        <f>IF($B157="","",(N(Berechnung!G157)+N(Berechnung!T157))*N(Berechnung!C157))</f>
        <v/>
      </c>
      <c r="G157" s="58">
        <f>IF($B157="","",(N(Berechnung!H157)+N(Berechnung!U157))*N(Berechnung!C157))</f>
        <v/>
      </c>
      <c r="H157" s="58">
        <f>IF($B157="","",(N(Berechnung!I157)+N(Berechnung!V157))*N(Berechnung!C157))</f>
        <v/>
      </c>
      <c r="I157" s="58">
        <f>IF($B157="","",(N(Berechnung!J157)+N(Berechnung!W157))*N(Berechnung!C157))</f>
        <v/>
      </c>
      <c r="J157" s="58">
        <f>IF($B157="","",(N(Berechnung!K157)+N(Berechnung!X157))*N(Berechnung!C157))</f>
        <v/>
      </c>
      <c r="K157" s="58">
        <f>IF($B157="","",(N(Berechnung!L157)+N(Berechnung!Y157))*N(Berechnung!C157))</f>
        <v/>
      </c>
      <c r="L157" s="58">
        <f>IF($B157="","",(N(Berechnung!M157)+N(Berechnung!Z157))*N(Berechnung!C157))</f>
        <v/>
      </c>
      <c r="M157" s="58">
        <f>IF($B157="","",(N(Berechnung!N157)+N(Berechnung!AA157))*N(Berechnung!C157))</f>
        <v/>
      </c>
      <c r="N157" s="58">
        <f>IF($B157="","",(N(Berechnung!O157)+N(Berechnung!AB157))*N(Berechnung!C157))</f>
        <v/>
      </c>
      <c r="O157" s="65">
        <f>IF($B157="","",SUM(C157:N157))</f>
        <v/>
      </c>
      <c r="P157" s="57">
        <f>'KQuote Mitarbeiter'!E157</f>
        <v/>
      </c>
      <c r="Q157" s="66">
        <f>'KQuote Mitarbeiter'!L157</f>
        <v/>
      </c>
      <c r="R157" s="57">
        <f>'KQuote Mitarbeiter'!D157</f>
        <v/>
      </c>
      <c r="S157" s="66">
        <f>'KQuote Mitarbeiter'!K157</f>
        <v/>
      </c>
    </row>
    <row r="158">
      <c r="A158" s="47">
        <f>'KQuote Mitarbeiter'!A158</f>
        <v/>
      </c>
      <c r="B158" s="48">
        <f>'KQuote Mitarbeiter'!B158</f>
        <v/>
      </c>
      <c r="C158" s="58">
        <f>IF($B158="","",(N(Berechnung!D158)+N(Berechnung!Q158))*N(Berechnung!C158))</f>
        <v/>
      </c>
      <c r="D158" s="58">
        <f>IF($B158="","",(N(Berechnung!E158)+N(Berechnung!R158))*N(Berechnung!C158))</f>
        <v/>
      </c>
      <c r="E158" s="58">
        <f>IF($B158="","",(N(Berechnung!F158)+N(Berechnung!S158))*N(Berechnung!C158))</f>
        <v/>
      </c>
      <c r="F158" s="58">
        <f>IF($B158="","",(N(Berechnung!G158)+N(Berechnung!T158))*N(Berechnung!C158))</f>
        <v/>
      </c>
      <c r="G158" s="58">
        <f>IF($B158="","",(N(Berechnung!H158)+N(Berechnung!U158))*N(Berechnung!C158))</f>
        <v/>
      </c>
      <c r="H158" s="58">
        <f>IF($B158="","",(N(Berechnung!I158)+N(Berechnung!V158))*N(Berechnung!C158))</f>
        <v/>
      </c>
      <c r="I158" s="58">
        <f>IF($B158="","",(N(Berechnung!J158)+N(Berechnung!W158))*N(Berechnung!C158))</f>
        <v/>
      </c>
      <c r="J158" s="58">
        <f>IF($B158="","",(N(Berechnung!K158)+N(Berechnung!X158))*N(Berechnung!C158))</f>
        <v/>
      </c>
      <c r="K158" s="58">
        <f>IF($B158="","",(N(Berechnung!L158)+N(Berechnung!Y158))*N(Berechnung!C158))</f>
        <v/>
      </c>
      <c r="L158" s="58">
        <f>IF($B158="","",(N(Berechnung!M158)+N(Berechnung!Z158))*N(Berechnung!C158))</f>
        <v/>
      </c>
      <c r="M158" s="58">
        <f>IF($B158="","",(N(Berechnung!N158)+N(Berechnung!AA158))*N(Berechnung!C158))</f>
        <v/>
      </c>
      <c r="N158" s="58">
        <f>IF($B158="","",(N(Berechnung!O158)+N(Berechnung!AB158))*N(Berechnung!C158))</f>
        <v/>
      </c>
      <c r="O158" s="65">
        <f>IF($B158="","",SUM(C158:N158))</f>
        <v/>
      </c>
      <c r="P158" s="57">
        <f>'KQuote Mitarbeiter'!E158</f>
        <v/>
      </c>
      <c r="Q158" s="66">
        <f>'KQuote Mitarbeiter'!L158</f>
        <v/>
      </c>
      <c r="R158" s="57">
        <f>'KQuote Mitarbeiter'!D158</f>
        <v/>
      </c>
      <c r="S158" s="66">
        <f>'KQuote Mitarbeiter'!K158</f>
        <v/>
      </c>
    </row>
    <row r="159">
      <c r="A159" s="47">
        <f>'KQuote Mitarbeiter'!A159</f>
        <v/>
      </c>
      <c r="B159" s="48">
        <f>'KQuote Mitarbeiter'!B159</f>
        <v/>
      </c>
      <c r="C159" s="58">
        <f>IF($B159="","",(N(Berechnung!D159)+N(Berechnung!Q159))*N(Berechnung!C159))</f>
        <v/>
      </c>
      <c r="D159" s="58">
        <f>IF($B159="","",(N(Berechnung!E159)+N(Berechnung!R159))*N(Berechnung!C159))</f>
        <v/>
      </c>
      <c r="E159" s="58">
        <f>IF($B159="","",(N(Berechnung!F159)+N(Berechnung!S159))*N(Berechnung!C159))</f>
        <v/>
      </c>
      <c r="F159" s="58">
        <f>IF($B159="","",(N(Berechnung!G159)+N(Berechnung!T159))*N(Berechnung!C159))</f>
        <v/>
      </c>
      <c r="G159" s="58">
        <f>IF($B159="","",(N(Berechnung!H159)+N(Berechnung!U159))*N(Berechnung!C159))</f>
        <v/>
      </c>
      <c r="H159" s="58">
        <f>IF($B159="","",(N(Berechnung!I159)+N(Berechnung!V159))*N(Berechnung!C159))</f>
        <v/>
      </c>
      <c r="I159" s="58">
        <f>IF($B159="","",(N(Berechnung!J159)+N(Berechnung!W159))*N(Berechnung!C159))</f>
        <v/>
      </c>
      <c r="J159" s="58">
        <f>IF($B159="","",(N(Berechnung!K159)+N(Berechnung!X159))*N(Berechnung!C159))</f>
        <v/>
      </c>
      <c r="K159" s="58">
        <f>IF($B159="","",(N(Berechnung!L159)+N(Berechnung!Y159))*N(Berechnung!C159))</f>
        <v/>
      </c>
      <c r="L159" s="58">
        <f>IF($B159="","",(N(Berechnung!M159)+N(Berechnung!Z159))*N(Berechnung!C159))</f>
        <v/>
      </c>
      <c r="M159" s="58">
        <f>IF($B159="","",(N(Berechnung!N159)+N(Berechnung!AA159))*N(Berechnung!C159))</f>
        <v/>
      </c>
      <c r="N159" s="58">
        <f>IF($B159="","",(N(Berechnung!O159)+N(Berechnung!AB159))*N(Berechnung!C159))</f>
        <v/>
      </c>
      <c r="O159" s="65">
        <f>IF($B159="","",SUM(C159:N159))</f>
        <v/>
      </c>
      <c r="P159" s="57">
        <f>'KQuote Mitarbeiter'!E159</f>
        <v/>
      </c>
      <c r="Q159" s="66">
        <f>'KQuote Mitarbeiter'!L159</f>
        <v/>
      </c>
      <c r="R159" s="57">
        <f>'KQuote Mitarbeiter'!D159</f>
        <v/>
      </c>
      <c r="S159" s="66">
        <f>'KQuote Mitarbeiter'!K159</f>
        <v/>
      </c>
    </row>
    <row r="160">
      <c r="A160" s="47">
        <f>'KQuote Mitarbeiter'!A160</f>
        <v/>
      </c>
      <c r="B160" s="48">
        <f>'KQuote Mitarbeiter'!B160</f>
        <v/>
      </c>
      <c r="C160" s="58">
        <f>IF($B160="","",(N(Berechnung!D160)+N(Berechnung!Q160))*N(Berechnung!C160))</f>
        <v/>
      </c>
      <c r="D160" s="58">
        <f>IF($B160="","",(N(Berechnung!E160)+N(Berechnung!R160))*N(Berechnung!C160))</f>
        <v/>
      </c>
      <c r="E160" s="58">
        <f>IF($B160="","",(N(Berechnung!F160)+N(Berechnung!S160))*N(Berechnung!C160))</f>
        <v/>
      </c>
      <c r="F160" s="58">
        <f>IF($B160="","",(N(Berechnung!G160)+N(Berechnung!T160))*N(Berechnung!C160))</f>
        <v/>
      </c>
      <c r="G160" s="58">
        <f>IF($B160="","",(N(Berechnung!H160)+N(Berechnung!U160))*N(Berechnung!C160))</f>
        <v/>
      </c>
      <c r="H160" s="58">
        <f>IF($B160="","",(N(Berechnung!I160)+N(Berechnung!V160))*N(Berechnung!C160))</f>
        <v/>
      </c>
      <c r="I160" s="58">
        <f>IF($B160="","",(N(Berechnung!J160)+N(Berechnung!W160))*N(Berechnung!C160))</f>
        <v/>
      </c>
      <c r="J160" s="58">
        <f>IF($B160="","",(N(Berechnung!K160)+N(Berechnung!X160))*N(Berechnung!C160))</f>
        <v/>
      </c>
      <c r="K160" s="58">
        <f>IF($B160="","",(N(Berechnung!L160)+N(Berechnung!Y160))*N(Berechnung!C160))</f>
        <v/>
      </c>
      <c r="L160" s="58">
        <f>IF($B160="","",(N(Berechnung!M160)+N(Berechnung!Z160))*N(Berechnung!C160))</f>
        <v/>
      </c>
      <c r="M160" s="58">
        <f>IF($B160="","",(N(Berechnung!N160)+N(Berechnung!AA160))*N(Berechnung!C160))</f>
        <v/>
      </c>
      <c r="N160" s="58">
        <f>IF($B160="","",(N(Berechnung!O160)+N(Berechnung!AB160))*N(Berechnung!C160))</f>
        <v/>
      </c>
      <c r="O160" s="65">
        <f>IF($B160="","",SUM(C160:N160))</f>
        <v/>
      </c>
      <c r="P160" s="57">
        <f>'KQuote Mitarbeiter'!E160</f>
        <v/>
      </c>
      <c r="Q160" s="66">
        <f>'KQuote Mitarbeiter'!L160</f>
        <v/>
      </c>
      <c r="R160" s="57">
        <f>'KQuote Mitarbeiter'!D160</f>
        <v/>
      </c>
      <c r="S160" s="66">
        <f>'KQuote Mitarbeiter'!K160</f>
        <v/>
      </c>
    </row>
    <row r="161">
      <c r="A161" s="47">
        <f>'KQuote Mitarbeiter'!A161</f>
        <v/>
      </c>
      <c r="B161" s="48">
        <f>'KQuote Mitarbeiter'!B161</f>
        <v/>
      </c>
      <c r="C161" s="58">
        <f>IF($B161="","",(N(Berechnung!D161)+N(Berechnung!Q161))*N(Berechnung!C161))</f>
        <v/>
      </c>
      <c r="D161" s="58">
        <f>IF($B161="","",(N(Berechnung!E161)+N(Berechnung!R161))*N(Berechnung!C161))</f>
        <v/>
      </c>
      <c r="E161" s="58">
        <f>IF($B161="","",(N(Berechnung!F161)+N(Berechnung!S161))*N(Berechnung!C161))</f>
        <v/>
      </c>
      <c r="F161" s="58">
        <f>IF($B161="","",(N(Berechnung!G161)+N(Berechnung!T161))*N(Berechnung!C161))</f>
        <v/>
      </c>
      <c r="G161" s="58">
        <f>IF($B161="","",(N(Berechnung!H161)+N(Berechnung!U161))*N(Berechnung!C161))</f>
        <v/>
      </c>
      <c r="H161" s="58">
        <f>IF($B161="","",(N(Berechnung!I161)+N(Berechnung!V161))*N(Berechnung!C161))</f>
        <v/>
      </c>
      <c r="I161" s="58">
        <f>IF($B161="","",(N(Berechnung!J161)+N(Berechnung!W161))*N(Berechnung!C161))</f>
        <v/>
      </c>
      <c r="J161" s="58">
        <f>IF($B161="","",(N(Berechnung!K161)+N(Berechnung!X161))*N(Berechnung!C161))</f>
        <v/>
      </c>
      <c r="K161" s="58">
        <f>IF($B161="","",(N(Berechnung!L161)+N(Berechnung!Y161))*N(Berechnung!C161))</f>
        <v/>
      </c>
      <c r="L161" s="58">
        <f>IF($B161="","",(N(Berechnung!M161)+N(Berechnung!Z161))*N(Berechnung!C161))</f>
        <v/>
      </c>
      <c r="M161" s="58">
        <f>IF($B161="","",(N(Berechnung!N161)+N(Berechnung!AA161))*N(Berechnung!C161))</f>
        <v/>
      </c>
      <c r="N161" s="58">
        <f>IF($B161="","",(N(Berechnung!O161)+N(Berechnung!AB161))*N(Berechnung!C161))</f>
        <v/>
      </c>
      <c r="O161" s="65">
        <f>IF($B161="","",SUM(C161:N161))</f>
        <v/>
      </c>
      <c r="P161" s="57">
        <f>'KQuote Mitarbeiter'!E161</f>
        <v/>
      </c>
      <c r="Q161" s="66">
        <f>'KQuote Mitarbeiter'!L161</f>
        <v/>
      </c>
      <c r="R161" s="57">
        <f>'KQuote Mitarbeiter'!D161</f>
        <v/>
      </c>
      <c r="S161" s="66">
        <f>'KQuote Mitarbeiter'!K161</f>
        <v/>
      </c>
    </row>
    <row r="162">
      <c r="A162" s="47">
        <f>'KQuote Mitarbeiter'!A162</f>
        <v/>
      </c>
      <c r="B162" s="48">
        <f>'KQuote Mitarbeiter'!B162</f>
        <v/>
      </c>
      <c r="C162" s="58">
        <f>IF($B162="","",(N(Berechnung!D162)+N(Berechnung!Q162))*N(Berechnung!C162))</f>
        <v/>
      </c>
      <c r="D162" s="58">
        <f>IF($B162="","",(N(Berechnung!E162)+N(Berechnung!R162))*N(Berechnung!C162))</f>
        <v/>
      </c>
      <c r="E162" s="58">
        <f>IF($B162="","",(N(Berechnung!F162)+N(Berechnung!S162))*N(Berechnung!C162))</f>
        <v/>
      </c>
      <c r="F162" s="58">
        <f>IF($B162="","",(N(Berechnung!G162)+N(Berechnung!T162))*N(Berechnung!C162))</f>
        <v/>
      </c>
      <c r="G162" s="58">
        <f>IF($B162="","",(N(Berechnung!H162)+N(Berechnung!U162))*N(Berechnung!C162))</f>
        <v/>
      </c>
      <c r="H162" s="58">
        <f>IF($B162="","",(N(Berechnung!I162)+N(Berechnung!V162))*N(Berechnung!C162))</f>
        <v/>
      </c>
      <c r="I162" s="58">
        <f>IF($B162="","",(N(Berechnung!J162)+N(Berechnung!W162))*N(Berechnung!C162))</f>
        <v/>
      </c>
      <c r="J162" s="58">
        <f>IF($B162="","",(N(Berechnung!K162)+N(Berechnung!X162))*N(Berechnung!C162))</f>
        <v/>
      </c>
      <c r="K162" s="58">
        <f>IF($B162="","",(N(Berechnung!L162)+N(Berechnung!Y162))*N(Berechnung!C162))</f>
        <v/>
      </c>
      <c r="L162" s="58">
        <f>IF($B162="","",(N(Berechnung!M162)+N(Berechnung!Z162))*N(Berechnung!C162))</f>
        <v/>
      </c>
      <c r="M162" s="58">
        <f>IF($B162="","",(N(Berechnung!N162)+N(Berechnung!AA162))*N(Berechnung!C162))</f>
        <v/>
      </c>
      <c r="N162" s="58">
        <f>IF($B162="","",(N(Berechnung!O162)+N(Berechnung!AB162))*N(Berechnung!C162))</f>
        <v/>
      </c>
      <c r="O162" s="65">
        <f>IF($B162="","",SUM(C162:N162))</f>
        <v/>
      </c>
      <c r="P162" s="57">
        <f>'KQuote Mitarbeiter'!E162</f>
        <v/>
      </c>
      <c r="Q162" s="66">
        <f>'KQuote Mitarbeiter'!L162</f>
        <v/>
      </c>
      <c r="R162" s="57">
        <f>'KQuote Mitarbeiter'!D162</f>
        <v/>
      </c>
      <c r="S162" s="66">
        <f>'KQuote Mitarbeiter'!K162</f>
        <v/>
      </c>
    </row>
    <row r="163">
      <c r="A163" s="47">
        <f>'KQuote Mitarbeiter'!A163</f>
        <v/>
      </c>
      <c r="B163" s="48">
        <f>'KQuote Mitarbeiter'!B163</f>
        <v/>
      </c>
      <c r="C163" s="58">
        <f>IF($B163="","",(N(Berechnung!D163)+N(Berechnung!Q163))*N(Berechnung!C163))</f>
        <v/>
      </c>
      <c r="D163" s="58">
        <f>IF($B163="","",(N(Berechnung!E163)+N(Berechnung!R163))*N(Berechnung!C163))</f>
        <v/>
      </c>
      <c r="E163" s="58">
        <f>IF($B163="","",(N(Berechnung!F163)+N(Berechnung!S163))*N(Berechnung!C163))</f>
        <v/>
      </c>
      <c r="F163" s="58">
        <f>IF($B163="","",(N(Berechnung!G163)+N(Berechnung!T163))*N(Berechnung!C163))</f>
        <v/>
      </c>
      <c r="G163" s="58">
        <f>IF($B163="","",(N(Berechnung!H163)+N(Berechnung!U163))*N(Berechnung!C163))</f>
        <v/>
      </c>
      <c r="H163" s="58">
        <f>IF($B163="","",(N(Berechnung!I163)+N(Berechnung!V163))*N(Berechnung!C163))</f>
        <v/>
      </c>
      <c r="I163" s="58">
        <f>IF($B163="","",(N(Berechnung!J163)+N(Berechnung!W163))*N(Berechnung!C163))</f>
        <v/>
      </c>
      <c r="J163" s="58">
        <f>IF($B163="","",(N(Berechnung!K163)+N(Berechnung!X163))*N(Berechnung!C163))</f>
        <v/>
      </c>
      <c r="K163" s="58">
        <f>IF($B163="","",(N(Berechnung!L163)+N(Berechnung!Y163))*N(Berechnung!C163))</f>
        <v/>
      </c>
      <c r="L163" s="58">
        <f>IF($B163="","",(N(Berechnung!M163)+N(Berechnung!Z163))*N(Berechnung!C163))</f>
        <v/>
      </c>
      <c r="M163" s="58">
        <f>IF($B163="","",(N(Berechnung!N163)+N(Berechnung!AA163))*N(Berechnung!C163))</f>
        <v/>
      </c>
      <c r="N163" s="58">
        <f>IF($B163="","",(N(Berechnung!O163)+N(Berechnung!AB163))*N(Berechnung!C163))</f>
        <v/>
      </c>
      <c r="O163" s="65">
        <f>IF($B163="","",SUM(C163:N163))</f>
        <v/>
      </c>
      <c r="P163" s="57">
        <f>'KQuote Mitarbeiter'!E163</f>
        <v/>
      </c>
      <c r="Q163" s="66">
        <f>'KQuote Mitarbeiter'!L163</f>
        <v/>
      </c>
      <c r="R163" s="57">
        <f>'KQuote Mitarbeiter'!D163</f>
        <v/>
      </c>
      <c r="S163" s="66">
        <f>'KQuote Mitarbeiter'!K163</f>
        <v/>
      </c>
    </row>
    <row r="164">
      <c r="A164" s="47">
        <f>'KQuote Mitarbeiter'!A164</f>
        <v/>
      </c>
      <c r="B164" s="48">
        <f>'KQuote Mitarbeiter'!B164</f>
        <v/>
      </c>
      <c r="C164" s="58">
        <f>IF($B164="","",(N(Berechnung!D164)+N(Berechnung!Q164))*N(Berechnung!C164))</f>
        <v/>
      </c>
      <c r="D164" s="58">
        <f>IF($B164="","",(N(Berechnung!E164)+N(Berechnung!R164))*N(Berechnung!C164))</f>
        <v/>
      </c>
      <c r="E164" s="58">
        <f>IF($B164="","",(N(Berechnung!F164)+N(Berechnung!S164))*N(Berechnung!C164))</f>
        <v/>
      </c>
      <c r="F164" s="58">
        <f>IF($B164="","",(N(Berechnung!G164)+N(Berechnung!T164))*N(Berechnung!C164))</f>
        <v/>
      </c>
      <c r="G164" s="58">
        <f>IF($B164="","",(N(Berechnung!H164)+N(Berechnung!U164))*N(Berechnung!C164))</f>
        <v/>
      </c>
      <c r="H164" s="58">
        <f>IF($B164="","",(N(Berechnung!I164)+N(Berechnung!V164))*N(Berechnung!C164))</f>
        <v/>
      </c>
      <c r="I164" s="58">
        <f>IF($B164="","",(N(Berechnung!J164)+N(Berechnung!W164))*N(Berechnung!C164))</f>
        <v/>
      </c>
      <c r="J164" s="58">
        <f>IF($B164="","",(N(Berechnung!K164)+N(Berechnung!X164))*N(Berechnung!C164))</f>
        <v/>
      </c>
      <c r="K164" s="58">
        <f>IF($B164="","",(N(Berechnung!L164)+N(Berechnung!Y164))*N(Berechnung!C164))</f>
        <v/>
      </c>
      <c r="L164" s="58">
        <f>IF($B164="","",(N(Berechnung!M164)+N(Berechnung!Z164))*N(Berechnung!C164))</f>
        <v/>
      </c>
      <c r="M164" s="58">
        <f>IF($B164="","",(N(Berechnung!N164)+N(Berechnung!AA164))*N(Berechnung!C164))</f>
        <v/>
      </c>
      <c r="N164" s="58">
        <f>IF($B164="","",(N(Berechnung!O164)+N(Berechnung!AB164))*N(Berechnung!C164))</f>
        <v/>
      </c>
      <c r="O164" s="65">
        <f>IF($B164="","",SUM(C164:N164))</f>
        <v/>
      </c>
      <c r="P164" s="57">
        <f>'KQuote Mitarbeiter'!E164</f>
        <v/>
      </c>
      <c r="Q164" s="66">
        <f>'KQuote Mitarbeiter'!L164</f>
        <v/>
      </c>
      <c r="R164" s="57">
        <f>'KQuote Mitarbeiter'!D164</f>
        <v/>
      </c>
      <c r="S164" s="66">
        <f>'KQuote Mitarbeiter'!K164</f>
        <v/>
      </c>
    </row>
    <row r="165">
      <c r="A165" s="47">
        <f>'KQuote Mitarbeiter'!A165</f>
        <v/>
      </c>
      <c r="B165" s="48">
        <f>'KQuote Mitarbeiter'!B165</f>
        <v/>
      </c>
      <c r="C165" s="58">
        <f>IF($B165="","",(N(Berechnung!D165)+N(Berechnung!Q165))*N(Berechnung!C165))</f>
        <v/>
      </c>
      <c r="D165" s="58">
        <f>IF($B165="","",(N(Berechnung!E165)+N(Berechnung!R165))*N(Berechnung!C165))</f>
        <v/>
      </c>
      <c r="E165" s="58">
        <f>IF($B165="","",(N(Berechnung!F165)+N(Berechnung!S165))*N(Berechnung!C165))</f>
        <v/>
      </c>
      <c r="F165" s="58">
        <f>IF($B165="","",(N(Berechnung!G165)+N(Berechnung!T165))*N(Berechnung!C165))</f>
        <v/>
      </c>
      <c r="G165" s="58">
        <f>IF($B165="","",(N(Berechnung!H165)+N(Berechnung!U165))*N(Berechnung!C165))</f>
        <v/>
      </c>
      <c r="H165" s="58">
        <f>IF($B165="","",(N(Berechnung!I165)+N(Berechnung!V165))*N(Berechnung!C165))</f>
        <v/>
      </c>
      <c r="I165" s="58">
        <f>IF($B165="","",(N(Berechnung!J165)+N(Berechnung!W165))*N(Berechnung!C165))</f>
        <v/>
      </c>
      <c r="J165" s="58">
        <f>IF($B165="","",(N(Berechnung!K165)+N(Berechnung!X165))*N(Berechnung!C165))</f>
        <v/>
      </c>
      <c r="K165" s="58">
        <f>IF($B165="","",(N(Berechnung!L165)+N(Berechnung!Y165))*N(Berechnung!C165))</f>
        <v/>
      </c>
      <c r="L165" s="58">
        <f>IF($B165="","",(N(Berechnung!M165)+N(Berechnung!Z165))*N(Berechnung!C165))</f>
        <v/>
      </c>
      <c r="M165" s="58">
        <f>IF($B165="","",(N(Berechnung!N165)+N(Berechnung!AA165))*N(Berechnung!C165))</f>
        <v/>
      </c>
      <c r="N165" s="58">
        <f>IF($B165="","",(N(Berechnung!O165)+N(Berechnung!AB165))*N(Berechnung!C165))</f>
        <v/>
      </c>
      <c r="O165" s="65">
        <f>IF($B165="","",SUM(C165:N165))</f>
        <v/>
      </c>
      <c r="P165" s="57">
        <f>'KQuote Mitarbeiter'!E165</f>
        <v/>
      </c>
      <c r="Q165" s="66">
        <f>'KQuote Mitarbeiter'!L165</f>
        <v/>
      </c>
      <c r="R165" s="57">
        <f>'KQuote Mitarbeiter'!D165</f>
        <v/>
      </c>
      <c r="S165" s="66">
        <f>'KQuote Mitarbeiter'!K165</f>
        <v/>
      </c>
    </row>
    <row r="166">
      <c r="A166" s="47">
        <f>'KQuote Mitarbeiter'!A166</f>
        <v/>
      </c>
      <c r="B166" s="48">
        <f>'KQuote Mitarbeiter'!B166</f>
        <v/>
      </c>
      <c r="C166" s="58">
        <f>IF($B166="","",(N(Berechnung!D166)+N(Berechnung!Q166))*N(Berechnung!C166))</f>
        <v/>
      </c>
      <c r="D166" s="58">
        <f>IF($B166="","",(N(Berechnung!E166)+N(Berechnung!R166))*N(Berechnung!C166))</f>
        <v/>
      </c>
      <c r="E166" s="58">
        <f>IF($B166="","",(N(Berechnung!F166)+N(Berechnung!S166))*N(Berechnung!C166))</f>
        <v/>
      </c>
      <c r="F166" s="58">
        <f>IF($B166="","",(N(Berechnung!G166)+N(Berechnung!T166))*N(Berechnung!C166))</f>
        <v/>
      </c>
      <c r="G166" s="58">
        <f>IF($B166="","",(N(Berechnung!H166)+N(Berechnung!U166))*N(Berechnung!C166))</f>
        <v/>
      </c>
      <c r="H166" s="58">
        <f>IF($B166="","",(N(Berechnung!I166)+N(Berechnung!V166))*N(Berechnung!C166))</f>
        <v/>
      </c>
      <c r="I166" s="58">
        <f>IF($B166="","",(N(Berechnung!J166)+N(Berechnung!W166))*N(Berechnung!C166))</f>
        <v/>
      </c>
      <c r="J166" s="58">
        <f>IF($B166="","",(N(Berechnung!K166)+N(Berechnung!X166))*N(Berechnung!C166))</f>
        <v/>
      </c>
      <c r="K166" s="58">
        <f>IF($B166="","",(N(Berechnung!L166)+N(Berechnung!Y166))*N(Berechnung!C166))</f>
        <v/>
      </c>
      <c r="L166" s="58">
        <f>IF($B166="","",(N(Berechnung!M166)+N(Berechnung!Z166))*N(Berechnung!C166))</f>
        <v/>
      </c>
      <c r="M166" s="58">
        <f>IF($B166="","",(N(Berechnung!N166)+N(Berechnung!AA166))*N(Berechnung!C166))</f>
        <v/>
      </c>
      <c r="N166" s="58">
        <f>IF($B166="","",(N(Berechnung!O166)+N(Berechnung!AB166))*N(Berechnung!C166))</f>
        <v/>
      </c>
      <c r="O166" s="65">
        <f>IF($B166="","",SUM(C166:N166))</f>
        <v/>
      </c>
      <c r="P166" s="57">
        <f>'KQuote Mitarbeiter'!E166</f>
        <v/>
      </c>
      <c r="Q166" s="66">
        <f>'KQuote Mitarbeiter'!L166</f>
        <v/>
      </c>
      <c r="R166" s="57">
        <f>'KQuote Mitarbeiter'!D166</f>
        <v/>
      </c>
      <c r="S166" s="66">
        <f>'KQuote Mitarbeiter'!K166</f>
        <v/>
      </c>
    </row>
    <row r="167">
      <c r="A167" s="47">
        <f>'KQuote Mitarbeiter'!A167</f>
        <v/>
      </c>
      <c r="B167" s="48">
        <f>'KQuote Mitarbeiter'!B167</f>
        <v/>
      </c>
      <c r="C167" s="58">
        <f>IF($B167="","",(N(Berechnung!D167)+N(Berechnung!Q167))*N(Berechnung!C167))</f>
        <v/>
      </c>
      <c r="D167" s="58">
        <f>IF($B167="","",(N(Berechnung!E167)+N(Berechnung!R167))*N(Berechnung!C167))</f>
        <v/>
      </c>
      <c r="E167" s="58">
        <f>IF($B167="","",(N(Berechnung!F167)+N(Berechnung!S167))*N(Berechnung!C167))</f>
        <v/>
      </c>
      <c r="F167" s="58">
        <f>IF($B167="","",(N(Berechnung!G167)+N(Berechnung!T167))*N(Berechnung!C167))</f>
        <v/>
      </c>
      <c r="G167" s="58">
        <f>IF($B167="","",(N(Berechnung!H167)+N(Berechnung!U167))*N(Berechnung!C167))</f>
        <v/>
      </c>
      <c r="H167" s="58">
        <f>IF($B167="","",(N(Berechnung!I167)+N(Berechnung!V167))*N(Berechnung!C167))</f>
        <v/>
      </c>
      <c r="I167" s="58">
        <f>IF($B167="","",(N(Berechnung!J167)+N(Berechnung!W167))*N(Berechnung!C167))</f>
        <v/>
      </c>
      <c r="J167" s="58">
        <f>IF($B167="","",(N(Berechnung!K167)+N(Berechnung!X167))*N(Berechnung!C167))</f>
        <v/>
      </c>
      <c r="K167" s="58">
        <f>IF($B167="","",(N(Berechnung!L167)+N(Berechnung!Y167))*N(Berechnung!C167))</f>
        <v/>
      </c>
      <c r="L167" s="58">
        <f>IF($B167="","",(N(Berechnung!M167)+N(Berechnung!Z167))*N(Berechnung!C167))</f>
        <v/>
      </c>
      <c r="M167" s="58">
        <f>IF($B167="","",(N(Berechnung!N167)+N(Berechnung!AA167))*N(Berechnung!C167))</f>
        <v/>
      </c>
      <c r="N167" s="58">
        <f>IF($B167="","",(N(Berechnung!O167)+N(Berechnung!AB167))*N(Berechnung!C167))</f>
        <v/>
      </c>
      <c r="O167" s="65">
        <f>IF($B167="","",SUM(C167:N167))</f>
        <v/>
      </c>
      <c r="P167" s="57">
        <f>'KQuote Mitarbeiter'!E167</f>
        <v/>
      </c>
      <c r="Q167" s="66">
        <f>'KQuote Mitarbeiter'!L167</f>
        <v/>
      </c>
      <c r="R167" s="57">
        <f>'KQuote Mitarbeiter'!D167</f>
        <v/>
      </c>
      <c r="S167" s="66">
        <f>'KQuote Mitarbeiter'!K167</f>
        <v/>
      </c>
    </row>
    <row r="168">
      <c r="A168" s="47">
        <f>'KQuote Mitarbeiter'!A168</f>
        <v/>
      </c>
      <c r="B168" s="48">
        <f>'KQuote Mitarbeiter'!B168</f>
        <v/>
      </c>
      <c r="C168" s="58">
        <f>IF($B168="","",(N(Berechnung!D168)+N(Berechnung!Q168))*N(Berechnung!C168))</f>
        <v/>
      </c>
      <c r="D168" s="58">
        <f>IF($B168="","",(N(Berechnung!E168)+N(Berechnung!R168))*N(Berechnung!C168))</f>
        <v/>
      </c>
      <c r="E168" s="58">
        <f>IF($B168="","",(N(Berechnung!F168)+N(Berechnung!S168))*N(Berechnung!C168))</f>
        <v/>
      </c>
      <c r="F168" s="58">
        <f>IF($B168="","",(N(Berechnung!G168)+N(Berechnung!T168))*N(Berechnung!C168))</f>
        <v/>
      </c>
      <c r="G168" s="58">
        <f>IF($B168="","",(N(Berechnung!H168)+N(Berechnung!U168))*N(Berechnung!C168))</f>
        <v/>
      </c>
      <c r="H168" s="58">
        <f>IF($B168="","",(N(Berechnung!I168)+N(Berechnung!V168))*N(Berechnung!C168))</f>
        <v/>
      </c>
      <c r="I168" s="58">
        <f>IF($B168="","",(N(Berechnung!J168)+N(Berechnung!W168))*N(Berechnung!C168))</f>
        <v/>
      </c>
      <c r="J168" s="58">
        <f>IF($B168="","",(N(Berechnung!K168)+N(Berechnung!X168))*N(Berechnung!C168))</f>
        <v/>
      </c>
      <c r="K168" s="58">
        <f>IF($B168="","",(N(Berechnung!L168)+N(Berechnung!Y168))*N(Berechnung!C168))</f>
        <v/>
      </c>
      <c r="L168" s="58">
        <f>IF($B168="","",(N(Berechnung!M168)+N(Berechnung!Z168))*N(Berechnung!C168))</f>
        <v/>
      </c>
      <c r="M168" s="58">
        <f>IF($B168="","",(N(Berechnung!N168)+N(Berechnung!AA168))*N(Berechnung!C168))</f>
        <v/>
      </c>
      <c r="N168" s="58">
        <f>IF($B168="","",(N(Berechnung!O168)+N(Berechnung!AB168))*N(Berechnung!C168))</f>
        <v/>
      </c>
      <c r="O168" s="65">
        <f>IF($B168="","",SUM(C168:N168))</f>
        <v/>
      </c>
      <c r="P168" s="57">
        <f>'KQuote Mitarbeiter'!E168</f>
        <v/>
      </c>
      <c r="Q168" s="66">
        <f>'KQuote Mitarbeiter'!L168</f>
        <v/>
      </c>
      <c r="R168" s="57">
        <f>'KQuote Mitarbeiter'!D168</f>
        <v/>
      </c>
      <c r="S168" s="66">
        <f>'KQuote Mitarbeiter'!K168</f>
        <v/>
      </c>
    </row>
    <row r="169">
      <c r="A169" s="47">
        <f>'KQuote Mitarbeiter'!A169</f>
        <v/>
      </c>
      <c r="B169" s="48">
        <f>'KQuote Mitarbeiter'!B169</f>
        <v/>
      </c>
      <c r="C169" s="58">
        <f>IF($B169="","",(N(Berechnung!D169)+N(Berechnung!Q169))*N(Berechnung!C169))</f>
        <v/>
      </c>
      <c r="D169" s="58">
        <f>IF($B169="","",(N(Berechnung!E169)+N(Berechnung!R169))*N(Berechnung!C169))</f>
        <v/>
      </c>
      <c r="E169" s="58">
        <f>IF($B169="","",(N(Berechnung!F169)+N(Berechnung!S169))*N(Berechnung!C169))</f>
        <v/>
      </c>
      <c r="F169" s="58">
        <f>IF($B169="","",(N(Berechnung!G169)+N(Berechnung!T169))*N(Berechnung!C169))</f>
        <v/>
      </c>
      <c r="G169" s="58">
        <f>IF($B169="","",(N(Berechnung!H169)+N(Berechnung!U169))*N(Berechnung!C169))</f>
        <v/>
      </c>
      <c r="H169" s="58">
        <f>IF($B169="","",(N(Berechnung!I169)+N(Berechnung!V169))*N(Berechnung!C169))</f>
        <v/>
      </c>
      <c r="I169" s="58">
        <f>IF($B169="","",(N(Berechnung!J169)+N(Berechnung!W169))*N(Berechnung!C169))</f>
        <v/>
      </c>
      <c r="J169" s="58">
        <f>IF($B169="","",(N(Berechnung!K169)+N(Berechnung!X169))*N(Berechnung!C169))</f>
        <v/>
      </c>
      <c r="K169" s="58">
        <f>IF($B169="","",(N(Berechnung!L169)+N(Berechnung!Y169))*N(Berechnung!C169))</f>
        <v/>
      </c>
      <c r="L169" s="58">
        <f>IF($B169="","",(N(Berechnung!M169)+N(Berechnung!Z169))*N(Berechnung!C169))</f>
        <v/>
      </c>
      <c r="M169" s="58">
        <f>IF($B169="","",(N(Berechnung!N169)+N(Berechnung!AA169))*N(Berechnung!C169))</f>
        <v/>
      </c>
      <c r="N169" s="58">
        <f>IF($B169="","",(N(Berechnung!O169)+N(Berechnung!AB169))*N(Berechnung!C169))</f>
        <v/>
      </c>
      <c r="O169" s="65">
        <f>IF($B169="","",SUM(C169:N169))</f>
        <v/>
      </c>
      <c r="P169" s="57">
        <f>'KQuote Mitarbeiter'!E169</f>
        <v/>
      </c>
      <c r="Q169" s="66">
        <f>'KQuote Mitarbeiter'!L169</f>
        <v/>
      </c>
      <c r="R169" s="57">
        <f>'KQuote Mitarbeiter'!D169</f>
        <v/>
      </c>
      <c r="S169" s="66">
        <f>'KQuote Mitarbeiter'!K169</f>
        <v/>
      </c>
    </row>
    <row r="170">
      <c r="A170" s="47">
        <f>'KQuote Mitarbeiter'!A170</f>
        <v/>
      </c>
      <c r="B170" s="48">
        <f>'KQuote Mitarbeiter'!B170</f>
        <v/>
      </c>
      <c r="C170" s="58">
        <f>IF($B170="","",(N(Berechnung!D170)+N(Berechnung!Q170))*N(Berechnung!C170))</f>
        <v/>
      </c>
      <c r="D170" s="58">
        <f>IF($B170="","",(N(Berechnung!E170)+N(Berechnung!R170))*N(Berechnung!C170))</f>
        <v/>
      </c>
      <c r="E170" s="58">
        <f>IF($B170="","",(N(Berechnung!F170)+N(Berechnung!S170))*N(Berechnung!C170))</f>
        <v/>
      </c>
      <c r="F170" s="58">
        <f>IF($B170="","",(N(Berechnung!G170)+N(Berechnung!T170))*N(Berechnung!C170))</f>
        <v/>
      </c>
      <c r="G170" s="58">
        <f>IF($B170="","",(N(Berechnung!H170)+N(Berechnung!U170))*N(Berechnung!C170))</f>
        <v/>
      </c>
      <c r="H170" s="58">
        <f>IF($B170="","",(N(Berechnung!I170)+N(Berechnung!V170))*N(Berechnung!C170))</f>
        <v/>
      </c>
      <c r="I170" s="58">
        <f>IF($B170="","",(N(Berechnung!J170)+N(Berechnung!W170))*N(Berechnung!C170))</f>
        <v/>
      </c>
      <c r="J170" s="58">
        <f>IF($B170="","",(N(Berechnung!K170)+N(Berechnung!X170))*N(Berechnung!C170))</f>
        <v/>
      </c>
      <c r="K170" s="58">
        <f>IF($B170="","",(N(Berechnung!L170)+N(Berechnung!Y170))*N(Berechnung!C170))</f>
        <v/>
      </c>
      <c r="L170" s="58">
        <f>IF($B170="","",(N(Berechnung!M170)+N(Berechnung!Z170))*N(Berechnung!C170))</f>
        <v/>
      </c>
      <c r="M170" s="58">
        <f>IF($B170="","",(N(Berechnung!N170)+N(Berechnung!AA170))*N(Berechnung!C170))</f>
        <v/>
      </c>
      <c r="N170" s="58">
        <f>IF($B170="","",(N(Berechnung!O170)+N(Berechnung!AB170))*N(Berechnung!C170))</f>
        <v/>
      </c>
      <c r="O170" s="65">
        <f>IF($B170="","",SUM(C170:N170))</f>
        <v/>
      </c>
      <c r="P170" s="57">
        <f>'KQuote Mitarbeiter'!E170</f>
        <v/>
      </c>
      <c r="Q170" s="66">
        <f>'KQuote Mitarbeiter'!L170</f>
        <v/>
      </c>
      <c r="R170" s="57">
        <f>'KQuote Mitarbeiter'!D170</f>
        <v/>
      </c>
      <c r="S170" s="66">
        <f>'KQuote Mitarbeiter'!K170</f>
        <v/>
      </c>
    </row>
    <row r="171">
      <c r="A171" s="47">
        <f>'KQuote Mitarbeiter'!A171</f>
        <v/>
      </c>
      <c r="B171" s="48">
        <f>'KQuote Mitarbeiter'!B171</f>
        <v/>
      </c>
      <c r="C171" s="58">
        <f>IF($B171="","",(N(Berechnung!D171)+N(Berechnung!Q171))*N(Berechnung!C171))</f>
        <v/>
      </c>
      <c r="D171" s="58">
        <f>IF($B171="","",(N(Berechnung!E171)+N(Berechnung!R171))*N(Berechnung!C171))</f>
        <v/>
      </c>
      <c r="E171" s="58">
        <f>IF($B171="","",(N(Berechnung!F171)+N(Berechnung!S171))*N(Berechnung!C171))</f>
        <v/>
      </c>
      <c r="F171" s="58">
        <f>IF($B171="","",(N(Berechnung!G171)+N(Berechnung!T171))*N(Berechnung!C171))</f>
        <v/>
      </c>
      <c r="G171" s="58">
        <f>IF($B171="","",(N(Berechnung!H171)+N(Berechnung!U171))*N(Berechnung!C171))</f>
        <v/>
      </c>
      <c r="H171" s="58">
        <f>IF($B171="","",(N(Berechnung!I171)+N(Berechnung!V171))*N(Berechnung!C171))</f>
        <v/>
      </c>
      <c r="I171" s="58">
        <f>IF($B171="","",(N(Berechnung!J171)+N(Berechnung!W171))*N(Berechnung!C171))</f>
        <v/>
      </c>
      <c r="J171" s="58">
        <f>IF($B171="","",(N(Berechnung!K171)+N(Berechnung!X171))*N(Berechnung!C171))</f>
        <v/>
      </c>
      <c r="K171" s="58">
        <f>IF($B171="","",(N(Berechnung!L171)+N(Berechnung!Y171))*N(Berechnung!C171))</f>
        <v/>
      </c>
      <c r="L171" s="58">
        <f>IF($B171="","",(N(Berechnung!M171)+N(Berechnung!Z171))*N(Berechnung!C171))</f>
        <v/>
      </c>
      <c r="M171" s="58">
        <f>IF($B171="","",(N(Berechnung!N171)+N(Berechnung!AA171))*N(Berechnung!C171))</f>
        <v/>
      </c>
      <c r="N171" s="58">
        <f>IF($B171="","",(N(Berechnung!O171)+N(Berechnung!AB171))*N(Berechnung!C171))</f>
        <v/>
      </c>
      <c r="O171" s="65">
        <f>IF($B171="","",SUM(C171:N171))</f>
        <v/>
      </c>
      <c r="P171" s="57">
        <f>'KQuote Mitarbeiter'!E171</f>
        <v/>
      </c>
      <c r="Q171" s="66">
        <f>'KQuote Mitarbeiter'!L171</f>
        <v/>
      </c>
      <c r="R171" s="57">
        <f>'KQuote Mitarbeiter'!D171</f>
        <v/>
      </c>
      <c r="S171" s="66">
        <f>'KQuote Mitarbeiter'!K171</f>
        <v/>
      </c>
    </row>
    <row r="172">
      <c r="A172" s="47">
        <f>'KQuote Mitarbeiter'!A172</f>
        <v/>
      </c>
      <c r="B172" s="48">
        <f>'KQuote Mitarbeiter'!B172</f>
        <v/>
      </c>
      <c r="C172" s="58">
        <f>IF($B172="","",(N(Berechnung!D172)+N(Berechnung!Q172))*N(Berechnung!C172))</f>
        <v/>
      </c>
      <c r="D172" s="58">
        <f>IF($B172="","",(N(Berechnung!E172)+N(Berechnung!R172))*N(Berechnung!C172))</f>
        <v/>
      </c>
      <c r="E172" s="58">
        <f>IF($B172="","",(N(Berechnung!F172)+N(Berechnung!S172))*N(Berechnung!C172))</f>
        <v/>
      </c>
      <c r="F172" s="58">
        <f>IF($B172="","",(N(Berechnung!G172)+N(Berechnung!T172))*N(Berechnung!C172))</f>
        <v/>
      </c>
      <c r="G172" s="58">
        <f>IF($B172="","",(N(Berechnung!H172)+N(Berechnung!U172))*N(Berechnung!C172))</f>
        <v/>
      </c>
      <c r="H172" s="58">
        <f>IF($B172="","",(N(Berechnung!I172)+N(Berechnung!V172))*N(Berechnung!C172))</f>
        <v/>
      </c>
      <c r="I172" s="58">
        <f>IF($B172="","",(N(Berechnung!J172)+N(Berechnung!W172))*N(Berechnung!C172))</f>
        <v/>
      </c>
      <c r="J172" s="58">
        <f>IF($B172="","",(N(Berechnung!K172)+N(Berechnung!X172))*N(Berechnung!C172))</f>
        <v/>
      </c>
      <c r="K172" s="58">
        <f>IF($B172="","",(N(Berechnung!L172)+N(Berechnung!Y172))*N(Berechnung!C172))</f>
        <v/>
      </c>
      <c r="L172" s="58">
        <f>IF($B172="","",(N(Berechnung!M172)+N(Berechnung!Z172))*N(Berechnung!C172))</f>
        <v/>
      </c>
      <c r="M172" s="58">
        <f>IF($B172="","",(N(Berechnung!N172)+N(Berechnung!AA172))*N(Berechnung!C172))</f>
        <v/>
      </c>
      <c r="N172" s="58">
        <f>IF($B172="","",(N(Berechnung!O172)+N(Berechnung!AB172))*N(Berechnung!C172))</f>
        <v/>
      </c>
      <c r="O172" s="65">
        <f>IF($B172="","",SUM(C172:N172))</f>
        <v/>
      </c>
      <c r="P172" s="57">
        <f>'KQuote Mitarbeiter'!E172</f>
        <v/>
      </c>
      <c r="Q172" s="66">
        <f>'KQuote Mitarbeiter'!L172</f>
        <v/>
      </c>
      <c r="R172" s="57">
        <f>'KQuote Mitarbeiter'!D172</f>
        <v/>
      </c>
      <c r="S172" s="66">
        <f>'KQuote Mitarbeiter'!K172</f>
        <v/>
      </c>
    </row>
    <row r="173">
      <c r="A173" s="47">
        <f>'KQuote Mitarbeiter'!A173</f>
        <v/>
      </c>
      <c r="B173" s="48">
        <f>'KQuote Mitarbeiter'!B173</f>
        <v/>
      </c>
      <c r="C173" s="58">
        <f>IF($B173="","",(N(Berechnung!D173)+N(Berechnung!Q173))*N(Berechnung!C173))</f>
        <v/>
      </c>
      <c r="D173" s="58">
        <f>IF($B173="","",(N(Berechnung!E173)+N(Berechnung!R173))*N(Berechnung!C173))</f>
        <v/>
      </c>
      <c r="E173" s="58">
        <f>IF($B173="","",(N(Berechnung!F173)+N(Berechnung!S173))*N(Berechnung!C173))</f>
        <v/>
      </c>
      <c r="F173" s="58">
        <f>IF($B173="","",(N(Berechnung!G173)+N(Berechnung!T173))*N(Berechnung!C173))</f>
        <v/>
      </c>
      <c r="G173" s="58">
        <f>IF($B173="","",(N(Berechnung!H173)+N(Berechnung!U173))*N(Berechnung!C173))</f>
        <v/>
      </c>
      <c r="H173" s="58">
        <f>IF($B173="","",(N(Berechnung!I173)+N(Berechnung!V173))*N(Berechnung!C173))</f>
        <v/>
      </c>
      <c r="I173" s="58">
        <f>IF($B173="","",(N(Berechnung!J173)+N(Berechnung!W173))*N(Berechnung!C173))</f>
        <v/>
      </c>
      <c r="J173" s="58">
        <f>IF($B173="","",(N(Berechnung!K173)+N(Berechnung!X173))*N(Berechnung!C173))</f>
        <v/>
      </c>
      <c r="K173" s="58">
        <f>IF($B173="","",(N(Berechnung!L173)+N(Berechnung!Y173))*N(Berechnung!C173))</f>
        <v/>
      </c>
      <c r="L173" s="58">
        <f>IF($B173="","",(N(Berechnung!M173)+N(Berechnung!Z173))*N(Berechnung!C173))</f>
        <v/>
      </c>
      <c r="M173" s="58">
        <f>IF($B173="","",(N(Berechnung!N173)+N(Berechnung!AA173))*N(Berechnung!C173))</f>
        <v/>
      </c>
      <c r="N173" s="58">
        <f>IF($B173="","",(N(Berechnung!O173)+N(Berechnung!AB173))*N(Berechnung!C173))</f>
        <v/>
      </c>
      <c r="O173" s="65">
        <f>IF($B173="","",SUM(C173:N173))</f>
        <v/>
      </c>
      <c r="P173" s="57">
        <f>'KQuote Mitarbeiter'!E173</f>
        <v/>
      </c>
      <c r="Q173" s="66">
        <f>'KQuote Mitarbeiter'!L173</f>
        <v/>
      </c>
      <c r="R173" s="57">
        <f>'KQuote Mitarbeiter'!D173</f>
        <v/>
      </c>
      <c r="S173" s="66">
        <f>'KQuote Mitarbeiter'!K173</f>
        <v/>
      </c>
    </row>
    <row r="174">
      <c r="A174" s="47">
        <f>'KQuote Mitarbeiter'!A174</f>
        <v/>
      </c>
      <c r="B174" s="48">
        <f>'KQuote Mitarbeiter'!B174</f>
        <v/>
      </c>
      <c r="C174" s="58">
        <f>IF($B174="","",(N(Berechnung!D174)+N(Berechnung!Q174))*N(Berechnung!C174))</f>
        <v/>
      </c>
      <c r="D174" s="58">
        <f>IF($B174="","",(N(Berechnung!E174)+N(Berechnung!R174))*N(Berechnung!C174))</f>
        <v/>
      </c>
      <c r="E174" s="58">
        <f>IF($B174="","",(N(Berechnung!F174)+N(Berechnung!S174))*N(Berechnung!C174))</f>
        <v/>
      </c>
      <c r="F174" s="58">
        <f>IF($B174="","",(N(Berechnung!G174)+N(Berechnung!T174))*N(Berechnung!C174))</f>
        <v/>
      </c>
      <c r="G174" s="58">
        <f>IF($B174="","",(N(Berechnung!H174)+N(Berechnung!U174))*N(Berechnung!C174))</f>
        <v/>
      </c>
      <c r="H174" s="58">
        <f>IF($B174="","",(N(Berechnung!I174)+N(Berechnung!V174))*N(Berechnung!C174))</f>
        <v/>
      </c>
      <c r="I174" s="58">
        <f>IF($B174="","",(N(Berechnung!J174)+N(Berechnung!W174))*N(Berechnung!C174))</f>
        <v/>
      </c>
      <c r="J174" s="58">
        <f>IF($B174="","",(N(Berechnung!K174)+N(Berechnung!X174))*N(Berechnung!C174))</f>
        <v/>
      </c>
      <c r="K174" s="58">
        <f>IF($B174="","",(N(Berechnung!L174)+N(Berechnung!Y174))*N(Berechnung!C174))</f>
        <v/>
      </c>
      <c r="L174" s="58">
        <f>IF($B174="","",(N(Berechnung!M174)+N(Berechnung!Z174))*N(Berechnung!C174))</f>
        <v/>
      </c>
      <c r="M174" s="58">
        <f>IF($B174="","",(N(Berechnung!N174)+N(Berechnung!AA174))*N(Berechnung!C174))</f>
        <v/>
      </c>
      <c r="N174" s="58">
        <f>IF($B174="","",(N(Berechnung!O174)+N(Berechnung!AB174))*N(Berechnung!C174))</f>
        <v/>
      </c>
      <c r="O174" s="65">
        <f>IF($B174="","",SUM(C174:N174))</f>
        <v/>
      </c>
      <c r="P174" s="57">
        <f>'KQuote Mitarbeiter'!E174</f>
        <v/>
      </c>
      <c r="Q174" s="66">
        <f>'KQuote Mitarbeiter'!L174</f>
        <v/>
      </c>
      <c r="R174" s="57">
        <f>'KQuote Mitarbeiter'!D174</f>
        <v/>
      </c>
      <c r="S174" s="66">
        <f>'KQuote Mitarbeiter'!K174</f>
        <v/>
      </c>
    </row>
    <row r="175">
      <c r="A175" s="47">
        <f>'KQuote Mitarbeiter'!A175</f>
        <v/>
      </c>
      <c r="B175" s="48">
        <f>'KQuote Mitarbeiter'!B175</f>
        <v/>
      </c>
      <c r="C175" s="58">
        <f>IF($B175="","",(N(Berechnung!D175)+N(Berechnung!Q175))*N(Berechnung!C175))</f>
        <v/>
      </c>
      <c r="D175" s="58">
        <f>IF($B175="","",(N(Berechnung!E175)+N(Berechnung!R175))*N(Berechnung!C175))</f>
        <v/>
      </c>
      <c r="E175" s="58">
        <f>IF($B175="","",(N(Berechnung!F175)+N(Berechnung!S175))*N(Berechnung!C175))</f>
        <v/>
      </c>
      <c r="F175" s="58">
        <f>IF($B175="","",(N(Berechnung!G175)+N(Berechnung!T175))*N(Berechnung!C175))</f>
        <v/>
      </c>
      <c r="G175" s="58">
        <f>IF($B175="","",(N(Berechnung!H175)+N(Berechnung!U175))*N(Berechnung!C175))</f>
        <v/>
      </c>
      <c r="H175" s="58">
        <f>IF($B175="","",(N(Berechnung!I175)+N(Berechnung!V175))*N(Berechnung!C175))</f>
        <v/>
      </c>
      <c r="I175" s="58">
        <f>IF($B175="","",(N(Berechnung!J175)+N(Berechnung!W175))*N(Berechnung!C175))</f>
        <v/>
      </c>
      <c r="J175" s="58">
        <f>IF($B175="","",(N(Berechnung!K175)+N(Berechnung!X175))*N(Berechnung!C175))</f>
        <v/>
      </c>
      <c r="K175" s="58">
        <f>IF($B175="","",(N(Berechnung!L175)+N(Berechnung!Y175))*N(Berechnung!C175))</f>
        <v/>
      </c>
      <c r="L175" s="58">
        <f>IF($B175="","",(N(Berechnung!M175)+N(Berechnung!Z175))*N(Berechnung!C175))</f>
        <v/>
      </c>
      <c r="M175" s="58">
        <f>IF($B175="","",(N(Berechnung!N175)+N(Berechnung!AA175))*N(Berechnung!C175))</f>
        <v/>
      </c>
      <c r="N175" s="58">
        <f>IF($B175="","",(N(Berechnung!O175)+N(Berechnung!AB175))*N(Berechnung!C175))</f>
        <v/>
      </c>
      <c r="O175" s="65">
        <f>IF($B175="","",SUM(C175:N175))</f>
        <v/>
      </c>
      <c r="P175" s="57">
        <f>'KQuote Mitarbeiter'!E175</f>
        <v/>
      </c>
      <c r="Q175" s="66">
        <f>'KQuote Mitarbeiter'!L175</f>
        <v/>
      </c>
      <c r="R175" s="57">
        <f>'KQuote Mitarbeiter'!D175</f>
        <v/>
      </c>
      <c r="S175" s="66">
        <f>'KQuote Mitarbeiter'!K175</f>
        <v/>
      </c>
    </row>
    <row r="176">
      <c r="A176" s="47">
        <f>'KQuote Mitarbeiter'!A176</f>
        <v/>
      </c>
      <c r="B176" s="48">
        <f>'KQuote Mitarbeiter'!B176</f>
        <v/>
      </c>
      <c r="C176" s="58">
        <f>IF($B176="","",(N(Berechnung!D176)+N(Berechnung!Q176))*N(Berechnung!C176))</f>
        <v/>
      </c>
      <c r="D176" s="58">
        <f>IF($B176="","",(N(Berechnung!E176)+N(Berechnung!R176))*N(Berechnung!C176))</f>
        <v/>
      </c>
      <c r="E176" s="58">
        <f>IF($B176="","",(N(Berechnung!F176)+N(Berechnung!S176))*N(Berechnung!C176))</f>
        <v/>
      </c>
      <c r="F176" s="58">
        <f>IF($B176="","",(N(Berechnung!G176)+N(Berechnung!T176))*N(Berechnung!C176))</f>
        <v/>
      </c>
      <c r="G176" s="58">
        <f>IF($B176="","",(N(Berechnung!H176)+N(Berechnung!U176))*N(Berechnung!C176))</f>
        <v/>
      </c>
      <c r="H176" s="58">
        <f>IF($B176="","",(N(Berechnung!I176)+N(Berechnung!V176))*N(Berechnung!C176))</f>
        <v/>
      </c>
      <c r="I176" s="58">
        <f>IF($B176="","",(N(Berechnung!J176)+N(Berechnung!W176))*N(Berechnung!C176))</f>
        <v/>
      </c>
      <c r="J176" s="58">
        <f>IF($B176="","",(N(Berechnung!K176)+N(Berechnung!X176))*N(Berechnung!C176))</f>
        <v/>
      </c>
      <c r="K176" s="58">
        <f>IF($B176="","",(N(Berechnung!L176)+N(Berechnung!Y176))*N(Berechnung!C176))</f>
        <v/>
      </c>
      <c r="L176" s="58">
        <f>IF($B176="","",(N(Berechnung!M176)+N(Berechnung!Z176))*N(Berechnung!C176))</f>
        <v/>
      </c>
      <c r="M176" s="58">
        <f>IF($B176="","",(N(Berechnung!N176)+N(Berechnung!AA176))*N(Berechnung!C176))</f>
        <v/>
      </c>
      <c r="N176" s="58">
        <f>IF($B176="","",(N(Berechnung!O176)+N(Berechnung!AB176))*N(Berechnung!C176))</f>
        <v/>
      </c>
      <c r="O176" s="65">
        <f>IF($B176="","",SUM(C176:N176))</f>
        <v/>
      </c>
      <c r="P176" s="57">
        <f>'KQuote Mitarbeiter'!E176</f>
        <v/>
      </c>
      <c r="Q176" s="66">
        <f>'KQuote Mitarbeiter'!L176</f>
        <v/>
      </c>
      <c r="R176" s="57">
        <f>'KQuote Mitarbeiter'!D176</f>
        <v/>
      </c>
      <c r="S176" s="66">
        <f>'KQuote Mitarbeiter'!K176</f>
        <v/>
      </c>
    </row>
    <row r="177">
      <c r="A177" s="47">
        <f>'KQuote Mitarbeiter'!A177</f>
        <v/>
      </c>
      <c r="B177" s="48">
        <f>'KQuote Mitarbeiter'!B177</f>
        <v/>
      </c>
      <c r="C177" s="58">
        <f>IF($B177="","",(N(Berechnung!D177)+N(Berechnung!Q177))*N(Berechnung!C177))</f>
        <v/>
      </c>
      <c r="D177" s="58">
        <f>IF($B177="","",(N(Berechnung!E177)+N(Berechnung!R177))*N(Berechnung!C177))</f>
        <v/>
      </c>
      <c r="E177" s="58">
        <f>IF($B177="","",(N(Berechnung!F177)+N(Berechnung!S177))*N(Berechnung!C177))</f>
        <v/>
      </c>
      <c r="F177" s="58">
        <f>IF($B177="","",(N(Berechnung!G177)+N(Berechnung!T177))*N(Berechnung!C177))</f>
        <v/>
      </c>
      <c r="G177" s="58">
        <f>IF($B177="","",(N(Berechnung!H177)+N(Berechnung!U177))*N(Berechnung!C177))</f>
        <v/>
      </c>
      <c r="H177" s="58">
        <f>IF($B177="","",(N(Berechnung!I177)+N(Berechnung!V177))*N(Berechnung!C177))</f>
        <v/>
      </c>
      <c r="I177" s="58">
        <f>IF($B177="","",(N(Berechnung!J177)+N(Berechnung!W177))*N(Berechnung!C177))</f>
        <v/>
      </c>
      <c r="J177" s="58">
        <f>IF($B177="","",(N(Berechnung!K177)+N(Berechnung!X177))*N(Berechnung!C177))</f>
        <v/>
      </c>
      <c r="K177" s="58">
        <f>IF($B177="","",(N(Berechnung!L177)+N(Berechnung!Y177))*N(Berechnung!C177))</f>
        <v/>
      </c>
      <c r="L177" s="58">
        <f>IF($B177="","",(N(Berechnung!M177)+N(Berechnung!Z177))*N(Berechnung!C177))</f>
        <v/>
      </c>
      <c r="M177" s="58">
        <f>IF($B177="","",(N(Berechnung!N177)+N(Berechnung!AA177))*N(Berechnung!C177))</f>
        <v/>
      </c>
      <c r="N177" s="58">
        <f>IF($B177="","",(N(Berechnung!O177)+N(Berechnung!AB177))*N(Berechnung!C177))</f>
        <v/>
      </c>
      <c r="O177" s="65">
        <f>IF($B177="","",SUM(C177:N177))</f>
        <v/>
      </c>
      <c r="P177" s="57">
        <f>'KQuote Mitarbeiter'!E177</f>
        <v/>
      </c>
      <c r="Q177" s="66">
        <f>'KQuote Mitarbeiter'!L177</f>
        <v/>
      </c>
      <c r="R177" s="57">
        <f>'KQuote Mitarbeiter'!D177</f>
        <v/>
      </c>
      <c r="S177" s="66">
        <f>'KQuote Mitarbeiter'!K177</f>
        <v/>
      </c>
    </row>
    <row r="178">
      <c r="A178" s="47">
        <f>'KQuote Mitarbeiter'!A178</f>
        <v/>
      </c>
      <c r="B178" s="48">
        <f>'KQuote Mitarbeiter'!B178</f>
        <v/>
      </c>
      <c r="C178" s="58">
        <f>IF($B178="","",(N(Berechnung!D178)+N(Berechnung!Q178))*N(Berechnung!C178))</f>
        <v/>
      </c>
      <c r="D178" s="58">
        <f>IF($B178="","",(N(Berechnung!E178)+N(Berechnung!R178))*N(Berechnung!C178))</f>
        <v/>
      </c>
      <c r="E178" s="58">
        <f>IF($B178="","",(N(Berechnung!F178)+N(Berechnung!S178))*N(Berechnung!C178))</f>
        <v/>
      </c>
      <c r="F178" s="58">
        <f>IF($B178="","",(N(Berechnung!G178)+N(Berechnung!T178))*N(Berechnung!C178))</f>
        <v/>
      </c>
      <c r="G178" s="58">
        <f>IF($B178="","",(N(Berechnung!H178)+N(Berechnung!U178))*N(Berechnung!C178))</f>
        <v/>
      </c>
      <c r="H178" s="58">
        <f>IF($B178="","",(N(Berechnung!I178)+N(Berechnung!V178))*N(Berechnung!C178))</f>
        <v/>
      </c>
      <c r="I178" s="58">
        <f>IF($B178="","",(N(Berechnung!J178)+N(Berechnung!W178))*N(Berechnung!C178))</f>
        <v/>
      </c>
      <c r="J178" s="58">
        <f>IF($B178="","",(N(Berechnung!K178)+N(Berechnung!X178))*N(Berechnung!C178))</f>
        <v/>
      </c>
      <c r="K178" s="58">
        <f>IF($B178="","",(N(Berechnung!L178)+N(Berechnung!Y178))*N(Berechnung!C178))</f>
        <v/>
      </c>
      <c r="L178" s="58">
        <f>IF($B178="","",(N(Berechnung!M178)+N(Berechnung!Z178))*N(Berechnung!C178))</f>
        <v/>
      </c>
      <c r="M178" s="58">
        <f>IF($B178="","",(N(Berechnung!N178)+N(Berechnung!AA178))*N(Berechnung!C178))</f>
        <v/>
      </c>
      <c r="N178" s="58">
        <f>IF($B178="","",(N(Berechnung!O178)+N(Berechnung!AB178))*N(Berechnung!C178))</f>
        <v/>
      </c>
      <c r="O178" s="65">
        <f>IF($B178="","",SUM(C178:N178))</f>
        <v/>
      </c>
      <c r="P178" s="57">
        <f>'KQuote Mitarbeiter'!E178</f>
        <v/>
      </c>
      <c r="Q178" s="66">
        <f>'KQuote Mitarbeiter'!L178</f>
        <v/>
      </c>
      <c r="R178" s="57">
        <f>'KQuote Mitarbeiter'!D178</f>
        <v/>
      </c>
      <c r="S178" s="66">
        <f>'KQuote Mitarbeiter'!K178</f>
        <v/>
      </c>
    </row>
    <row r="179">
      <c r="A179" s="47">
        <f>'KQuote Mitarbeiter'!A179</f>
        <v/>
      </c>
      <c r="B179" s="48">
        <f>'KQuote Mitarbeiter'!B179</f>
        <v/>
      </c>
      <c r="C179" s="58">
        <f>IF($B179="","",(N(Berechnung!D179)+N(Berechnung!Q179))*N(Berechnung!C179))</f>
        <v/>
      </c>
      <c r="D179" s="58">
        <f>IF($B179="","",(N(Berechnung!E179)+N(Berechnung!R179))*N(Berechnung!C179))</f>
        <v/>
      </c>
      <c r="E179" s="58">
        <f>IF($B179="","",(N(Berechnung!F179)+N(Berechnung!S179))*N(Berechnung!C179))</f>
        <v/>
      </c>
      <c r="F179" s="58">
        <f>IF($B179="","",(N(Berechnung!G179)+N(Berechnung!T179))*N(Berechnung!C179))</f>
        <v/>
      </c>
      <c r="G179" s="58">
        <f>IF($B179="","",(N(Berechnung!H179)+N(Berechnung!U179))*N(Berechnung!C179))</f>
        <v/>
      </c>
      <c r="H179" s="58">
        <f>IF($B179="","",(N(Berechnung!I179)+N(Berechnung!V179))*N(Berechnung!C179))</f>
        <v/>
      </c>
      <c r="I179" s="58">
        <f>IF($B179="","",(N(Berechnung!J179)+N(Berechnung!W179))*N(Berechnung!C179))</f>
        <v/>
      </c>
      <c r="J179" s="58">
        <f>IF($B179="","",(N(Berechnung!K179)+N(Berechnung!X179))*N(Berechnung!C179))</f>
        <v/>
      </c>
      <c r="K179" s="58">
        <f>IF($B179="","",(N(Berechnung!L179)+N(Berechnung!Y179))*N(Berechnung!C179))</f>
        <v/>
      </c>
      <c r="L179" s="58">
        <f>IF($B179="","",(N(Berechnung!M179)+N(Berechnung!Z179))*N(Berechnung!C179))</f>
        <v/>
      </c>
      <c r="M179" s="58">
        <f>IF($B179="","",(N(Berechnung!N179)+N(Berechnung!AA179))*N(Berechnung!C179))</f>
        <v/>
      </c>
      <c r="N179" s="58">
        <f>IF($B179="","",(N(Berechnung!O179)+N(Berechnung!AB179))*N(Berechnung!C179))</f>
        <v/>
      </c>
      <c r="O179" s="65">
        <f>IF($B179="","",SUM(C179:N179))</f>
        <v/>
      </c>
      <c r="P179" s="57">
        <f>'KQuote Mitarbeiter'!E179</f>
        <v/>
      </c>
      <c r="Q179" s="66">
        <f>'KQuote Mitarbeiter'!L179</f>
        <v/>
      </c>
      <c r="R179" s="57">
        <f>'KQuote Mitarbeiter'!D179</f>
        <v/>
      </c>
      <c r="S179" s="66">
        <f>'KQuote Mitarbeiter'!K179</f>
        <v/>
      </c>
    </row>
    <row r="180">
      <c r="A180" s="47">
        <f>'KQuote Mitarbeiter'!A180</f>
        <v/>
      </c>
      <c r="B180" s="48">
        <f>'KQuote Mitarbeiter'!B180</f>
        <v/>
      </c>
      <c r="C180" s="58">
        <f>IF($B180="","",(N(Berechnung!D180)+N(Berechnung!Q180))*N(Berechnung!C180))</f>
        <v/>
      </c>
      <c r="D180" s="58">
        <f>IF($B180="","",(N(Berechnung!E180)+N(Berechnung!R180))*N(Berechnung!C180))</f>
        <v/>
      </c>
      <c r="E180" s="58">
        <f>IF($B180="","",(N(Berechnung!F180)+N(Berechnung!S180))*N(Berechnung!C180))</f>
        <v/>
      </c>
      <c r="F180" s="58">
        <f>IF($B180="","",(N(Berechnung!G180)+N(Berechnung!T180))*N(Berechnung!C180))</f>
        <v/>
      </c>
      <c r="G180" s="58">
        <f>IF($B180="","",(N(Berechnung!H180)+N(Berechnung!U180))*N(Berechnung!C180))</f>
        <v/>
      </c>
      <c r="H180" s="58">
        <f>IF($B180="","",(N(Berechnung!I180)+N(Berechnung!V180))*N(Berechnung!C180))</f>
        <v/>
      </c>
      <c r="I180" s="58">
        <f>IF($B180="","",(N(Berechnung!J180)+N(Berechnung!W180))*N(Berechnung!C180))</f>
        <v/>
      </c>
      <c r="J180" s="58">
        <f>IF($B180="","",(N(Berechnung!K180)+N(Berechnung!X180))*N(Berechnung!C180))</f>
        <v/>
      </c>
      <c r="K180" s="58">
        <f>IF($B180="","",(N(Berechnung!L180)+N(Berechnung!Y180))*N(Berechnung!C180))</f>
        <v/>
      </c>
      <c r="L180" s="58">
        <f>IF($B180="","",(N(Berechnung!M180)+N(Berechnung!Z180))*N(Berechnung!C180))</f>
        <v/>
      </c>
      <c r="M180" s="58">
        <f>IF($B180="","",(N(Berechnung!N180)+N(Berechnung!AA180))*N(Berechnung!C180))</f>
        <v/>
      </c>
      <c r="N180" s="58">
        <f>IF($B180="","",(N(Berechnung!O180)+N(Berechnung!AB180))*N(Berechnung!C180))</f>
        <v/>
      </c>
      <c r="O180" s="65">
        <f>IF($B180="","",SUM(C180:N180))</f>
        <v/>
      </c>
      <c r="P180" s="57">
        <f>'KQuote Mitarbeiter'!E180</f>
        <v/>
      </c>
      <c r="Q180" s="66">
        <f>'KQuote Mitarbeiter'!L180</f>
        <v/>
      </c>
      <c r="R180" s="57">
        <f>'KQuote Mitarbeiter'!D180</f>
        <v/>
      </c>
      <c r="S180" s="66">
        <f>'KQuote Mitarbeiter'!K180</f>
        <v/>
      </c>
    </row>
    <row r="181">
      <c r="A181" s="47">
        <f>'KQuote Mitarbeiter'!A181</f>
        <v/>
      </c>
      <c r="B181" s="48">
        <f>'KQuote Mitarbeiter'!B181</f>
        <v/>
      </c>
      <c r="C181" s="58">
        <f>IF($B181="","",(N(Berechnung!D181)+N(Berechnung!Q181))*N(Berechnung!C181))</f>
        <v/>
      </c>
      <c r="D181" s="58">
        <f>IF($B181="","",(N(Berechnung!E181)+N(Berechnung!R181))*N(Berechnung!C181))</f>
        <v/>
      </c>
      <c r="E181" s="58">
        <f>IF($B181="","",(N(Berechnung!F181)+N(Berechnung!S181))*N(Berechnung!C181))</f>
        <v/>
      </c>
      <c r="F181" s="58">
        <f>IF($B181="","",(N(Berechnung!G181)+N(Berechnung!T181))*N(Berechnung!C181))</f>
        <v/>
      </c>
      <c r="G181" s="58">
        <f>IF($B181="","",(N(Berechnung!H181)+N(Berechnung!U181))*N(Berechnung!C181))</f>
        <v/>
      </c>
      <c r="H181" s="58">
        <f>IF($B181="","",(N(Berechnung!I181)+N(Berechnung!V181))*N(Berechnung!C181))</f>
        <v/>
      </c>
      <c r="I181" s="58">
        <f>IF($B181="","",(N(Berechnung!J181)+N(Berechnung!W181))*N(Berechnung!C181))</f>
        <v/>
      </c>
      <c r="J181" s="58">
        <f>IF($B181="","",(N(Berechnung!K181)+N(Berechnung!X181))*N(Berechnung!C181))</f>
        <v/>
      </c>
      <c r="K181" s="58">
        <f>IF($B181="","",(N(Berechnung!L181)+N(Berechnung!Y181))*N(Berechnung!C181))</f>
        <v/>
      </c>
      <c r="L181" s="58">
        <f>IF($B181="","",(N(Berechnung!M181)+N(Berechnung!Z181))*N(Berechnung!C181))</f>
        <v/>
      </c>
      <c r="M181" s="58">
        <f>IF($B181="","",(N(Berechnung!N181)+N(Berechnung!AA181))*N(Berechnung!C181))</f>
        <v/>
      </c>
      <c r="N181" s="58">
        <f>IF($B181="","",(N(Berechnung!O181)+N(Berechnung!AB181))*N(Berechnung!C181))</f>
        <v/>
      </c>
      <c r="O181" s="65">
        <f>IF($B181="","",SUM(C181:N181))</f>
        <v/>
      </c>
      <c r="P181" s="57">
        <f>'KQuote Mitarbeiter'!E181</f>
        <v/>
      </c>
      <c r="Q181" s="66">
        <f>'KQuote Mitarbeiter'!L181</f>
        <v/>
      </c>
      <c r="R181" s="57">
        <f>'KQuote Mitarbeiter'!D181</f>
        <v/>
      </c>
      <c r="S181" s="66">
        <f>'KQuote Mitarbeiter'!K181</f>
        <v/>
      </c>
    </row>
    <row r="182">
      <c r="A182" s="47">
        <f>'KQuote Mitarbeiter'!A182</f>
        <v/>
      </c>
      <c r="B182" s="48">
        <f>'KQuote Mitarbeiter'!B182</f>
        <v/>
      </c>
      <c r="C182" s="58">
        <f>IF($B182="","",(N(Berechnung!D182)+N(Berechnung!Q182))*N(Berechnung!C182))</f>
        <v/>
      </c>
      <c r="D182" s="58">
        <f>IF($B182="","",(N(Berechnung!E182)+N(Berechnung!R182))*N(Berechnung!C182))</f>
        <v/>
      </c>
      <c r="E182" s="58">
        <f>IF($B182="","",(N(Berechnung!F182)+N(Berechnung!S182))*N(Berechnung!C182))</f>
        <v/>
      </c>
      <c r="F182" s="58">
        <f>IF($B182="","",(N(Berechnung!G182)+N(Berechnung!T182))*N(Berechnung!C182))</f>
        <v/>
      </c>
      <c r="G182" s="58">
        <f>IF($B182="","",(N(Berechnung!H182)+N(Berechnung!U182))*N(Berechnung!C182))</f>
        <v/>
      </c>
      <c r="H182" s="58">
        <f>IF($B182="","",(N(Berechnung!I182)+N(Berechnung!V182))*N(Berechnung!C182))</f>
        <v/>
      </c>
      <c r="I182" s="58">
        <f>IF($B182="","",(N(Berechnung!J182)+N(Berechnung!W182))*N(Berechnung!C182))</f>
        <v/>
      </c>
      <c r="J182" s="58">
        <f>IF($B182="","",(N(Berechnung!K182)+N(Berechnung!X182))*N(Berechnung!C182))</f>
        <v/>
      </c>
      <c r="K182" s="58">
        <f>IF($B182="","",(N(Berechnung!L182)+N(Berechnung!Y182))*N(Berechnung!C182))</f>
        <v/>
      </c>
      <c r="L182" s="58">
        <f>IF($B182="","",(N(Berechnung!M182)+N(Berechnung!Z182))*N(Berechnung!C182))</f>
        <v/>
      </c>
      <c r="M182" s="58">
        <f>IF($B182="","",(N(Berechnung!N182)+N(Berechnung!AA182))*N(Berechnung!C182))</f>
        <v/>
      </c>
      <c r="N182" s="58">
        <f>IF($B182="","",(N(Berechnung!O182)+N(Berechnung!AB182))*N(Berechnung!C182))</f>
        <v/>
      </c>
      <c r="O182" s="65">
        <f>IF($B182="","",SUM(C182:N182))</f>
        <v/>
      </c>
      <c r="P182" s="57">
        <f>'KQuote Mitarbeiter'!E182</f>
        <v/>
      </c>
      <c r="Q182" s="66">
        <f>'KQuote Mitarbeiter'!L182</f>
        <v/>
      </c>
      <c r="R182" s="57">
        <f>'KQuote Mitarbeiter'!D182</f>
        <v/>
      </c>
      <c r="S182" s="66">
        <f>'KQuote Mitarbeiter'!K182</f>
        <v/>
      </c>
    </row>
    <row r="183">
      <c r="A183" s="47">
        <f>'KQuote Mitarbeiter'!A183</f>
        <v/>
      </c>
      <c r="B183" s="48">
        <f>'KQuote Mitarbeiter'!B183</f>
        <v/>
      </c>
      <c r="C183" s="58">
        <f>IF($B183="","",(N(Berechnung!D183)+N(Berechnung!Q183))*N(Berechnung!C183))</f>
        <v/>
      </c>
      <c r="D183" s="58">
        <f>IF($B183="","",(N(Berechnung!E183)+N(Berechnung!R183))*N(Berechnung!C183))</f>
        <v/>
      </c>
      <c r="E183" s="58">
        <f>IF($B183="","",(N(Berechnung!F183)+N(Berechnung!S183))*N(Berechnung!C183))</f>
        <v/>
      </c>
      <c r="F183" s="58">
        <f>IF($B183="","",(N(Berechnung!G183)+N(Berechnung!T183))*N(Berechnung!C183))</f>
        <v/>
      </c>
      <c r="G183" s="58">
        <f>IF($B183="","",(N(Berechnung!H183)+N(Berechnung!U183))*N(Berechnung!C183))</f>
        <v/>
      </c>
      <c r="H183" s="58">
        <f>IF($B183="","",(N(Berechnung!I183)+N(Berechnung!V183))*N(Berechnung!C183))</f>
        <v/>
      </c>
      <c r="I183" s="58">
        <f>IF($B183="","",(N(Berechnung!J183)+N(Berechnung!W183))*N(Berechnung!C183))</f>
        <v/>
      </c>
      <c r="J183" s="58">
        <f>IF($B183="","",(N(Berechnung!K183)+N(Berechnung!X183))*N(Berechnung!C183))</f>
        <v/>
      </c>
      <c r="K183" s="58">
        <f>IF($B183="","",(N(Berechnung!L183)+N(Berechnung!Y183))*N(Berechnung!C183))</f>
        <v/>
      </c>
      <c r="L183" s="58">
        <f>IF($B183="","",(N(Berechnung!M183)+N(Berechnung!Z183))*N(Berechnung!C183))</f>
        <v/>
      </c>
      <c r="M183" s="58">
        <f>IF($B183="","",(N(Berechnung!N183)+N(Berechnung!AA183))*N(Berechnung!C183))</f>
        <v/>
      </c>
      <c r="N183" s="58">
        <f>IF($B183="","",(N(Berechnung!O183)+N(Berechnung!AB183))*N(Berechnung!C183))</f>
        <v/>
      </c>
      <c r="O183" s="65">
        <f>IF($B183="","",SUM(C183:N183))</f>
        <v/>
      </c>
      <c r="P183" s="57">
        <f>'KQuote Mitarbeiter'!E183</f>
        <v/>
      </c>
      <c r="Q183" s="66">
        <f>'KQuote Mitarbeiter'!L183</f>
        <v/>
      </c>
      <c r="R183" s="57">
        <f>'KQuote Mitarbeiter'!D183</f>
        <v/>
      </c>
      <c r="S183" s="66">
        <f>'KQuote Mitarbeiter'!K183</f>
        <v/>
      </c>
    </row>
    <row r="184">
      <c r="A184" s="47">
        <f>'KQuote Mitarbeiter'!A184</f>
        <v/>
      </c>
      <c r="B184" s="48">
        <f>'KQuote Mitarbeiter'!B184</f>
        <v/>
      </c>
      <c r="C184" s="58">
        <f>IF($B184="","",(N(Berechnung!D184)+N(Berechnung!Q184))*N(Berechnung!C184))</f>
        <v/>
      </c>
      <c r="D184" s="58">
        <f>IF($B184="","",(N(Berechnung!E184)+N(Berechnung!R184))*N(Berechnung!C184))</f>
        <v/>
      </c>
      <c r="E184" s="58">
        <f>IF($B184="","",(N(Berechnung!F184)+N(Berechnung!S184))*N(Berechnung!C184))</f>
        <v/>
      </c>
      <c r="F184" s="58">
        <f>IF($B184="","",(N(Berechnung!G184)+N(Berechnung!T184))*N(Berechnung!C184))</f>
        <v/>
      </c>
      <c r="G184" s="58">
        <f>IF($B184="","",(N(Berechnung!H184)+N(Berechnung!U184))*N(Berechnung!C184))</f>
        <v/>
      </c>
      <c r="H184" s="58">
        <f>IF($B184="","",(N(Berechnung!I184)+N(Berechnung!V184))*N(Berechnung!C184))</f>
        <v/>
      </c>
      <c r="I184" s="58">
        <f>IF($B184="","",(N(Berechnung!J184)+N(Berechnung!W184))*N(Berechnung!C184))</f>
        <v/>
      </c>
      <c r="J184" s="58">
        <f>IF($B184="","",(N(Berechnung!K184)+N(Berechnung!X184))*N(Berechnung!C184))</f>
        <v/>
      </c>
      <c r="K184" s="58">
        <f>IF($B184="","",(N(Berechnung!L184)+N(Berechnung!Y184))*N(Berechnung!C184))</f>
        <v/>
      </c>
      <c r="L184" s="58">
        <f>IF($B184="","",(N(Berechnung!M184)+N(Berechnung!Z184))*N(Berechnung!C184))</f>
        <v/>
      </c>
      <c r="M184" s="58">
        <f>IF($B184="","",(N(Berechnung!N184)+N(Berechnung!AA184))*N(Berechnung!C184))</f>
        <v/>
      </c>
      <c r="N184" s="58">
        <f>IF($B184="","",(N(Berechnung!O184)+N(Berechnung!AB184))*N(Berechnung!C184))</f>
        <v/>
      </c>
      <c r="O184" s="65">
        <f>IF($B184="","",SUM(C184:N184))</f>
        <v/>
      </c>
      <c r="P184" s="57">
        <f>'KQuote Mitarbeiter'!E184</f>
        <v/>
      </c>
      <c r="Q184" s="66">
        <f>'KQuote Mitarbeiter'!L184</f>
        <v/>
      </c>
      <c r="R184" s="57">
        <f>'KQuote Mitarbeiter'!D184</f>
        <v/>
      </c>
      <c r="S184" s="66">
        <f>'KQuote Mitarbeiter'!K184</f>
        <v/>
      </c>
    </row>
    <row r="185">
      <c r="A185" s="47">
        <f>'KQuote Mitarbeiter'!A185</f>
        <v/>
      </c>
      <c r="B185" s="48">
        <f>'KQuote Mitarbeiter'!B185</f>
        <v/>
      </c>
      <c r="C185" s="58">
        <f>IF($B185="","",(N(Berechnung!D185)+N(Berechnung!Q185))*N(Berechnung!C185))</f>
        <v/>
      </c>
      <c r="D185" s="58">
        <f>IF($B185="","",(N(Berechnung!E185)+N(Berechnung!R185))*N(Berechnung!C185))</f>
        <v/>
      </c>
      <c r="E185" s="58">
        <f>IF($B185="","",(N(Berechnung!F185)+N(Berechnung!S185))*N(Berechnung!C185))</f>
        <v/>
      </c>
      <c r="F185" s="58">
        <f>IF($B185="","",(N(Berechnung!G185)+N(Berechnung!T185))*N(Berechnung!C185))</f>
        <v/>
      </c>
      <c r="G185" s="58">
        <f>IF($B185="","",(N(Berechnung!H185)+N(Berechnung!U185))*N(Berechnung!C185))</f>
        <v/>
      </c>
      <c r="H185" s="58">
        <f>IF($B185="","",(N(Berechnung!I185)+N(Berechnung!V185))*N(Berechnung!C185))</f>
        <v/>
      </c>
      <c r="I185" s="58">
        <f>IF($B185="","",(N(Berechnung!J185)+N(Berechnung!W185))*N(Berechnung!C185))</f>
        <v/>
      </c>
      <c r="J185" s="58">
        <f>IF($B185="","",(N(Berechnung!K185)+N(Berechnung!X185))*N(Berechnung!C185))</f>
        <v/>
      </c>
      <c r="K185" s="58">
        <f>IF($B185="","",(N(Berechnung!L185)+N(Berechnung!Y185))*N(Berechnung!C185))</f>
        <v/>
      </c>
      <c r="L185" s="58">
        <f>IF($B185="","",(N(Berechnung!M185)+N(Berechnung!Z185))*N(Berechnung!C185))</f>
        <v/>
      </c>
      <c r="M185" s="58">
        <f>IF($B185="","",(N(Berechnung!N185)+N(Berechnung!AA185))*N(Berechnung!C185))</f>
        <v/>
      </c>
      <c r="N185" s="58">
        <f>IF($B185="","",(N(Berechnung!O185)+N(Berechnung!AB185))*N(Berechnung!C185))</f>
        <v/>
      </c>
      <c r="O185" s="65">
        <f>IF($B185="","",SUM(C185:N185))</f>
        <v/>
      </c>
      <c r="P185" s="57">
        <f>'KQuote Mitarbeiter'!E185</f>
        <v/>
      </c>
      <c r="Q185" s="66">
        <f>'KQuote Mitarbeiter'!L185</f>
        <v/>
      </c>
      <c r="R185" s="57">
        <f>'KQuote Mitarbeiter'!D185</f>
        <v/>
      </c>
      <c r="S185" s="66">
        <f>'KQuote Mitarbeiter'!K185</f>
        <v/>
      </c>
    </row>
    <row r="186">
      <c r="A186" s="47">
        <f>'KQuote Mitarbeiter'!A186</f>
        <v/>
      </c>
      <c r="B186" s="48">
        <f>'KQuote Mitarbeiter'!B186</f>
        <v/>
      </c>
      <c r="C186" s="58">
        <f>IF($B186="","",(N(Berechnung!D186)+N(Berechnung!Q186))*N(Berechnung!C186))</f>
        <v/>
      </c>
      <c r="D186" s="58">
        <f>IF($B186="","",(N(Berechnung!E186)+N(Berechnung!R186))*N(Berechnung!C186))</f>
        <v/>
      </c>
      <c r="E186" s="58">
        <f>IF($B186="","",(N(Berechnung!F186)+N(Berechnung!S186))*N(Berechnung!C186))</f>
        <v/>
      </c>
      <c r="F186" s="58">
        <f>IF($B186="","",(N(Berechnung!G186)+N(Berechnung!T186))*N(Berechnung!C186))</f>
        <v/>
      </c>
      <c r="G186" s="58">
        <f>IF($B186="","",(N(Berechnung!H186)+N(Berechnung!U186))*N(Berechnung!C186))</f>
        <v/>
      </c>
      <c r="H186" s="58">
        <f>IF($B186="","",(N(Berechnung!I186)+N(Berechnung!V186))*N(Berechnung!C186))</f>
        <v/>
      </c>
      <c r="I186" s="58">
        <f>IF($B186="","",(N(Berechnung!J186)+N(Berechnung!W186))*N(Berechnung!C186))</f>
        <v/>
      </c>
      <c r="J186" s="58">
        <f>IF($B186="","",(N(Berechnung!K186)+N(Berechnung!X186))*N(Berechnung!C186))</f>
        <v/>
      </c>
      <c r="K186" s="58">
        <f>IF($B186="","",(N(Berechnung!L186)+N(Berechnung!Y186))*N(Berechnung!C186))</f>
        <v/>
      </c>
      <c r="L186" s="58">
        <f>IF($B186="","",(N(Berechnung!M186)+N(Berechnung!Z186))*N(Berechnung!C186))</f>
        <v/>
      </c>
      <c r="M186" s="58">
        <f>IF($B186="","",(N(Berechnung!N186)+N(Berechnung!AA186))*N(Berechnung!C186))</f>
        <v/>
      </c>
      <c r="N186" s="58">
        <f>IF($B186="","",(N(Berechnung!O186)+N(Berechnung!AB186))*N(Berechnung!C186))</f>
        <v/>
      </c>
      <c r="O186" s="65">
        <f>IF($B186="","",SUM(C186:N186))</f>
        <v/>
      </c>
      <c r="P186" s="57">
        <f>'KQuote Mitarbeiter'!E186</f>
        <v/>
      </c>
      <c r="Q186" s="66">
        <f>'KQuote Mitarbeiter'!L186</f>
        <v/>
      </c>
      <c r="R186" s="57">
        <f>'KQuote Mitarbeiter'!D186</f>
        <v/>
      </c>
      <c r="S186" s="66">
        <f>'KQuote Mitarbeiter'!K186</f>
        <v/>
      </c>
    </row>
    <row r="187">
      <c r="A187" s="47">
        <f>'KQuote Mitarbeiter'!A187</f>
        <v/>
      </c>
      <c r="B187" s="48">
        <f>'KQuote Mitarbeiter'!B187</f>
        <v/>
      </c>
      <c r="C187" s="58">
        <f>IF($B187="","",(N(Berechnung!D187)+N(Berechnung!Q187))*N(Berechnung!C187))</f>
        <v/>
      </c>
      <c r="D187" s="58">
        <f>IF($B187="","",(N(Berechnung!E187)+N(Berechnung!R187))*N(Berechnung!C187))</f>
        <v/>
      </c>
      <c r="E187" s="58">
        <f>IF($B187="","",(N(Berechnung!F187)+N(Berechnung!S187))*N(Berechnung!C187))</f>
        <v/>
      </c>
      <c r="F187" s="58">
        <f>IF($B187="","",(N(Berechnung!G187)+N(Berechnung!T187))*N(Berechnung!C187))</f>
        <v/>
      </c>
      <c r="G187" s="58">
        <f>IF($B187="","",(N(Berechnung!H187)+N(Berechnung!U187))*N(Berechnung!C187))</f>
        <v/>
      </c>
      <c r="H187" s="58">
        <f>IF($B187="","",(N(Berechnung!I187)+N(Berechnung!V187))*N(Berechnung!C187))</f>
        <v/>
      </c>
      <c r="I187" s="58">
        <f>IF($B187="","",(N(Berechnung!J187)+N(Berechnung!W187))*N(Berechnung!C187))</f>
        <v/>
      </c>
      <c r="J187" s="58">
        <f>IF($B187="","",(N(Berechnung!K187)+N(Berechnung!X187))*N(Berechnung!C187))</f>
        <v/>
      </c>
      <c r="K187" s="58">
        <f>IF($B187="","",(N(Berechnung!L187)+N(Berechnung!Y187))*N(Berechnung!C187))</f>
        <v/>
      </c>
      <c r="L187" s="58">
        <f>IF($B187="","",(N(Berechnung!M187)+N(Berechnung!Z187))*N(Berechnung!C187))</f>
        <v/>
      </c>
      <c r="M187" s="58">
        <f>IF($B187="","",(N(Berechnung!N187)+N(Berechnung!AA187))*N(Berechnung!C187))</f>
        <v/>
      </c>
      <c r="N187" s="58">
        <f>IF($B187="","",(N(Berechnung!O187)+N(Berechnung!AB187))*N(Berechnung!C187))</f>
        <v/>
      </c>
      <c r="O187" s="65">
        <f>IF($B187="","",SUM(C187:N187))</f>
        <v/>
      </c>
      <c r="P187" s="57">
        <f>'KQuote Mitarbeiter'!E187</f>
        <v/>
      </c>
      <c r="Q187" s="66">
        <f>'KQuote Mitarbeiter'!L187</f>
        <v/>
      </c>
      <c r="R187" s="57">
        <f>'KQuote Mitarbeiter'!D187</f>
        <v/>
      </c>
      <c r="S187" s="66">
        <f>'KQuote Mitarbeiter'!K187</f>
        <v/>
      </c>
    </row>
    <row r="188">
      <c r="A188" s="47">
        <f>'KQuote Mitarbeiter'!A188</f>
        <v/>
      </c>
      <c r="B188" s="48">
        <f>'KQuote Mitarbeiter'!B188</f>
        <v/>
      </c>
      <c r="C188" s="58">
        <f>IF($B188="","",(N(Berechnung!D188)+N(Berechnung!Q188))*N(Berechnung!C188))</f>
        <v/>
      </c>
      <c r="D188" s="58">
        <f>IF($B188="","",(N(Berechnung!E188)+N(Berechnung!R188))*N(Berechnung!C188))</f>
        <v/>
      </c>
      <c r="E188" s="58">
        <f>IF($B188="","",(N(Berechnung!F188)+N(Berechnung!S188))*N(Berechnung!C188))</f>
        <v/>
      </c>
      <c r="F188" s="58">
        <f>IF($B188="","",(N(Berechnung!G188)+N(Berechnung!T188))*N(Berechnung!C188))</f>
        <v/>
      </c>
      <c r="G188" s="58">
        <f>IF($B188="","",(N(Berechnung!H188)+N(Berechnung!U188))*N(Berechnung!C188))</f>
        <v/>
      </c>
      <c r="H188" s="58">
        <f>IF($B188="","",(N(Berechnung!I188)+N(Berechnung!V188))*N(Berechnung!C188))</f>
        <v/>
      </c>
      <c r="I188" s="58">
        <f>IF($B188="","",(N(Berechnung!J188)+N(Berechnung!W188))*N(Berechnung!C188))</f>
        <v/>
      </c>
      <c r="J188" s="58">
        <f>IF($B188="","",(N(Berechnung!K188)+N(Berechnung!X188))*N(Berechnung!C188))</f>
        <v/>
      </c>
      <c r="K188" s="58">
        <f>IF($B188="","",(N(Berechnung!L188)+N(Berechnung!Y188))*N(Berechnung!C188))</f>
        <v/>
      </c>
      <c r="L188" s="58">
        <f>IF($B188="","",(N(Berechnung!M188)+N(Berechnung!Z188))*N(Berechnung!C188))</f>
        <v/>
      </c>
      <c r="M188" s="58">
        <f>IF($B188="","",(N(Berechnung!N188)+N(Berechnung!AA188))*N(Berechnung!C188))</f>
        <v/>
      </c>
      <c r="N188" s="58">
        <f>IF($B188="","",(N(Berechnung!O188)+N(Berechnung!AB188))*N(Berechnung!C188))</f>
        <v/>
      </c>
      <c r="O188" s="65">
        <f>IF($B188="","",SUM(C188:N188))</f>
        <v/>
      </c>
      <c r="P188" s="57">
        <f>'KQuote Mitarbeiter'!E188</f>
        <v/>
      </c>
      <c r="Q188" s="66">
        <f>'KQuote Mitarbeiter'!L188</f>
        <v/>
      </c>
      <c r="R188" s="57">
        <f>'KQuote Mitarbeiter'!D188</f>
        <v/>
      </c>
      <c r="S188" s="66">
        <f>'KQuote Mitarbeiter'!K188</f>
        <v/>
      </c>
    </row>
    <row r="189">
      <c r="A189" s="47">
        <f>'KQuote Mitarbeiter'!A189</f>
        <v/>
      </c>
      <c r="B189" s="48">
        <f>'KQuote Mitarbeiter'!B189</f>
        <v/>
      </c>
      <c r="C189" s="58">
        <f>IF($B189="","",(N(Berechnung!D189)+N(Berechnung!Q189))*N(Berechnung!C189))</f>
        <v/>
      </c>
      <c r="D189" s="58">
        <f>IF($B189="","",(N(Berechnung!E189)+N(Berechnung!R189))*N(Berechnung!C189))</f>
        <v/>
      </c>
      <c r="E189" s="58">
        <f>IF($B189="","",(N(Berechnung!F189)+N(Berechnung!S189))*N(Berechnung!C189))</f>
        <v/>
      </c>
      <c r="F189" s="58">
        <f>IF($B189="","",(N(Berechnung!G189)+N(Berechnung!T189))*N(Berechnung!C189))</f>
        <v/>
      </c>
      <c r="G189" s="58">
        <f>IF($B189="","",(N(Berechnung!H189)+N(Berechnung!U189))*N(Berechnung!C189))</f>
        <v/>
      </c>
      <c r="H189" s="58">
        <f>IF($B189="","",(N(Berechnung!I189)+N(Berechnung!V189))*N(Berechnung!C189))</f>
        <v/>
      </c>
      <c r="I189" s="58">
        <f>IF($B189="","",(N(Berechnung!J189)+N(Berechnung!W189))*N(Berechnung!C189))</f>
        <v/>
      </c>
      <c r="J189" s="58">
        <f>IF($B189="","",(N(Berechnung!K189)+N(Berechnung!X189))*N(Berechnung!C189))</f>
        <v/>
      </c>
      <c r="K189" s="58">
        <f>IF($B189="","",(N(Berechnung!L189)+N(Berechnung!Y189))*N(Berechnung!C189))</f>
        <v/>
      </c>
      <c r="L189" s="58">
        <f>IF($B189="","",(N(Berechnung!M189)+N(Berechnung!Z189))*N(Berechnung!C189))</f>
        <v/>
      </c>
      <c r="M189" s="58">
        <f>IF($B189="","",(N(Berechnung!N189)+N(Berechnung!AA189))*N(Berechnung!C189))</f>
        <v/>
      </c>
      <c r="N189" s="58">
        <f>IF($B189="","",(N(Berechnung!O189)+N(Berechnung!AB189))*N(Berechnung!C189))</f>
        <v/>
      </c>
      <c r="O189" s="65">
        <f>IF($B189="","",SUM(C189:N189))</f>
        <v/>
      </c>
      <c r="P189" s="57">
        <f>'KQuote Mitarbeiter'!E189</f>
        <v/>
      </c>
      <c r="Q189" s="66">
        <f>'KQuote Mitarbeiter'!L189</f>
        <v/>
      </c>
      <c r="R189" s="57">
        <f>'KQuote Mitarbeiter'!D189</f>
        <v/>
      </c>
      <c r="S189" s="66">
        <f>'KQuote Mitarbeiter'!K189</f>
        <v/>
      </c>
    </row>
    <row r="190">
      <c r="A190" s="47">
        <f>'KQuote Mitarbeiter'!A190</f>
        <v/>
      </c>
      <c r="B190" s="48">
        <f>'KQuote Mitarbeiter'!B190</f>
        <v/>
      </c>
      <c r="C190" s="58">
        <f>IF($B190="","",(N(Berechnung!D190)+N(Berechnung!Q190))*N(Berechnung!C190))</f>
        <v/>
      </c>
      <c r="D190" s="58">
        <f>IF($B190="","",(N(Berechnung!E190)+N(Berechnung!R190))*N(Berechnung!C190))</f>
        <v/>
      </c>
      <c r="E190" s="58">
        <f>IF($B190="","",(N(Berechnung!F190)+N(Berechnung!S190))*N(Berechnung!C190))</f>
        <v/>
      </c>
      <c r="F190" s="58">
        <f>IF($B190="","",(N(Berechnung!G190)+N(Berechnung!T190))*N(Berechnung!C190))</f>
        <v/>
      </c>
      <c r="G190" s="58">
        <f>IF($B190="","",(N(Berechnung!H190)+N(Berechnung!U190))*N(Berechnung!C190))</f>
        <v/>
      </c>
      <c r="H190" s="58">
        <f>IF($B190="","",(N(Berechnung!I190)+N(Berechnung!V190))*N(Berechnung!C190))</f>
        <v/>
      </c>
      <c r="I190" s="58">
        <f>IF($B190="","",(N(Berechnung!J190)+N(Berechnung!W190))*N(Berechnung!C190))</f>
        <v/>
      </c>
      <c r="J190" s="58">
        <f>IF($B190="","",(N(Berechnung!K190)+N(Berechnung!X190))*N(Berechnung!C190))</f>
        <v/>
      </c>
      <c r="K190" s="58">
        <f>IF($B190="","",(N(Berechnung!L190)+N(Berechnung!Y190))*N(Berechnung!C190))</f>
        <v/>
      </c>
      <c r="L190" s="58">
        <f>IF($B190="","",(N(Berechnung!M190)+N(Berechnung!Z190))*N(Berechnung!C190))</f>
        <v/>
      </c>
      <c r="M190" s="58">
        <f>IF($B190="","",(N(Berechnung!N190)+N(Berechnung!AA190))*N(Berechnung!C190))</f>
        <v/>
      </c>
      <c r="N190" s="58">
        <f>IF($B190="","",(N(Berechnung!O190)+N(Berechnung!AB190))*N(Berechnung!C190))</f>
        <v/>
      </c>
      <c r="O190" s="65">
        <f>IF($B190="","",SUM(C190:N190))</f>
        <v/>
      </c>
      <c r="P190" s="57">
        <f>'KQuote Mitarbeiter'!E190</f>
        <v/>
      </c>
      <c r="Q190" s="66">
        <f>'KQuote Mitarbeiter'!L190</f>
        <v/>
      </c>
      <c r="R190" s="57">
        <f>'KQuote Mitarbeiter'!D190</f>
        <v/>
      </c>
      <c r="S190" s="66">
        <f>'KQuote Mitarbeiter'!K190</f>
        <v/>
      </c>
    </row>
    <row r="191">
      <c r="A191" s="47">
        <f>'KQuote Mitarbeiter'!A191</f>
        <v/>
      </c>
      <c r="B191" s="48">
        <f>'KQuote Mitarbeiter'!B191</f>
        <v/>
      </c>
      <c r="C191" s="58">
        <f>IF($B191="","",(N(Berechnung!D191)+N(Berechnung!Q191))*N(Berechnung!C191))</f>
        <v/>
      </c>
      <c r="D191" s="58">
        <f>IF($B191="","",(N(Berechnung!E191)+N(Berechnung!R191))*N(Berechnung!C191))</f>
        <v/>
      </c>
      <c r="E191" s="58">
        <f>IF($B191="","",(N(Berechnung!F191)+N(Berechnung!S191))*N(Berechnung!C191))</f>
        <v/>
      </c>
      <c r="F191" s="58">
        <f>IF($B191="","",(N(Berechnung!G191)+N(Berechnung!T191))*N(Berechnung!C191))</f>
        <v/>
      </c>
      <c r="G191" s="58">
        <f>IF($B191="","",(N(Berechnung!H191)+N(Berechnung!U191))*N(Berechnung!C191))</f>
        <v/>
      </c>
      <c r="H191" s="58">
        <f>IF($B191="","",(N(Berechnung!I191)+N(Berechnung!V191))*N(Berechnung!C191))</f>
        <v/>
      </c>
      <c r="I191" s="58">
        <f>IF($B191="","",(N(Berechnung!J191)+N(Berechnung!W191))*N(Berechnung!C191))</f>
        <v/>
      </c>
      <c r="J191" s="58">
        <f>IF($B191="","",(N(Berechnung!K191)+N(Berechnung!X191))*N(Berechnung!C191))</f>
        <v/>
      </c>
      <c r="K191" s="58">
        <f>IF($B191="","",(N(Berechnung!L191)+N(Berechnung!Y191))*N(Berechnung!C191))</f>
        <v/>
      </c>
      <c r="L191" s="58">
        <f>IF($B191="","",(N(Berechnung!M191)+N(Berechnung!Z191))*N(Berechnung!C191))</f>
        <v/>
      </c>
      <c r="M191" s="58">
        <f>IF($B191="","",(N(Berechnung!N191)+N(Berechnung!AA191))*N(Berechnung!C191))</f>
        <v/>
      </c>
      <c r="N191" s="58">
        <f>IF($B191="","",(N(Berechnung!O191)+N(Berechnung!AB191))*N(Berechnung!C191))</f>
        <v/>
      </c>
      <c r="O191" s="65">
        <f>IF($B191="","",SUM(C191:N191))</f>
        <v/>
      </c>
      <c r="P191" s="57">
        <f>'KQuote Mitarbeiter'!E191</f>
        <v/>
      </c>
      <c r="Q191" s="66">
        <f>'KQuote Mitarbeiter'!L191</f>
        <v/>
      </c>
      <c r="R191" s="57">
        <f>'KQuote Mitarbeiter'!D191</f>
        <v/>
      </c>
      <c r="S191" s="66">
        <f>'KQuote Mitarbeiter'!K191</f>
        <v/>
      </c>
    </row>
    <row r="192">
      <c r="A192" s="47">
        <f>'KQuote Mitarbeiter'!A192</f>
        <v/>
      </c>
      <c r="B192" s="48">
        <f>'KQuote Mitarbeiter'!B192</f>
        <v/>
      </c>
      <c r="C192" s="58">
        <f>IF($B192="","",(N(Berechnung!D192)+N(Berechnung!Q192))*N(Berechnung!C192))</f>
        <v/>
      </c>
      <c r="D192" s="58">
        <f>IF($B192="","",(N(Berechnung!E192)+N(Berechnung!R192))*N(Berechnung!C192))</f>
        <v/>
      </c>
      <c r="E192" s="58">
        <f>IF($B192="","",(N(Berechnung!F192)+N(Berechnung!S192))*N(Berechnung!C192))</f>
        <v/>
      </c>
      <c r="F192" s="58">
        <f>IF($B192="","",(N(Berechnung!G192)+N(Berechnung!T192))*N(Berechnung!C192))</f>
        <v/>
      </c>
      <c r="G192" s="58">
        <f>IF($B192="","",(N(Berechnung!H192)+N(Berechnung!U192))*N(Berechnung!C192))</f>
        <v/>
      </c>
      <c r="H192" s="58">
        <f>IF($B192="","",(N(Berechnung!I192)+N(Berechnung!V192))*N(Berechnung!C192))</f>
        <v/>
      </c>
      <c r="I192" s="58">
        <f>IF($B192="","",(N(Berechnung!J192)+N(Berechnung!W192))*N(Berechnung!C192))</f>
        <v/>
      </c>
      <c r="J192" s="58">
        <f>IF($B192="","",(N(Berechnung!K192)+N(Berechnung!X192))*N(Berechnung!C192))</f>
        <v/>
      </c>
      <c r="K192" s="58">
        <f>IF($B192="","",(N(Berechnung!L192)+N(Berechnung!Y192))*N(Berechnung!C192))</f>
        <v/>
      </c>
      <c r="L192" s="58">
        <f>IF($B192="","",(N(Berechnung!M192)+N(Berechnung!Z192))*N(Berechnung!C192))</f>
        <v/>
      </c>
      <c r="M192" s="58">
        <f>IF($B192="","",(N(Berechnung!N192)+N(Berechnung!AA192))*N(Berechnung!C192))</f>
        <v/>
      </c>
      <c r="N192" s="58">
        <f>IF($B192="","",(N(Berechnung!O192)+N(Berechnung!AB192))*N(Berechnung!C192))</f>
        <v/>
      </c>
      <c r="O192" s="65">
        <f>IF($B192="","",SUM(C192:N192))</f>
        <v/>
      </c>
      <c r="P192" s="57">
        <f>'KQuote Mitarbeiter'!E192</f>
        <v/>
      </c>
      <c r="Q192" s="66">
        <f>'KQuote Mitarbeiter'!L192</f>
        <v/>
      </c>
      <c r="R192" s="57">
        <f>'KQuote Mitarbeiter'!D192</f>
        <v/>
      </c>
      <c r="S192" s="66">
        <f>'KQuote Mitarbeiter'!K192</f>
        <v/>
      </c>
    </row>
    <row r="193">
      <c r="A193" s="47">
        <f>'KQuote Mitarbeiter'!A193</f>
        <v/>
      </c>
      <c r="B193" s="48">
        <f>'KQuote Mitarbeiter'!B193</f>
        <v/>
      </c>
      <c r="C193" s="58">
        <f>IF($B193="","",(N(Berechnung!D193)+N(Berechnung!Q193))*N(Berechnung!C193))</f>
        <v/>
      </c>
      <c r="D193" s="58">
        <f>IF($B193="","",(N(Berechnung!E193)+N(Berechnung!R193))*N(Berechnung!C193))</f>
        <v/>
      </c>
      <c r="E193" s="58">
        <f>IF($B193="","",(N(Berechnung!F193)+N(Berechnung!S193))*N(Berechnung!C193))</f>
        <v/>
      </c>
      <c r="F193" s="58">
        <f>IF($B193="","",(N(Berechnung!G193)+N(Berechnung!T193))*N(Berechnung!C193))</f>
        <v/>
      </c>
      <c r="G193" s="58">
        <f>IF($B193="","",(N(Berechnung!H193)+N(Berechnung!U193))*N(Berechnung!C193))</f>
        <v/>
      </c>
      <c r="H193" s="58">
        <f>IF($B193="","",(N(Berechnung!I193)+N(Berechnung!V193))*N(Berechnung!C193))</f>
        <v/>
      </c>
      <c r="I193" s="58">
        <f>IF($B193="","",(N(Berechnung!J193)+N(Berechnung!W193))*N(Berechnung!C193))</f>
        <v/>
      </c>
      <c r="J193" s="58">
        <f>IF($B193="","",(N(Berechnung!K193)+N(Berechnung!X193))*N(Berechnung!C193))</f>
        <v/>
      </c>
      <c r="K193" s="58">
        <f>IF($B193="","",(N(Berechnung!L193)+N(Berechnung!Y193))*N(Berechnung!C193))</f>
        <v/>
      </c>
      <c r="L193" s="58">
        <f>IF($B193="","",(N(Berechnung!M193)+N(Berechnung!Z193))*N(Berechnung!C193))</f>
        <v/>
      </c>
      <c r="M193" s="58">
        <f>IF($B193="","",(N(Berechnung!N193)+N(Berechnung!AA193))*N(Berechnung!C193))</f>
        <v/>
      </c>
      <c r="N193" s="58">
        <f>IF($B193="","",(N(Berechnung!O193)+N(Berechnung!AB193))*N(Berechnung!C193))</f>
        <v/>
      </c>
      <c r="O193" s="65">
        <f>IF($B193="","",SUM(C193:N193))</f>
        <v/>
      </c>
      <c r="P193" s="57">
        <f>'KQuote Mitarbeiter'!E193</f>
        <v/>
      </c>
      <c r="Q193" s="66">
        <f>'KQuote Mitarbeiter'!L193</f>
        <v/>
      </c>
      <c r="R193" s="57">
        <f>'KQuote Mitarbeiter'!D193</f>
        <v/>
      </c>
      <c r="S193" s="66">
        <f>'KQuote Mitarbeiter'!K193</f>
        <v/>
      </c>
    </row>
    <row r="194">
      <c r="A194" s="47">
        <f>'KQuote Mitarbeiter'!A194</f>
        <v/>
      </c>
      <c r="B194" s="48">
        <f>'KQuote Mitarbeiter'!B194</f>
        <v/>
      </c>
      <c r="C194" s="58">
        <f>IF($B194="","",(N(Berechnung!D194)+N(Berechnung!Q194))*N(Berechnung!C194))</f>
        <v/>
      </c>
      <c r="D194" s="58">
        <f>IF($B194="","",(N(Berechnung!E194)+N(Berechnung!R194))*N(Berechnung!C194))</f>
        <v/>
      </c>
      <c r="E194" s="58">
        <f>IF($B194="","",(N(Berechnung!F194)+N(Berechnung!S194))*N(Berechnung!C194))</f>
        <v/>
      </c>
      <c r="F194" s="58">
        <f>IF($B194="","",(N(Berechnung!G194)+N(Berechnung!T194))*N(Berechnung!C194))</f>
        <v/>
      </c>
      <c r="G194" s="58">
        <f>IF($B194="","",(N(Berechnung!H194)+N(Berechnung!U194))*N(Berechnung!C194))</f>
        <v/>
      </c>
      <c r="H194" s="58">
        <f>IF($B194="","",(N(Berechnung!I194)+N(Berechnung!V194))*N(Berechnung!C194))</f>
        <v/>
      </c>
      <c r="I194" s="58">
        <f>IF($B194="","",(N(Berechnung!J194)+N(Berechnung!W194))*N(Berechnung!C194))</f>
        <v/>
      </c>
      <c r="J194" s="58">
        <f>IF($B194="","",(N(Berechnung!K194)+N(Berechnung!X194))*N(Berechnung!C194))</f>
        <v/>
      </c>
      <c r="K194" s="58">
        <f>IF($B194="","",(N(Berechnung!L194)+N(Berechnung!Y194))*N(Berechnung!C194))</f>
        <v/>
      </c>
      <c r="L194" s="58">
        <f>IF($B194="","",(N(Berechnung!M194)+N(Berechnung!Z194))*N(Berechnung!C194))</f>
        <v/>
      </c>
      <c r="M194" s="58">
        <f>IF($B194="","",(N(Berechnung!N194)+N(Berechnung!AA194))*N(Berechnung!C194))</f>
        <v/>
      </c>
      <c r="N194" s="58">
        <f>IF($B194="","",(N(Berechnung!O194)+N(Berechnung!AB194))*N(Berechnung!C194))</f>
        <v/>
      </c>
      <c r="O194" s="65">
        <f>IF($B194="","",SUM(C194:N194))</f>
        <v/>
      </c>
      <c r="P194" s="57">
        <f>'KQuote Mitarbeiter'!E194</f>
        <v/>
      </c>
      <c r="Q194" s="66">
        <f>'KQuote Mitarbeiter'!L194</f>
        <v/>
      </c>
      <c r="R194" s="57">
        <f>'KQuote Mitarbeiter'!D194</f>
        <v/>
      </c>
      <c r="S194" s="66">
        <f>'KQuote Mitarbeiter'!K194</f>
        <v/>
      </c>
    </row>
    <row r="195">
      <c r="A195" s="47">
        <f>'KQuote Mitarbeiter'!A195</f>
        <v/>
      </c>
      <c r="B195" s="48">
        <f>'KQuote Mitarbeiter'!B195</f>
        <v/>
      </c>
      <c r="C195" s="58">
        <f>IF($B195="","",(N(Berechnung!D195)+N(Berechnung!Q195))*N(Berechnung!C195))</f>
        <v/>
      </c>
      <c r="D195" s="58">
        <f>IF($B195="","",(N(Berechnung!E195)+N(Berechnung!R195))*N(Berechnung!C195))</f>
        <v/>
      </c>
      <c r="E195" s="58">
        <f>IF($B195="","",(N(Berechnung!F195)+N(Berechnung!S195))*N(Berechnung!C195))</f>
        <v/>
      </c>
      <c r="F195" s="58">
        <f>IF($B195="","",(N(Berechnung!G195)+N(Berechnung!T195))*N(Berechnung!C195))</f>
        <v/>
      </c>
      <c r="G195" s="58">
        <f>IF($B195="","",(N(Berechnung!H195)+N(Berechnung!U195))*N(Berechnung!C195))</f>
        <v/>
      </c>
      <c r="H195" s="58">
        <f>IF($B195="","",(N(Berechnung!I195)+N(Berechnung!V195))*N(Berechnung!C195))</f>
        <v/>
      </c>
      <c r="I195" s="58">
        <f>IF($B195="","",(N(Berechnung!J195)+N(Berechnung!W195))*N(Berechnung!C195))</f>
        <v/>
      </c>
      <c r="J195" s="58">
        <f>IF($B195="","",(N(Berechnung!K195)+N(Berechnung!X195))*N(Berechnung!C195))</f>
        <v/>
      </c>
      <c r="K195" s="58">
        <f>IF($B195="","",(N(Berechnung!L195)+N(Berechnung!Y195))*N(Berechnung!C195))</f>
        <v/>
      </c>
      <c r="L195" s="58">
        <f>IF($B195="","",(N(Berechnung!M195)+N(Berechnung!Z195))*N(Berechnung!C195))</f>
        <v/>
      </c>
      <c r="M195" s="58">
        <f>IF($B195="","",(N(Berechnung!N195)+N(Berechnung!AA195))*N(Berechnung!C195))</f>
        <v/>
      </c>
      <c r="N195" s="58">
        <f>IF($B195="","",(N(Berechnung!O195)+N(Berechnung!AB195))*N(Berechnung!C195))</f>
        <v/>
      </c>
      <c r="O195" s="65">
        <f>IF($B195="","",SUM(C195:N195))</f>
        <v/>
      </c>
      <c r="P195" s="57">
        <f>'KQuote Mitarbeiter'!E195</f>
        <v/>
      </c>
      <c r="Q195" s="66">
        <f>'KQuote Mitarbeiter'!L195</f>
        <v/>
      </c>
      <c r="R195" s="57">
        <f>'KQuote Mitarbeiter'!D195</f>
        <v/>
      </c>
      <c r="S195" s="66">
        <f>'KQuote Mitarbeiter'!K195</f>
        <v/>
      </c>
    </row>
    <row r="196">
      <c r="A196" s="47">
        <f>'KQuote Mitarbeiter'!A196</f>
        <v/>
      </c>
      <c r="B196" s="48">
        <f>'KQuote Mitarbeiter'!B196</f>
        <v/>
      </c>
      <c r="C196" s="58">
        <f>IF($B196="","",(N(Berechnung!D196)+N(Berechnung!Q196))*N(Berechnung!C196))</f>
        <v/>
      </c>
      <c r="D196" s="58">
        <f>IF($B196="","",(N(Berechnung!E196)+N(Berechnung!R196))*N(Berechnung!C196))</f>
        <v/>
      </c>
      <c r="E196" s="58">
        <f>IF($B196="","",(N(Berechnung!F196)+N(Berechnung!S196))*N(Berechnung!C196))</f>
        <v/>
      </c>
      <c r="F196" s="58">
        <f>IF($B196="","",(N(Berechnung!G196)+N(Berechnung!T196))*N(Berechnung!C196))</f>
        <v/>
      </c>
      <c r="G196" s="58">
        <f>IF($B196="","",(N(Berechnung!H196)+N(Berechnung!U196))*N(Berechnung!C196))</f>
        <v/>
      </c>
      <c r="H196" s="58">
        <f>IF($B196="","",(N(Berechnung!I196)+N(Berechnung!V196))*N(Berechnung!C196))</f>
        <v/>
      </c>
      <c r="I196" s="58">
        <f>IF($B196="","",(N(Berechnung!J196)+N(Berechnung!W196))*N(Berechnung!C196))</f>
        <v/>
      </c>
      <c r="J196" s="58">
        <f>IF($B196="","",(N(Berechnung!K196)+N(Berechnung!X196))*N(Berechnung!C196))</f>
        <v/>
      </c>
      <c r="K196" s="58">
        <f>IF($B196="","",(N(Berechnung!L196)+N(Berechnung!Y196))*N(Berechnung!C196))</f>
        <v/>
      </c>
      <c r="L196" s="58">
        <f>IF($B196="","",(N(Berechnung!M196)+N(Berechnung!Z196))*N(Berechnung!C196))</f>
        <v/>
      </c>
      <c r="M196" s="58">
        <f>IF($B196="","",(N(Berechnung!N196)+N(Berechnung!AA196))*N(Berechnung!C196))</f>
        <v/>
      </c>
      <c r="N196" s="58">
        <f>IF($B196="","",(N(Berechnung!O196)+N(Berechnung!AB196))*N(Berechnung!C196))</f>
        <v/>
      </c>
      <c r="O196" s="65">
        <f>IF($B196="","",SUM(C196:N196))</f>
        <v/>
      </c>
      <c r="P196" s="57">
        <f>'KQuote Mitarbeiter'!E196</f>
        <v/>
      </c>
      <c r="Q196" s="66">
        <f>'KQuote Mitarbeiter'!L196</f>
        <v/>
      </c>
      <c r="R196" s="57">
        <f>'KQuote Mitarbeiter'!D196</f>
        <v/>
      </c>
      <c r="S196" s="66">
        <f>'KQuote Mitarbeiter'!K196</f>
        <v/>
      </c>
    </row>
    <row r="197">
      <c r="A197" s="47">
        <f>'KQuote Mitarbeiter'!A197</f>
        <v/>
      </c>
      <c r="B197" s="48">
        <f>'KQuote Mitarbeiter'!B197</f>
        <v/>
      </c>
      <c r="C197" s="58">
        <f>IF($B197="","",(N(Berechnung!D197)+N(Berechnung!Q197))*N(Berechnung!C197))</f>
        <v/>
      </c>
      <c r="D197" s="58">
        <f>IF($B197="","",(N(Berechnung!E197)+N(Berechnung!R197))*N(Berechnung!C197))</f>
        <v/>
      </c>
      <c r="E197" s="58">
        <f>IF($B197="","",(N(Berechnung!F197)+N(Berechnung!S197))*N(Berechnung!C197))</f>
        <v/>
      </c>
      <c r="F197" s="58">
        <f>IF($B197="","",(N(Berechnung!G197)+N(Berechnung!T197))*N(Berechnung!C197))</f>
        <v/>
      </c>
      <c r="G197" s="58">
        <f>IF($B197="","",(N(Berechnung!H197)+N(Berechnung!U197))*N(Berechnung!C197))</f>
        <v/>
      </c>
      <c r="H197" s="58">
        <f>IF($B197="","",(N(Berechnung!I197)+N(Berechnung!V197))*N(Berechnung!C197))</f>
        <v/>
      </c>
      <c r="I197" s="58">
        <f>IF($B197="","",(N(Berechnung!J197)+N(Berechnung!W197))*N(Berechnung!C197))</f>
        <v/>
      </c>
      <c r="J197" s="58">
        <f>IF($B197="","",(N(Berechnung!K197)+N(Berechnung!X197))*N(Berechnung!C197))</f>
        <v/>
      </c>
      <c r="K197" s="58">
        <f>IF($B197="","",(N(Berechnung!L197)+N(Berechnung!Y197))*N(Berechnung!C197))</f>
        <v/>
      </c>
      <c r="L197" s="58">
        <f>IF($B197="","",(N(Berechnung!M197)+N(Berechnung!Z197))*N(Berechnung!C197))</f>
        <v/>
      </c>
      <c r="M197" s="58">
        <f>IF($B197="","",(N(Berechnung!N197)+N(Berechnung!AA197))*N(Berechnung!C197))</f>
        <v/>
      </c>
      <c r="N197" s="58">
        <f>IF($B197="","",(N(Berechnung!O197)+N(Berechnung!AB197))*N(Berechnung!C197))</f>
        <v/>
      </c>
      <c r="O197" s="65">
        <f>IF($B197="","",SUM(C197:N197))</f>
        <v/>
      </c>
      <c r="P197" s="57">
        <f>'KQuote Mitarbeiter'!E197</f>
        <v/>
      </c>
      <c r="Q197" s="66">
        <f>'KQuote Mitarbeiter'!L197</f>
        <v/>
      </c>
      <c r="R197" s="57">
        <f>'KQuote Mitarbeiter'!D197</f>
        <v/>
      </c>
      <c r="S197" s="66">
        <f>'KQuote Mitarbeiter'!K197</f>
        <v/>
      </c>
    </row>
    <row r="198">
      <c r="A198" s="47">
        <f>'KQuote Mitarbeiter'!A198</f>
        <v/>
      </c>
      <c r="B198" s="48">
        <f>'KQuote Mitarbeiter'!B198</f>
        <v/>
      </c>
      <c r="C198" s="58">
        <f>IF($B198="","",(N(Berechnung!D198)+N(Berechnung!Q198))*N(Berechnung!C198))</f>
        <v/>
      </c>
      <c r="D198" s="58">
        <f>IF($B198="","",(N(Berechnung!E198)+N(Berechnung!R198))*N(Berechnung!C198))</f>
        <v/>
      </c>
      <c r="E198" s="58">
        <f>IF($B198="","",(N(Berechnung!F198)+N(Berechnung!S198))*N(Berechnung!C198))</f>
        <v/>
      </c>
      <c r="F198" s="58">
        <f>IF($B198="","",(N(Berechnung!G198)+N(Berechnung!T198))*N(Berechnung!C198))</f>
        <v/>
      </c>
      <c r="G198" s="58">
        <f>IF($B198="","",(N(Berechnung!H198)+N(Berechnung!U198))*N(Berechnung!C198))</f>
        <v/>
      </c>
      <c r="H198" s="58">
        <f>IF($B198="","",(N(Berechnung!I198)+N(Berechnung!V198))*N(Berechnung!C198))</f>
        <v/>
      </c>
      <c r="I198" s="58">
        <f>IF($B198="","",(N(Berechnung!J198)+N(Berechnung!W198))*N(Berechnung!C198))</f>
        <v/>
      </c>
      <c r="J198" s="58">
        <f>IF($B198="","",(N(Berechnung!K198)+N(Berechnung!X198))*N(Berechnung!C198))</f>
        <v/>
      </c>
      <c r="K198" s="58">
        <f>IF($B198="","",(N(Berechnung!L198)+N(Berechnung!Y198))*N(Berechnung!C198))</f>
        <v/>
      </c>
      <c r="L198" s="58">
        <f>IF($B198="","",(N(Berechnung!M198)+N(Berechnung!Z198))*N(Berechnung!C198))</f>
        <v/>
      </c>
      <c r="M198" s="58">
        <f>IF($B198="","",(N(Berechnung!N198)+N(Berechnung!AA198))*N(Berechnung!C198))</f>
        <v/>
      </c>
      <c r="N198" s="58">
        <f>IF($B198="","",(N(Berechnung!O198)+N(Berechnung!AB198))*N(Berechnung!C198))</f>
        <v/>
      </c>
      <c r="O198" s="65">
        <f>IF($B198="","",SUM(C198:N198))</f>
        <v/>
      </c>
      <c r="P198" s="57">
        <f>'KQuote Mitarbeiter'!E198</f>
        <v/>
      </c>
      <c r="Q198" s="66">
        <f>'KQuote Mitarbeiter'!L198</f>
        <v/>
      </c>
      <c r="R198" s="57">
        <f>'KQuote Mitarbeiter'!D198</f>
        <v/>
      </c>
      <c r="S198" s="66">
        <f>'KQuote Mitarbeiter'!K198</f>
        <v/>
      </c>
    </row>
    <row r="199">
      <c r="A199" s="47">
        <f>'KQuote Mitarbeiter'!A199</f>
        <v/>
      </c>
      <c r="B199" s="48">
        <f>'KQuote Mitarbeiter'!B199</f>
        <v/>
      </c>
      <c r="C199" s="58">
        <f>IF($B199="","",(N(Berechnung!D199)+N(Berechnung!Q199))*N(Berechnung!C199))</f>
        <v/>
      </c>
      <c r="D199" s="58">
        <f>IF($B199="","",(N(Berechnung!E199)+N(Berechnung!R199))*N(Berechnung!C199))</f>
        <v/>
      </c>
      <c r="E199" s="58">
        <f>IF($B199="","",(N(Berechnung!F199)+N(Berechnung!S199))*N(Berechnung!C199))</f>
        <v/>
      </c>
      <c r="F199" s="58">
        <f>IF($B199="","",(N(Berechnung!G199)+N(Berechnung!T199))*N(Berechnung!C199))</f>
        <v/>
      </c>
      <c r="G199" s="58">
        <f>IF($B199="","",(N(Berechnung!H199)+N(Berechnung!U199))*N(Berechnung!C199))</f>
        <v/>
      </c>
      <c r="H199" s="58">
        <f>IF($B199="","",(N(Berechnung!I199)+N(Berechnung!V199))*N(Berechnung!C199))</f>
        <v/>
      </c>
      <c r="I199" s="58">
        <f>IF($B199="","",(N(Berechnung!J199)+N(Berechnung!W199))*N(Berechnung!C199))</f>
        <v/>
      </c>
      <c r="J199" s="58">
        <f>IF($B199="","",(N(Berechnung!K199)+N(Berechnung!X199))*N(Berechnung!C199))</f>
        <v/>
      </c>
      <c r="K199" s="58">
        <f>IF($B199="","",(N(Berechnung!L199)+N(Berechnung!Y199))*N(Berechnung!C199))</f>
        <v/>
      </c>
      <c r="L199" s="58">
        <f>IF($B199="","",(N(Berechnung!M199)+N(Berechnung!Z199))*N(Berechnung!C199))</f>
        <v/>
      </c>
      <c r="M199" s="58">
        <f>IF($B199="","",(N(Berechnung!N199)+N(Berechnung!AA199))*N(Berechnung!C199))</f>
        <v/>
      </c>
      <c r="N199" s="58">
        <f>IF($B199="","",(N(Berechnung!O199)+N(Berechnung!AB199))*N(Berechnung!C199))</f>
        <v/>
      </c>
      <c r="O199" s="65">
        <f>IF($B199="","",SUM(C199:N199))</f>
        <v/>
      </c>
      <c r="P199" s="57">
        <f>'KQuote Mitarbeiter'!E199</f>
        <v/>
      </c>
      <c r="Q199" s="66">
        <f>'KQuote Mitarbeiter'!L199</f>
        <v/>
      </c>
      <c r="R199" s="57">
        <f>'KQuote Mitarbeiter'!D199</f>
        <v/>
      </c>
      <c r="S199" s="66">
        <f>'KQuote Mitarbeiter'!K199</f>
        <v/>
      </c>
    </row>
    <row r="200">
      <c r="A200" s="47">
        <f>'KQuote Mitarbeiter'!A200</f>
        <v/>
      </c>
      <c r="B200" s="48">
        <f>'KQuote Mitarbeiter'!B200</f>
        <v/>
      </c>
      <c r="C200" s="58">
        <f>IF($B200="","",(N(Berechnung!D200)+N(Berechnung!Q200))*N(Berechnung!C200))</f>
        <v/>
      </c>
      <c r="D200" s="58">
        <f>IF($B200="","",(N(Berechnung!E200)+N(Berechnung!R200))*N(Berechnung!C200))</f>
        <v/>
      </c>
      <c r="E200" s="58">
        <f>IF($B200="","",(N(Berechnung!F200)+N(Berechnung!S200))*N(Berechnung!C200))</f>
        <v/>
      </c>
      <c r="F200" s="58">
        <f>IF($B200="","",(N(Berechnung!G200)+N(Berechnung!T200))*N(Berechnung!C200))</f>
        <v/>
      </c>
      <c r="G200" s="58">
        <f>IF($B200="","",(N(Berechnung!H200)+N(Berechnung!U200))*N(Berechnung!C200))</f>
        <v/>
      </c>
      <c r="H200" s="58">
        <f>IF($B200="","",(N(Berechnung!I200)+N(Berechnung!V200))*N(Berechnung!C200))</f>
        <v/>
      </c>
      <c r="I200" s="58">
        <f>IF($B200="","",(N(Berechnung!J200)+N(Berechnung!W200))*N(Berechnung!C200))</f>
        <v/>
      </c>
      <c r="J200" s="58">
        <f>IF($B200="","",(N(Berechnung!K200)+N(Berechnung!X200))*N(Berechnung!C200))</f>
        <v/>
      </c>
      <c r="K200" s="58">
        <f>IF($B200="","",(N(Berechnung!L200)+N(Berechnung!Y200))*N(Berechnung!C200))</f>
        <v/>
      </c>
      <c r="L200" s="58">
        <f>IF($B200="","",(N(Berechnung!M200)+N(Berechnung!Z200))*N(Berechnung!C200))</f>
        <v/>
      </c>
      <c r="M200" s="58">
        <f>IF($B200="","",(N(Berechnung!N200)+N(Berechnung!AA200))*N(Berechnung!C200))</f>
        <v/>
      </c>
      <c r="N200" s="58">
        <f>IF($B200="","",(N(Berechnung!O200)+N(Berechnung!AB200))*N(Berechnung!C200))</f>
        <v/>
      </c>
      <c r="O200" s="65">
        <f>IF($B200="","",SUM(C200:N200))</f>
        <v/>
      </c>
      <c r="P200" s="57">
        <f>'KQuote Mitarbeiter'!E200</f>
        <v/>
      </c>
      <c r="Q200" s="66">
        <f>'KQuote Mitarbeiter'!L200</f>
        <v/>
      </c>
      <c r="R200" s="57">
        <f>'KQuote Mitarbeiter'!D200</f>
        <v/>
      </c>
      <c r="S200" s="66">
        <f>'KQuote Mitarbeiter'!K200</f>
        <v/>
      </c>
    </row>
    <row r="201">
      <c r="A201" s="47">
        <f>'KQuote Mitarbeiter'!A201</f>
        <v/>
      </c>
      <c r="B201" s="48">
        <f>'KQuote Mitarbeiter'!B201</f>
        <v/>
      </c>
      <c r="C201" s="58">
        <f>IF($B201="","",(N(Berechnung!D201)+N(Berechnung!Q201))*N(Berechnung!C201))</f>
        <v/>
      </c>
      <c r="D201" s="58">
        <f>IF($B201="","",(N(Berechnung!E201)+N(Berechnung!R201))*N(Berechnung!C201))</f>
        <v/>
      </c>
      <c r="E201" s="58">
        <f>IF($B201="","",(N(Berechnung!F201)+N(Berechnung!S201))*N(Berechnung!C201))</f>
        <v/>
      </c>
      <c r="F201" s="58">
        <f>IF($B201="","",(N(Berechnung!G201)+N(Berechnung!T201))*N(Berechnung!C201))</f>
        <v/>
      </c>
      <c r="G201" s="58">
        <f>IF($B201="","",(N(Berechnung!H201)+N(Berechnung!U201))*N(Berechnung!C201))</f>
        <v/>
      </c>
      <c r="H201" s="58">
        <f>IF($B201="","",(N(Berechnung!I201)+N(Berechnung!V201))*N(Berechnung!C201))</f>
        <v/>
      </c>
      <c r="I201" s="58">
        <f>IF($B201="","",(N(Berechnung!J201)+N(Berechnung!W201))*N(Berechnung!C201))</f>
        <v/>
      </c>
      <c r="J201" s="58">
        <f>IF($B201="","",(N(Berechnung!K201)+N(Berechnung!X201))*N(Berechnung!C201))</f>
        <v/>
      </c>
      <c r="K201" s="58">
        <f>IF($B201="","",(N(Berechnung!L201)+N(Berechnung!Y201))*N(Berechnung!C201))</f>
        <v/>
      </c>
      <c r="L201" s="58">
        <f>IF($B201="","",(N(Berechnung!M201)+N(Berechnung!Z201))*N(Berechnung!C201))</f>
        <v/>
      </c>
      <c r="M201" s="58">
        <f>IF($B201="","",(N(Berechnung!N201)+N(Berechnung!AA201))*N(Berechnung!C201))</f>
        <v/>
      </c>
      <c r="N201" s="58">
        <f>IF($B201="","",(N(Berechnung!O201)+N(Berechnung!AB201))*N(Berechnung!C201))</f>
        <v/>
      </c>
      <c r="O201" s="65">
        <f>IF($B201="","",SUM(C201:N201))</f>
        <v/>
      </c>
      <c r="P201" s="57">
        <f>'KQuote Mitarbeiter'!E201</f>
        <v/>
      </c>
      <c r="Q201" s="66">
        <f>'KQuote Mitarbeiter'!L201</f>
        <v/>
      </c>
      <c r="R201" s="57">
        <f>'KQuote Mitarbeiter'!D201</f>
        <v/>
      </c>
      <c r="S201" s="66">
        <f>'KQuote Mitarbeiter'!K201</f>
        <v/>
      </c>
    </row>
    <row r="202">
      <c r="A202" s="47">
        <f>'KQuote Mitarbeiter'!A202</f>
        <v/>
      </c>
      <c r="B202" s="48">
        <f>'KQuote Mitarbeiter'!B202</f>
        <v/>
      </c>
      <c r="C202" s="58">
        <f>IF($B202="","",(N(Berechnung!D202)+N(Berechnung!Q202))*N(Berechnung!C202))</f>
        <v/>
      </c>
      <c r="D202" s="58">
        <f>IF($B202="","",(N(Berechnung!E202)+N(Berechnung!R202))*N(Berechnung!C202))</f>
        <v/>
      </c>
      <c r="E202" s="58">
        <f>IF($B202="","",(N(Berechnung!F202)+N(Berechnung!S202))*N(Berechnung!C202))</f>
        <v/>
      </c>
      <c r="F202" s="58">
        <f>IF($B202="","",(N(Berechnung!G202)+N(Berechnung!T202))*N(Berechnung!C202))</f>
        <v/>
      </c>
      <c r="G202" s="58">
        <f>IF($B202="","",(N(Berechnung!H202)+N(Berechnung!U202))*N(Berechnung!C202))</f>
        <v/>
      </c>
      <c r="H202" s="58">
        <f>IF($B202="","",(N(Berechnung!I202)+N(Berechnung!V202))*N(Berechnung!C202))</f>
        <v/>
      </c>
      <c r="I202" s="58">
        <f>IF($B202="","",(N(Berechnung!J202)+N(Berechnung!W202))*N(Berechnung!C202))</f>
        <v/>
      </c>
      <c r="J202" s="58">
        <f>IF($B202="","",(N(Berechnung!K202)+N(Berechnung!X202))*N(Berechnung!C202))</f>
        <v/>
      </c>
      <c r="K202" s="58">
        <f>IF($B202="","",(N(Berechnung!L202)+N(Berechnung!Y202))*N(Berechnung!C202))</f>
        <v/>
      </c>
      <c r="L202" s="58">
        <f>IF($B202="","",(N(Berechnung!M202)+N(Berechnung!Z202))*N(Berechnung!C202))</f>
        <v/>
      </c>
      <c r="M202" s="58">
        <f>IF($B202="","",(N(Berechnung!N202)+N(Berechnung!AA202))*N(Berechnung!C202))</f>
        <v/>
      </c>
      <c r="N202" s="58">
        <f>IF($B202="","",(N(Berechnung!O202)+N(Berechnung!AB202))*N(Berechnung!C202))</f>
        <v/>
      </c>
      <c r="O202" s="65">
        <f>IF($B202="","",SUM(C202:N202))</f>
        <v/>
      </c>
      <c r="P202" s="57">
        <f>'KQuote Mitarbeiter'!E202</f>
        <v/>
      </c>
      <c r="Q202" s="66">
        <f>'KQuote Mitarbeiter'!L202</f>
        <v/>
      </c>
      <c r="R202" s="57">
        <f>'KQuote Mitarbeiter'!D202</f>
        <v/>
      </c>
      <c r="S202" s="66">
        <f>'KQuote Mitarbeiter'!K202</f>
        <v/>
      </c>
    </row>
    <row r="203">
      <c r="A203" s="47">
        <f>'KQuote Mitarbeiter'!A203</f>
        <v/>
      </c>
      <c r="B203" s="48">
        <f>'KQuote Mitarbeiter'!B203</f>
        <v/>
      </c>
      <c r="C203" s="58">
        <f>IF($B203="","",(N(Berechnung!D203)+N(Berechnung!Q203))*N(Berechnung!C203))</f>
        <v/>
      </c>
      <c r="D203" s="58">
        <f>IF($B203="","",(N(Berechnung!E203)+N(Berechnung!R203))*N(Berechnung!C203))</f>
        <v/>
      </c>
      <c r="E203" s="58">
        <f>IF($B203="","",(N(Berechnung!F203)+N(Berechnung!S203))*N(Berechnung!C203))</f>
        <v/>
      </c>
      <c r="F203" s="58">
        <f>IF($B203="","",(N(Berechnung!G203)+N(Berechnung!T203))*N(Berechnung!C203))</f>
        <v/>
      </c>
      <c r="G203" s="58">
        <f>IF($B203="","",(N(Berechnung!H203)+N(Berechnung!U203))*N(Berechnung!C203))</f>
        <v/>
      </c>
      <c r="H203" s="58">
        <f>IF($B203="","",(N(Berechnung!I203)+N(Berechnung!V203))*N(Berechnung!C203))</f>
        <v/>
      </c>
      <c r="I203" s="58">
        <f>IF($B203="","",(N(Berechnung!J203)+N(Berechnung!W203))*N(Berechnung!C203))</f>
        <v/>
      </c>
      <c r="J203" s="58">
        <f>IF($B203="","",(N(Berechnung!K203)+N(Berechnung!X203))*N(Berechnung!C203))</f>
        <v/>
      </c>
      <c r="K203" s="58">
        <f>IF($B203="","",(N(Berechnung!L203)+N(Berechnung!Y203))*N(Berechnung!C203))</f>
        <v/>
      </c>
      <c r="L203" s="58">
        <f>IF($B203="","",(N(Berechnung!M203)+N(Berechnung!Z203))*N(Berechnung!C203))</f>
        <v/>
      </c>
      <c r="M203" s="58">
        <f>IF($B203="","",(N(Berechnung!N203)+N(Berechnung!AA203))*N(Berechnung!C203))</f>
        <v/>
      </c>
      <c r="N203" s="58">
        <f>IF($B203="","",(N(Berechnung!O203)+N(Berechnung!AB203))*N(Berechnung!C203))</f>
        <v/>
      </c>
      <c r="O203" s="65">
        <f>IF($B203="","",SUM(C203:N203))</f>
        <v/>
      </c>
      <c r="P203" s="57">
        <f>'KQuote Mitarbeiter'!E203</f>
        <v/>
      </c>
      <c r="Q203" s="66">
        <f>'KQuote Mitarbeiter'!L203</f>
        <v/>
      </c>
      <c r="R203" s="57">
        <f>'KQuote Mitarbeiter'!D203</f>
        <v/>
      </c>
      <c r="S203" s="66">
        <f>'KQuote Mitarbeiter'!K203</f>
        <v/>
      </c>
    </row>
    <row r="204">
      <c r="A204" s="47">
        <f>'KQuote Mitarbeiter'!A204</f>
        <v/>
      </c>
      <c r="B204" s="48">
        <f>'KQuote Mitarbeiter'!B204</f>
        <v/>
      </c>
      <c r="C204" s="58">
        <f>IF($B204="","",(N(Berechnung!D204)+N(Berechnung!Q204))*N(Berechnung!C204))</f>
        <v/>
      </c>
      <c r="D204" s="58">
        <f>IF($B204="","",(N(Berechnung!E204)+N(Berechnung!R204))*N(Berechnung!C204))</f>
        <v/>
      </c>
      <c r="E204" s="58">
        <f>IF($B204="","",(N(Berechnung!F204)+N(Berechnung!S204))*N(Berechnung!C204))</f>
        <v/>
      </c>
      <c r="F204" s="58">
        <f>IF($B204="","",(N(Berechnung!G204)+N(Berechnung!T204))*N(Berechnung!C204))</f>
        <v/>
      </c>
      <c r="G204" s="58">
        <f>IF($B204="","",(N(Berechnung!H204)+N(Berechnung!U204))*N(Berechnung!C204))</f>
        <v/>
      </c>
      <c r="H204" s="58">
        <f>IF($B204="","",(N(Berechnung!I204)+N(Berechnung!V204))*N(Berechnung!C204))</f>
        <v/>
      </c>
      <c r="I204" s="58">
        <f>IF($B204="","",(N(Berechnung!J204)+N(Berechnung!W204))*N(Berechnung!C204))</f>
        <v/>
      </c>
      <c r="J204" s="58">
        <f>IF($B204="","",(N(Berechnung!K204)+N(Berechnung!X204))*N(Berechnung!C204))</f>
        <v/>
      </c>
      <c r="K204" s="58">
        <f>IF($B204="","",(N(Berechnung!L204)+N(Berechnung!Y204))*N(Berechnung!C204))</f>
        <v/>
      </c>
      <c r="L204" s="58">
        <f>IF($B204="","",(N(Berechnung!M204)+N(Berechnung!Z204))*N(Berechnung!C204))</f>
        <v/>
      </c>
      <c r="M204" s="58">
        <f>IF($B204="","",(N(Berechnung!N204)+N(Berechnung!AA204))*N(Berechnung!C204))</f>
        <v/>
      </c>
      <c r="N204" s="58">
        <f>IF($B204="","",(N(Berechnung!O204)+N(Berechnung!AB204))*N(Berechnung!C204))</f>
        <v/>
      </c>
      <c r="O204" s="65">
        <f>IF($B204="","",SUM(C204:N204))</f>
        <v/>
      </c>
      <c r="P204" s="57">
        <f>'KQuote Mitarbeiter'!E204</f>
        <v/>
      </c>
      <c r="Q204" s="66">
        <f>'KQuote Mitarbeiter'!L204</f>
        <v/>
      </c>
      <c r="R204" s="57">
        <f>'KQuote Mitarbeiter'!D204</f>
        <v/>
      </c>
      <c r="S204" s="66">
        <f>'KQuote Mitarbeiter'!K204</f>
        <v/>
      </c>
    </row>
    <row r="205">
      <c r="A205" s="47">
        <f>'KQuote Mitarbeiter'!A205</f>
        <v/>
      </c>
      <c r="B205" s="48">
        <f>'KQuote Mitarbeiter'!B205</f>
        <v/>
      </c>
      <c r="C205" s="58">
        <f>IF($B205="","",(N(Berechnung!D205)+N(Berechnung!Q205))*N(Berechnung!C205))</f>
        <v/>
      </c>
      <c r="D205" s="58">
        <f>IF($B205="","",(N(Berechnung!E205)+N(Berechnung!R205))*N(Berechnung!C205))</f>
        <v/>
      </c>
      <c r="E205" s="58">
        <f>IF($B205="","",(N(Berechnung!F205)+N(Berechnung!S205))*N(Berechnung!C205))</f>
        <v/>
      </c>
      <c r="F205" s="58">
        <f>IF($B205="","",(N(Berechnung!G205)+N(Berechnung!T205))*N(Berechnung!C205))</f>
        <v/>
      </c>
      <c r="G205" s="58">
        <f>IF($B205="","",(N(Berechnung!H205)+N(Berechnung!U205))*N(Berechnung!C205))</f>
        <v/>
      </c>
      <c r="H205" s="58">
        <f>IF($B205="","",(N(Berechnung!I205)+N(Berechnung!V205))*N(Berechnung!C205))</f>
        <v/>
      </c>
      <c r="I205" s="58">
        <f>IF($B205="","",(N(Berechnung!J205)+N(Berechnung!W205))*N(Berechnung!C205))</f>
        <v/>
      </c>
      <c r="J205" s="58">
        <f>IF($B205="","",(N(Berechnung!K205)+N(Berechnung!X205))*N(Berechnung!C205))</f>
        <v/>
      </c>
      <c r="K205" s="58">
        <f>IF($B205="","",(N(Berechnung!L205)+N(Berechnung!Y205))*N(Berechnung!C205))</f>
        <v/>
      </c>
      <c r="L205" s="58">
        <f>IF($B205="","",(N(Berechnung!M205)+N(Berechnung!Z205))*N(Berechnung!C205))</f>
        <v/>
      </c>
      <c r="M205" s="58">
        <f>IF($B205="","",(N(Berechnung!N205)+N(Berechnung!AA205))*N(Berechnung!C205))</f>
        <v/>
      </c>
      <c r="N205" s="58">
        <f>IF($B205="","",(N(Berechnung!O205)+N(Berechnung!AB205))*N(Berechnung!C205))</f>
        <v/>
      </c>
      <c r="O205" s="65">
        <f>IF($B205="","",SUM(C205:N205))</f>
        <v/>
      </c>
      <c r="P205" s="57">
        <f>'KQuote Mitarbeiter'!E205</f>
        <v/>
      </c>
      <c r="Q205" s="66">
        <f>'KQuote Mitarbeiter'!L205</f>
        <v/>
      </c>
      <c r="R205" s="57">
        <f>'KQuote Mitarbeiter'!D205</f>
        <v/>
      </c>
      <c r="S205" s="66">
        <f>'KQuote Mitarbeiter'!K205</f>
        <v/>
      </c>
    </row>
    <row r="206">
      <c r="A206" s="47">
        <f>'KQuote Mitarbeiter'!A206</f>
        <v/>
      </c>
      <c r="B206" s="48">
        <f>'KQuote Mitarbeiter'!B206</f>
        <v/>
      </c>
      <c r="C206" s="58">
        <f>IF($B206="","",(N(Berechnung!D206)+N(Berechnung!Q206))*N(Berechnung!C206))</f>
        <v/>
      </c>
      <c r="D206" s="58">
        <f>IF($B206="","",(N(Berechnung!E206)+N(Berechnung!R206))*N(Berechnung!C206))</f>
        <v/>
      </c>
      <c r="E206" s="58">
        <f>IF($B206="","",(N(Berechnung!F206)+N(Berechnung!S206))*N(Berechnung!C206))</f>
        <v/>
      </c>
      <c r="F206" s="58">
        <f>IF($B206="","",(N(Berechnung!G206)+N(Berechnung!T206))*N(Berechnung!C206))</f>
        <v/>
      </c>
      <c r="G206" s="58">
        <f>IF($B206="","",(N(Berechnung!H206)+N(Berechnung!U206))*N(Berechnung!C206))</f>
        <v/>
      </c>
      <c r="H206" s="58">
        <f>IF($B206="","",(N(Berechnung!I206)+N(Berechnung!V206))*N(Berechnung!C206))</f>
        <v/>
      </c>
      <c r="I206" s="58">
        <f>IF($B206="","",(N(Berechnung!J206)+N(Berechnung!W206))*N(Berechnung!C206))</f>
        <v/>
      </c>
      <c r="J206" s="58">
        <f>IF($B206="","",(N(Berechnung!K206)+N(Berechnung!X206))*N(Berechnung!C206))</f>
        <v/>
      </c>
      <c r="K206" s="58">
        <f>IF($B206="","",(N(Berechnung!L206)+N(Berechnung!Y206))*N(Berechnung!C206))</f>
        <v/>
      </c>
      <c r="L206" s="58">
        <f>IF($B206="","",(N(Berechnung!M206)+N(Berechnung!Z206))*N(Berechnung!C206))</f>
        <v/>
      </c>
      <c r="M206" s="58">
        <f>IF($B206="","",(N(Berechnung!N206)+N(Berechnung!AA206))*N(Berechnung!C206))</f>
        <v/>
      </c>
      <c r="N206" s="58">
        <f>IF($B206="","",(N(Berechnung!O206)+N(Berechnung!AB206))*N(Berechnung!C206))</f>
        <v/>
      </c>
      <c r="O206" s="65">
        <f>IF($B206="","",SUM(C206:N206))</f>
        <v/>
      </c>
      <c r="P206" s="57">
        <f>'KQuote Mitarbeiter'!E206</f>
        <v/>
      </c>
      <c r="Q206" s="66">
        <f>'KQuote Mitarbeiter'!L206</f>
        <v/>
      </c>
      <c r="R206" s="57">
        <f>'KQuote Mitarbeiter'!D206</f>
        <v/>
      </c>
      <c r="S206" s="66">
        <f>'KQuote Mitarbeiter'!K206</f>
        <v/>
      </c>
    </row>
    <row r="207">
      <c r="A207" s="47">
        <f>'KQuote Mitarbeiter'!A207</f>
        <v/>
      </c>
      <c r="B207" s="48">
        <f>'KQuote Mitarbeiter'!B207</f>
        <v/>
      </c>
      <c r="C207" s="58">
        <f>IF($B207="","",(N(Berechnung!D207)+N(Berechnung!Q207))*N(Berechnung!C207))</f>
        <v/>
      </c>
      <c r="D207" s="58">
        <f>IF($B207="","",(N(Berechnung!E207)+N(Berechnung!R207))*N(Berechnung!C207))</f>
        <v/>
      </c>
      <c r="E207" s="58">
        <f>IF($B207="","",(N(Berechnung!F207)+N(Berechnung!S207))*N(Berechnung!C207))</f>
        <v/>
      </c>
      <c r="F207" s="58">
        <f>IF($B207="","",(N(Berechnung!G207)+N(Berechnung!T207))*N(Berechnung!C207))</f>
        <v/>
      </c>
      <c r="G207" s="58">
        <f>IF($B207="","",(N(Berechnung!H207)+N(Berechnung!U207))*N(Berechnung!C207))</f>
        <v/>
      </c>
      <c r="H207" s="58">
        <f>IF($B207="","",(N(Berechnung!I207)+N(Berechnung!V207))*N(Berechnung!C207))</f>
        <v/>
      </c>
      <c r="I207" s="58">
        <f>IF($B207="","",(N(Berechnung!J207)+N(Berechnung!W207))*N(Berechnung!C207))</f>
        <v/>
      </c>
      <c r="J207" s="58">
        <f>IF($B207="","",(N(Berechnung!K207)+N(Berechnung!X207))*N(Berechnung!C207))</f>
        <v/>
      </c>
      <c r="K207" s="58">
        <f>IF($B207="","",(N(Berechnung!L207)+N(Berechnung!Y207))*N(Berechnung!C207))</f>
        <v/>
      </c>
      <c r="L207" s="58">
        <f>IF($B207="","",(N(Berechnung!M207)+N(Berechnung!Z207))*N(Berechnung!C207))</f>
        <v/>
      </c>
      <c r="M207" s="58">
        <f>IF($B207="","",(N(Berechnung!N207)+N(Berechnung!AA207))*N(Berechnung!C207))</f>
        <v/>
      </c>
      <c r="N207" s="58">
        <f>IF($B207="","",(N(Berechnung!O207)+N(Berechnung!AB207))*N(Berechnung!C207))</f>
        <v/>
      </c>
      <c r="O207" s="65">
        <f>IF($B207="","",SUM(C207:N207))</f>
        <v/>
      </c>
      <c r="P207" s="57">
        <f>'KQuote Mitarbeiter'!E207</f>
        <v/>
      </c>
      <c r="Q207" s="66">
        <f>'KQuote Mitarbeiter'!L207</f>
        <v/>
      </c>
      <c r="R207" s="57">
        <f>'KQuote Mitarbeiter'!D207</f>
        <v/>
      </c>
      <c r="S207" s="66">
        <f>'KQuote Mitarbeiter'!K207</f>
        <v/>
      </c>
    </row>
    <row r="208">
      <c r="A208" s="47">
        <f>'KQuote Mitarbeiter'!A208</f>
        <v/>
      </c>
      <c r="B208" s="48">
        <f>'KQuote Mitarbeiter'!B208</f>
        <v/>
      </c>
      <c r="C208" s="58">
        <f>IF($B208="","",(N(Berechnung!D208)+N(Berechnung!Q208))*N(Berechnung!C208))</f>
        <v/>
      </c>
      <c r="D208" s="58">
        <f>IF($B208="","",(N(Berechnung!E208)+N(Berechnung!R208))*N(Berechnung!C208))</f>
        <v/>
      </c>
      <c r="E208" s="58">
        <f>IF($B208="","",(N(Berechnung!F208)+N(Berechnung!S208))*N(Berechnung!C208))</f>
        <v/>
      </c>
      <c r="F208" s="58">
        <f>IF($B208="","",(N(Berechnung!G208)+N(Berechnung!T208))*N(Berechnung!C208))</f>
        <v/>
      </c>
      <c r="G208" s="58">
        <f>IF($B208="","",(N(Berechnung!H208)+N(Berechnung!U208))*N(Berechnung!C208))</f>
        <v/>
      </c>
      <c r="H208" s="58">
        <f>IF($B208="","",(N(Berechnung!I208)+N(Berechnung!V208))*N(Berechnung!C208))</f>
        <v/>
      </c>
      <c r="I208" s="58">
        <f>IF($B208="","",(N(Berechnung!J208)+N(Berechnung!W208))*N(Berechnung!C208))</f>
        <v/>
      </c>
      <c r="J208" s="58">
        <f>IF($B208="","",(N(Berechnung!K208)+N(Berechnung!X208))*N(Berechnung!C208))</f>
        <v/>
      </c>
      <c r="K208" s="58">
        <f>IF($B208="","",(N(Berechnung!L208)+N(Berechnung!Y208))*N(Berechnung!C208))</f>
        <v/>
      </c>
      <c r="L208" s="58">
        <f>IF($B208="","",(N(Berechnung!M208)+N(Berechnung!Z208))*N(Berechnung!C208))</f>
        <v/>
      </c>
      <c r="M208" s="58">
        <f>IF($B208="","",(N(Berechnung!N208)+N(Berechnung!AA208))*N(Berechnung!C208))</f>
        <v/>
      </c>
      <c r="N208" s="58">
        <f>IF($B208="","",(N(Berechnung!O208)+N(Berechnung!AB208))*N(Berechnung!C208))</f>
        <v/>
      </c>
      <c r="O208" s="65">
        <f>IF($B208="","",SUM(C208:N208))</f>
        <v/>
      </c>
      <c r="P208" s="57">
        <f>'KQuote Mitarbeiter'!E208</f>
        <v/>
      </c>
      <c r="Q208" s="66">
        <f>'KQuote Mitarbeiter'!L208</f>
        <v/>
      </c>
      <c r="R208" s="57">
        <f>'KQuote Mitarbeiter'!D208</f>
        <v/>
      </c>
      <c r="S208" s="66">
        <f>'KQuote Mitarbeiter'!K208</f>
        <v/>
      </c>
    </row>
    <row r="209">
      <c r="A209" s="47">
        <f>'KQuote Mitarbeiter'!A209</f>
        <v/>
      </c>
      <c r="B209" s="48">
        <f>'KQuote Mitarbeiter'!B209</f>
        <v/>
      </c>
      <c r="C209" s="58">
        <f>IF($B209="","",(N(Berechnung!D209)+N(Berechnung!Q209))*N(Berechnung!C209))</f>
        <v/>
      </c>
      <c r="D209" s="58">
        <f>IF($B209="","",(N(Berechnung!E209)+N(Berechnung!R209))*N(Berechnung!C209))</f>
        <v/>
      </c>
      <c r="E209" s="58">
        <f>IF($B209="","",(N(Berechnung!F209)+N(Berechnung!S209))*N(Berechnung!C209))</f>
        <v/>
      </c>
      <c r="F209" s="58">
        <f>IF($B209="","",(N(Berechnung!G209)+N(Berechnung!T209))*N(Berechnung!C209))</f>
        <v/>
      </c>
      <c r="G209" s="58">
        <f>IF($B209="","",(N(Berechnung!H209)+N(Berechnung!U209))*N(Berechnung!C209))</f>
        <v/>
      </c>
      <c r="H209" s="58">
        <f>IF($B209="","",(N(Berechnung!I209)+N(Berechnung!V209))*N(Berechnung!C209))</f>
        <v/>
      </c>
      <c r="I209" s="58">
        <f>IF($B209="","",(N(Berechnung!J209)+N(Berechnung!W209))*N(Berechnung!C209))</f>
        <v/>
      </c>
      <c r="J209" s="58">
        <f>IF($B209="","",(N(Berechnung!K209)+N(Berechnung!X209))*N(Berechnung!C209))</f>
        <v/>
      </c>
      <c r="K209" s="58">
        <f>IF($B209="","",(N(Berechnung!L209)+N(Berechnung!Y209))*N(Berechnung!C209))</f>
        <v/>
      </c>
      <c r="L209" s="58">
        <f>IF($B209="","",(N(Berechnung!M209)+N(Berechnung!Z209))*N(Berechnung!C209))</f>
        <v/>
      </c>
      <c r="M209" s="58">
        <f>IF($B209="","",(N(Berechnung!N209)+N(Berechnung!AA209))*N(Berechnung!C209))</f>
        <v/>
      </c>
      <c r="N209" s="58">
        <f>IF($B209="","",(N(Berechnung!O209)+N(Berechnung!AB209))*N(Berechnung!C209))</f>
        <v/>
      </c>
      <c r="O209" s="65">
        <f>IF($B209="","",SUM(C209:N209))</f>
        <v/>
      </c>
      <c r="P209" s="57">
        <f>'KQuote Mitarbeiter'!E209</f>
        <v/>
      </c>
      <c r="Q209" s="66">
        <f>'KQuote Mitarbeiter'!L209</f>
        <v/>
      </c>
      <c r="R209" s="57">
        <f>'KQuote Mitarbeiter'!D209</f>
        <v/>
      </c>
      <c r="S209" s="66">
        <f>'KQuote Mitarbeiter'!K209</f>
        <v/>
      </c>
    </row>
    <row r="210">
      <c r="A210" s="47">
        <f>'KQuote Mitarbeiter'!A210</f>
        <v/>
      </c>
      <c r="B210" s="48">
        <f>'KQuote Mitarbeiter'!B210</f>
        <v/>
      </c>
      <c r="C210" s="58">
        <f>IF($B210="","",(N(Berechnung!D210)+N(Berechnung!Q210))*N(Berechnung!C210))</f>
        <v/>
      </c>
      <c r="D210" s="58">
        <f>IF($B210="","",(N(Berechnung!E210)+N(Berechnung!R210))*N(Berechnung!C210))</f>
        <v/>
      </c>
      <c r="E210" s="58">
        <f>IF($B210="","",(N(Berechnung!F210)+N(Berechnung!S210))*N(Berechnung!C210))</f>
        <v/>
      </c>
      <c r="F210" s="58">
        <f>IF($B210="","",(N(Berechnung!G210)+N(Berechnung!T210))*N(Berechnung!C210))</f>
        <v/>
      </c>
      <c r="G210" s="58">
        <f>IF($B210="","",(N(Berechnung!H210)+N(Berechnung!U210))*N(Berechnung!C210))</f>
        <v/>
      </c>
      <c r="H210" s="58">
        <f>IF($B210="","",(N(Berechnung!I210)+N(Berechnung!V210))*N(Berechnung!C210))</f>
        <v/>
      </c>
      <c r="I210" s="58">
        <f>IF($B210="","",(N(Berechnung!J210)+N(Berechnung!W210))*N(Berechnung!C210))</f>
        <v/>
      </c>
      <c r="J210" s="58">
        <f>IF($B210="","",(N(Berechnung!K210)+N(Berechnung!X210))*N(Berechnung!C210))</f>
        <v/>
      </c>
      <c r="K210" s="58">
        <f>IF($B210="","",(N(Berechnung!L210)+N(Berechnung!Y210))*N(Berechnung!C210))</f>
        <v/>
      </c>
      <c r="L210" s="58">
        <f>IF($B210="","",(N(Berechnung!M210)+N(Berechnung!Z210))*N(Berechnung!C210))</f>
        <v/>
      </c>
      <c r="M210" s="58">
        <f>IF($B210="","",(N(Berechnung!N210)+N(Berechnung!AA210))*N(Berechnung!C210))</f>
        <v/>
      </c>
      <c r="N210" s="58">
        <f>IF($B210="","",(N(Berechnung!O210)+N(Berechnung!AB210))*N(Berechnung!C210))</f>
        <v/>
      </c>
      <c r="O210" s="65">
        <f>IF($B210="","",SUM(C210:N210))</f>
        <v/>
      </c>
      <c r="P210" s="57">
        <f>'KQuote Mitarbeiter'!E210</f>
        <v/>
      </c>
      <c r="Q210" s="66">
        <f>'KQuote Mitarbeiter'!L210</f>
        <v/>
      </c>
      <c r="R210" s="57">
        <f>'KQuote Mitarbeiter'!D210</f>
        <v/>
      </c>
      <c r="S210" s="66">
        <f>'KQuote Mitarbeiter'!K210</f>
        <v/>
      </c>
    </row>
    <row r="211">
      <c r="A211" s="47">
        <f>'KQuote Mitarbeiter'!A211</f>
        <v/>
      </c>
      <c r="B211" s="48">
        <f>'KQuote Mitarbeiter'!B211</f>
        <v/>
      </c>
      <c r="C211" s="58">
        <f>IF($B211="","",(N(Berechnung!D211)+N(Berechnung!Q211))*N(Berechnung!C211))</f>
        <v/>
      </c>
      <c r="D211" s="58">
        <f>IF($B211="","",(N(Berechnung!E211)+N(Berechnung!R211))*N(Berechnung!C211))</f>
        <v/>
      </c>
      <c r="E211" s="58">
        <f>IF($B211="","",(N(Berechnung!F211)+N(Berechnung!S211))*N(Berechnung!C211))</f>
        <v/>
      </c>
      <c r="F211" s="58">
        <f>IF($B211="","",(N(Berechnung!G211)+N(Berechnung!T211))*N(Berechnung!C211))</f>
        <v/>
      </c>
      <c r="G211" s="58">
        <f>IF($B211="","",(N(Berechnung!H211)+N(Berechnung!U211))*N(Berechnung!C211))</f>
        <v/>
      </c>
      <c r="H211" s="58">
        <f>IF($B211="","",(N(Berechnung!I211)+N(Berechnung!V211))*N(Berechnung!C211))</f>
        <v/>
      </c>
      <c r="I211" s="58">
        <f>IF($B211="","",(N(Berechnung!J211)+N(Berechnung!W211))*N(Berechnung!C211))</f>
        <v/>
      </c>
      <c r="J211" s="58">
        <f>IF($B211="","",(N(Berechnung!K211)+N(Berechnung!X211))*N(Berechnung!C211))</f>
        <v/>
      </c>
      <c r="K211" s="58">
        <f>IF($B211="","",(N(Berechnung!L211)+N(Berechnung!Y211))*N(Berechnung!C211))</f>
        <v/>
      </c>
      <c r="L211" s="58">
        <f>IF($B211="","",(N(Berechnung!M211)+N(Berechnung!Z211))*N(Berechnung!C211))</f>
        <v/>
      </c>
      <c r="M211" s="58">
        <f>IF($B211="","",(N(Berechnung!N211)+N(Berechnung!AA211))*N(Berechnung!C211))</f>
        <v/>
      </c>
      <c r="N211" s="58">
        <f>IF($B211="","",(N(Berechnung!O211)+N(Berechnung!AB211))*N(Berechnung!C211))</f>
        <v/>
      </c>
      <c r="O211" s="65">
        <f>IF($B211="","",SUM(C211:N211))</f>
        <v/>
      </c>
      <c r="P211" s="57">
        <f>'KQuote Mitarbeiter'!E211</f>
        <v/>
      </c>
      <c r="Q211" s="66">
        <f>'KQuote Mitarbeiter'!L211</f>
        <v/>
      </c>
      <c r="R211" s="57">
        <f>'KQuote Mitarbeiter'!D211</f>
        <v/>
      </c>
      <c r="S211" s="66">
        <f>'KQuote Mitarbeiter'!K211</f>
        <v/>
      </c>
    </row>
    <row r="212">
      <c r="A212" s="47">
        <f>'KQuote Mitarbeiter'!A212</f>
        <v/>
      </c>
      <c r="B212" s="48">
        <f>'KQuote Mitarbeiter'!B212</f>
        <v/>
      </c>
      <c r="C212" s="58">
        <f>IF($B212="","",(N(Berechnung!D212)+N(Berechnung!Q212))*N(Berechnung!C212))</f>
        <v/>
      </c>
      <c r="D212" s="58">
        <f>IF($B212="","",(N(Berechnung!E212)+N(Berechnung!R212))*N(Berechnung!C212))</f>
        <v/>
      </c>
      <c r="E212" s="58">
        <f>IF($B212="","",(N(Berechnung!F212)+N(Berechnung!S212))*N(Berechnung!C212))</f>
        <v/>
      </c>
      <c r="F212" s="58">
        <f>IF($B212="","",(N(Berechnung!G212)+N(Berechnung!T212))*N(Berechnung!C212))</f>
        <v/>
      </c>
      <c r="G212" s="58">
        <f>IF($B212="","",(N(Berechnung!H212)+N(Berechnung!U212))*N(Berechnung!C212))</f>
        <v/>
      </c>
      <c r="H212" s="58">
        <f>IF($B212="","",(N(Berechnung!I212)+N(Berechnung!V212))*N(Berechnung!C212))</f>
        <v/>
      </c>
      <c r="I212" s="58">
        <f>IF($B212="","",(N(Berechnung!J212)+N(Berechnung!W212))*N(Berechnung!C212))</f>
        <v/>
      </c>
      <c r="J212" s="58">
        <f>IF($B212="","",(N(Berechnung!K212)+N(Berechnung!X212))*N(Berechnung!C212))</f>
        <v/>
      </c>
      <c r="K212" s="58">
        <f>IF($B212="","",(N(Berechnung!L212)+N(Berechnung!Y212))*N(Berechnung!C212))</f>
        <v/>
      </c>
      <c r="L212" s="58">
        <f>IF($B212="","",(N(Berechnung!M212)+N(Berechnung!Z212))*N(Berechnung!C212))</f>
        <v/>
      </c>
      <c r="M212" s="58">
        <f>IF($B212="","",(N(Berechnung!N212)+N(Berechnung!AA212))*N(Berechnung!C212))</f>
        <v/>
      </c>
      <c r="N212" s="58">
        <f>IF($B212="","",(N(Berechnung!O212)+N(Berechnung!AB212))*N(Berechnung!C212))</f>
        <v/>
      </c>
      <c r="O212" s="65">
        <f>IF($B212="","",SUM(C212:N212))</f>
        <v/>
      </c>
      <c r="P212" s="57">
        <f>'KQuote Mitarbeiter'!E212</f>
        <v/>
      </c>
      <c r="Q212" s="66">
        <f>'KQuote Mitarbeiter'!L212</f>
        <v/>
      </c>
      <c r="R212" s="57">
        <f>'KQuote Mitarbeiter'!D212</f>
        <v/>
      </c>
      <c r="S212" s="66">
        <f>'KQuote Mitarbeiter'!K212</f>
        <v/>
      </c>
    </row>
    <row r="213">
      <c r="A213" s="47">
        <f>'KQuote Mitarbeiter'!A213</f>
        <v/>
      </c>
      <c r="B213" s="48">
        <f>'KQuote Mitarbeiter'!B213</f>
        <v/>
      </c>
      <c r="C213" s="58">
        <f>IF($B213="","",(N(Berechnung!D213)+N(Berechnung!Q213))*N(Berechnung!C213))</f>
        <v/>
      </c>
      <c r="D213" s="58">
        <f>IF($B213="","",(N(Berechnung!E213)+N(Berechnung!R213))*N(Berechnung!C213))</f>
        <v/>
      </c>
      <c r="E213" s="58">
        <f>IF($B213="","",(N(Berechnung!F213)+N(Berechnung!S213))*N(Berechnung!C213))</f>
        <v/>
      </c>
      <c r="F213" s="58">
        <f>IF($B213="","",(N(Berechnung!G213)+N(Berechnung!T213))*N(Berechnung!C213))</f>
        <v/>
      </c>
      <c r="G213" s="58">
        <f>IF($B213="","",(N(Berechnung!H213)+N(Berechnung!U213))*N(Berechnung!C213))</f>
        <v/>
      </c>
      <c r="H213" s="58">
        <f>IF($B213="","",(N(Berechnung!I213)+N(Berechnung!V213))*N(Berechnung!C213))</f>
        <v/>
      </c>
      <c r="I213" s="58">
        <f>IF($B213="","",(N(Berechnung!J213)+N(Berechnung!W213))*N(Berechnung!C213))</f>
        <v/>
      </c>
      <c r="J213" s="58">
        <f>IF($B213="","",(N(Berechnung!K213)+N(Berechnung!X213))*N(Berechnung!C213))</f>
        <v/>
      </c>
      <c r="K213" s="58">
        <f>IF($B213="","",(N(Berechnung!L213)+N(Berechnung!Y213))*N(Berechnung!C213))</f>
        <v/>
      </c>
      <c r="L213" s="58">
        <f>IF($B213="","",(N(Berechnung!M213)+N(Berechnung!Z213))*N(Berechnung!C213))</f>
        <v/>
      </c>
      <c r="M213" s="58">
        <f>IF($B213="","",(N(Berechnung!N213)+N(Berechnung!AA213))*N(Berechnung!C213))</f>
        <v/>
      </c>
      <c r="N213" s="58">
        <f>IF($B213="","",(N(Berechnung!O213)+N(Berechnung!AB213))*N(Berechnung!C213))</f>
        <v/>
      </c>
      <c r="O213" s="65">
        <f>IF($B213="","",SUM(C213:N213))</f>
        <v/>
      </c>
      <c r="P213" s="57">
        <f>'KQuote Mitarbeiter'!E213</f>
        <v/>
      </c>
      <c r="Q213" s="66">
        <f>'KQuote Mitarbeiter'!L213</f>
        <v/>
      </c>
      <c r="R213" s="57">
        <f>'KQuote Mitarbeiter'!D213</f>
        <v/>
      </c>
      <c r="S213" s="66">
        <f>'KQuote Mitarbeiter'!K213</f>
        <v/>
      </c>
    </row>
    <row r="214">
      <c r="A214" s="47">
        <f>'KQuote Mitarbeiter'!A214</f>
        <v/>
      </c>
      <c r="B214" s="48">
        <f>'KQuote Mitarbeiter'!B214</f>
        <v/>
      </c>
      <c r="C214" s="58">
        <f>IF($B214="","",(N(Berechnung!D214)+N(Berechnung!Q214))*N(Berechnung!C214))</f>
        <v/>
      </c>
      <c r="D214" s="58">
        <f>IF($B214="","",(N(Berechnung!E214)+N(Berechnung!R214))*N(Berechnung!C214))</f>
        <v/>
      </c>
      <c r="E214" s="58">
        <f>IF($B214="","",(N(Berechnung!F214)+N(Berechnung!S214))*N(Berechnung!C214))</f>
        <v/>
      </c>
      <c r="F214" s="58">
        <f>IF($B214="","",(N(Berechnung!G214)+N(Berechnung!T214))*N(Berechnung!C214))</f>
        <v/>
      </c>
      <c r="G214" s="58">
        <f>IF($B214="","",(N(Berechnung!H214)+N(Berechnung!U214))*N(Berechnung!C214))</f>
        <v/>
      </c>
      <c r="H214" s="58">
        <f>IF($B214="","",(N(Berechnung!I214)+N(Berechnung!V214))*N(Berechnung!C214))</f>
        <v/>
      </c>
      <c r="I214" s="58">
        <f>IF($B214="","",(N(Berechnung!J214)+N(Berechnung!W214))*N(Berechnung!C214))</f>
        <v/>
      </c>
      <c r="J214" s="58">
        <f>IF($B214="","",(N(Berechnung!K214)+N(Berechnung!X214))*N(Berechnung!C214))</f>
        <v/>
      </c>
      <c r="K214" s="58">
        <f>IF($B214="","",(N(Berechnung!L214)+N(Berechnung!Y214))*N(Berechnung!C214))</f>
        <v/>
      </c>
      <c r="L214" s="58">
        <f>IF($B214="","",(N(Berechnung!M214)+N(Berechnung!Z214))*N(Berechnung!C214))</f>
        <v/>
      </c>
      <c r="M214" s="58">
        <f>IF($B214="","",(N(Berechnung!N214)+N(Berechnung!AA214))*N(Berechnung!C214))</f>
        <v/>
      </c>
      <c r="N214" s="58">
        <f>IF($B214="","",(N(Berechnung!O214)+N(Berechnung!AB214))*N(Berechnung!C214))</f>
        <v/>
      </c>
      <c r="O214" s="65">
        <f>IF($B214="","",SUM(C214:N214))</f>
        <v/>
      </c>
      <c r="P214" s="57">
        <f>'KQuote Mitarbeiter'!E214</f>
        <v/>
      </c>
      <c r="Q214" s="66">
        <f>'KQuote Mitarbeiter'!L214</f>
        <v/>
      </c>
      <c r="R214" s="57">
        <f>'KQuote Mitarbeiter'!D214</f>
        <v/>
      </c>
      <c r="S214" s="66">
        <f>'KQuote Mitarbeiter'!K214</f>
        <v/>
      </c>
    </row>
    <row r="215">
      <c r="A215" s="47">
        <f>'KQuote Mitarbeiter'!A215</f>
        <v/>
      </c>
      <c r="B215" s="48">
        <f>'KQuote Mitarbeiter'!B215</f>
        <v/>
      </c>
      <c r="C215" s="58">
        <f>IF($B215="","",(N(Berechnung!D215)+N(Berechnung!Q215))*N(Berechnung!C215))</f>
        <v/>
      </c>
      <c r="D215" s="58">
        <f>IF($B215="","",(N(Berechnung!E215)+N(Berechnung!R215))*N(Berechnung!C215))</f>
        <v/>
      </c>
      <c r="E215" s="58">
        <f>IF($B215="","",(N(Berechnung!F215)+N(Berechnung!S215))*N(Berechnung!C215))</f>
        <v/>
      </c>
      <c r="F215" s="58">
        <f>IF($B215="","",(N(Berechnung!G215)+N(Berechnung!T215))*N(Berechnung!C215))</f>
        <v/>
      </c>
      <c r="G215" s="58">
        <f>IF($B215="","",(N(Berechnung!H215)+N(Berechnung!U215))*N(Berechnung!C215))</f>
        <v/>
      </c>
      <c r="H215" s="58">
        <f>IF($B215="","",(N(Berechnung!I215)+N(Berechnung!V215))*N(Berechnung!C215))</f>
        <v/>
      </c>
      <c r="I215" s="58">
        <f>IF($B215="","",(N(Berechnung!J215)+N(Berechnung!W215))*N(Berechnung!C215))</f>
        <v/>
      </c>
      <c r="J215" s="58">
        <f>IF($B215="","",(N(Berechnung!K215)+N(Berechnung!X215))*N(Berechnung!C215))</f>
        <v/>
      </c>
      <c r="K215" s="58">
        <f>IF($B215="","",(N(Berechnung!L215)+N(Berechnung!Y215))*N(Berechnung!C215))</f>
        <v/>
      </c>
      <c r="L215" s="58">
        <f>IF($B215="","",(N(Berechnung!M215)+N(Berechnung!Z215))*N(Berechnung!C215))</f>
        <v/>
      </c>
      <c r="M215" s="58">
        <f>IF($B215="","",(N(Berechnung!N215)+N(Berechnung!AA215))*N(Berechnung!C215))</f>
        <v/>
      </c>
      <c r="N215" s="58">
        <f>IF($B215="","",(N(Berechnung!O215)+N(Berechnung!AB215))*N(Berechnung!C215))</f>
        <v/>
      </c>
      <c r="O215" s="65">
        <f>IF($B215="","",SUM(C215:N215))</f>
        <v/>
      </c>
      <c r="P215" s="57">
        <f>'KQuote Mitarbeiter'!E215</f>
        <v/>
      </c>
      <c r="Q215" s="66">
        <f>'KQuote Mitarbeiter'!L215</f>
        <v/>
      </c>
      <c r="R215" s="57">
        <f>'KQuote Mitarbeiter'!D215</f>
        <v/>
      </c>
      <c r="S215" s="66">
        <f>'KQuote Mitarbeiter'!K215</f>
        <v/>
      </c>
    </row>
    <row r="216">
      <c r="A216" s="47">
        <f>'KQuote Mitarbeiter'!A216</f>
        <v/>
      </c>
      <c r="B216" s="48">
        <f>'KQuote Mitarbeiter'!B216</f>
        <v/>
      </c>
      <c r="C216" s="58">
        <f>IF($B216="","",(N(Berechnung!D216)+N(Berechnung!Q216))*N(Berechnung!C216))</f>
        <v/>
      </c>
      <c r="D216" s="58">
        <f>IF($B216="","",(N(Berechnung!E216)+N(Berechnung!R216))*N(Berechnung!C216))</f>
        <v/>
      </c>
      <c r="E216" s="58">
        <f>IF($B216="","",(N(Berechnung!F216)+N(Berechnung!S216))*N(Berechnung!C216))</f>
        <v/>
      </c>
      <c r="F216" s="58">
        <f>IF($B216="","",(N(Berechnung!G216)+N(Berechnung!T216))*N(Berechnung!C216))</f>
        <v/>
      </c>
      <c r="G216" s="58">
        <f>IF($B216="","",(N(Berechnung!H216)+N(Berechnung!U216))*N(Berechnung!C216))</f>
        <v/>
      </c>
      <c r="H216" s="58">
        <f>IF($B216="","",(N(Berechnung!I216)+N(Berechnung!V216))*N(Berechnung!C216))</f>
        <v/>
      </c>
      <c r="I216" s="58">
        <f>IF($B216="","",(N(Berechnung!J216)+N(Berechnung!W216))*N(Berechnung!C216))</f>
        <v/>
      </c>
      <c r="J216" s="58">
        <f>IF($B216="","",(N(Berechnung!K216)+N(Berechnung!X216))*N(Berechnung!C216))</f>
        <v/>
      </c>
      <c r="K216" s="58">
        <f>IF($B216="","",(N(Berechnung!L216)+N(Berechnung!Y216))*N(Berechnung!C216))</f>
        <v/>
      </c>
      <c r="L216" s="58">
        <f>IF($B216="","",(N(Berechnung!M216)+N(Berechnung!Z216))*N(Berechnung!C216))</f>
        <v/>
      </c>
      <c r="M216" s="58">
        <f>IF($B216="","",(N(Berechnung!N216)+N(Berechnung!AA216))*N(Berechnung!C216))</f>
        <v/>
      </c>
      <c r="N216" s="58">
        <f>IF($B216="","",(N(Berechnung!O216)+N(Berechnung!AB216))*N(Berechnung!C216))</f>
        <v/>
      </c>
      <c r="O216" s="65">
        <f>IF($B216="","",SUM(C216:N216))</f>
        <v/>
      </c>
      <c r="P216" s="57">
        <f>'KQuote Mitarbeiter'!E216</f>
        <v/>
      </c>
      <c r="Q216" s="66">
        <f>'KQuote Mitarbeiter'!L216</f>
        <v/>
      </c>
      <c r="R216" s="57">
        <f>'KQuote Mitarbeiter'!D216</f>
        <v/>
      </c>
      <c r="S216" s="66">
        <f>'KQuote Mitarbeiter'!K216</f>
        <v/>
      </c>
    </row>
    <row r="217">
      <c r="A217" s="47">
        <f>'KQuote Mitarbeiter'!A217</f>
        <v/>
      </c>
      <c r="B217" s="48">
        <f>'KQuote Mitarbeiter'!B217</f>
        <v/>
      </c>
      <c r="C217" s="58">
        <f>IF($B217="","",(N(Berechnung!D217)+N(Berechnung!Q217))*N(Berechnung!C217))</f>
        <v/>
      </c>
      <c r="D217" s="58">
        <f>IF($B217="","",(N(Berechnung!E217)+N(Berechnung!R217))*N(Berechnung!C217))</f>
        <v/>
      </c>
      <c r="E217" s="58">
        <f>IF($B217="","",(N(Berechnung!F217)+N(Berechnung!S217))*N(Berechnung!C217))</f>
        <v/>
      </c>
      <c r="F217" s="58">
        <f>IF($B217="","",(N(Berechnung!G217)+N(Berechnung!T217))*N(Berechnung!C217))</f>
        <v/>
      </c>
      <c r="G217" s="58">
        <f>IF($B217="","",(N(Berechnung!H217)+N(Berechnung!U217))*N(Berechnung!C217))</f>
        <v/>
      </c>
      <c r="H217" s="58">
        <f>IF($B217="","",(N(Berechnung!I217)+N(Berechnung!V217))*N(Berechnung!C217))</f>
        <v/>
      </c>
      <c r="I217" s="58">
        <f>IF($B217="","",(N(Berechnung!J217)+N(Berechnung!W217))*N(Berechnung!C217))</f>
        <v/>
      </c>
      <c r="J217" s="58">
        <f>IF($B217="","",(N(Berechnung!K217)+N(Berechnung!X217))*N(Berechnung!C217))</f>
        <v/>
      </c>
      <c r="K217" s="58">
        <f>IF($B217="","",(N(Berechnung!L217)+N(Berechnung!Y217))*N(Berechnung!C217))</f>
        <v/>
      </c>
      <c r="L217" s="58">
        <f>IF($B217="","",(N(Berechnung!M217)+N(Berechnung!Z217))*N(Berechnung!C217))</f>
        <v/>
      </c>
      <c r="M217" s="58">
        <f>IF($B217="","",(N(Berechnung!N217)+N(Berechnung!AA217))*N(Berechnung!C217))</f>
        <v/>
      </c>
      <c r="N217" s="58">
        <f>IF($B217="","",(N(Berechnung!O217)+N(Berechnung!AB217))*N(Berechnung!C217))</f>
        <v/>
      </c>
      <c r="O217" s="65">
        <f>IF($B217="","",SUM(C217:N217))</f>
        <v/>
      </c>
      <c r="P217" s="57">
        <f>'KQuote Mitarbeiter'!E217</f>
        <v/>
      </c>
      <c r="Q217" s="66">
        <f>'KQuote Mitarbeiter'!L217</f>
        <v/>
      </c>
      <c r="R217" s="57">
        <f>'KQuote Mitarbeiter'!D217</f>
        <v/>
      </c>
      <c r="S217" s="66">
        <f>'KQuote Mitarbeiter'!K217</f>
        <v/>
      </c>
    </row>
    <row r="218">
      <c r="A218" s="47">
        <f>'KQuote Mitarbeiter'!A218</f>
        <v/>
      </c>
      <c r="B218" s="48">
        <f>'KQuote Mitarbeiter'!B218</f>
        <v/>
      </c>
      <c r="C218" s="58">
        <f>IF($B218="","",(N(Berechnung!D218)+N(Berechnung!Q218))*N(Berechnung!C218))</f>
        <v/>
      </c>
      <c r="D218" s="58">
        <f>IF($B218="","",(N(Berechnung!E218)+N(Berechnung!R218))*N(Berechnung!C218))</f>
        <v/>
      </c>
      <c r="E218" s="58">
        <f>IF($B218="","",(N(Berechnung!F218)+N(Berechnung!S218))*N(Berechnung!C218))</f>
        <v/>
      </c>
      <c r="F218" s="58">
        <f>IF($B218="","",(N(Berechnung!G218)+N(Berechnung!T218))*N(Berechnung!C218))</f>
        <v/>
      </c>
      <c r="G218" s="58">
        <f>IF($B218="","",(N(Berechnung!H218)+N(Berechnung!U218))*N(Berechnung!C218))</f>
        <v/>
      </c>
      <c r="H218" s="58">
        <f>IF($B218="","",(N(Berechnung!I218)+N(Berechnung!V218))*N(Berechnung!C218))</f>
        <v/>
      </c>
      <c r="I218" s="58">
        <f>IF($B218="","",(N(Berechnung!J218)+N(Berechnung!W218))*N(Berechnung!C218))</f>
        <v/>
      </c>
      <c r="J218" s="58">
        <f>IF($B218="","",(N(Berechnung!K218)+N(Berechnung!X218))*N(Berechnung!C218))</f>
        <v/>
      </c>
      <c r="K218" s="58">
        <f>IF($B218="","",(N(Berechnung!L218)+N(Berechnung!Y218))*N(Berechnung!C218))</f>
        <v/>
      </c>
      <c r="L218" s="58">
        <f>IF($B218="","",(N(Berechnung!M218)+N(Berechnung!Z218))*N(Berechnung!C218))</f>
        <v/>
      </c>
      <c r="M218" s="58">
        <f>IF($B218="","",(N(Berechnung!N218)+N(Berechnung!AA218))*N(Berechnung!C218))</f>
        <v/>
      </c>
      <c r="N218" s="58">
        <f>IF($B218="","",(N(Berechnung!O218)+N(Berechnung!AB218))*N(Berechnung!C218))</f>
        <v/>
      </c>
      <c r="O218" s="65">
        <f>IF($B218="","",SUM(C218:N218))</f>
        <v/>
      </c>
      <c r="P218" s="57">
        <f>'KQuote Mitarbeiter'!E218</f>
        <v/>
      </c>
      <c r="Q218" s="66">
        <f>'KQuote Mitarbeiter'!L218</f>
        <v/>
      </c>
      <c r="R218" s="57">
        <f>'KQuote Mitarbeiter'!D218</f>
        <v/>
      </c>
      <c r="S218" s="66">
        <f>'KQuote Mitarbeiter'!K218</f>
        <v/>
      </c>
    </row>
    <row r="219">
      <c r="A219" s="47">
        <f>'KQuote Mitarbeiter'!A219</f>
        <v/>
      </c>
      <c r="B219" s="48">
        <f>'KQuote Mitarbeiter'!B219</f>
        <v/>
      </c>
      <c r="C219" s="58">
        <f>IF($B219="","",(N(Berechnung!D219)+N(Berechnung!Q219))*N(Berechnung!C219))</f>
        <v/>
      </c>
      <c r="D219" s="58">
        <f>IF($B219="","",(N(Berechnung!E219)+N(Berechnung!R219))*N(Berechnung!C219))</f>
        <v/>
      </c>
      <c r="E219" s="58">
        <f>IF($B219="","",(N(Berechnung!F219)+N(Berechnung!S219))*N(Berechnung!C219))</f>
        <v/>
      </c>
      <c r="F219" s="58">
        <f>IF($B219="","",(N(Berechnung!G219)+N(Berechnung!T219))*N(Berechnung!C219))</f>
        <v/>
      </c>
      <c r="G219" s="58">
        <f>IF($B219="","",(N(Berechnung!H219)+N(Berechnung!U219))*N(Berechnung!C219))</f>
        <v/>
      </c>
      <c r="H219" s="58">
        <f>IF($B219="","",(N(Berechnung!I219)+N(Berechnung!V219))*N(Berechnung!C219))</f>
        <v/>
      </c>
      <c r="I219" s="58">
        <f>IF($B219="","",(N(Berechnung!J219)+N(Berechnung!W219))*N(Berechnung!C219))</f>
        <v/>
      </c>
      <c r="J219" s="58">
        <f>IF($B219="","",(N(Berechnung!K219)+N(Berechnung!X219))*N(Berechnung!C219))</f>
        <v/>
      </c>
      <c r="K219" s="58">
        <f>IF($B219="","",(N(Berechnung!L219)+N(Berechnung!Y219))*N(Berechnung!C219))</f>
        <v/>
      </c>
      <c r="L219" s="58">
        <f>IF($B219="","",(N(Berechnung!M219)+N(Berechnung!Z219))*N(Berechnung!C219))</f>
        <v/>
      </c>
      <c r="M219" s="58">
        <f>IF($B219="","",(N(Berechnung!N219)+N(Berechnung!AA219))*N(Berechnung!C219))</f>
        <v/>
      </c>
      <c r="N219" s="58">
        <f>IF($B219="","",(N(Berechnung!O219)+N(Berechnung!AB219))*N(Berechnung!C219))</f>
        <v/>
      </c>
      <c r="O219" s="65">
        <f>IF($B219="","",SUM(C219:N219))</f>
        <v/>
      </c>
      <c r="P219" s="57">
        <f>'KQuote Mitarbeiter'!E219</f>
        <v/>
      </c>
      <c r="Q219" s="66">
        <f>'KQuote Mitarbeiter'!L219</f>
        <v/>
      </c>
      <c r="R219" s="57">
        <f>'KQuote Mitarbeiter'!D219</f>
        <v/>
      </c>
      <c r="S219" s="66">
        <f>'KQuote Mitarbeiter'!K219</f>
        <v/>
      </c>
    </row>
    <row r="220">
      <c r="A220" s="47">
        <f>'KQuote Mitarbeiter'!A220</f>
        <v/>
      </c>
      <c r="B220" s="48">
        <f>'KQuote Mitarbeiter'!B220</f>
        <v/>
      </c>
      <c r="C220" s="58">
        <f>IF($B220="","",(N(Berechnung!D220)+N(Berechnung!Q220))*N(Berechnung!C220))</f>
        <v/>
      </c>
      <c r="D220" s="58">
        <f>IF($B220="","",(N(Berechnung!E220)+N(Berechnung!R220))*N(Berechnung!C220))</f>
        <v/>
      </c>
      <c r="E220" s="58">
        <f>IF($B220="","",(N(Berechnung!F220)+N(Berechnung!S220))*N(Berechnung!C220))</f>
        <v/>
      </c>
      <c r="F220" s="58">
        <f>IF($B220="","",(N(Berechnung!G220)+N(Berechnung!T220))*N(Berechnung!C220))</f>
        <v/>
      </c>
      <c r="G220" s="58">
        <f>IF($B220="","",(N(Berechnung!H220)+N(Berechnung!U220))*N(Berechnung!C220))</f>
        <v/>
      </c>
      <c r="H220" s="58">
        <f>IF($B220="","",(N(Berechnung!I220)+N(Berechnung!V220))*N(Berechnung!C220))</f>
        <v/>
      </c>
      <c r="I220" s="58">
        <f>IF($B220="","",(N(Berechnung!J220)+N(Berechnung!W220))*N(Berechnung!C220))</f>
        <v/>
      </c>
      <c r="J220" s="58">
        <f>IF($B220="","",(N(Berechnung!K220)+N(Berechnung!X220))*N(Berechnung!C220))</f>
        <v/>
      </c>
      <c r="K220" s="58">
        <f>IF($B220="","",(N(Berechnung!L220)+N(Berechnung!Y220))*N(Berechnung!C220))</f>
        <v/>
      </c>
      <c r="L220" s="58">
        <f>IF($B220="","",(N(Berechnung!M220)+N(Berechnung!Z220))*N(Berechnung!C220))</f>
        <v/>
      </c>
      <c r="M220" s="58">
        <f>IF($B220="","",(N(Berechnung!N220)+N(Berechnung!AA220))*N(Berechnung!C220))</f>
        <v/>
      </c>
      <c r="N220" s="58">
        <f>IF($B220="","",(N(Berechnung!O220)+N(Berechnung!AB220))*N(Berechnung!C220))</f>
        <v/>
      </c>
      <c r="O220" s="65">
        <f>IF($B220="","",SUM(C220:N220))</f>
        <v/>
      </c>
      <c r="P220" s="57">
        <f>'KQuote Mitarbeiter'!E220</f>
        <v/>
      </c>
      <c r="Q220" s="66">
        <f>'KQuote Mitarbeiter'!L220</f>
        <v/>
      </c>
      <c r="R220" s="57">
        <f>'KQuote Mitarbeiter'!D220</f>
        <v/>
      </c>
      <c r="S220" s="66">
        <f>'KQuote Mitarbeiter'!K220</f>
        <v/>
      </c>
    </row>
    <row r="221">
      <c r="A221" s="47">
        <f>'KQuote Mitarbeiter'!A221</f>
        <v/>
      </c>
      <c r="B221" s="48">
        <f>'KQuote Mitarbeiter'!B221</f>
        <v/>
      </c>
      <c r="C221" s="58">
        <f>IF($B221="","",(N(Berechnung!D221)+N(Berechnung!Q221))*N(Berechnung!C221))</f>
        <v/>
      </c>
      <c r="D221" s="58">
        <f>IF($B221="","",(N(Berechnung!E221)+N(Berechnung!R221))*N(Berechnung!C221))</f>
        <v/>
      </c>
      <c r="E221" s="58">
        <f>IF($B221="","",(N(Berechnung!F221)+N(Berechnung!S221))*N(Berechnung!C221))</f>
        <v/>
      </c>
      <c r="F221" s="58">
        <f>IF($B221="","",(N(Berechnung!G221)+N(Berechnung!T221))*N(Berechnung!C221))</f>
        <v/>
      </c>
      <c r="G221" s="58">
        <f>IF($B221="","",(N(Berechnung!H221)+N(Berechnung!U221))*N(Berechnung!C221))</f>
        <v/>
      </c>
      <c r="H221" s="58">
        <f>IF($B221="","",(N(Berechnung!I221)+N(Berechnung!V221))*N(Berechnung!C221))</f>
        <v/>
      </c>
      <c r="I221" s="58">
        <f>IF($B221="","",(N(Berechnung!J221)+N(Berechnung!W221))*N(Berechnung!C221))</f>
        <v/>
      </c>
      <c r="J221" s="58">
        <f>IF($B221="","",(N(Berechnung!K221)+N(Berechnung!X221))*N(Berechnung!C221))</f>
        <v/>
      </c>
      <c r="K221" s="58">
        <f>IF($B221="","",(N(Berechnung!L221)+N(Berechnung!Y221))*N(Berechnung!C221))</f>
        <v/>
      </c>
      <c r="L221" s="58">
        <f>IF($B221="","",(N(Berechnung!M221)+N(Berechnung!Z221))*N(Berechnung!C221))</f>
        <v/>
      </c>
      <c r="M221" s="58">
        <f>IF($B221="","",(N(Berechnung!N221)+N(Berechnung!AA221))*N(Berechnung!C221))</f>
        <v/>
      </c>
      <c r="N221" s="58">
        <f>IF($B221="","",(N(Berechnung!O221)+N(Berechnung!AB221))*N(Berechnung!C221))</f>
        <v/>
      </c>
      <c r="O221" s="65">
        <f>IF($B221="","",SUM(C221:N221))</f>
        <v/>
      </c>
      <c r="P221" s="57">
        <f>'KQuote Mitarbeiter'!E221</f>
        <v/>
      </c>
      <c r="Q221" s="66">
        <f>'KQuote Mitarbeiter'!L221</f>
        <v/>
      </c>
      <c r="R221" s="57">
        <f>'KQuote Mitarbeiter'!D221</f>
        <v/>
      </c>
      <c r="S221" s="66">
        <f>'KQuote Mitarbeiter'!K221</f>
        <v/>
      </c>
    </row>
    <row r="222">
      <c r="A222" s="47">
        <f>'KQuote Mitarbeiter'!A222</f>
        <v/>
      </c>
      <c r="B222" s="48">
        <f>'KQuote Mitarbeiter'!B222</f>
        <v/>
      </c>
      <c r="C222" s="58">
        <f>IF($B222="","",(N(Berechnung!D222)+N(Berechnung!Q222))*N(Berechnung!C222))</f>
        <v/>
      </c>
      <c r="D222" s="58">
        <f>IF($B222="","",(N(Berechnung!E222)+N(Berechnung!R222))*N(Berechnung!C222))</f>
        <v/>
      </c>
      <c r="E222" s="58">
        <f>IF($B222="","",(N(Berechnung!F222)+N(Berechnung!S222))*N(Berechnung!C222))</f>
        <v/>
      </c>
      <c r="F222" s="58">
        <f>IF($B222="","",(N(Berechnung!G222)+N(Berechnung!T222))*N(Berechnung!C222))</f>
        <v/>
      </c>
      <c r="G222" s="58">
        <f>IF($B222="","",(N(Berechnung!H222)+N(Berechnung!U222))*N(Berechnung!C222))</f>
        <v/>
      </c>
      <c r="H222" s="58">
        <f>IF($B222="","",(N(Berechnung!I222)+N(Berechnung!V222))*N(Berechnung!C222))</f>
        <v/>
      </c>
      <c r="I222" s="58">
        <f>IF($B222="","",(N(Berechnung!J222)+N(Berechnung!W222))*N(Berechnung!C222))</f>
        <v/>
      </c>
      <c r="J222" s="58">
        <f>IF($B222="","",(N(Berechnung!K222)+N(Berechnung!X222))*N(Berechnung!C222))</f>
        <v/>
      </c>
      <c r="K222" s="58">
        <f>IF($B222="","",(N(Berechnung!L222)+N(Berechnung!Y222))*N(Berechnung!C222))</f>
        <v/>
      </c>
      <c r="L222" s="58">
        <f>IF($B222="","",(N(Berechnung!M222)+N(Berechnung!Z222))*N(Berechnung!C222))</f>
        <v/>
      </c>
      <c r="M222" s="58">
        <f>IF($B222="","",(N(Berechnung!N222)+N(Berechnung!AA222))*N(Berechnung!C222))</f>
        <v/>
      </c>
      <c r="N222" s="58">
        <f>IF($B222="","",(N(Berechnung!O222)+N(Berechnung!AB222))*N(Berechnung!C222))</f>
        <v/>
      </c>
      <c r="O222" s="65">
        <f>IF($B222="","",SUM(C222:N222))</f>
        <v/>
      </c>
      <c r="P222" s="57">
        <f>'KQuote Mitarbeiter'!E222</f>
        <v/>
      </c>
      <c r="Q222" s="66">
        <f>'KQuote Mitarbeiter'!L222</f>
        <v/>
      </c>
      <c r="R222" s="57">
        <f>'KQuote Mitarbeiter'!D222</f>
        <v/>
      </c>
      <c r="S222" s="66">
        <f>'KQuote Mitarbeiter'!K222</f>
        <v/>
      </c>
    </row>
    <row r="223">
      <c r="A223" s="47">
        <f>'KQuote Mitarbeiter'!A223</f>
        <v/>
      </c>
      <c r="B223" s="48">
        <f>'KQuote Mitarbeiter'!B223</f>
        <v/>
      </c>
      <c r="C223" s="58">
        <f>IF($B223="","",(N(Berechnung!D223)+N(Berechnung!Q223))*N(Berechnung!C223))</f>
        <v/>
      </c>
      <c r="D223" s="58">
        <f>IF($B223="","",(N(Berechnung!E223)+N(Berechnung!R223))*N(Berechnung!C223))</f>
        <v/>
      </c>
      <c r="E223" s="58">
        <f>IF($B223="","",(N(Berechnung!F223)+N(Berechnung!S223))*N(Berechnung!C223))</f>
        <v/>
      </c>
      <c r="F223" s="58">
        <f>IF($B223="","",(N(Berechnung!G223)+N(Berechnung!T223))*N(Berechnung!C223))</f>
        <v/>
      </c>
      <c r="G223" s="58">
        <f>IF($B223="","",(N(Berechnung!H223)+N(Berechnung!U223))*N(Berechnung!C223))</f>
        <v/>
      </c>
      <c r="H223" s="58">
        <f>IF($B223="","",(N(Berechnung!I223)+N(Berechnung!V223))*N(Berechnung!C223))</f>
        <v/>
      </c>
      <c r="I223" s="58">
        <f>IF($B223="","",(N(Berechnung!J223)+N(Berechnung!W223))*N(Berechnung!C223))</f>
        <v/>
      </c>
      <c r="J223" s="58">
        <f>IF($B223="","",(N(Berechnung!K223)+N(Berechnung!X223))*N(Berechnung!C223))</f>
        <v/>
      </c>
      <c r="K223" s="58">
        <f>IF($B223="","",(N(Berechnung!L223)+N(Berechnung!Y223))*N(Berechnung!C223))</f>
        <v/>
      </c>
      <c r="L223" s="58">
        <f>IF($B223="","",(N(Berechnung!M223)+N(Berechnung!Z223))*N(Berechnung!C223))</f>
        <v/>
      </c>
      <c r="M223" s="58">
        <f>IF($B223="","",(N(Berechnung!N223)+N(Berechnung!AA223))*N(Berechnung!C223))</f>
        <v/>
      </c>
      <c r="N223" s="58">
        <f>IF($B223="","",(N(Berechnung!O223)+N(Berechnung!AB223))*N(Berechnung!C223))</f>
        <v/>
      </c>
      <c r="O223" s="65">
        <f>IF($B223="","",SUM(C223:N223))</f>
        <v/>
      </c>
      <c r="P223" s="57">
        <f>'KQuote Mitarbeiter'!E223</f>
        <v/>
      </c>
      <c r="Q223" s="66">
        <f>'KQuote Mitarbeiter'!L223</f>
        <v/>
      </c>
      <c r="R223" s="57">
        <f>'KQuote Mitarbeiter'!D223</f>
        <v/>
      </c>
      <c r="S223" s="66">
        <f>'KQuote Mitarbeiter'!K223</f>
        <v/>
      </c>
    </row>
    <row r="224">
      <c r="A224" s="47">
        <f>'KQuote Mitarbeiter'!A224</f>
        <v/>
      </c>
      <c r="B224" s="48">
        <f>'KQuote Mitarbeiter'!B224</f>
        <v/>
      </c>
      <c r="C224" s="58">
        <f>IF($B224="","",(N(Berechnung!D224)+N(Berechnung!Q224))*N(Berechnung!C224))</f>
        <v/>
      </c>
      <c r="D224" s="58">
        <f>IF($B224="","",(N(Berechnung!E224)+N(Berechnung!R224))*N(Berechnung!C224))</f>
        <v/>
      </c>
      <c r="E224" s="58">
        <f>IF($B224="","",(N(Berechnung!F224)+N(Berechnung!S224))*N(Berechnung!C224))</f>
        <v/>
      </c>
      <c r="F224" s="58">
        <f>IF($B224="","",(N(Berechnung!G224)+N(Berechnung!T224))*N(Berechnung!C224))</f>
        <v/>
      </c>
      <c r="G224" s="58">
        <f>IF($B224="","",(N(Berechnung!H224)+N(Berechnung!U224))*N(Berechnung!C224))</f>
        <v/>
      </c>
      <c r="H224" s="58">
        <f>IF($B224="","",(N(Berechnung!I224)+N(Berechnung!V224))*N(Berechnung!C224))</f>
        <v/>
      </c>
      <c r="I224" s="58">
        <f>IF($B224="","",(N(Berechnung!J224)+N(Berechnung!W224))*N(Berechnung!C224))</f>
        <v/>
      </c>
      <c r="J224" s="58">
        <f>IF($B224="","",(N(Berechnung!K224)+N(Berechnung!X224))*N(Berechnung!C224))</f>
        <v/>
      </c>
      <c r="K224" s="58">
        <f>IF($B224="","",(N(Berechnung!L224)+N(Berechnung!Y224))*N(Berechnung!C224))</f>
        <v/>
      </c>
      <c r="L224" s="58">
        <f>IF($B224="","",(N(Berechnung!M224)+N(Berechnung!Z224))*N(Berechnung!C224))</f>
        <v/>
      </c>
      <c r="M224" s="58">
        <f>IF($B224="","",(N(Berechnung!N224)+N(Berechnung!AA224))*N(Berechnung!C224))</f>
        <v/>
      </c>
      <c r="N224" s="58">
        <f>IF($B224="","",(N(Berechnung!O224)+N(Berechnung!AB224))*N(Berechnung!C224))</f>
        <v/>
      </c>
      <c r="O224" s="65">
        <f>IF($B224="","",SUM(C224:N224))</f>
        <v/>
      </c>
      <c r="P224" s="57">
        <f>'KQuote Mitarbeiter'!E224</f>
        <v/>
      </c>
      <c r="Q224" s="66">
        <f>'KQuote Mitarbeiter'!L224</f>
        <v/>
      </c>
      <c r="R224" s="57">
        <f>'KQuote Mitarbeiter'!D224</f>
        <v/>
      </c>
      <c r="S224" s="66">
        <f>'KQuote Mitarbeiter'!K224</f>
        <v/>
      </c>
    </row>
    <row r="225">
      <c r="A225" s="47">
        <f>'KQuote Mitarbeiter'!A225</f>
        <v/>
      </c>
      <c r="B225" s="48">
        <f>'KQuote Mitarbeiter'!B225</f>
        <v/>
      </c>
      <c r="C225" s="58">
        <f>IF($B225="","",(N(Berechnung!D225)+N(Berechnung!Q225))*N(Berechnung!C225))</f>
        <v/>
      </c>
      <c r="D225" s="58">
        <f>IF($B225="","",(N(Berechnung!E225)+N(Berechnung!R225))*N(Berechnung!C225))</f>
        <v/>
      </c>
      <c r="E225" s="58">
        <f>IF($B225="","",(N(Berechnung!F225)+N(Berechnung!S225))*N(Berechnung!C225))</f>
        <v/>
      </c>
      <c r="F225" s="58">
        <f>IF($B225="","",(N(Berechnung!G225)+N(Berechnung!T225))*N(Berechnung!C225))</f>
        <v/>
      </c>
      <c r="G225" s="58">
        <f>IF($B225="","",(N(Berechnung!H225)+N(Berechnung!U225))*N(Berechnung!C225))</f>
        <v/>
      </c>
      <c r="H225" s="58">
        <f>IF($B225="","",(N(Berechnung!I225)+N(Berechnung!V225))*N(Berechnung!C225))</f>
        <v/>
      </c>
      <c r="I225" s="58">
        <f>IF($B225="","",(N(Berechnung!J225)+N(Berechnung!W225))*N(Berechnung!C225))</f>
        <v/>
      </c>
      <c r="J225" s="58">
        <f>IF($B225="","",(N(Berechnung!K225)+N(Berechnung!X225))*N(Berechnung!C225))</f>
        <v/>
      </c>
      <c r="K225" s="58">
        <f>IF($B225="","",(N(Berechnung!L225)+N(Berechnung!Y225))*N(Berechnung!C225))</f>
        <v/>
      </c>
      <c r="L225" s="58">
        <f>IF($B225="","",(N(Berechnung!M225)+N(Berechnung!Z225))*N(Berechnung!C225))</f>
        <v/>
      </c>
      <c r="M225" s="58">
        <f>IF($B225="","",(N(Berechnung!N225)+N(Berechnung!AA225))*N(Berechnung!C225))</f>
        <v/>
      </c>
      <c r="N225" s="58">
        <f>IF($B225="","",(N(Berechnung!O225)+N(Berechnung!AB225))*N(Berechnung!C225))</f>
        <v/>
      </c>
      <c r="O225" s="65">
        <f>IF($B225="","",SUM(C225:N225))</f>
        <v/>
      </c>
      <c r="P225" s="57">
        <f>'KQuote Mitarbeiter'!E225</f>
        <v/>
      </c>
      <c r="Q225" s="66">
        <f>'KQuote Mitarbeiter'!L225</f>
        <v/>
      </c>
      <c r="R225" s="57">
        <f>'KQuote Mitarbeiter'!D225</f>
        <v/>
      </c>
      <c r="S225" s="66">
        <f>'KQuote Mitarbeiter'!K225</f>
        <v/>
      </c>
    </row>
    <row r="226">
      <c r="A226" s="47">
        <f>'KQuote Mitarbeiter'!A226</f>
        <v/>
      </c>
      <c r="B226" s="48">
        <f>'KQuote Mitarbeiter'!B226</f>
        <v/>
      </c>
      <c r="C226" s="58">
        <f>IF($B226="","",(N(Berechnung!D226)+N(Berechnung!Q226))*N(Berechnung!C226))</f>
        <v/>
      </c>
      <c r="D226" s="58">
        <f>IF($B226="","",(N(Berechnung!E226)+N(Berechnung!R226))*N(Berechnung!C226))</f>
        <v/>
      </c>
      <c r="E226" s="58">
        <f>IF($B226="","",(N(Berechnung!F226)+N(Berechnung!S226))*N(Berechnung!C226))</f>
        <v/>
      </c>
      <c r="F226" s="58">
        <f>IF($B226="","",(N(Berechnung!G226)+N(Berechnung!T226))*N(Berechnung!C226))</f>
        <v/>
      </c>
      <c r="G226" s="58">
        <f>IF($B226="","",(N(Berechnung!H226)+N(Berechnung!U226))*N(Berechnung!C226))</f>
        <v/>
      </c>
      <c r="H226" s="58">
        <f>IF($B226="","",(N(Berechnung!I226)+N(Berechnung!V226))*N(Berechnung!C226))</f>
        <v/>
      </c>
      <c r="I226" s="58">
        <f>IF($B226="","",(N(Berechnung!J226)+N(Berechnung!W226))*N(Berechnung!C226))</f>
        <v/>
      </c>
      <c r="J226" s="58">
        <f>IF($B226="","",(N(Berechnung!K226)+N(Berechnung!X226))*N(Berechnung!C226))</f>
        <v/>
      </c>
      <c r="K226" s="58">
        <f>IF($B226="","",(N(Berechnung!L226)+N(Berechnung!Y226))*N(Berechnung!C226))</f>
        <v/>
      </c>
      <c r="L226" s="58">
        <f>IF($B226="","",(N(Berechnung!M226)+N(Berechnung!Z226))*N(Berechnung!C226))</f>
        <v/>
      </c>
      <c r="M226" s="58">
        <f>IF($B226="","",(N(Berechnung!N226)+N(Berechnung!AA226))*N(Berechnung!C226))</f>
        <v/>
      </c>
      <c r="N226" s="58">
        <f>IF($B226="","",(N(Berechnung!O226)+N(Berechnung!AB226))*N(Berechnung!C226))</f>
        <v/>
      </c>
      <c r="O226" s="65">
        <f>IF($B226="","",SUM(C226:N226))</f>
        <v/>
      </c>
      <c r="P226" s="57">
        <f>'KQuote Mitarbeiter'!E226</f>
        <v/>
      </c>
      <c r="Q226" s="66">
        <f>'KQuote Mitarbeiter'!L226</f>
        <v/>
      </c>
      <c r="R226" s="57">
        <f>'KQuote Mitarbeiter'!D226</f>
        <v/>
      </c>
      <c r="S226" s="66">
        <f>'KQuote Mitarbeiter'!K226</f>
        <v/>
      </c>
    </row>
    <row r="227">
      <c r="A227" s="47">
        <f>'KQuote Mitarbeiter'!A227</f>
        <v/>
      </c>
      <c r="B227" s="48">
        <f>'KQuote Mitarbeiter'!B227</f>
        <v/>
      </c>
      <c r="C227" s="58">
        <f>IF($B227="","",(N(Berechnung!D227)+N(Berechnung!Q227))*N(Berechnung!C227))</f>
        <v/>
      </c>
      <c r="D227" s="58">
        <f>IF($B227="","",(N(Berechnung!E227)+N(Berechnung!R227))*N(Berechnung!C227))</f>
        <v/>
      </c>
      <c r="E227" s="58">
        <f>IF($B227="","",(N(Berechnung!F227)+N(Berechnung!S227))*N(Berechnung!C227))</f>
        <v/>
      </c>
      <c r="F227" s="58">
        <f>IF($B227="","",(N(Berechnung!G227)+N(Berechnung!T227))*N(Berechnung!C227))</f>
        <v/>
      </c>
      <c r="G227" s="58">
        <f>IF($B227="","",(N(Berechnung!H227)+N(Berechnung!U227))*N(Berechnung!C227))</f>
        <v/>
      </c>
      <c r="H227" s="58">
        <f>IF($B227="","",(N(Berechnung!I227)+N(Berechnung!V227))*N(Berechnung!C227))</f>
        <v/>
      </c>
      <c r="I227" s="58">
        <f>IF($B227="","",(N(Berechnung!J227)+N(Berechnung!W227))*N(Berechnung!C227))</f>
        <v/>
      </c>
      <c r="J227" s="58">
        <f>IF($B227="","",(N(Berechnung!K227)+N(Berechnung!X227))*N(Berechnung!C227))</f>
        <v/>
      </c>
      <c r="K227" s="58">
        <f>IF($B227="","",(N(Berechnung!L227)+N(Berechnung!Y227))*N(Berechnung!C227))</f>
        <v/>
      </c>
      <c r="L227" s="58">
        <f>IF($B227="","",(N(Berechnung!M227)+N(Berechnung!Z227))*N(Berechnung!C227))</f>
        <v/>
      </c>
      <c r="M227" s="58">
        <f>IF($B227="","",(N(Berechnung!N227)+N(Berechnung!AA227))*N(Berechnung!C227))</f>
        <v/>
      </c>
      <c r="N227" s="58">
        <f>IF($B227="","",(N(Berechnung!O227)+N(Berechnung!AB227))*N(Berechnung!C227))</f>
        <v/>
      </c>
      <c r="O227" s="65">
        <f>IF($B227="","",SUM(C227:N227))</f>
        <v/>
      </c>
      <c r="P227" s="57">
        <f>'KQuote Mitarbeiter'!E227</f>
        <v/>
      </c>
      <c r="Q227" s="66">
        <f>'KQuote Mitarbeiter'!L227</f>
        <v/>
      </c>
      <c r="R227" s="57">
        <f>'KQuote Mitarbeiter'!D227</f>
        <v/>
      </c>
      <c r="S227" s="66">
        <f>'KQuote Mitarbeiter'!K227</f>
        <v/>
      </c>
    </row>
    <row r="228">
      <c r="A228" s="47">
        <f>'KQuote Mitarbeiter'!A228</f>
        <v/>
      </c>
      <c r="B228" s="48">
        <f>'KQuote Mitarbeiter'!B228</f>
        <v/>
      </c>
      <c r="C228" s="58">
        <f>IF($B228="","",(N(Berechnung!D228)+N(Berechnung!Q228))*N(Berechnung!C228))</f>
        <v/>
      </c>
      <c r="D228" s="58">
        <f>IF($B228="","",(N(Berechnung!E228)+N(Berechnung!R228))*N(Berechnung!C228))</f>
        <v/>
      </c>
      <c r="E228" s="58">
        <f>IF($B228="","",(N(Berechnung!F228)+N(Berechnung!S228))*N(Berechnung!C228))</f>
        <v/>
      </c>
      <c r="F228" s="58">
        <f>IF($B228="","",(N(Berechnung!G228)+N(Berechnung!T228))*N(Berechnung!C228))</f>
        <v/>
      </c>
      <c r="G228" s="58">
        <f>IF($B228="","",(N(Berechnung!H228)+N(Berechnung!U228))*N(Berechnung!C228))</f>
        <v/>
      </c>
      <c r="H228" s="58">
        <f>IF($B228="","",(N(Berechnung!I228)+N(Berechnung!V228))*N(Berechnung!C228))</f>
        <v/>
      </c>
      <c r="I228" s="58">
        <f>IF($B228="","",(N(Berechnung!J228)+N(Berechnung!W228))*N(Berechnung!C228))</f>
        <v/>
      </c>
      <c r="J228" s="58">
        <f>IF($B228="","",(N(Berechnung!K228)+N(Berechnung!X228))*N(Berechnung!C228))</f>
        <v/>
      </c>
      <c r="K228" s="58">
        <f>IF($B228="","",(N(Berechnung!L228)+N(Berechnung!Y228))*N(Berechnung!C228))</f>
        <v/>
      </c>
      <c r="L228" s="58">
        <f>IF($B228="","",(N(Berechnung!M228)+N(Berechnung!Z228))*N(Berechnung!C228))</f>
        <v/>
      </c>
      <c r="M228" s="58">
        <f>IF($B228="","",(N(Berechnung!N228)+N(Berechnung!AA228))*N(Berechnung!C228))</f>
        <v/>
      </c>
      <c r="N228" s="58">
        <f>IF($B228="","",(N(Berechnung!O228)+N(Berechnung!AB228))*N(Berechnung!C228))</f>
        <v/>
      </c>
      <c r="O228" s="65">
        <f>IF($B228="","",SUM(C228:N228))</f>
        <v/>
      </c>
      <c r="P228" s="57">
        <f>'KQuote Mitarbeiter'!E228</f>
        <v/>
      </c>
      <c r="Q228" s="66">
        <f>'KQuote Mitarbeiter'!L228</f>
        <v/>
      </c>
      <c r="R228" s="57">
        <f>'KQuote Mitarbeiter'!D228</f>
        <v/>
      </c>
      <c r="S228" s="66">
        <f>'KQuote Mitarbeiter'!K228</f>
        <v/>
      </c>
    </row>
    <row r="229">
      <c r="A229" s="47">
        <f>'KQuote Mitarbeiter'!A229</f>
        <v/>
      </c>
      <c r="B229" s="48">
        <f>'KQuote Mitarbeiter'!B229</f>
        <v/>
      </c>
      <c r="C229" s="58">
        <f>IF($B229="","",(N(Berechnung!D229)+N(Berechnung!Q229))*N(Berechnung!C229))</f>
        <v/>
      </c>
      <c r="D229" s="58">
        <f>IF($B229="","",(N(Berechnung!E229)+N(Berechnung!R229))*N(Berechnung!C229))</f>
        <v/>
      </c>
      <c r="E229" s="58">
        <f>IF($B229="","",(N(Berechnung!F229)+N(Berechnung!S229))*N(Berechnung!C229))</f>
        <v/>
      </c>
      <c r="F229" s="58">
        <f>IF($B229="","",(N(Berechnung!G229)+N(Berechnung!T229))*N(Berechnung!C229))</f>
        <v/>
      </c>
      <c r="G229" s="58">
        <f>IF($B229="","",(N(Berechnung!H229)+N(Berechnung!U229))*N(Berechnung!C229))</f>
        <v/>
      </c>
      <c r="H229" s="58">
        <f>IF($B229="","",(N(Berechnung!I229)+N(Berechnung!V229))*N(Berechnung!C229))</f>
        <v/>
      </c>
      <c r="I229" s="58">
        <f>IF($B229="","",(N(Berechnung!J229)+N(Berechnung!W229))*N(Berechnung!C229))</f>
        <v/>
      </c>
      <c r="J229" s="58">
        <f>IF($B229="","",(N(Berechnung!K229)+N(Berechnung!X229))*N(Berechnung!C229))</f>
        <v/>
      </c>
      <c r="K229" s="58">
        <f>IF($B229="","",(N(Berechnung!L229)+N(Berechnung!Y229))*N(Berechnung!C229))</f>
        <v/>
      </c>
      <c r="L229" s="58">
        <f>IF($B229="","",(N(Berechnung!M229)+N(Berechnung!Z229))*N(Berechnung!C229))</f>
        <v/>
      </c>
      <c r="M229" s="58">
        <f>IF($B229="","",(N(Berechnung!N229)+N(Berechnung!AA229))*N(Berechnung!C229))</f>
        <v/>
      </c>
      <c r="N229" s="58">
        <f>IF($B229="","",(N(Berechnung!O229)+N(Berechnung!AB229))*N(Berechnung!C229))</f>
        <v/>
      </c>
      <c r="O229" s="65">
        <f>IF($B229="","",SUM(C229:N229))</f>
        <v/>
      </c>
      <c r="P229" s="57">
        <f>'KQuote Mitarbeiter'!E229</f>
        <v/>
      </c>
      <c r="Q229" s="66">
        <f>'KQuote Mitarbeiter'!L229</f>
        <v/>
      </c>
      <c r="R229" s="57">
        <f>'KQuote Mitarbeiter'!D229</f>
        <v/>
      </c>
      <c r="S229" s="66">
        <f>'KQuote Mitarbeiter'!K229</f>
        <v/>
      </c>
    </row>
    <row r="230">
      <c r="A230" s="47">
        <f>'KQuote Mitarbeiter'!A230</f>
        <v/>
      </c>
      <c r="B230" s="48">
        <f>'KQuote Mitarbeiter'!B230</f>
        <v/>
      </c>
      <c r="C230" s="58">
        <f>IF($B230="","",(N(Berechnung!D230)+N(Berechnung!Q230))*N(Berechnung!C230))</f>
        <v/>
      </c>
      <c r="D230" s="58">
        <f>IF($B230="","",(N(Berechnung!E230)+N(Berechnung!R230))*N(Berechnung!C230))</f>
        <v/>
      </c>
      <c r="E230" s="58">
        <f>IF($B230="","",(N(Berechnung!F230)+N(Berechnung!S230))*N(Berechnung!C230))</f>
        <v/>
      </c>
      <c r="F230" s="58">
        <f>IF($B230="","",(N(Berechnung!G230)+N(Berechnung!T230))*N(Berechnung!C230))</f>
        <v/>
      </c>
      <c r="G230" s="58">
        <f>IF($B230="","",(N(Berechnung!H230)+N(Berechnung!U230))*N(Berechnung!C230))</f>
        <v/>
      </c>
      <c r="H230" s="58">
        <f>IF($B230="","",(N(Berechnung!I230)+N(Berechnung!V230))*N(Berechnung!C230))</f>
        <v/>
      </c>
      <c r="I230" s="58">
        <f>IF($B230="","",(N(Berechnung!J230)+N(Berechnung!W230))*N(Berechnung!C230))</f>
        <v/>
      </c>
      <c r="J230" s="58">
        <f>IF($B230="","",(N(Berechnung!K230)+N(Berechnung!X230))*N(Berechnung!C230))</f>
        <v/>
      </c>
      <c r="K230" s="58">
        <f>IF($B230="","",(N(Berechnung!L230)+N(Berechnung!Y230))*N(Berechnung!C230))</f>
        <v/>
      </c>
      <c r="L230" s="58">
        <f>IF($B230="","",(N(Berechnung!M230)+N(Berechnung!Z230))*N(Berechnung!C230))</f>
        <v/>
      </c>
      <c r="M230" s="58">
        <f>IF($B230="","",(N(Berechnung!N230)+N(Berechnung!AA230))*N(Berechnung!C230))</f>
        <v/>
      </c>
      <c r="N230" s="58">
        <f>IF($B230="","",(N(Berechnung!O230)+N(Berechnung!AB230))*N(Berechnung!C230))</f>
        <v/>
      </c>
      <c r="O230" s="65">
        <f>IF($B230="","",SUM(C230:N230))</f>
        <v/>
      </c>
      <c r="P230" s="57">
        <f>'KQuote Mitarbeiter'!E230</f>
        <v/>
      </c>
      <c r="Q230" s="66">
        <f>'KQuote Mitarbeiter'!L230</f>
        <v/>
      </c>
      <c r="R230" s="57">
        <f>'KQuote Mitarbeiter'!D230</f>
        <v/>
      </c>
      <c r="S230" s="66">
        <f>'KQuote Mitarbeiter'!K230</f>
        <v/>
      </c>
    </row>
    <row r="231">
      <c r="A231" s="47">
        <f>'KQuote Mitarbeiter'!A231</f>
        <v/>
      </c>
      <c r="B231" s="48">
        <f>'KQuote Mitarbeiter'!B231</f>
        <v/>
      </c>
      <c r="C231" s="58">
        <f>IF($B231="","",(N(Berechnung!D231)+N(Berechnung!Q231))*N(Berechnung!C231))</f>
        <v/>
      </c>
      <c r="D231" s="58">
        <f>IF($B231="","",(N(Berechnung!E231)+N(Berechnung!R231))*N(Berechnung!C231))</f>
        <v/>
      </c>
      <c r="E231" s="58">
        <f>IF($B231="","",(N(Berechnung!F231)+N(Berechnung!S231))*N(Berechnung!C231))</f>
        <v/>
      </c>
      <c r="F231" s="58">
        <f>IF($B231="","",(N(Berechnung!G231)+N(Berechnung!T231))*N(Berechnung!C231))</f>
        <v/>
      </c>
      <c r="G231" s="58">
        <f>IF($B231="","",(N(Berechnung!H231)+N(Berechnung!U231))*N(Berechnung!C231))</f>
        <v/>
      </c>
      <c r="H231" s="58">
        <f>IF($B231="","",(N(Berechnung!I231)+N(Berechnung!V231))*N(Berechnung!C231))</f>
        <v/>
      </c>
      <c r="I231" s="58">
        <f>IF($B231="","",(N(Berechnung!J231)+N(Berechnung!W231))*N(Berechnung!C231))</f>
        <v/>
      </c>
      <c r="J231" s="58">
        <f>IF($B231="","",(N(Berechnung!K231)+N(Berechnung!X231))*N(Berechnung!C231))</f>
        <v/>
      </c>
      <c r="K231" s="58">
        <f>IF($B231="","",(N(Berechnung!L231)+N(Berechnung!Y231))*N(Berechnung!C231))</f>
        <v/>
      </c>
      <c r="L231" s="58">
        <f>IF($B231="","",(N(Berechnung!M231)+N(Berechnung!Z231))*N(Berechnung!C231))</f>
        <v/>
      </c>
      <c r="M231" s="58">
        <f>IF($B231="","",(N(Berechnung!N231)+N(Berechnung!AA231))*N(Berechnung!C231))</f>
        <v/>
      </c>
      <c r="N231" s="58">
        <f>IF($B231="","",(N(Berechnung!O231)+N(Berechnung!AB231))*N(Berechnung!C231))</f>
        <v/>
      </c>
      <c r="O231" s="65">
        <f>IF($B231="","",SUM(C231:N231))</f>
        <v/>
      </c>
      <c r="P231" s="57">
        <f>'KQuote Mitarbeiter'!E231</f>
        <v/>
      </c>
      <c r="Q231" s="66">
        <f>'KQuote Mitarbeiter'!L231</f>
        <v/>
      </c>
      <c r="R231" s="57">
        <f>'KQuote Mitarbeiter'!D231</f>
        <v/>
      </c>
      <c r="S231" s="66">
        <f>'KQuote Mitarbeiter'!K231</f>
        <v/>
      </c>
    </row>
    <row r="232">
      <c r="A232" s="47">
        <f>'KQuote Mitarbeiter'!A232</f>
        <v/>
      </c>
      <c r="B232" s="48">
        <f>'KQuote Mitarbeiter'!B232</f>
        <v/>
      </c>
      <c r="C232" s="58">
        <f>IF($B232="","",(N(Berechnung!D232)+N(Berechnung!Q232))*N(Berechnung!C232))</f>
        <v/>
      </c>
      <c r="D232" s="58">
        <f>IF($B232="","",(N(Berechnung!E232)+N(Berechnung!R232))*N(Berechnung!C232))</f>
        <v/>
      </c>
      <c r="E232" s="58">
        <f>IF($B232="","",(N(Berechnung!F232)+N(Berechnung!S232))*N(Berechnung!C232))</f>
        <v/>
      </c>
      <c r="F232" s="58">
        <f>IF($B232="","",(N(Berechnung!G232)+N(Berechnung!T232))*N(Berechnung!C232))</f>
        <v/>
      </c>
      <c r="G232" s="58">
        <f>IF($B232="","",(N(Berechnung!H232)+N(Berechnung!U232))*N(Berechnung!C232))</f>
        <v/>
      </c>
      <c r="H232" s="58">
        <f>IF($B232="","",(N(Berechnung!I232)+N(Berechnung!V232))*N(Berechnung!C232))</f>
        <v/>
      </c>
      <c r="I232" s="58">
        <f>IF($B232="","",(N(Berechnung!J232)+N(Berechnung!W232))*N(Berechnung!C232))</f>
        <v/>
      </c>
      <c r="J232" s="58">
        <f>IF($B232="","",(N(Berechnung!K232)+N(Berechnung!X232))*N(Berechnung!C232))</f>
        <v/>
      </c>
      <c r="K232" s="58">
        <f>IF($B232="","",(N(Berechnung!L232)+N(Berechnung!Y232))*N(Berechnung!C232))</f>
        <v/>
      </c>
      <c r="L232" s="58">
        <f>IF($B232="","",(N(Berechnung!M232)+N(Berechnung!Z232))*N(Berechnung!C232))</f>
        <v/>
      </c>
      <c r="M232" s="58">
        <f>IF($B232="","",(N(Berechnung!N232)+N(Berechnung!AA232))*N(Berechnung!C232))</f>
        <v/>
      </c>
      <c r="N232" s="58">
        <f>IF($B232="","",(N(Berechnung!O232)+N(Berechnung!AB232))*N(Berechnung!C232))</f>
        <v/>
      </c>
      <c r="O232" s="65">
        <f>IF($B232="","",SUM(C232:N232))</f>
        <v/>
      </c>
      <c r="P232" s="57">
        <f>'KQuote Mitarbeiter'!E232</f>
        <v/>
      </c>
      <c r="Q232" s="66">
        <f>'KQuote Mitarbeiter'!L232</f>
        <v/>
      </c>
      <c r="R232" s="57">
        <f>'KQuote Mitarbeiter'!D232</f>
        <v/>
      </c>
      <c r="S232" s="66">
        <f>'KQuote Mitarbeiter'!K232</f>
        <v/>
      </c>
    </row>
    <row r="233">
      <c r="A233" s="47">
        <f>'KQuote Mitarbeiter'!A233</f>
        <v/>
      </c>
      <c r="B233" s="48">
        <f>'KQuote Mitarbeiter'!B233</f>
        <v/>
      </c>
      <c r="C233" s="58">
        <f>IF($B233="","",(N(Berechnung!D233)+N(Berechnung!Q233))*N(Berechnung!C233))</f>
        <v/>
      </c>
      <c r="D233" s="58">
        <f>IF($B233="","",(N(Berechnung!E233)+N(Berechnung!R233))*N(Berechnung!C233))</f>
        <v/>
      </c>
      <c r="E233" s="58">
        <f>IF($B233="","",(N(Berechnung!F233)+N(Berechnung!S233))*N(Berechnung!C233))</f>
        <v/>
      </c>
      <c r="F233" s="58">
        <f>IF($B233="","",(N(Berechnung!G233)+N(Berechnung!T233))*N(Berechnung!C233))</f>
        <v/>
      </c>
      <c r="G233" s="58">
        <f>IF($B233="","",(N(Berechnung!H233)+N(Berechnung!U233))*N(Berechnung!C233))</f>
        <v/>
      </c>
      <c r="H233" s="58">
        <f>IF($B233="","",(N(Berechnung!I233)+N(Berechnung!V233))*N(Berechnung!C233))</f>
        <v/>
      </c>
      <c r="I233" s="58">
        <f>IF($B233="","",(N(Berechnung!J233)+N(Berechnung!W233))*N(Berechnung!C233))</f>
        <v/>
      </c>
      <c r="J233" s="58">
        <f>IF($B233="","",(N(Berechnung!K233)+N(Berechnung!X233))*N(Berechnung!C233))</f>
        <v/>
      </c>
      <c r="K233" s="58">
        <f>IF($B233="","",(N(Berechnung!L233)+N(Berechnung!Y233))*N(Berechnung!C233))</f>
        <v/>
      </c>
      <c r="L233" s="58">
        <f>IF($B233="","",(N(Berechnung!M233)+N(Berechnung!Z233))*N(Berechnung!C233))</f>
        <v/>
      </c>
      <c r="M233" s="58">
        <f>IF($B233="","",(N(Berechnung!N233)+N(Berechnung!AA233))*N(Berechnung!C233))</f>
        <v/>
      </c>
      <c r="N233" s="58">
        <f>IF($B233="","",(N(Berechnung!O233)+N(Berechnung!AB233))*N(Berechnung!C233))</f>
        <v/>
      </c>
      <c r="O233" s="65">
        <f>IF($B233="","",SUM(C233:N233))</f>
        <v/>
      </c>
      <c r="P233" s="57">
        <f>'KQuote Mitarbeiter'!E233</f>
        <v/>
      </c>
      <c r="Q233" s="66">
        <f>'KQuote Mitarbeiter'!L233</f>
        <v/>
      </c>
      <c r="R233" s="57">
        <f>'KQuote Mitarbeiter'!D233</f>
        <v/>
      </c>
      <c r="S233" s="66">
        <f>'KQuote Mitarbeiter'!K233</f>
        <v/>
      </c>
    </row>
    <row r="234">
      <c r="A234" s="47">
        <f>'KQuote Mitarbeiter'!A234</f>
        <v/>
      </c>
      <c r="B234" s="48">
        <f>'KQuote Mitarbeiter'!B234</f>
        <v/>
      </c>
      <c r="C234" s="58">
        <f>IF($B234="","",(N(Berechnung!D234)+N(Berechnung!Q234))*N(Berechnung!C234))</f>
        <v/>
      </c>
      <c r="D234" s="58">
        <f>IF($B234="","",(N(Berechnung!E234)+N(Berechnung!R234))*N(Berechnung!C234))</f>
        <v/>
      </c>
      <c r="E234" s="58">
        <f>IF($B234="","",(N(Berechnung!F234)+N(Berechnung!S234))*N(Berechnung!C234))</f>
        <v/>
      </c>
      <c r="F234" s="58">
        <f>IF($B234="","",(N(Berechnung!G234)+N(Berechnung!T234))*N(Berechnung!C234))</f>
        <v/>
      </c>
      <c r="G234" s="58">
        <f>IF($B234="","",(N(Berechnung!H234)+N(Berechnung!U234))*N(Berechnung!C234))</f>
        <v/>
      </c>
      <c r="H234" s="58">
        <f>IF($B234="","",(N(Berechnung!I234)+N(Berechnung!V234))*N(Berechnung!C234))</f>
        <v/>
      </c>
      <c r="I234" s="58">
        <f>IF($B234="","",(N(Berechnung!J234)+N(Berechnung!W234))*N(Berechnung!C234))</f>
        <v/>
      </c>
      <c r="J234" s="58">
        <f>IF($B234="","",(N(Berechnung!K234)+N(Berechnung!X234))*N(Berechnung!C234))</f>
        <v/>
      </c>
      <c r="K234" s="58">
        <f>IF($B234="","",(N(Berechnung!L234)+N(Berechnung!Y234))*N(Berechnung!C234))</f>
        <v/>
      </c>
      <c r="L234" s="58">
        <f>IF($B234="","",(N(Berechnung!M234)+N(Berechnung!Z234))*N(Berechnung!C234))</f>
        <v/>
      </c>
      <c r="M234" s="58">
        <f>IF($B234="","",(N(Berechnung!N234)+N(Berechnung!AA234))*N(Berechnung!C234))</f>
        <v/>
      </c>
      <c r="N234" s="58">
        <f>IF($B234="","",(N(Berechnung!O234)+N(Berechnung!AB234))*N(Berechnung!C234))</f>
        <v/>
      </c>
      <c r="O234" s="65">
        <f>IF($B234="","",SUM(C234:N234))</f>
        <v/>
      </c>
      <c r="P234" s="57">
        <f>'KQuote Mitarbeiter'!E234</f>
        <v/>
      </c>
      <c r="Q234" s="66">
        <f>'KQuote Mitarbeiter'!L234</f>
        <v/>
      </c>
      <c r="R234" s="57">
        <f>'KQuote Mitarbeiter'!D234</f>
        <v/>
      </c>
      <c r="S234" s="66">
        <f>'KQuote Mitarbeiter'!K234</f>
        <v/>
      </c>
    </row>
    <row r="235">
      <c r="A235" s="47">
        <f>'KQuote Mitarbeiter'!A235</f>
        <v/>
      </c>
      <c r="B235" s="48">
        <f>'KQuote Mitarbeiter'!B235</f>
        <v/>
      </c>
      <c r="C235" s="58">
        <f>IF($B235="","",(N(Berechnung!D235)+N(Berechnung!Q235))*N(Berechnung!C235))</f>
        <v/>
      </c>
      <c r="D235" s="58">
        <f>IF($B235="","",(N(Berechnung!E235)+N(Berechnung!R235))*N(Berechnung!C235))</f>
        <v/>
      </c>
      <c r="E235" s="58">
        <f>IF($B235="","",(N(Berechnung!F235)+N(Berechnung!S235))*N(Berechnung!C235))</f>
        <v/>
      </c>
      <c r="F235" s="58">
        <f>IF($B235="","",(N(Berechnung!G235)+N(Berechnung!T235))*N(Berechnung!C235))</f>
        <v/>
      </c>
      <c r="G235" s="58">
        <f>IF($B235="","",(N(Berechnung!H235)+N(Berechnung!U235))*N(Berechnung!C235))</f>
        <v/>
      </c>
      <c r="H235" s="58">
        <f>IF($B235="","",(N(Berechnung!I235)+N(Berechnung!V235))*N(Berechnung!C235))</f>
        <v/>
      </c>
      <c r="I235" s="58">
        <f>IF($B235="","",(N(Berechnung!J235)+N(Berechnung!W235))*N(Berechnung!C235))</f>
        <v/>
      </c>
      <c r="J235" s="58">
        <f>IF($B235="","",(N(Berechnung!K235)+N(Berechnung!X235))*N(Berechnung!C235))</f>
        <v/>
      </c>
      <c r="K235" s="58">
        <f>IF($B235="","",(N(Berechnung!L235)+N(Berechnung!Y235))*N(Berechnung!C235))</f>
        <v/>
      </c>
      <c r="L235" s="58">
        <f>IF($B235="","",(N(Berechnung!M235)+N(Berechnung!Z235))*N(Berechnung!C235))</f>
        <v/>
      </c>
      <c r="M235" s="58">
        <f>IF($B235="","",(N(Berechnung!N235)+N(Berechnung!AA235))*N(Berechnung!C235))</f>
        <v/>
      </c>
      <c r="N235" s="58">
        <f>IF($B235="","",(N(Berechnung!O235)+N(Berechnung!AB235))*N(Berechnung!C235))</f>
        <v/>
      </c>
      <c r="O235" s="65">
        <f>IF($B235="","",SUM(C235:N235))</f>
        <v/>
      </c>
      <c r="P235" s="57">
        <f>'KQuote Mitarbeiter'!E235</f>
        <v/>
      </c>
      <c r="Q235" s="66">
        <f>'KQuote Mitarbeiter'!L235</f>
        <v/>
      </c>
      <c r="R235" s="57">
        <f>'KQuote Mitarbeiter'!D235</f>
        <v/>
      </c>
      <c r="S235" s="66">
        <f>'KQuote Mitarbeiter'!K235</f>
        <v/>
      </c>
    </row>
    <row r="236">
      <c r="A236" s="47">
        <f>'KQuote Mitarbeiter'!A236</f>
        <v/>
      </c>
      <c r="B236" s="48">
        <f>'KQuote Mitarbeiter'!B236</f>
        <v/>
      </c>
      <c r="C236" s="58">
        <f>IF($B236="","",(N(Berechnung!D236)+N(Berechnung!Q236))*N(Berechnung!C236))</f>
        <v/>
      </c>
      <c r="D236" s="58">
        <f>IF($B236="","",(N(Berechnung!E236)+N(Berechnung!R236))*N(Berechnung!C236))</f>
        <v/>
      </c>
      <c r="E236" s="58">
        <f>IF($B236="","",(N(Berechnung!F236)+N(Berechnung!S236))*N(Berechnung!C236))</f>
        <v/>
      </c>
      <c r="F236" s="58">
        <f>IF($B236="","",(N(Berechnung!G236)+N(Berechnung!T236))*N(Berechnung!C236))</f>
        <v/>
      </c>
      <c r="G236" s="58">
        <f>IF($B236="","",(N(Berechnung!H236)+N(Berechnung!U236))*N(Berechnung!C236))</f>
        <v/>
      </c>
      <c r="H236" s="58">
        <f>IF($B236="","",(N(Berechnung!I236)+N(Berechnung!V236))*N(Berechnung!C236))</f>
        <v/>
      </c>
      <c r="I236" s="58">
        <f>IF($B236="","",(N(Berechnung!J236)+N(Berechnung!W236))*N(Berechnung!C236))</f>
        <v/>
      </c>
      <c r="J236" s="58">
        <f>IF($B236="","",(N(Berechnung!K236)+N(Berechnung!X236))*N(Berechnung!C236))</f>
        <v/>
      </c>
      <c r="K236" s="58">
        <f>IF($B236="","",(N(Berechnung!L236)+N(Berechnung!Y236))*N(Berechnung!C236))</f>
        <v/>
      </c>
      <c r="L236" s="58">
        <f>IF($B236="","",(N(Berechnung!M236)+N(Berechnung!Z236))*N(Berechnung!C236))</f>
        <v/>
      </c>
      <c r="M236" s="58">
        <f>IF($B236="","",(N(Berechnung!N236)+N(Berechnung!AA236))*N(Berechnung!C236))</f>
        <v/>
      </c>
      <c r="N236" s="58">
        <f>IF($B236="","",(N(Berechnung!O236)+N(Berechnung!AB236))*N(Berechnung!C236))</f>
        <v/>
      </c>
      <c r="O236" s="65">
        <f>IF($B236="","",SUM(C236:N236))</f>
        <v/>
      </c>
      <c r="P236" s="57">
        <f>'KQuote Mitarbeiter'!E236</f>
        <v/>
      </c>
      <c r="Q236" s="66">
        <f>'KQuote Mitarbeiter'!L236</f>
        <v/>
      </c>
      <c r="R236" s="57">
        <f>'KQuote Mitarbeiter'!D236</f>
        <v/>
      </c>
      <c r="S236" s="66">
        <f>'KQuote Mitarbeiter'!K236</f>
        <v/>
      </c>
    </row>
    <row r="237">
      <c r="A237" s="47">
        <f>'KQuote Mitarbeiter'!A237</f>
        <v/>
      </c>
      <c r="B237" s="48">
        <f>'KQuote Mitarbeiter'!B237</f>
        <v/>
      </c>
      <c r="C237" s="58">
        <f>IF($B237="","",(N(Berechnung!D237)+N(Berechnung!Q237))*N(Berechnung!C237))</f>
        <v/>
      </c>
      <c r="D237" s="58">
        <f>IF($B237="","",(N(Berechnung!E237)+N(Berechnung!R237))*N(Berechnung!C237))</f>
        <v/>
      </c>
      <c r="E237" s="58">
        <f>IF($B237="","",(N(Berechnung!F237)+N(Berechnung!S237))*N(Berechnung!C237))</f>
        <v/>
      </c>
      <c r="F237" s="58">
        <f>IF($B237="","",(N(Berechnung!G237)+N(Berechnung!T237))*N(Berechnung!C237))</f>
        <v/>
      </c>
      <c r="G237" s="58">
        <f>IF($B237="","",(N(Berechnung!H237)+N(Berechnung!U237))*N(Berechnung!C237))</f>
        <v/>
      </c>
      <c r="H237" s="58">
        <f>IF($B237="","",(N(Berechnung!I237)+N(Berechnung!V237))*N(Berechnung!C237))</f>
        <v/>
      </c>
      <c r="I237" s="58">
        <f>IF($B237="","",(N(Berechnung!J237)+N(Berechnung!W237))*N(Berechnung!C237))</f>
        <v/>
      </c>
      <c r="J237" s="58">
        <f>IF($B237="","",(N(Berechnung!K237)+N(Berechnung!X237))*N(Berechnung!C237))</f>
        <v/>
      </c>
      <c r="K237" s="58">
        <f>IF($B237="","",(N(Berechnung!L237)+N(Berechnung!Y237))*N(Berechnung!C237))</f>
        <v/>
      </c>
      <c r="L237" s="58">
        <f>IF($B237="","",(N(Berechnung!M237)+N(Berechnung!Z237))*N(Berechnung!C237))</f>
        <v/>
      </c>
      <c r="M237" s="58">
        <f>IF($B237="","",(N(Berechnung!N237)+N(Berechnung!AA237))*N(Berechnung!C237))</f>
        <v/>
      </c>
      <c r="N237" s="58">
        <f>IF($B237="","",(N(Berechnung!O237)+N(Berechnung!AB237))*N(Berechnung!C237))</f>
        <v/>
      </c>
      <c r="O237" s="65">
        <f>IF($B237="","",SUM(C237:N237))</f>
        <v/>
      </c>
      <c r="P237" s="57">
        <f>'KQuote Mitarbeiter'!E237</f>
        <v/>
      </c>
      <c r="Q237" s="66">
        <f>'KQuote Mitarbeiter'!L237</f>
        <v/>
      </c>
      <c r="R237" s="57">
        <f>'KQuote Mitarbeiter'!D237</f>
        <v/>
      </c>
      <c r="S237" s="66">
        <f>'KQuote Mitarbeiter'!K237</f>
        <v/>
      </c>
    </row>
    <row r="238">
      <c r="A238" s="47">
        <f>'KQuote Mitarbeiter'!A238</f>
        <v/>
      </c>
      <c r="B238" s="48">
        <f>'KQuote Mitarbeiter'!B238</f>
        <v/>
      </c>
      <c r="C238" s="58">
        <f>IF($B238="","",(N(Berechnung!D238)+N(Berechnung!Q238))*N(Berechnung!C238))</f>
        <v/>
      </c>
      <c r="D238" s="58">
        <f>IF($B238="","",(N(Berechnung!E238)+N(Berechnung!R238))*N(Berechnung!C238))</f>
        <v/>
      </c>
      <c r="E238" s="58">
        <f>IF($B238="","",(N(Berechnung!F238)+N(Berechnung!S238))*N(Berechnung!C238))</f>
        <v/>
      </c>
      <c r="F238" s="58">
        <f>IF($B238="","",(N(Berechnung!G238)+N(Berechnung!T238))*N(Berechnung!C238))</f>
        <v/>
      </c>
      <c r="G238" s="58">
        <f>IF($B238="","",(N(Berechnung!H238)+N(Berechnung!U238))*N(Berechnung!C238))</f>
        <v/>
      </c>
      <c r="H238" s="58">
        <f>IF($B238="","",(N(Berechnung!I238)+N(Berechnung!V238))*N(Berechnung!C238))</f>
        <v/>
      </c>
      <c r="I238" s="58">
        <f>IF($B238="","",(N(Berechnung!J238)+N(Berechnung!W238))*N(Berechnung!C238))</f>
        <v/>
      </c>
      <c r="J238" s="58">
        <f>IF($B238="","",(N(Berechnung!K238)+N(Berechnung!X238))*N(Berechnung!C238))</f>
        <v/>
      </c>
      <c r="K238" s="58">
        <f>IF($B238="","",(N(Berechnung!L238)+N(Berechnung!Y238))*N(Berechnung!C238))</f>
        <v/>
      </c>
      <c r="L238" s="58">
        <f>IF($B238="","",(N(Berechnung!M238)+N(Berechnung!Z238))*N(Berechnung!C238))</f>
        <v/>
      </c>
      <c r="M238" s="58">
        <f>IF($B238="","",(N(Berechnung!N238)+N(Berechnung!AA238))*N(Berechnung!C238))</f>
        <v/>
      </c>
      <c r="N238" s="58">
        <f>IF($B238="","",(N(Berechnung!O238)+N(Berechnung!AB238))*N(Berechnung!C238))</f>
        <v/>
      </c>
      <c r="O238" s="65">
        <f>IF($B238="","",SUM(C238:N238))</f>
        <v/>
      </c>
      <c r="P238" s="57">
        <f>'KQuote Mitarbeiter'!E238</f>
        <v/>
      </c>
      <c r="Q238" s="66">
        <f>'KQuote Mitarbeiter'!L238</f>
        <v/>
      </c>
      <c r="R238" s="57">
        <f>'KQuote Mitarbeiter'!D238</f>
        <v/>
      </c>
      <c r="S238" s="66">
        <f>'KQuote Mitarbeiter'!K238</f>
        <v/>
      </c>
    </row>
    <row r="239">
      <c r="A239" s="47">
        <f>'KQuote Mitarbeiter'!A239</f>
        <v/>
      </c>
      <c r="B239" s="48">
        <f>'KQuote Mitarbeiter'!B239</f>
        <v/>
      </c>
      <c r="C239" s="58">
        <f>IF($B239="","",(N(Berechnung!D239)+N(Berechnung!Q239))*N(Berechnung!C239))</f>
        <v/>
      </c>
      <c r="D239" s="58">
        <f>IF($B239="","",(N(Berechnung!E239)+N(Berechnung!R239))*N(Berechnung!C239))</f>
        <v/>
      </c>
      <c r="E239" s="58">
        <f>IF($B239="","",(N(Berechnung!F239)+N(Berechnung!S239))*N(Berechnung!C239))</f>
        <v/>
      </c>
      <c r="F239" s="58">
        <f>IF($B239="","",(N(Berechnung!G239)+N(Berechnung!T239))*N(Berechnung!C239))</f>
        <v/>
      </c>
      <c r="G239" s="58">
        <f>IF($B239="","",(N(Berechnung!H239)+N(Berechnung!U239))*N(Berechnung!C239))</f>
        <v/>
      </c>
      <c r="H239" s="58">
        <f>IF($B239="","",(N(Berechnung!I239)+N(Berechnung!V239))*N(Berechnung!C239))</f>
        <v/>
      </c>
      <c r="I239" s="58">
        <f>IF($B239="","",(N(Berechnung!J239)+N(Berechnung!W239))*N(Berechnung!C239))</f>
        <v/>
      </c>
      <c r="J239" s="58">
        <f>IF($B239="","",(N(Berechnung!K239)+N(Berechnung!X239))*N(Berechnung!C239))</f>
        <v/>
      </c>
      <c r="K239" s="58">
        <f>IF($B239="","",(N(Berechnung!L239)+N(Berechnung!Y239))*N(Berechnung!C239))</f>
        <v/>
      </c>
      <c r="L239" s="58">
        <f>IF($B239="","",(N(Berechnung!M239)+N(Berechnung!Z239))*N(Berechnung!C239))</f>
        <v/>
      </c>
      <c r="M239" s="58">
        <f>IF($B239="","",(N(Berechnung!N239)+N(Berechnung!AA239))*N(Berechnung!C239))</f>
        <v/>
      </c>
      <c r="N239" s="58">
        <f>IF($B239="","",(N(Berechnung!O239)+N(Berechnung!AB239))*N(Berechnung!C239))</f>
        <v/>
      </c>
      <c r="O239" s="65">
        <f>IF($B239="","",SUM(C239:N239))</f>
        <v/>
      </c>
      <c r="P239" s="57">
        <f>'KQuote Mitarbeiter'!E239</f>
        <v/>
      </c>
      <c r="Q239" s="66">
        <f>'KQuote Mitarbeiter'!L239</f>
        <v/>
      </c>
      <c r="R239" s="57">
        <f>'KQuote Mitarbeiter'!D239</f>
        <v/>
      </c>
      <c r="S239" s="66">
        <f>'KQuote Mitarbeiter'!K239</f>
        <v/>
      </c>
    </row>
    <row r="240">
      <c r="A240" s="47">
        <f>'KQuote Mitarbeiter'!A240</f>
        <v/>
      </c>
      <c r="B240" s="48">
        <f>'KQuote Mitarbeiter'!B240</f>
        <v/>
      </c>
      <c r="C240" s="58">
        <f>IF($B240="","",(N(Berechnung!D240)+N(Berechnung!Q240))*N(Berechnung!C240))</f>
        <v/>
      </c>
      <c r="D240" s="58">
        <f>IF($B240="","",(N(Berechnung!E240)+N(Berechnung!R240))*N(Berechnung!C240))</f>
        <v/>
      </c>
      <c r="E240" s="58">
        <f>IF($B240="","",(N(Berechnung!F240)+N(Berechnung!S240))*N(Berechnung!C240))</f>
        <v/>
      </c>
      <c r="F240" s="58">
        <f>IF($B240="","",(N(Berechnung!G240)+N(Berechnung!T240))*N(Berechnung!C240))</f>
        <v/>
      </c>
      <c r="G240" s="58">
        <f>IF($B240="","",(N(Berechnung!H240)+N(Berechnung!U240))*N(Berechnung!C240))</f>
        <v/>
      </c>
      <c r="H240" s="58">
        <f>IF($B240="","",(N(Berechnung!I240)+N(Berechnung!V240))*N(Berechnung!C240))</f>
        <v/>
      </c>
      <c r="I240" s="58">
        <f>IF($B240="","",(N(Berechnung!J240)+N(Berechnung!W240))*N(Berechnung!C240))</f>
        <v/>
      </c>
      <c r="J240" s="58">
        <f>IF($B240="","",(N(Berechnung!K240)+N(Berechnung!X240))*N(Berechnung!C240))</f>
        <v/>
      </c>
      <c r="K240" s="58">
        <f>IF($B240="","",(N(Berechnung!L240)+N(Berechnung!Y240))*N(Berechnung!C240))</f>
        <v/>
      </c>
      <c r="L240" s="58">
        <f>IF($B240="","",(N(Berechnung!M240)+N(Berechnung!Z240))*N(Berechnung!C240))</f>
        <v/>
      </c>
      <c r="M240" s="58">
        <f>IF($B240="","",(N(Berechnung!N240)+N(Berechnung!AA240))*N(Berechnung!C240))</f>
        <v/>
      </c>
      <c r="N240" s="58">
        <f>IF($B240="","",(N(Berechnung!O240)+N(Berechnung!AB240))*N(Berechnung!C240))</f>
        <v/>
      </c>
      <c r="O240" s="65">
        <f>IF($B240="","",SUM(C240:N240))</f>
        <v/>
      </c>
      <c r="P240" s="57">
        <f>'KQuote Mitarbeiter'!E240</f>
        <v/>
      </c>
      <c r="Q240" s="66">
        <f>'KQuote Mitarbeiter'!L240</f>
        <v/>
      </c>
      <c r="R240" s="57">
        <f>'KQuote Mitarbeiter'!D240</f>
        <v/>
      </c>
      <c r="S240" s="66">
        <f>'KQuote Mitarbeiter'!K240</f>
        <v/>
      </c>
    </row>
    <row r="241">
      <c r="A241" s="47">
        <f>'KQuote Mitarbeiter'!A241</f>
        <v/>
      </c>
      <c r="B241" s="48">
        <f>'KQuote Mitarbeiter'!B241</f>
        <v/>
      </c>
      <c r="C241" s="58">
        <f>IF($B241="","",(N(Berechnung!D241)+N(Berechnung!Q241))*N(Berechnung!C241))</f>
        <v/>
      </c>
      <c r="D241" s="58">
        <f>IF($B241="","",(N(Berechnung!E241)+N(Berechnung!R241))*N(Berechnung!C241))</f>
        <v/>
      </c>
      <c r="E241" s="58">
        <f>IF($B241="","",(N(Berechnung!F241)+N(Berechnung!S241))*N(Berechnung!C241))</f>
        <v/>
      </c>
      <c r="F241" s="58">
        <f>IF($B241="","",(N(Berechnung!G241)+N(Berechnung!T241))*N(Berechnung!C241))</f>
        <v/>
      </c>
      <c r="G241" s="58">
        <f>IF($B241="","",(N(Berechnung!H241)+N(Berechnung!U241))*N(Berechnung!C241))</f>
        <v/>
      </c>
      <c r="H241" s="58">
        <f>IF($B241="","",(N(Berechnung!I241)+N(Berechnung!V241))*N(Berechnung!C241))</f>
        <v/>
      </c>
      <c r="I241" s="58">
        <f>IF($B241="","",(N(Berechnung!J241)+N(Berechnung!W241))*N(Berechnung!C241))</f>
        <v/>
      </c>
      <c r="J241" s="58">
        <f>IF($B241="","",(N(Berechnung!K241)+N(Berechnung!X241))*N(Berechnung!C241))</f>
        <v/>
      </c>
      <c r="K241" s="58">
        <f>IF($B241="","",(N(Berechnung!L241)+N(Berechnung!Y241))*N(Berechnung!C241))</f>
        <v/>
      </c>
      <c r="L241" s="58">
        <f>IF($B241="","",(N(Berechnung!M241)+N(Berechnung!Z241))*N(Berechnung!C241))</f>
        <v/>
      </c>
      <c r="M241" s="58">
        <f>IF($B241="","",(N(Berechnung!N241)+N(Berechnung!AA241))*N(Berechnung!C241))</f>
        <v/>
      </c>
      <c r="N241" s="58">
        <f>IF($B241="","",(N(Berechnung!O241)+N(Berechnung!AB241))*N(Berechnung!C241))</f>
        <v/>
      </c>
      <c r="O241" s="65">
        <f>IF($B241="","",SUM(C241:N241))</f>
        <v/>
      </c>
      <c r="P241" s="57">
        <f>'KQuote Mitarbeiter'!E241</f>
        <v/>
      </c>
      <c r="Q241" s="66">
        <f>'KQuote Mitarbeiter'!L241</f>
        <v/>
      </c>
      <c r="R241" s="57">
        <f>'KQuote Mitarbeiter'!D241</f>
        <v/>
      </c>
      <c r="S241" s="66">
        <f>'KQuote Mitarbeiter'!K241</f>
        <v/>
      </c>
    </row>
    <row r="242">
      <c r="A242" s="47">
        <f>'KQuote Mitarbeiter'!A242</f>
        <v/>
      </c>
      <c r="B242" s="48">
        <f>'KQuote Mitarbeiter'!B242</f>
        <v/>
      </c>
      <c r="C242" s="58">
        <f>IF($B242="","",(N(Berechnung!D242)+N(Berechnung!Q242))*N(Berechnung!C242))</f>
        <v/>
      </c>
      <c r="D242" s="58">
        <f>IF($B242="","",(N(Berechnung!E242)+N(Berechnung!R242))*N(Berechnung!C242))</f>
        <v/>
      </c>
      <c r="E242" s="58">
        <f>IF($B242="","",(N(Berechnung!F242)+N(Berechnung!S242))*N(Berechnung!C242))</f>
        <v/>
      </c>
      <c r="F242" s="58">
        <f>IF($B242="","",(N(Berechnung!G242)+N(Berechnung!T242))*N(Berechnung!C242))</f>
        <v/>
      </c>
      <c r="G242" s="58">
        <f>IF($B242="","",(N(Berechnung!H242)+N(Berechnung!U242))*N(Berechnung!C242))</f>
        <v/>
      </c>
      <c r="H242" s="58">
        <f>IF($B242="","",(N(Berechnung!I242)+N(Berechnung!V242))*N(Berechnung!C242))</f>
        <v/>
      </c>
      <c r="I242" s="58">
        <f>IF($B242="","",(N(Berechnung!J242)+N(Berechnung!W242))*N(Berechnung!C242))</f>
        <v/>
      </c>
      <c r="J242" s="58">
        <f>IF($B242="","",(N(Berechnung!K242)+N(Berechnung!X242))*N(Berechnung!C242))</f>
        <v/>
      </c>
      <c r="K242" s="58">
        <f>IF($B242="","",(N(Berechnung!L242)+N(Berechnung!Y242))*N(Berechnung!C242))</f>
        <v/>
      </c>
      <c r="L242" s="58">
        <f>IF($B242="","",(N(Berechnung!M242)+N(Berechnung!Z242))*N(Berechnung!C242))</f>
        <v/>
      </c>
      <c r="M242" s="58">
        <f>IF($B242="","",(N(Berechnung!N242)+N(Berechnung!AA242))*N(Berechnung!C242))</f>
        <v/>
      </c>
      <c r="N242" s="58">
        <f>IF($B242="","",(N(Berechnung!O242)+N(Berechnung!AB242))*N(Berechnung!C242))</f>
        <v/>
      </c>
      <c r="O242" s="65">
        <f>IF($B242="","",SUM(C242:N242))</f>
        <v/>
      </c>
      <c r="P242" s="57">
        <f>'KQuote Mitarbeiter'!E242</f>
        <v/>
      </c>
      <c r="Q242" s="66">
        <f>'KQuote Mitarbeiter'!L242</f>
        <v/>
      </c>
      <c r="R242" s="57">
        <f>'KQuote Mitarbeiter'!D242</f>
        <v/>
      </c>
      <c r="S242" s="66">
        <f>'KQuote Mitarbeiter'!K242</f>
        <v/>
      </c>
    </row>
    <row r="243">
      <c r="A243" s="47">
        <f>'KQuote Mitarbeiter'!A243</f>
        <v/>
      </c>
      <c r="B243" s="48">
        <f>'KQuote Mitarbeiter'!B243</f>
        <v/>
      </c>
      <c r="C243" s="58">
        <f>IF($B243="","",(N(Berechnung!D243)+N(Berechnung!Q243))*N(Berechnung!C243))</f>
        <v/>
      </c>
      <c r="D243" s="58">
        <f>IF($B243="","",(N(Berechnung!E243)+N(Berechnung!R243))*N(Berechnung!C243))</f>
        <v/>
      </c>
      <c r="E243" s="58">
        <f>IF($B243="","",(N(Berechnung!F243)+N(Berechnung!S243))*N(Berechnung!C243))</f>
        <v/>
      </c>
      <c r="F243" s="58">
        <f>IF($B243="","",(N(Berechnung!G243)+N(Berechnung!T243))*N(Berechnung!C243))</f>
        <v/>
      </c>
      <c r="G243" s="58">
        <f>IF($B243="","",(N(Berechnung!H243)+N(Berechnung!U243))*N(Berechnung!C243))</f>
        <v/>
      </c>
      <c r="H243" s="58">
        <f>IF($B243="","",(N(Berechnung!I243)+N(Berechnung!V243))*N(Berechnung!C243))</f>
        <v/>
      </c>
      <c r="I243" s="58">
        <f>IF($B243="","",(N(Berechnung!J243)+N(Berechnung!W243))*N(Berechnung!C243))</f>
        <v/>
      </c>
      <c r="J243" s="58">
        <f>IF($B243="","",(N(Berechnung!K243)+N(Berechnung!X243))*N(Berechnung!C243))</f>
        <v/>
      </c>
      <c r="K243" s="58">
        <f>IF($B243="","",(N(Berechnung!L243)+N(Berechnung!Y243))*N(Berechnung!C243))</f>
        <v/>
      </c>
      <c r="L243" s="58">
        <f>IF($B243="","",(N(Berechnung!M243)+N(Berechnung!Z243))*N(Berechnung!C243))</f>
        <v/>
      </c>
      <c r="M243" s="58">
        <f>IF($B243="","",(N(Berechnung!N243)+N(Berechnung!AA243))*N(Berechnung!C243))</f>
        <v/>
      </c>
      <c r="N243" s="58">
        <f>IF($B243="","",(N(Berechnung!O243)+N(Berechnung!AB243))*N(Berechnung!C243))</f>
        <v/>
      </c>
      <c r="O243" s="65">
        <f>IF($B243="","",SUM(C243:N243))</f>
        <v/>
      </c>
      <c r="P243" s="57">
        <f>'KQuote Mitarbeiter'!E243</f>
        <v/>
      </c>
      <c r="Q243" s="66">
        <f>'KQuote Mitarbeiter'!L243</f>
        <v/>
      </c>
      <c r="R243" s="57">
        <f>'KQuote Mitarbeiter'!D243</f>
        <v/>
      </c>
      <c r="S243" s="66">
        <f>'KQuote Mitarbeiter'!K243</f>
        <v/>
      </c>
    </row>
    <row r="244">
      <c r="A244" s="47">
        <f>'KQuote Mitarbeiter'!A244</f>
        <v/>
      </c>
      <c r="B244" s="48">
        <f>'KQuote Mitarbeiter'!B244</f>
        <v/>
      </c>
      <c r="C244" s="58">
        <f>IF($B244="","",(N(Berechnung!D244)+N(Berechnung!Q244))*N(Berechnung!C244))</f>
        <v/>
      </c>
      <c r="D244" s="58">
        <f>IF($B244="","",(N(Berechnung!E244)+N(Berechnung!R244))*N(Berechnung!C244))</f>
        <v/>
      </c>
      <c r="E244" s="58">
        <f>IF($B244="","",(N(Berechnung!F244)+N(Berechnung!S244))*N(Berechnung!C244))</f>
        <v/>
      </c>
      <c r="F244" s="58">
        <f>IF($B244="","",(N(Berechnung!G244)+N(Berechnung!T244))*N(Berechnung!C244))</f>
        <v/>
      </c>
      <c r="G244" s="58">
        <f>IF($B244="","",(N(Berechnung!H244)+N(Berechnung!U244))*N(Berechnung!C244))</f>
        <v/>
      </c>
      <c r="H244" s="58">
        <f>IF($B244="","",(N(Berechnung!I244)+N(Berechnung!V244))*N(Berechnung!C244))</f>
        <v/>
      </c>
      <c r="I244" s="58">
        <f>IF($B244="","",(N(Berechnung!J244)+N(Berechnung!W244))*N(Berechnung!C244))</f>
        <v/>
      </c>
      <c r="J244" s="58">
        <f>IF($B244="","",(N(Berechnung!K244)+N(Berechnung!X244))*N(Berechnung!C244))</f>
        <v/>
      </c>
      <c r="K244" s="58">
        <f>IF($B244="","",(N(Berechnung!L244)+N(Berechnung!Y244))*N(Berechnung!C244))</f>
        <v/>
      </c>
      <c r="L244" s="58">
        <f>IF($B244="","",(N(Berechnung!M244)+N(Berechnung!Z244))*N(Berechnung!C244))</f>
        <v/>
      </c>
      <c r="M244" s="58">
        <f>IF($B244="","",(N(Berechnung!N244)+N(Berechnung!AA244))*N(Berechnung!C244))</f>
        <v/>
      </c>
      <c r="N244" s="58">
        <f>IF($B244="","",(N(Berechnung!O244)+N(Berechnung!AB244))*N(Berechnung!C244))</f>
        <v/>
      </c>
      <c r="O244" s="65">
        <f>IF($B244="","",SUM(C244:N244))</f>
        <v/>
      </c>
      <c r="P244" s="57">
        <f>'KQuote Mitarbeiter'!E244</f>
        <v/>
      </c>
      <c r="Q244" s="66">
        <f>'KQuote Mitarbeiter'!L244</f>
        <v/>
      </c>
      <c r="R244" s="57">
        <f>'KQuote Mitarbeiter'!D244</f>
        <v/>
      </c>
      <c r="S244" s="66">
        <f>'KQuote Mitarbeiter'!K244</f>
        <v/>
      </c>
    </row>
    <row r="245">
      <c r="A245" s="47">
        <f>'KQuote Mitarbeiter'!A245</f>
        <v/>
      </c>
      <c r="B245" s="48">
        <f>'KQuote Mitarbeiter'!B245</f>
        <v/>
      </c>
      <c r="C245" s="58">
        <f>IF($B245="","",(N(Berechnung!D245)+N(Berechnung!Q245))*N(Berechnung!C245))</f>
        <v/>
      </c>
      <c r="D245" s="58">
        <f>IF($B245="","",(N(Berechnung!E245)+N(Berechnung!R245))*N(Berechnung!C245))</f>
        <v/>
      </c>
      <c r="E245" s="58">
        <f>IF($B245="","",(N(Berechnung!F245)+N(Berechnung!S245))*N(Berechnung!C245))</f>
        <v/>
      </c>
      <c r="F245" s="58">
        <f>IF($B245="","",(N(Berechnung!G245)+N(Berechnung!T245))*N(Berechnung!C245))</f>
        <v/>
      </c>
      <c r="G245" s="58">
        <f>IF($B245="","",(N(Berechnung!H245)+N(Berechnung!U245))*N(Berechnung!C245))</f>
        <v/>
      </c>
      <c r="H245" s="58">
        <f>IF($B245="","",(N(Berechnung!I245)+N(Berechnung!V245))*N(Berechnung!C245))</f>
        <v/>
      </c>
      <c r="I245" s="58">
        <f>IF($B245="","",(N(Berechnung!J245)+N(Berechnung!W245))*N(Berechnung!C245))</f>
        <v/>
      </c>
      <c r="J245" s="58">
        <f>IF($B245="","",(N(Berechnung!K245)+N(Berechnung!X245))*N(Berechnung!C245))</f>
        <v/>
      </c>
      <c r="K245" s="58">
        <f>IF($B245="","",(N(Berechnung!L245)+N(Berechnung!Y245))*N(Berechnung!C245))</f>
        <v/>
      </c>
      <c r="L245" s="58">
        <f>IF($B245="","",(N(Berechnung!M245)+N(Berechnung!Z245))*N(Berechnung!C245))</f>
        <v/>
      </c>
      <c r="M245" s="58">
        <f>IF($B245="","",(N(Berechnung!N245)+N(Berechnung!AA245))*N(Berechnung!C245))</f>
        <v/>
      </c>
      <c r="N245" s="58">
        <f>IF($B245="","",(N(Berechnung!O245)+N(Berechnung!AB245))*N(Berechnung!C245))</f>
        <v/>
      </c>
      <c r="O245" s="65">
        <f>IF($B245="","",SUM(C245:N245))</f>
        <v/>
      </c>
      <c r="P245" s="57">
        <f>'KQuote Mitarbeiter'!E245</f>
        <v/>
      </c>
      <c r="Q245" s="66">
        <f>'KQuote Mitarbeiter'!L245</f>
        <v/>
      </c>
      <c r="R245" s="57">
        <f>'KQuote Mitarbeiter'!D245</f>
        <v/>
      </c>
      <c r="S245" s="66">
        <f>'KQuote Mitarbeiter'!K245</f>
        <v/>
      </c>
    </row>
    <row r="246">
      <c r="A246" s="47">
        <f>'KQuote Mitarbeiter'!A246</f>
        <v/>
      </c>
      <c r="B246" s="48">
        <f>'KQuote Mitarbeiter'!B246</f>
        <v/>
      </c>
      <c r="C246" s="58">
        <f>IF($B246="","",(N(Berechnung!D246)+N(Berechnung!Q246))*N(Berechnung!C246))</f>
        <v/>
      </c>
      <c r="D246" s="58">
        <f>IF($B246="","",(N(Berechnung!E246)+N(Berechnung!R246))*N(Berechnung!C246))</f>
        <v/>
      </c>
      <c r="E246" s="58">
        <f>IF($B246="","",(N(Berechnung!F246)+N(Berechnung!S246))*N(Berechnung!C246))</f>
        <v/>
      </c>
      <c r="F246" s="58">
        <f>IF($B246="","",(N(Berechnung!G246)+N(Berechnung!T246))*N(Berechnung!C246))</f>
        <v/>
      </c>
      <c r="G246" s="58">
        <f>IF($B246="","",(N(Berechnung!H246)+N(Berechnung!U246))*N(Berechnung!C246))</f>
        <v/>
      </c>
      <c r="H246" s="58">
        <f>IF($B246="","",(N(Berechnung!I246)+N(Berechnung!V246))*N(Berechnung!C246))</f>
        <v/>
      </c>
      <c r="I246" s="58">
        <f>IF($B246="","",(N(Berechnung!J246)+N(Berechnung!W246))*N(Berechnung!C246))</f>
        <v/>
      </c>
      <c r="J246" s="58">
        <f>IF($B246="","",(N(Berechnung!K246)+N(Berechnung!X246))*N(Berechnung!C246))</f>
        <v/>
      </c>
      <c r="K246" s="58">
        <f>IF($B246="","",(N(Berechnung!L246)+N(Berechnung!Y246))*N(Berechnung!C246))</f>
        <v/>
      </c>
      <c r="L246" s="58">
        <f>IF($B246="","",(N(Berechnung!M246)+N(Berechnung!Z246))*N(Berechnung!C246))</f>
        <v/>
      </c>
      <c r="M246" s="58">
        <f>IF($B246="","",(N(Berechnung!N246)+N(Berechnung!AA246))*N(Berechnung!C246))</f>
        <v/>
      </c>
      <c r="N246" s="58">
        <f>IF($B246="","",(N(Berechnung!O246)+N(Berechnung!AB246))*N(Berechnung!C246))</f>
        <v/>
      </c>
      <c r="O246" s="65">
        <f>IF($B246="","",SUM(C246:N246))</f>
        <v/>
      </c>
      <c r="P246" s="57">
        <f>'KQuote Mitarbeiter'!E246</f>
        <v/>
      </c>
      <c r="Q246" s="66">
        <f>'KQuote Mitarbeiter'!L246</f>
        <v/>
      </c>
      <c r="R246" s="57">
        <f>'KQuote Mitarbeiter'!D246</f>
        <v/>
      </c>
      <c r="S246" s="66">
        <f>'KQuote Mitarbeiter'!K246</f>
        <v/>
      </c>
    </row>
    <row r="247">
      <c r="A247" s="47">
        <f>'KQuote Mitarbeiter'!A247</f>
        <v/>
      </c>
      <c r="B247" s="48">
        <f>'KQuote Mitarbeiter'!B247</f>
        <v/>
      </c>
      <c r="C247" s="58">
        <f>IF($B247="","",(N(Berechnung!D247)+N(Berechnung!Q247))*N(Berechnung!C247))</f>
        <v/>
      </c>
      <c r="D247" s="58">
        <f>IF($B247="","",(N(Berechnung!E247)+N(Berechnung!R247))*N(Berechnung!C247))</f>
        <v/>
      </c>
      <c r="E247" s="58">
        <f>IF($B247="","",(N(Berechnung!F247)+N(Berechnung!S247))*N(Berechnung!C247))</f>
        <v/>
      </c>
      <c r="F247" s="58">
        <f>IF($B247="","",(N(Berechnung!G247)+N(Berechnung!T247))*N(Berechnung!C247))</f>
        <v/>
      </c>
      <c r="G247" s="58">
        <f>IF($B247="","",(N(Berechnung!H247)+N(Berechnung!U247))*N(Berechnung!C247))</f>
        <v/>
      </c>
      <c r="H247" s="58">
        <f>IF($B247="","",(N(Berechnung!I247)+N(Berechnung!V247))*N(Berechnung!C247))</f>
        <v/>
      </c>
      <c r="I247" s="58">
        <f>IF($B247="","",(N(Berechnung!J247)+N(Berechnung!W247))*N(Berechnung!C247))</f>
        <v/>
      </c>
      <c r="J247" s="58">
        <f>IF($B247="","",(N(Berechnung!K247)+N(Berechnung!X247))*N(Berechnung!C247))</f>
        <v/>
      </c>
      <c r="K247" s="58">
        <f>IF($B247="","",(N(Berechnung!L247)+N(Berechnung!Y247))*N(Berechnung!C247))</f>
        <v/>
      </c>
      <c r="L247" s="58">
        <f>IF($B247="","",(N(Berechnung!M247)+N(Berechnung!Z247))*N(Berechnung!C247))</f>
        <v/>
      </c>
      <c r="M247" s="58">
        <f>IF($B247="","",(N(Berechnung!N247)+N(Berechnung!AA247))*N(Berechnung!C247))</f>
        <v/>
      </c>
      <c r="N247" s="58">
        <f>IF($B247="","",(N(Berechnung!O247)+N(Berechnung!AB247))*N(Berechnung!C247))</f>
        <v/>
      </c>
      <c r="O247" s="65">
        <f>IF($B247="","",SUM(C247:N247))</f>
        <v/>
      </c>
      <c r="P247" s="57">
        <f>'KQuote Mitarbeiter'!E247</f>
        <v/>
      </c>
      <c r="Q247" s="66">
        <f>'KQuote Mitarbeiter'!L247</f>
        <v/>
      </c>
      <c r="R247" s="57">
        <f>'KQuote Mitarbeiter'!D247</f>
        <v/>
      </c>
      <c r="S247" s="66">
        <f>'KQuote Mitarbeiter'!K247</f>
        <v/>
      </c>
    </row>
    <row r="248">
      <c r="A248" s="47">
        <f>'KQuote Mitarbeiter'!A248</f>
        <v/>
      </c>
      <c r="B248" s="48">
        <f>'KQuote Mitarbeiter'!B248</f>
        <v/>
      </c>
      <c r="C248" s="58">
        <f>IF($B248="","",(N(Berechnung!D248)+N(Berechnung!Q248))*N(Berechnung!C248))</f>
        <v/>
      </c>
      <c r="D248" s="58">
        <f>IF($B248="","",(N(Berechnung!E248)+N(Berechnung!R248))*N(Berechnung!C248))</f>
        <v/>
      </c>
      <c r="E248" s="58">
        <f>IF($B248="","",(N(Berechnung!F248)+N(Berechnung!S248))*N(Berechnung!C248))</f>
        <v/>
      </c>
      <c r="F248" s="58">
        <f>IF($B248="","",(N(Berechnung!G248)+N(Berechnung!T248))*N(Berechnung!C248))</f>
        <v/>
      </c>
      <c r="G248" s="58">
        <f>IF($B248="","",(N(Berechnung!H248)+N(Berechnung!U248))*N(Berechnung!C248))</f>
        <v/>
      </c>
      <c r="H248" s="58">
        <f>IF($B248="","",(N(Berechnung!I248)+N(Berechnung!V248))*N(Berechnung!C248))</f>
        <v/>
      </c>
      <c r="I248" s="58">
        <f>IF($B248="","",(N(Berechnung!J248)+N(Berechnung!W248))*N(Berechnung!C248))</f>
        <v/>
      </c>
      <c r="J248" s="58">
        <f>IF($B248="","",(N(Berechnung!K248)+N(Berechnung!X248))*N(Berechnung!C248))</f>
        <v/>
      </c>
      <c r="K248" s="58">
        <f>IF($B248="","",(N(Berechnung!L248)+N(Berechnung!Y248))*N(Berechnung!C248))</f>
        <v/>
      </c>
      <c r="L248" s="58">
        <f>IF($B248="","",(N(Berechnung!M248)+N(Berechnung!Z248))*N(Berechnung!C248))</f>
        <v/>
      </c>
      <c r="M248" s="58">
        <f>IF($B248="","",(N(Berechnung!N248)+N(Berechnung!AA248))*N(Berechnung!C248))</f>
        <v/>
      </c>
      <c r="N248" s="58">
        <f>IF($B248="","",(N(Berechnung!O248)+N(Berechnung!AB248))*N(Berechnung!C248))</f>
        <v/>
      </c>
      <c r="O248" s="65">
        <f>IF($B248="","",SUM(C248:N248))</f>
        <v/>
      </c>
      <c r="P248" s="57">
        <f>'KQuote Mitarbeiter'!E248</f>
        <v/>
      </c>
      <c r="Q248" s="66">
        <f>'KQuote Mitarbeiter'!L248</f>
        <v/>
      </c>
      <c r="R248" s="57">
        <f>'KQuote Mitarbeiter'!D248</f>
        <v/>
      </c>
      <c r="S248" s="66">
        <f>'KQuote Mitarbeiter'!K248</f>
        <v/>
      </c>
    </row>
    <row r="249">
      <c r="A249" s="47">
        <f>'KQuote Mitarbeiter'!A249</f>
        <v/>
      </c>
      <c r="B249" s="48">
        <f>'KQuote Mitarbeiter'!B249</f>
        <v/>
      </c>
      <c r="C249" s="58">
        <f>IF($B249="","",(N(Berechnung!D249)+N(Berechnung!Q249))*N(Berechnung!C249))</f>
        <v/>
      </c>
      <c r="D249" s="58">
        <f>IF($B249="","",(N(Berechnung!E249)+N(Berechnung!R249))*N(Berechnung!C249))</f>
        <v/>
      </c>
      <c r="E249" s="58">
        <f>IF($B249="","",(N(Berechnung!F249)+N(Berechnung!S249))*N(Berechnung!C249))</f>
        <v/>
      </c>
      <c r="F249" s="58">
        <f>IF($B249="","",(N(Berechnung!G249)+N(Berechnung!T249))*N(Berechnung!C249))</f>
        <v/>
      </c>
      <c r="G249" s="58">
        <f>IF($B249="","",(N(Berechnung!H249)+N(Berechnung!U249))*N(Berechnung!C249))</f>
        <v/>
      </c>
      <c r="H249" s="58">
        <f>IF($B249="","",(N(Berechnung!I249)+N(Berechnung!V249))*N(Berechnung!C249))</f>
        <v/>
      </c>
      <c r="I249" s="58">
        <f>IF($B249="","",(N(Berechnung!J249)+N(Berechnung!W249))*N(Berechnung!C249))</f>
        <v/>
      </c>
      <c r="J249" s="58">
        <f>IF($B249="","",(N(Berechnung!K249)+N(Berechnung!X249))*N(Berechnung!C249))</f>
        <v/>
      </c>
      <c r="K249" s="58">
        <f>IF($B249="","",(N(Berechnung!L249)+N(Berechnung!Y249))*N(Berechnung!C249))</f>
        <v/>
      </c>
      <c r="L249" s="58">
        <f>IF($B249="","",(N(Berechnung!M249)+N(Berechnung!Z249))*N(Berechnung!C249))</f>
        <v/>
      </c>
      <c r="M249" s="58">
        <f>IF($B249="","",(N(Berechnung!N249)+N(Berechnung!AA249))*N(Berechnung!C249))</f>
        <v/>
      </c>
      <c r="N249" s="58">
        <f>IF($B249="","",(N(Berechnung!O249)+N(Berechnung!AB249))*N(Berechnung!C249))</f>
        <v/>
      </c>
      <c r="O249" s="65">
        <f>IF($B249="","",SUM(C249:N249))</f>
        <v/>
      </c>
      <c r="P249" s="57">
        <f>'KQuote Mitarbeiter'!E249</f>
        <v/>
      </c>
      <c r="Q249" s="66">
        <f>'KQuote Mitarbeiter'!L249</f>
        <v/>
      </c>
      <c r="R249" s="57">
        <f>'KQuote Mitarbeiter'!D249</f>
        <v/>
      </c>
      <c r="S249" s="66">
        <f>'KQuote Mitarbeiter'!K249</f>
        <v/>
      </c>
    </row>
    <row r="250">
      <c r="A250" s="47">
        <f>'KQuote Mitarbeiter'!A250</f>
        <v/>
      </c>
      <c r="B250" s="48">
        <f>'KQuote Mitarbeiter'!B250</f>
        <v/>
      </c>
      <c r="C250" s="58">
        <f>IF($B250="","",(N(Berechnung!D250)+N(Berechnung!Q250))*N(Berechnung!C250))</f>
        <v/>
      </c>
      <c r="D250" s="58">
        <f>IF($B250="","",(N(Berechnung!E250)+N(Berechnung!R250))*N(Berechnung!C250))</f>
        <v/>
      </c>
      <c r="E250" s="58">
        <f>IF($B250="","",(N(Berechnung!F250)+N(Berechnung!S250))*N(Berechnung!C250))</f>
        <v/>
      </c>
      <c r="F250" s="58">
        <f>IF($B250="","",(N(Berechnung!G250)+N(Berechnung!T250))*N(Berechnung!C250))</f>
        <v/>
      </c>
      <c r="G250" s="58">
        <f>IF($B250="","",(N(Berechnung!H250)+N(Berechnung!U250))*N(Berechnung!C250))</f>
        <v/>
      </c>
      <c r="H250" s="58">
        <f>IF($B250="","",(N(Berechnung!I250)+N(Berechnung!V250))*N(Berechnung!C250))</f>
        <v/>
      </c>
      <c r="I250" s="58">
        <f>IF($B250="","",(N(Berechnung!J250)+N(Berechnung!W250))*N(Berechnung!C250))</f>
        <v/>
      </c>
      <c r="J250" s="58">
        <f>IF($B250="","",(N(Berechnung!K250)+N(Berechnung!X250))*N(Berechnung!C250))</f>
        <v/>
      </c>
      <c r="K250" s="58">
        <f>IF($B250="","",(N(Berechnung!L250)+N(Berechnung!Y250))*N(Berechnung!C250))</f>
        <v/>
      </c>
      <c r="L250" s="58">
        <f>IF($B250="","",(N(Berechnung!M250)+N(Berechnung!Z250))*N(Berechnung!C250))</f>
        <v/>
      </c>
      <c r="M250" s="58">
        <f>IF($B250="","",(N(Berechnung!N250)+N(Berechnung!AA250))*N(Berechnung!C250))</f>
        <v/>
      </c>
      <c r="N250" s="58">
        <f>IF($B250="","",(N(Berechnung!O250)+N(Berechnung!AB250))*N(Berechnung!C250))</f>
        <v/>
      </c>
      <c r="O250" s="65">
        <f>IF($B250="","",SUM(C250:N250))</f>
        <v/>
      </c>
      <c r="P250" s="57">
        <f>'KQuote Mitarbeiter'!E250</f>
        <v/>
      </c>
      <c r="Q250" s="66">
        <f>'KQuote Mitarbeiter'!L250</f>
        <v/>
      </c>
      <c r="R250" s="57">
        <f>'KQuote Mitarbeiter'!D250</f>
        <v/>
      </c>
      <c r="S250" s="66">
        <f>'KQuote Mitarbeiter'!K250</f>
        <v/>
      </c>
    </row>
    <row r="251">
      <c r="A251" s="47">
        <f>'KQuote Mitarbeiter'!A251</f>
        <v/>
      </c>
      <c r="B251" s="48">
        <f>'KQuote Mitarbeiter'!B251</f>
        <v/>
      </c>
      <c r="C251" s="58">
        <f>IF($B251="","",(N(Berechnung!D251)+N(Berechnung!Q251))*N(Berechnung!C251))</f>
        <v/>
      </c>
      <c r="D251" s="58">
        <f>IF($B251="","",(N(Berechnung!E251)+N(Berechnung!R251))*N(Berechnung!C251))</f>
        <v/>
      </c>
      <c r="E251" s="58">
        <f>IF($B251="","",(N(Berechnung!F251)+N(Berechnung!S251))*N(Berechnung!C251))</f>
        <v/>
      </c>
      <c r="F251" s="58">
        <f>IF($B251="","",(N(Berechnung!G251)+N(Berechnung!T251))*N(Berechnung!C251))</f>
        <v/>
      </c>
      <c r="G251" s="58">
        <f>IF($B251="","",(N(Berechnung!H251)+N(Berechnung!U251))*N(Berechnung!C251))</f>
        <v/>
      </c>
      <c r="H251" s="58">
        <f>IF($B251="","",(N(Berechnung!I251)+N(Berechnung!V251))*N(Berechnung!C251))</f>
        <v/>
      </c>
      <c r="I251" s="58">
        <f>IF($B251="","",(N(Berechnung!J251)+N(Berechnung!W251))*N(Berechnung!C251))</f>
        <v/>
      </c>
      <c r="J251" s="58">
        <f>IF($B251="","",(N(Berechnung!K251)+N(Berechnung!X251))*N(Berechnung!C251))</f>
        <v/>
      </c>
      <c r="K251" s="58">
        <f>IF($B251="","",(N(Berechnung!L251)+N(Berechnung!Y251))*N(Berechnung!C251))</f>
        <v/>
      </c>
      <c r="L251" s="58">
        <f>IF($B251="","",(N(Berechnung!M251)+N(Berechnung!Z251))*N(Berechnung!C251))</f>
        <v/>
      </c>
      <c r="M251" s="58">
        <f>IF($B251="","",(N(Berechnung!N251)+N(Berechnung!AA251))*N(Berechnung!C251))</f>
        <v/>
      </c>
      <c r="N251" s="58">
        <f>IF($B251="","",(N(Berechnung!O251)+N(Berechnung!AB251))*N(Berechnung!C251))</f>
        <v/>
      </c>
      <c r="O251" s="65">
        <f>IF($B251="","",SUM(C251:N251))</f>
        <v/>
      </c>
      <c r="P251" s="57">
        <f>'KQuote Mitarbeiter'!E251</f>
        <v/>
      </c>
      <c r="Q251" s="66">
        <f>'KQuote Mitarbeiter'!L251</f>
        <v/>
      </c>
      <c r="R251" s="57">
        <f>'KQuote Mitarbeiter'!D251</f>
        <v/>
      </c>
      <c r="S251" s="66">
        <f>'KQuote Mitarbeiter'!K251</f>
        <v/>
      </c>
    </row>
    <row r="252">
      <c r="A252" s="47">
        <f>'KQuote Mitarbeiter'!A252</f>
        <v/>
      </c>
      <c r="B252" s="48">
        <f>'KQuote Mitarbeiter'!B252</f>
        <v/>
      </c>
      <c r="C252" s="58">
        <f>IF($B252="","",(N(Berechnung!D252)+N(Berechnung!Q252))*N(Berechnung!C252))</f>
        <v/>
      </c>
      <c r="D252" s="58">
        <f>IF($B252="","",(N(Berechnung!E252)+N(Berechnung!R252))*N(Berechnung!C252))</f>
        <v/>
      </c>
      <c r="E252" s="58">
        <f>IF($B252="","",(N(Berechnung!F252)+N(Berechnung!S252))*N(Berechnung!C252))</f>
        <v/>
      </c>
      <c r="F252" s="58">
        <f>IF($B252="","",(N(Berechnung!G252)+N(Berechnung!T252))*N(Berechnung!C252))</f>
        <v/>
      </c>
      <c r="G252" s="58">
        <f>IF($B252="","",(N(Berechnung!H252)+N(Berechnung!U252))*N(Berechnung!C252))</f>
        <v/>
      </c>
      <c r="H252" s="58">
        <f>IF($B252="","",(N(Berechnung!I252)+N(Berechnung!V252))*N(Berechnung!C252))</f>
        <v/>
      </c>
      <c r="I252" s="58">
        <f>IF($B252="","",(N(Berechnung!J252)+N(Berechnung!W252))*N(Berechnung!C252))</f>
        <v/>
      </c>
      <c r="J252" s="58">
        <f>IF($B252="","",(N(Berechnung!K252)+N(Berechnung!X252))*N(Berechnung!C252))</f>
        <v/>
      </c>
      <c r="K252" s="58">
        <f>IF($B252="","",(N(Berechnung!L252)+N(Berechnung!Y252))*N(Berechnung!C252))</f>
        <v/>
      </c>
      <c r="L252" s="58">
        <f>IF($B252="","",(N(Berechnung!M252)+N(Berechnung!Z252))*N(Berechnung!C252))</f>
        <v/>
      </c>
      <c r="M252" s="58">
        <f>IF($B252="","",(N(Berechnung!N252)+N(Berechnung!AA252))*N(Berechnung!C252))</f>
        <v/>
      </c>
      <c r="N252" s="58">
        <f>IF($B252="","",(N(Berechnung!O252)+N(Berechnung!AB252))*N(Berechnung!C252))</f>
        <v/>
      </c>
      <c r="O252" s="65">
        <f>IF($B252="","",SUM(C252:N252))</f>
        <v/>
      </c>
      <c r="P252" s="57">
        <f>'KQuote Mitarbeiter'!E252</f>
        <v/>
      </c>
      <c r="Q252" s="66">
        <f>'KQuote Mitarbeiter'!L252</f>
        <v/>
      </c>
      <c r="R252" s="57">
        <f>'KQuote Mitarbeiter'!D252</f>
        <v/>
      </c>
      <c r="S252" s="66">
        <f>'KQuote Mitarbeiter'!K252</f>
        <v/>
      </c>
    </row>
    <row r="253">
      <c r="A253" s="47">
        <f>'KQuote Mitarbeiter'!A253</f>
        <v/>
      </c>
      <c r="B253" s="48">
        <f>'KQuote Mitarbeiter'!B253</f>
        <v/>
      </c>
      <c r="C253" s="58">
        <f>IF($B253="","",(N(Berechnung!D253)+N(Berechnung!Q253))*N(Berechnung!C253))</f>
        <v/>
      </c>
      <c r="D253" s="58">
        <f>IF($B253="","",(N(Berechnung!E253)+N(Berechnung!R253))*N(Berechnung!C253))</f>
        <v/>
      </c>
      <c r="E253" s="58">
        <f>IF($B253="","",(N(Berechnung!F253)+N(Berechnung!S253))*N(Berechnung!C253))</f>
        <v/>
      </c>
      <c r="F253" s="58">
        <f>IF($B253="","",(N(Berechnung!G253)+N(Berechnung!T253))*N(Berechnung!C253))</f>
        <v/>
      </c>
      <c r="G253" s="58">
        <f>IF($B253="","",(N(Berechnung!H253)+N(Berechnung!U253))*N(Berechnung!C253))</f>
        <v/>
      </c>
      <c r="H253" s="58">
        <f>IF($B253="","",(N(Berechnung!I253)+N(Berechnung!V253))*N(Berechnung!C253))</f>
        <v/>
      </c>
      <c r="I253" s="58">
        <f>IF($B253="","",(N(Berechnung!J253)+N(Berechnung!W253))*N(Berechnung!C253))</f>
        <v/>
      </c>
      <c r="J253" s="58">
        <f>IF($B253="","",(N(Berechnung!K253)+N(Berechnung!X253))*N(Berechnung!C253))</f>
        <v/>
      </c>
      <c r="K253" s="58">
        <f>IF($B253="","",(N(Berechnung!L253)+N(Berechnung!Y253))*N(Berechnung!C253))</f>
        <v/>
      </c>
      <c r="L253" s="58">
        <f>IF($B253="","",(N(Berechnung!M253)+N(Berechnung!Z253))*N(Berechnung!C253))</f>
        <v/>
      </c>
      <c r="M253" s="58">
        <f>IF($B253="","",(N(Berechnung!N253)+N(Berechnung!AA253))*N(Berechnung!C253))</f>
        <v/>
      </c>
      <c r="N253" s="58">
        <f>IF($B253="","",(N(Berechnung!O253)+N(Berechnung!AB253))*N(Berechnung!C253))</f>
        <v/>
      </c>
      <c r="O253" s="65">
        <f>IF($B253="","",SUM(C253:N253))</f>
        <v/>
      </c>
      <c r="P253" s="57">
        <f>'KQuote Mitarbeiter'!E253</f>
        <v/>
      </c>
      <c r="Q253" s="66">
        <f>'KQuote Mitarbeiter'!L253</f>
        <v/>
      </c>
      <c r="R253" s="57">
        <f>'KQuote Mitarbeiter'!D253</f>
        <v/>
      </c>
      <c r="S253" s="66">
        <f>'KQuote Mitarbeiter'!K253</f>
        <v/>
      </c>
    </row>
    <row r="254">
      <c r="A254" s="47">
        <f>'KQuote Mitarbeiter'!A254</f>
        <v/>
      </c>
      <c r="B254" s="48">
        <f>'KQuote Mitarbeiter'!B254</f>
        <v/>
      </c>
      <c r="C254" s="58">
        <f>IF($B254="","",(N(Berechnung!D254)+N(Berechnung!Q254))*N(Berechnung!C254))</f>
        <v/>
      </c>
      <c r="D254" s="58">
        <f>IF($B254="","",(N(Berechnung!E254)+N(Berechnung!R254))*N(Berechnung!C254))</f>
        <v/>
      </c>
      <c r="E254" s="58">
        <f>IF($B254="","",(N(Berechnung!F254)+N(Berechnung!S254))*N(Berechnung!C254))</f>
        <v/>
      </c>
      <c r="F254" s="58">
        <f>IF($B254="","",(N(Berechnung!G254)+N(Berechnung!T254))*N(Berechnung!C254))</f>
        <v/>
      </c>
      <c r="G254" s="58">
        <f>IF($B254="","",(N(Berechnung!H254)+N(Berechnung!U254))*N(Berechnung!C254))</f>
        <v/>
      </c>
      <c r="H254" s="58">
        <f>IF($B254="","",(N(Berechnung!I254)+N(Berechnung!V254))*N(Berechnung!C254))</f>
        <v/>
      </c>
      <c r="I254" s="58">
        <f>IF($B254="","",(N(Berechnung!J254)+N(Berechnung!W254))*N(Berechnung!C254))</f>
        <v/>
      </c>
      <c r="J254" s="58">
        <f>IF($B254="","",(N(Berechnung!K254)+N(Berechnung!X254))*N(Berechnung!C254))</f>
        <v/>
      </c>
      <c r="K254" s="58">
        <f>IF($B254="","",(N(Berechnung!L254)+N(Berechnung!Y254))*N(Berechnung!C254))</f>
        <v/>
      </c>
      <c r="L254" s="58">
        <f>IF($B254="","",(N(Berechnung!M254)+N(Berechnung!Z254))*N(Berechnung!C254))</f>
        <v/>
      </c>
      <c r="M254" s="58">
        <f>IF($B254="","",(N(Berechnung!N254)+N(Berechnung!AA254))*N(Berechnung!C254))</f>
        <v/>
      </c>
      <c r="N254" s="58">
        <f>IF($B254="","",(N(Berechnung!O254)+N(Berechnung!AB254))*N(Berechnung!C254))</f>
        <v/>
      </c>
      <c r="O254" s="65">
        <f>IF($B254="","",SUM(C254:N254))</f>
        <v/>
      </c>
      <c r="P254" s="57">
        <f>'KQuote Mitarbeiter'!E254</f>
        <v/>
      </c>
      <c r="Q254" s="66">
        <f>'KQuote Mitarbeiter'!L254</f>
        <v/>
      </c>
      <c r="R254" s="57">
        <f>'KQuote Mitarbeiter'!D254</f>
        <v/>
      </c>
      <c r="S254" s="66">
        <f>'KQuote Mitarbeiter'!K254</f>
        <v/>
      </c>
    </row>
    <row r="255">
      <c r="A255" s="47">
        <f>'KQuote Mitarbeiter'!A255</f>
        <v/>
      </c>
      <c r="B255" s="48">
        <f>'KQuote Mitarbeiter'!B255</f>
        <v/>
      </c>
      <c r="C255" s="58">
        <f>IF($B255="","",(N(Berechnung!D255)+N(Berechnung!Q255))*N(Berechnung!C255))</f>
        <v/>
      </c>
      <c r="D255" s="58">
        <f>IF($B255="","",(N(Berechnung!E255)+N(Berechnung!R255))*N(Berechnung!C255))</f>
        <v/>
      </c>
      <c r="E255" s="58">
        <f>IF($B255="","",(N(Berechnung!F255)+N(Berechnung!S255))*N(Berechnung!C255))</f>
        <v/>
      </c>
      <c r="F255" s="58">
        <f>IF($B255="","",(N(Berechnung!G255)+N(Berechnung!T255))*N(Berechnung!C255))</f>
        <v/>
      </c>
      <c r="G255" s="58">
        <f>IF($B255="","",(N(Berechnung!H255)+N(Berechnung!U255))*N(Berechnung!C255))</f>
        <v/>
      </c>
      <c r="H255" s="58">
        <f>IF($B255="","",(N(Berechnung!I255)+N(Berechnung!V255))*N(Berechnung!C255))</f>
        <v/>
      </c>
      <c r="I255" s="58">
        <f>IF($B255="","",(N(Berechnung!J255)+N(Berechnung!W255))*N(Berechnung!C255))</f>
        <v/>
      </c>
      <c r="J255" s="58">
        <f>IF($B255="","",(N(Berechnung!K255)+N(Berechnung!X255))*N(Berechnung!C255))</f>
        <v/>
      </c>
      <c r="K255" s="58">
        <f>IF($B255="","",(N(Berechnung!L255)+N(Berechnung!Y255))*N(Berechnung!C255))</f>
        <v/>
      </c>
      <c r="L255" s="58">
        <f>IF($B255="","",(N(Berechnung!M255)+N(Berechnung!Z255))*N(Berechnung!C255))</f>
        <v/>
      </c>
      <c r="M255" s="58">
        <f>IF($B255="","",(N(Berechnung!N255)+N(Berechnung!AA255))*N(Berechnung!C255))</f>
        <v/>
      </c>
      <c r="N255" s="58">
        <f>IF($B255="","",(N(Berechnung!O255)+N(Berechnung!AB255))*N(Berechnung!C255))</f>
        <v/>
      </c>
      <c r="O255" s="65">
        <f>IF($B255="","",SUM(C255:N255))</f>
        <v/>
      </c>
      <c r="P255" s="57">
        <f>'KQuote Mitarbeiter'!E255</f>
        <v/>
      </c>
      <c r="Q255" s="66">
        <f>'KQuote Mitarbeiter'!L255</f>
        <v/>
      </c>
      <c r="R255" s="57">
        <f>'KQuote Mitarbeiter'!D255</f>
        <v/>
      </c>
      <c r="S255" s="66">
        <f>'KQuote Mitarbeiter'!K255</f>
        <v/>
      </c>
    </row>
    <row r="256">
      <c r="A256" s="47">
        <f>'KQuote Mitarbeiter'!A256</f>
        <v/>
      </c>
      <c r="B256" s="48">
        <f>'KQuote Mitarbeiter'!B256</f>
        <v/>
      </c>
      <c r="C256" s="58">
        <f>IF($B256="","",(N(Berechnung!D256)+N(Berechnung!Q256))*N(Berechnung!C256))</f>
        <v/>
      </c>
      <c r="D256" s="58">
        <f>IF($B256="","",(N(Berechnung!E256)+N(Berechnung!R256))*N(Berechnung!C256))</f>
        <v/>
      </c>
      <c r="E256" s="58">
        <f>IF($B256="","",(N(Berechnung!F256)+N(Berechnung!S256))*N(Berechnung!C256))</f>
        <v/>
      </c>
      <c r="F256" s="58">
        <f>IF($B256="","",(N(Berechnung!G256)+N(Berechnung!T256))*N(Berechnung!C256))</f>
        <v/>
      </c>
      <c r="G256" s="58">
        <f>IF($B256="","",(N(Berechnung!H256)+N(Berechnung!U256))*N(Berechnung!C256))</f>
        <v/>
      </c>
      <c r="H256" s="58">
        <f>IF($B256="","",(N(Berechnung!I256)+N(Berechnung!V256))*N(Berechnung!C256))</f>
        <v/>
      </c>
      <c r="I256" s="58">
        <f>IF($B256="","",(N(Berechnung!J256)+N(Berechnung!W256))*N(Berechnung!C256))</f>
        <v/>
      </c>
      <c r="J256" s="58">
        <f>IF($B256="","",(N(Berechnung!K256)+N(Berechnung!X256))*N(Berechnung!C256))</f>
        <v/>
      </c>
      <c r="K256" s="58">
        <f>IF($B256="","",(N(Berechnung!L256)+N(Berechnung!Y256))*N(Berechnung!C256))</f>
        <v/>
      </c>
      <c r="L256" s="58">
        <f>IF($B256="","",(N(Berechnung!M256)+N(Berechnung!Z256))*N(Berechnung!C256))</f>
        <v/>
      </c>
      <c r="M256" s="58">
        <f>IF($B256="","",(N(Berechnung!N256)+N(Berechnung!AA256))*N(Berechnung!C256))</f>
        <v/>
      </c>
      <c r="N256" s="58">
        <f>IF($B256="","",(N(Berechnung!O256)+N(Berechnung!AB256))*N(Berechnung!C256))</f>
        <v/>
      </c>
      <c r="O256" s="65">
        <f>IF($B256="","",SUM(C256:N256))</f>
        <v/>
      </c>
      <c r="P256" s="57">
        <f>'KQuote Mitarbeiter'!E256</f>
        <v/>
      </c>
      <c r="Q256" s="66">
        <f>'KQuote Mitarbeiter'!L256</f>
        <v/>
      </c>
      <c r="R256" s="57">
        <f>'KQuote Mitarbeiter'!D256</f>
        <v/>
      </c>
      <c r="S256" s="66">
        <f>'KQuote Mitarbeiter'!K256</f>
        <v/>
      </c>
    </row>
    <row r="257">
      <c r="A257" s="47">
        <f>'KQuote Mitarbeiter'!A257</f>
        <v/>
      </c>
      <c r="B257" s="48">
        <f>'KQuote Mitarbeiter'!B257</f>
        <v/>
      </c>
      <c r="C257" s="58">
        <f>IF($B257="","",(N(Berechnung!D257)+N(Berechnung!Q257))*N(Berechnung!C257))</f>
        <v/>
      </c>
      <c r="D257" s="58">
        <f>IF($B257="","",(N(Berechnung!E257)+N(Berechnung!R257))*N(Berechnung!C257))</f>
        <v/>
      </c>
      <c r="E257" s="58">
        <f>IF($B257="","",(N(Berechnung!F257)+N(Berechnung!S257))*N(Berechnung!C257))</f>
        <v/>
      </c>
      <c r="F257" s="58">
        <f>IF($B257="","",(N(Berechnung!G257)+N(Berechnung!T257))*N(Berechnung!C257))</f>
        <v/>
      </c>
      <c r="G257" s="58">
        <f>IF($B257="","",(N(Berechnung!H257)+N(Berechnung!U257))*N(Berechnung!C257))</f>
        <v/>
      </c>
      <c r="H257" s="58">
        <f>IF($B257="","",(N(Berechnung!I257)+N(Berechnung!V257))*N(Berechnung!C257))</f>
        <v/>
      </c>
      <c r="I257" s="58">
        <f>IF($B257="","",(N(Berechnung!J257)+N(Berechnung!W257))*N(Berechnung!C257))</f>
        <v/>
      </c>
      <c r="J257" s="58">
        <f>IF($B257="","",(N(Berechnung!K257)+N(Berechnung!X257))*N(Berechnung!C257))</f>
        <v/>
      </c>
      <c r="K257" s="58">
        <f>IF($B257="","",(N(Berechnung!L257)+N(Berechnung!Y257))*N(Berechnung!C257))</f>
        <v/>
      </c>
      <c r="L257" s="58">
        <f>IF($B257="","",(N(Berechnung!M257)+N(Berechnung!Z257))*N(Berechnung!C257))</f>
        <v/>
      </c>
      <c r="M257" s="58">
        <f>IF($B257="","",(N(Berechnung!N257)+N(Berechnung!AA257))*N(Berechnung!C257))</f>
        <v/>
      </c>
      <c r="N257" s="58">
        <f>IF($B257="","",(N(Berechnung!O257)+N(Berechnung!AB257))*N(Berechnung!C257))</f>
        <v/>
      </c>
      <c r="O257" s="65">
        <f>IF($B257="","",SUM(C257:N257))</f>
        <v/>
      </c>
      <c r="P257" s="57">
        <f>'KQuote Mitarbeiter'!E257</f>
        <v/>
      </c>
      <c r="Q257" s="66">
        <f>'KQuote Mitarbeiter'!L257</f>
        <v/>
      </c>
      <c r="R257" s="57">
        <f>'KQuote Mitarbeiter'!D257</f>
        <v/>
      </c>
      <c r="S257" s="66">
        <f>'KQuote Mitarbeiter'!K257</f>
        <v/>
      </c>
    </row>
    <row r="258">
      <c r="A258" s="47">
        <f>'KQuote Mitarbeiter'!A258</f>
        <v/>
      </c>
      <c r="B258" s="48">
        <f>'KQuote Mitarbeiter'!B258</f>
        <v/>
      </c>
      <c r="C258" s="58">
        <f>IF($B258="","",(N(Berechnung!D258)+N(Berechnung!Q258))*N(Berechnung!C258))</f>
        <v/>
      </c>
      <c r="D258" s="58">
        <f>IF($B258="","",(N(Berechnung!E258)+N(Berechnung!R258))*N(Berechnung!C258))</f>
        <v/>
      </c>
      <c r="E258" s="58">
        <f>IF($B258="","",(N(Berechnung!F258)+N(Berechnung!S258))*N(Berechnung!C258))</f>
        <v/>
      </c>
      <c r="F258" s="58">
        <f>IF($B258="","",(N(Berechnung!G258)+N(Berechnung!T258))*N(Berechnung!C258))</f>
        <v/>
      </c>
      <c r="G258" s="58">
        <f>IF($B258="","",(N(Berechnung!H258)+N(Berechnung!U258))*N(Berechnung!C258))</f>
        <v/>
      </c>
      <c r="H258" s="58">
        <f>IF($B258="","",(N(Berechnung!I258)+N(Berechnung!V258))*N(Berechnung!C258))</f>
        <v/>
      </c>
      <c r="I258" s="58">
        <f>IF($B258="","",(N(Berechnung!J258)+N(Berechnung!W258))*N(Berechnung!C258))</f>
        <v/>
      </c>
      <c r="J258" s="58">
        <f>IF($B258="","",(N(Berechnung!K258)+N(Berechnung!X258))*N(Berechnung!C258))</f>
        <v/>
      </c>
      <c r="K258" s="58">
        <f>IF($B258="","",(N(Berechnung!L258)+N(Berechnung!Y258))*N(Berechnung!C258))</f>
        <v/>
      </c>
      <c r="L258" s="58">
        <f>IF($B258="","",(N(Berechnung!M258)+N(Berechnung!Z258))*N(Berechnung!C258))</f>
        <v/>
      </c>
      <c r="M258" s="58">
        <f>IF($B258="","",(N(Berechnung!N258)+N(Berechnung!AA258))*N(Berechnung!C258))</f>
        <v/>
      </c>
      <c r="N258" s="58">
        <f>IF($B258="","",(N(Berechnung!O258)+N(Berechnung!AB258))*N(Berechnung!C258))</f>
        <v/>
      </c>
      <c r="O258" s="65">
        <f>IF($B258="","",SUM(C258:N258))</f>
        <v/>
      </c>
      <c r="P258" s="57">
        <f>'KQuote Mitarbeiter'!E258</f>
        <v/>
      </c>
      <c r="Q258" s="66">
        <f>'KQuote Mitarbeiter'!L258</f>
        <v/>
      </c>
      <c r="R258" s="57">
        <f>'KQuote Mitarbeiter'!D258</f>
        <v/>
      </c>
      <c r="S258" s="66">
        <f>'KQuote Mitarbeiter'!K258</f>
        <v/>
      </c>
    </row>
    <row r="259">
      <c r="A259" s="47">
        <f>'KQuote Mitarbeiter'!A259</f>
        <v/>
      </c>
      <c r="B259" s="48">
        <f>'KQuote Mitarbeiter'!B259</f>
        <v/>
      </c>
      <c r="C259" s="58">
        <f>IF($B259="","",(N(Berechnung!D259)+N(Berechnung!Q259))*N(Berechnung!C259))</f>
        <v/>
      </c>
      <c r="D259" s="58">
        <f>IF($B259="","",(N(Berechnung!E259)+N(Berechnung!R259))*N(Berechnung!C259))</f>
        <v/>
      </c>
      <c r="E259" s="58">
        <f>IF($B259="","",(N(Berechnung!F259)+N(Berechnung!S259))*N(Berechnung!C259))</f>
        <v/>
      </c>
      <c r="F259" s="58">
        <f>IF($B259="","",(N(Berechnung!G259)+N(Berechnung!T259))*N(Berechnung!C259))</f>
        <v/>
      </c>
      <c r="G259" s="58">
        <f>IF($B259="","",(N(Berechnung!H259)+N(Berechnung!U259))*N(Berechnung!C259))</f>
        <v/>
      </c>
      <c r="H259" s="58">
        <f>IF($B259="","",(N(Berechnung!I259)+N(Berechnung!V259))*N(Berechnung!C259))</f>
        <v/>
      </c>
      <c r="I259" s="58">
        <f>IF($B259="","",(N(Berechnung!J259)+N(Berechnung!W259))*N(Berechnung!C259))</f>
        <v/>
      </c>
      <c r="J259" s="58">
        <f>IF($B259="","",(N(Berechnung!K259)+N(Berechnung!X259))*N(Berechnung!C259))</f>
        <v/>
      </c>
      <c r="K259" s="58">
        <f>IF($B259="","",(N(Berechnung!L259)+N(Berechnung!Y259))*N(Berechnung!C259))</f>
        <v/>
      </c>
      <c r="L259" s="58">
        <f>IF($B259="","",(N(Berechnung!M259)+N(Berechnung!Z259))*N(Berechnung!C259))</f>
        <v/>
      </c>
      <c r="M259" s="58">
        <f>IF($B259="","",(N(Berechnung!N259)+N(Berechnung!AA259))*N(Berechnung!C259))</f>
        <v/>
      </c>
      <c r="N259" s="58">
        <f>IF($B259="","",(N(Berechnung!O259)+N(Berechnung!AB259))*N(Berechnung!C259))</f>
        <v/>
      </c>
      <c r="O259" s="65">
        <f>IF($B259="","",SUM(C259:N259))</f>
        <v/>
      </c>
      <c r="P259" s="57">
        <f>'KQuote Mitarbeiter'!E259</f>
        <v/>
      </c>
      <c r="Q259" s="66">
        <f>'KQuote Mitarbeiter'!L259</f>
        <v/>
      </c>
      <c r="R259" s="57">
        <f>'KQuote Mitarbeiter'!D259</f>
        <v/>
      </c>
      <c r="S259" s="66">
        <f>'KQuote Mitarbeiter'!K259</f>
        <v/>
      </c>
    </row>
    <row r="260">
      <c r="A260" s="47">
        <f>'KQuote Mitarbeiter'!A260</f>
        <v/>
      </c>
      <c r="B260" s="48">
        <f>'KQuote Mitarbeiter'!B260</f>
        <v/>
      </c>
      <c r="C260" s="58">
        <f>IF($B260="","",(N(Berechnung!D260)+N(Berechnung!Q260))*N(Berechnung!C260))</f>
        <v/>
      </c>
      <c r="D260" s="58">
        <f>IF($B260="","",(N(Berechnung!E260)+N(Berechnung!R260))*N(Berechnung!C260))</f>
        <v/>
      </c>
      <c r="E260" s="58">
        <f>IF($B260="","",(N(Berechnung!F260)+N(Berechnung!S260))*N(Berechnung!C260))</f>
        <v/>
      </c>
      <c r="F260" s="58">
        <f>IF($B260="","",(N(Berechnung!G260)+N(Berechnung!T260))*N(Berechnung!C260))</f>
        <v/>
      </c>
      <c r="G260" s="58">
        <f>IF($B260="","",(N(Berechnung!H260)+N(Berechnung!U260))*N(Berechnung!C260))</f>
        <v/>
      </c>
      <c r="H260" s="58">
        <f>IF($B260="","",(N(Berechnung!I260)+N(Berechnung!V260))*N(Berechnung!C260))</f>
        <v/>
      </c>
      <c r="I260" s="58">
        <f>IF($B260="","",(N(Berechnung!J260)+N(Berechnung!W260))*N(Berechnung!C260))</f>
        <v/>
      </c>
      <c r="J260" s="58">
        <f>IF($B260="","",(N(Berechnung!K260)+N(Berechnung!X260))*N(Berechnung!C260))</f>
        <v/>
      </c>
      <c r="K260" s="58">
        <f>IF($B260="","",(N(Berechnung!L260)+N(Berechnung!Y260))*N(Berechnung!C260))</f>
        <v/>
      </c>
      <c r="L260" s="58">
        <f>IF($B260="","",(N(Berechnung!M260)+N(Berechnung!Z260))*N(Berechnung!C260))</f>
        <v/>
      </c>
      <c r="M260" s="58">
        <f>IF($B260="","",(N(Berechnung!N260)+N(Berechnung!AA260))*N(Berechnung!C260))</f>
        <v/>
      </c>
      <c r="N260" s="58">
        <f>IF($B260="","",(N(Berechnung!O260)+N(Berechnung!AB260))*N(Berechnung!C260))</f>
        <v/>
      </c>
      <c r="O260" s="65">
        <f>IF($B260="","",SUM(C260:N260))</f>
        <v/>
      </c>
      <c r="P260" s="57">
        <f>'KQuote Mitarbeiter'!E260</f>
        <v/>
      </c>
      <c r="Q260" s="66">
        <f>'KQuote Mitarbeiter'!L260</f>
        <v/>
      </c>
      <c r="R260" s="57">
        <f>'KQuote Mitarbeiter'!D260</f>
        <v/>
      </c>
      <c r="S260" s="66">
        <f>'KQuote Mitarbeiter'!K260</f>
        <v/>
      </c>
    </row>
    <row r="261">
      <c r="A261" s="47">
        <f>'KQuote Mitarbeiter'!A261</f>
        <v/>
      </c>
      <c r="B261" s="48">
        <f>'KQuote Mitarbeiter'!B261</f>
        <v/>
      </c>
      <c r="C261" s="58">
        <f>IF($B261="","",(N(Berechnung!D261)+N(Berechnung!Q261))*N(Berechnung!C261))</f>
        <v/>
      </c>
      <c r="D261" s="58">
        <f>IF($B261="","",(N(Berechnung!E261)+N(Berechnung!R261))*N(Berechnung!C261))</f>
        <v/>
      </c>
      <c r="E261" s="58">
        <f>IF($B261="","",(N(Berechnung!F261)+N(Berechnung!S261))*N(Berechnung!C261))</f>
        <v/>
      </c>
      <c r="F261" s="58">
        <f>IF($B261="","",(N(Berechnung!G261)+N(Berechnung!T261))*N(Berechnung!C261))</f>
        <v/>
      </c>
      <c r="G261" s="58">
        <f>IF($B261="","",(N(Berechnung!H261)+N(Berechnung!U261))*N(Berechnung!C261))</f>
        <v/>
      </c>
      <c r="H261" s="58">
        <f>IF($B261="","",(N(Berechnung!I261)+N(Berechnung!V261))*N(Berechnung!C261))</f>
        <v/>
      </c>
      <c r="I261" s="58">
        <f>IF($B261="","",(N(Berechnung!J261)+N(Berechnung!W261))*N(Berechnung!C261))</f>
        <v/>
      </c>
      <c r="J261" s="58">
        <f>IF($B261="","",(N(Berechnung!K261)+N(Berechnung!X261))*N(Berechnung!C261))</f>
        <v/>
      </c>
      <c r="K261" s="58">
        <f>IF($B261="","",(N(Berechnung!L261)+N(Berechnung!Y261))*N(Berechnung!C261))</f>
        <v/>
      </c>
      <c r="L261" s="58">
        <f>IF($B261="","",(N(Berechnung!M261)+N(Berechnung!Z261))*N(Berechnung!C261))</f>
        <v/>
      </c>
      <c r="M261" s="58">
        <f>IF($B261="","",(N(Berechnung!N261)+N(Berechnung!AA261))*N(Berechnung!C261))</f>
        <v/>
      </c>
      <c r="N261" s="58">
        <f>IF($B261="","",(N(Berechnung!O261)+N(Berechnung!AB261))*N(Berechnung!C261))</f>
        <v/>
      </c>
      <c r="O261" s="65">
        <f>IF($B261="","",SUM(C261:N261))</f>
        <v/>
      </c>
      <c r="P261" s="57">
        <f>'KQuote Mitarbeiter'!E261</f>
        <v/>
      </c>
      <c r="Q261" s="66">
        <f>'KQuote Mitarbeiter'!L261</f>
        <v/>
      </c>
      <c r="R261" s="57">
        <f>'KQuote Mitarbeiter'!D261</f>
        <v/>
      </c>
      <c r="S261" s="66">
        <f>'KQuote Mitarbeiter'!K261</f>
        <v/>
      </c>
    </row>
    <row r="262">
      <c r="A262" s="47">
        <f>'KQuote Mitarbeiter'!A262</f>
        <v/>
      </c>
      <c r="B262" s="48">
        <f>'KQuote Mitarbeiter'!B262</f>
        <v/>
      </c>
      <c r="C262" s="58">
        <f>IF($B262="","",(N(Berechnung!D262)+N(Berechnung!Q262))*N(Berechnung!C262))</f>
        <v/>
      </c>
      <c r="D262" s="58">
        <f>IF($B262="","",(N(Berechnung!E262)+N(Berechnung!R262))*N(Berechnung!C262))</f>
        <v/>
      </c>
      <c r="E262" s="58">
        <f>IF($B262="","",(N(Berechnung!F262)+N(Berechnung!S262))*N(Berechnung!C262))</f>
        <v/>
      </c>
      <c r="F262" s="58">
        <f>IF($B262="","",(N(Berechnung!G262)+N(Berechnung!T262))*N(Berechnung!C262))</f>
        <v/>
      </c>
      <c r="G262" s="58">
        <f>IF($B262="","",(N(Berechnung!H262)+N(Berechnung!U262))*N(Berechnung!C262))</f>
        <v/>
      </c>
      <c r="H262" s="58">
        <f>IF($B262="","",(N(Berechnung!I262)+N(Berechnung!V262))*N(Berechnung!C262))</f>
        <v/>
      </c>
      <c r="I262" s="58">
        <f>IF($B262="","",(N(Berechnung!J262)+N(Berechnung!W262))*N(Berechnung!C262))</f>
        <v/>
      </c>
      <c r="J262" s="58">
        <f>IF($B262="","",(N(Berechnung!K262)+N(Berechnung!X262))*N(Berechnung!C262))</f>
        <v/>
      </c>
      <c r="K262" s="58">
        <f>IF($B262="","",(N(Berechnung!L262)+N(Berechnung!Y262))*N(Berechnung!C262))</f>
        <v/>
      </c>
      <c r="L262" s="58">
        <f>IF($B262="","",(N(Berechnung!M262)+N(Berechnung!Z262))*N(Berechnung!C262))</f>
        <v/>
      </c>
      <c r="M262" s="58">
        <f>IF($B262="","",(N(Berechnung!N262)+N(Berechnung!AA262))*N(Berechnung!C262))</f>
        <v/>
      </c>
      <c r="N262" s="58">
        <f>IF($B262="","",(N(Berechnung!O262)+N(Berechnung!AB262))*N(Berechnung!C262))</f>
        <v/>
      </c>
      <c r="O262" s="65">
        <f>IF($B262="","",SUM(C262:N262))</f>
        <v/>
      </c>
      <c r="P262" s="57">
        <f>'KQuote Mitarbeiter'!E262</f>
        <v/>
      </c>
      <c r="Q262" s="66">
        <f>'KQuote Mitarbeiter'!L262</f>
        <v/>
      </c>
      <c r="R262" s="57">
        <f>'KQuote Mitarbeiter'!D262</f>
        <v/>
      </c>
      <c r="S262" s="66">
        <f>'KQuote Mitarbeiter'!K262</f>
        <v/>
      </c>
    </row>
    <row r="263">
      <c r="A263" s="47">
        <f>'KQuote Mitarbeiter'!A263</f>
        <v/>
      </c>
      <c r="B263" s="48">
        <f>'KQuote Mitarbeiter'!B263</f>
        <v/>
      </c>
      <c r="C263" s="58">
        <f>IF($B263="","",(N(Berechnung!D263)+N(Berechnung!Q263))*N(Berechnung!C263))</f>
        <v/>
      </c>
      <c r="D263" s="58">
        <f>IF($B263="","",(N(Berechnung!E263)+N(Berechnung!R263))*N(Berechnung!C263))</f>
        <v/>
      </c>
      <c r="E263" s="58">
        <f>IF($B263="","",(N(Berechnung!F263)+N(Berechnung!S263))*N(Berechnung!C263))</f>
        <v/>
      </c>
      <c r="F263" s="58">
        <f>IF($B263="","",(N(Berechnung!G263)+N(Berechnung!T263))*N(Berechnung!C263))</f>
        <v/>
      </c>
      <c r="G263" s="58">
        <f>IF($B263="","",(N(Berechnung!H263)+N(Berechnung!U263))*N(Berechnung!C263))</f>
        <v/>
      </c>
      <c r="H263" s="58">
        <f>IF($B263="","",(N(Berechnung!I263)+N(Berechnung!V263))*N(Berechnung!C263))</f>
        <v/>
      </c>
      <c r="I263" s="58">
        <f>IF($B263="","",(N(Berechnung!J263)+N(Berechnung!W263))*N(Berechnung!C263))</f>
        <v/>
      </c>
      <c r="J263" s="58">
        <f>IF($B263="","",(N(Berechnung!K263)+N(Berechnung!X263))*N(Berechnung!C263))</f>
        <v/>
      </c>
      <c r="K263" s="58">
        <f>IF($B263="","",(N(Berechnung!L263)+N(Berechnung!Y263))*N(Berechnung!C263))</f>
        <v/>
      </c>
      <c r="L263" s="58">
        <f>IF($B263="","",(N(Berechnung!M263)+N(Berechnung!Z263))*N(Berechnung!C263))</f>
        <v/>
      </c>
      <c r="M263" s="58">
        <f>IF($B263="","",(N(Berechnung!N263)+N(Berechnung!AA263))*N(Berechnung!C263))</f>
        <v/>
      </c>
      <c r="N263" s="58">
        <f>IF($B263="","",(N(Berechnung!O263)+N(Berechnung!AB263))*N(Berechnung!C263))</f>
        <v/>
      </c>
      <c r="O263" s="65">
        <f>IF($B263="","",SUM(C263:N263))</f>
        <v/>
      </c>
      <c r="P263" s="57">
        <f>'KQuote Mitarbeiter'!E263</f>
        <v/>
      </c>
      <c r="Q263" s="66">
        <f>'KQuote Mitarbeiter'!L263</f>
        <v/>
      </c>
      <c r="R263" s="57">
        <f>'KQuote Mitarbeiter'!D263</f>
        <v/>
      </c>
      <c r="S263" s="66">
        <f>'KQuote Mitarbeiter'!K263</f>
        <v/>
      </c>
    </row>
    <row r="264">
      <c r="A264" s="47">
        <f>'KQuote Mitarbeiter'!A264</f>
        <v/>
      </c>
      <c r="B264" s="48">
        <f>'KQuote Mitarbeiter'!B264</f>
        <v/>
      </c>
      <c r="C264" s="58">
        <f>IF($B264="","",(N(Berechnung!D264)+N(Berechnung!Q264))*N(Berechnung!C264))</f>
        <v/>
      </c>
      <c r="D264" s="58">
        <f>IF($B264="","",(N(Berechnung!E264)+N(Berechnung!R264))*N(Berechnung!C264))</f>
        <v/>
      </c>
      <c r="E264" s="58">
        <f>IF($B264="","",(N(Berechnung!F264)+N(Berechnung!S264))*N(Berechnung!C264))</f>
        <v/>
      </c>
      <c r="F264" s="58">
        <f>IF($B264="","",(N(Berechnung!G264)+N(Berechnung!T264))*N(Berechnung!C264))</f>
        <v/>
      </c>
      <c r="G264" s="58">
        <f>IF($B264="","",(N(Berechnung!H264)+N(Berechnung!U264))*N(Berechnung!C264))</f>
        <v/>
      </c>
      <c r="H264" s="58">
        <f>IF($B264="","",(N(Berechnung!I264)+N(Berechnung!V264))*N(Berechnung!C264))</f>
        <v/>
      </c>
      <c r="I264" s="58">
        <f>IF($B264="","",(N(Berechnung!J264)+N(Berechnung!W264))*N(Berechnung!C264))</f>
        <v/>
      </c>
      <c r="J264" s="58">
        <f>IF($B264="","",(N(Berechnung!K264)+N(Berechnung!X264))*N(Berechnung!C264))</f>
        <v/>
      </c>
      <c r="K264" s="58">
        <f>IF($B264="","",(N(Berechnung!L264)+N(Berechnung!Y264))*N(Berechnung!C264))</f>
        <v/>
      </c>
      <c r="L264" s="58">
        <f>IF($B264="","",(N(Berechnung!M264)+N(Berechnung!Z264))*N(Berechnung!C264))</f>
        <v/>
      </c>
      <c r="M264" s="58">
        <f>IF($B264="","",(N(Berechnung!N264)+N(Berechnung!AA264))*N(Berechnung!C264))</f>
        <v/>
      </c>
      <c r="N264" s="58">
        <f>IF($B264="","",(N(Berechnung!O264)+N(Berechnung!AB264))*N(Berechnung!C264))</f>
        <v/>
      </c>
      <c r="O264" s="65">
        <f>IF($B264="","",SUM(C264:N264))</f>
        <v/>
      </c>
      <c r="P264" s="57">
        <f>'KQuote Mitarbeiter'!E264</f>
        <v/>
      </c>
      <c r="Q264" s="66">
        <f>'KQuote Mitarbeiter'!L264</f>
        <v/>
      </c>
      <c r="R264" s="57">
        <f>'KQuote Mitarbeiter'!D264</f>
        <v/>
      </c>
      <c r="S264" s="66">
        <f>'KQuote Mitarbeiter'!K264</f>
        <v/>
      </c>
    </row>
    <row r="265">
      <c r="A265" s="47">
        <f>'KQuote Mitarbeiter'!A265</f>
        <v/>
      </c>
      <c r="B265" s="48">
        <f>'KQuote Mitarbeiter'!B265</f>
        <v/>
      </c>
      <c r="C265" s="58">
        <f>IF($B265="","",(N(Berechnung!D265)+N(Berechnung!Q265))*N(Berechnung!C265))</f>
        <v/>
      </c>
      <c r="D265" s="58">
        <f>IF($B265="","",(N(Berechnung!E265)+N(Berechnung!R265))*N(Berechnung!C265))</f>
        <v/>
      </c>
      <c r="E265" s="58">
        <f>IF($B265="","",(N(Berechnung!F265)+N(Berechnung!S265))*N(Berechnung!C265))</f>
        <v/>
      </c>
      <c r="F265" s="58">
        <f>IF($B265="","",(N(Berechnung!G265)+N(Berechnung!T265))*N(Berechnung!C265))</f>
        <v/>
      </c>
      <c r="G265" s="58">
        <f>IF($B265="","",(N(Berechnung!H265)+N(Berechnung!U265))*N(Berechnung!C265))</f>
        <v/>
      </c>
      <c r="H265" s="58">
        <f>IF($B265="","",(N(Berechnung!I265)+N(Berechnung!V265))*N(Berechnung!C265))</f>
        <v/>
      </c>
      <c r="I265" s="58">
        <f>IF($B265="","",(N(Berechnung!J265)+N(Berechnung!W265))*N(Berechnung!C265))</f>
        <v/>
      </c>
      <c r="J265" s="58">
        <f>IF($B265="","",(N(Berechnung!K265)+N(Berechnung!X265))*N(Berechnung!C265))</f>
        <v/>
      </c>
      <c r="K265" s="58">
        <f>IF($B265="","",(N(Berechnung!L265)+N(Berechnung!Y265))*N(Berechnung!C265))</f>
        <v/>
      </c>
      <c r="L265" s="58">
        <f>IF($B265="","",(N(Berechnung!M265)+N(Berechnung!Z265))*N(Berechnung!C265))</f>
        <v/>
      </c>
      <c r="M265" s="58">
        <f>IF($B265="","",(N(Berechnung!N265)+N(Berechnung!AA265))*N(Berechnung!C265))</f>
        <v/>
      </c>
      <c r="N265" s="58">
        <f>IF($B265="","",(N(Berechnung!O265)+N(Berechnung!AB265))*N(Berechnung!C265))</f>
        <v/>
      </c>
      <c r="O265" s="65">
        <f>IF($B265="","",SUM(C265:N265))</f>
        <v/>
      </c>
      <c r="P265" s="57">
        <f>'KQuote Mitarbeiter'!E265</f>
        <v/>
      </c>
      <c r="Q265" s="66">
        <f>'KQuote Mitarbeiter'!L265</f>
        <v/>
      </c>
      <c r="R265" s="57">
        <f>'KQuote Mitarbeiter'!D265</f>
        <v/>
      </c>
      <c r="S265" s="66">
        <f>'KQuote Mitarbeiter'!K265</f>
        <v/>
      </c>
    </row>
    <row r="266">
      <c r="A266" s="47">
        <f>'KQuote Mitarbeiter'!A266</f>
        <v/>
      </c>
      <c r="B266" s="48">
        <f>'KQuote Mitarbeiter'!B266</f>
        <v/>
      </c>
      <c r="C266" s="58">
        <f>IF($B266="","",(N(Berechnung!D266)+N(Berechnung!Q266))*N(Berechnung!C266))</f>
        <v/>
      </c>
      <c r="D266" s="58">
        <f>IF($B266="","",(N(Berechnung!E266)+N(Berechnung!R266))*N(Berechnung!C266))</f>
        <v/>
      </c>
      <c r="E266" s="58">
        <f>IF($B266="","",(N(Berechnung!F266)+N(Berechnung!S266))*N(Berechnung!C266))</f>
        <v/>
      </c>
      <c r="F266" s="58">
        <f>IF($B266="","",(N(Berechnung!G266)+N(Berechnung!T266))*N(Berechnung!C266))</f>
        <v/>
      </c>
      <c r="G266" s="58">
        <f>IF($B266="","",(N(Berechnung!H266)+N(Berechnung!U266))*N(Berechnung!C266))</f>
        <v/>
      </c>
      <c r="H266" s="58">
        <f>IF($B266="","",(N(Berechnung!I266)+N(Berechnung!V266))*N(Berechnung!C266))</f>
        <v/>
      </c>
      <c r="I266" s="58">
        <f>IF($B266="","",(N(Berechnung!J266)+N(Berechnung!W266))*N(Berechnung!C266))</f>
        <v/>
      </c>
      <c r="J266" s="58">
        <f>IF($B266="","",(N(Berechnung!K266)+N(Berechnung!X266))*N(Berechnung!C266))</f>
        <v/>
      </c>
      <c r="K266" s="58">
        <f>IF($B266="","",(N(Berechnung!L266)+N(Berechnung!Y266))*N(Berechnung!C266))</f>
        <v/>
      </c>
      <c r="L266" s="58">
        <f>IF($B266="","",(N(Berechnung!M266)+N(Berechnung!Z266))*N(Berechnung!C266))</f>
        <v/>
      </c>
      <c r="M266" s="58">
        <f>IF($B266="","",(N(Berechnung!N266)+N(Berechnung!AA266))*N(Berechnung!C266))</f>
        <v/>
      </c>
      <c r="N266" s="58">
        <f>IF($B266="","",(N(Berechnung!O266)+N(Berechnung!AB266))*N(Berechnung!C266))</f>
        <v/>
      </c>
      <c r="O266" s="65">
        <f>IF($B266="","",SUM(C266:N266))</f>
        <v/>
      </c>
      <c r="P266" s="57">
        <f>'KQuote Mitarbeiter'!E266</f>
        <v/>
      </c>
      <c r="Q266" s="66">
        <f>'KQuote Mitarbeiter'!L266</f>
        <v/>
      </c>
      <c r="R266" s="57">
        <f>'KQuote Mitarbeiter'!D266</f>
        <v/>
      </c>
      <c r="S266" s="66">
        <f>'KQuote Mitarbeiter'!K266</f>
        <v/>
      </c>
    </row>
    <row r="267">
      <c r="A267" s="47">
        <f>'KQuote Mitarbeiter'!A267</f>
        <v/>
      </c>
      <c r="B267" s="48">
        <f>'KQuote Mitarbeiter'!B267</f>
        <v/>
      </c>
      <c r="C267" s="58">
        <f>IF($B267="","",(N(Berechnung!D267)+N(Berechnung!Q267))*N(Berechnung!C267))</f>
        <v/>
      </c>
      <c r="D267" s="58">
        <f>IF($B267="","",(N(Berechnung!E267)+N(Berechnung!R267))*N(Berechnung!C267))</f>
        <v/>
      </c>
      <c r="E267" s="58">
        <f>IF($B267="","",(N(Berechnung!F267)+N(Berechnung!S267))*N(Berechnung!C267))</f>
        <v/>
      </c>
      <c r="F267" s="58">
        <f>IF($B267="","",(N(Berechnung!G267)+N(Berechnung!T267))*N(Berechnung!C267))</f>
        <v/>
      </c>
      <c r="G267" s="58">
        <f>IF($B267="","",(N(Berechnung!H267)+N(Berechnung!U267))*N(Berechnung!C267))</f>
        <v/>
      </c>
      <c r="H267" s="58">
        <f>IF($B267="","",(N(Berechnung!I267)+N(Berechnung!V267))*N(Berechnung!C267))</f>
        <v/>
      </c>
      <c r="I267" s="58">
        <f>IF($B267="","",(N(Berechnung!J267)+N(Berechnung!W267))*N(Berechnung!C267))</f>
        <v/>
      </c>
      <c r="J267" s="58">
        <f>IF($B267="","",(N(Berechnung!K267)+N(Berechnung!X267))*N(Berechnung!C267))</f>
        <v/>
      </c>
      <c r="K267" s="58">
        <f>IF($B267="","",(N(Berechnung!L267)+N(Berechnung!Y267))*N(Berechnung!C267))</f>
        <v/>
      </c>
      <c r="L267" s="58">
        <f>IF($B267="","",(N(Berechnung!M267)+N(Berechnung!Z267))*N(Berechnung!C267))</f>
        <v/>
      </c>
      <c r="M267" s="58">
        <f>IF($B267="","",(N(Berechnung!N267)+N(Berechnung!AA267))*N(Berechnung!C267))</f>
        <v/>
      </c>
      <c r="N267" s="58">
        <f>IF($B267="","",(N(Berechnung!O267)+N(Berechnung!AB267))*N(Berechnung!C267))</f>
        <v/>
      </c>
      <c r="O267" s="65">
        <f>IF($B267="","",SUM(C267:N267))</f>
        <v/>
      </c>
      <c r="P267" s="57">
        <f>'KQuote Mitarbeiter'!E267</f>
        <v/>
      </c>
      <c r="Q267" s="66">
        <f>'KQuote Mitarbeiter'!L267</f>
        <v/>
      </c>
      <c r="R267" s="57">
        <f>'KQuote Mitarbeiter'!D267</f>
        <v/>
      </c>
      <c r="S267" s="66">
        <f>'KQuote Mitarbeiter'!K267</f>
        <v/>
      </c>
    </row>
    <row r="268">
      <c r="A268" s="47">
        <f>'KQuote Mitarbeiter'!A268</f>
        <v/>
      </c>
      <c r="B268" s="48">
        <f>'KQuote Mitarbeiter'!B268</f>
        <v/>
      </c>
      <c r="C268" s="58">
        <f>IF($B268="","",(N(Berechnung!D268)+N(Berechnung!Q268))*N(Berechnung!C268))</f>
        <v/>
      </c>
      <c r="D268" s="58">
        <f>IF($B268="","",(N(Berechnung!E268)+N(Berechnung!R268))*N(Berechnung!C268))</f>
        <v/>
      </c>
      <c r="E268" s="58">
        <f>IF($B268="","",(N(Berechnung!F268)+N(Berechnung!S268))*N(Berechnung!C268))</f>
        <v/>
      </c>
      <c r="F268" s="58">
        <f>IF($B268="","",(N(Berechnung!G268)+N(Berechnung!T268))*N(Berechnung!C268))</f>
        <v/>
      </c>
      <c r="G268" s="58">
        <f>IF($B268="","",(N(Berechnung!H268)+N(Berechnung!U268))*N(Berechnung!C268))</f>
        <v/>
      </c>
      <c r="H268" s="58">
        <f>IF($B268="","",(N(Berechnung!I268)+N(Berechnung!V268))*N(Berechnung!C268))</f>
        <v/>
      </c>
      <c r="I268" s="58">
        <f>IF($B268="","",(N(Berechnung!J268)+N(Berechnung!W268))*N(Berechnung!C268))</f>
        <v/>
      </c>
      <c r="J268" s="58">
        <f>IF($B268="","",(N(Berechnung!K268)+N(Berechnung!X268))*N(Berechnung!C268))</f>
        <v/>
      </c>
      <c r="K268" s="58">
        <f>IF($B268="","",(N(Berechnung!L268)+N(Berechnung!Y268))*N(Berechnung!C268))</f>
        <v/>
      </c>
      <c r="L268" s="58">
        <f>IF($B268="","",(N(Berechnung!M268)+N(Berechnung!Z268))*N(Berechnung!C268))</f>
        <v/>
      </c>
      <c r="M268" s="58">
        <f>IF($B268="","",(N(Berechnung!N268)+N(Berechnung!AA268))*N(Berechnung!C268))</f>
        <v/>
      </c>
      <c r="N268" s="58">
        <f>IF($B268="","",(N(Berechnung!O268)+N(Berechnung!AB268))*N(Berechnung!C268))</f>
        <v/>
      </c>
      <c r="O268" s="65">
        <f>IF($B268="","",SUM(C268:N268))</f>
        <v/>
      </c>
      <c r="P268" s="57">
        <f>'KQuote Mitarbeiter'!E268</f>
        <v/>
      </c>
      <c r="Q268" s="66">
        <f>'KQuote Mitarbeiter'!L268</f>
        <v/>
      </c>
      <c r="R268" s="57">
        <f>'KQuote Mitarbeiter'!D268</f>
        <v/>
      </c>
      <c r="S268" s="66">
        <f>'KQuote Mitarbeiter'!K268</f>
        <v/>
      </c>
    </row>
    <row r="269">
      <c r="A269" s="47">
        <f>'KQuote Mitarbeiter'!A269</f>
        <v/>
      </c>
      <c r="B269" s="48">
        <f>'KQuote Mitarbeiter'!B269</f>
        <v/>
      </c>
      <c r="C269" s="58">
        <f>IF($B269="","",(N(Berechnung!D269)+N(Berechnung!Q269))*N(Berechnung!C269))</f>
        <v/>
      </c>
      <c r="D269" s="58">
        <f>IF($B269="","",(N(Berechnung!E269)+N(Berechnung!R269))*N(Berechnung!C269))</f>
        <v/>
      </c>
      <c r="E269" s="58">
        <f>IF($B269="","",(N(Berechnung!F269)+N(Berechnung!S269))*N(Berechnung!C269))</f>
        <v/>
      </c>
      <c r="F269" s="58">
        <f>IF($B269="","",(N(Berechnung!G269)+N(Berechnung!T269))*N(Berechnung!C269))</f>
        <v/>
      </c>
      <c r="G269" s="58">
        <f>IF($B269="","",(N(Berechnung!H269)+N(Berechnung!U269))*N(Berechnung!C269))</f>
        <v/>
      </c>
      <c r="H269" s="58">
        <f>IF($B269="","",(N(Berechnung!I269)+N(Berechnung!V269))*N(Berechnung!C269))</f>
        <v/>
      </c>
      <c r="I269" s="58">
        <f>IF($B269="","",(N(Berechnung!J269)+N(Berechnung!W269))*N(Berechnung!C269))</f>
        <v/>
      </c>
      <c r="J269" s="58">
        <f>IF($B269="","",(N(Berechnung!K269)+N(Berechnung!X269))*N(Berechnung!C269))</f>
        <v/>
      </c>
      <c r="K269" s="58">
        <f>IF($B269="","",(N(Berechnung!L269)+N(Berechnung!Y269))*N(Berechnung!C269))</f>
        <v/>
      </c>
      <c r="L269" s="58">
        <f>IF($B269="","",(N(Berechnung!M269)+N(Berechnung!Z269))*N(Berechnung!C269))</f>
        <v/>
      </c>
      <c r="M269" s="58">
        <f>IF($B269="","",(N(Berechnung!N269)+N(Berechnung!AA269))*N(Berechnung!C269))</f>
        <v/>
      </c>
      <c r="N269" s="58">
        <f>IF($B269="","",(N(Berechnung!O269)+N(Berechnung!AB269))*N(Berechnung!C269))</f>
        <v/>
      </c>
      <c r="O269" s="65">
        <f>IF($B269="","",SUM(C269:N269))</f>
        <v/>
      </c>
      <c r="P269" s="57">
        <f>'KQuote Mitarbeiter'!E269</f>
        <v/>
      </c>
      <c r="Q269" s="66">
        <f>'KQuote Mitarbeiter'!L269</f>
        <v/>
      </c>
      <c r="R269" s="57">
        <f>'KQuote Mitarbeiter'!D269</f>
        <v/>
      </c>
      <c r="S269" s="66">
        <f>'KQuote Mitarbeiter'!K269</f>
        <v/>
      </c>
    </row>
    <row r="270">
      <c r="A270" s="47">
        <f>'KQuote Mitarbeiter'!A270</f>
        <v/>
      </c>
      <c r="B270" s="48">
        <f>'KQuote Mitarbeiter'!B270</f>
        <v/>
      </c>
      <c r="C270" s="58">
        <f>IF($B270="","",(N(Berechnung!D270)+N(Berechnung!Q270))*N(Berechnung!C270))</f>
        <v/>
      </c>
      <c r="D270" s="58">
        <f>IF($B270="","",(N(Berechnung!E270)+N(Berechnung!R270))*N(Berechnung!C270))</f>
        <v/>
      </c>
      <c r="E270" s="58">
        <f>IF($B270="","",(N(Berechnung!F270)+N(Berechnung!S270))*N(Berechnung!C270))</f>
        <v/>
      </c>
      <c r="F270" s="58">
        <f>IF($B270="","",(N(Berechnung!G270)+N(Berechnung!T270))*N(Berechnung!C270))</f>
        <v/>
      </c>
      <c r="G270" s="58">
        <f>IF($B270="","",(N(Berechnung!H270)+N(Berechnung!U270))*N(Berechnung!C270))</f>
        <v/>
      </c>
      <c r="H270" s="58">
        <f>IF($B270="","",(N(Berechnung!I270)+N(Berechnung!V270))*N(Berechnung!C270))</f>
        <v/>
      </c>
      <c r="I270" s="58">
        <f>IF($B270="","",(N(Berechnung!J270)+N(Berechnung!W270))*N(Berechnung!C270))</f>
        <v/>
      </c>
      <c r="J270" s="58">
        <f>IF($B270="","",(N(Berechnung!K270)+N(Berechnung!X270))*N(Berechnung!C270))</f>
        <v/>
      </c>
      <c r="K270" s="58">
        <f>IF($B270="","",(N(Berechnung!L270)+N(Berechnung!Y270))*N(Berechnung!C270))</f>
        <v/>
      </c>
      <c r="L270" s="58">
        <f>IF($B270="","",(N(Berechnung!M270)+N(Berechnung!Z270))*N(Berechnung!C270))</f>
        <v/>
      </c>
      <c r="M270" s="58">
        <f>IF($B270="","",(N(Berechnung!N270)+N(Berechnung!AA270))*N(Berechnung!C270))</f>
        <v/>
      </c>
      <c r="N270" s="58">
        <f>IF($B270="","",(N(Berechnung!O270)+N(Berechnung!AB270))*N(Berechnung!C270))</f>
        <v/>
      </c>
      <c r="O270" s="65">
        <f>IF($B270="","",SUM(C270:N270))</f>
        <v/>
      </c>
      <c r="P270" s="57">
        <f>'KQuote Mitarbeiter'!E270</f>
        <v/>
      </c>
      <c r="Q270" s="66">
        <f>'KQuote Mitarbeiter'!L270</f>
        <v/>
      </c>
      <c r="R270" s="57">
        <f>'KQuote Mitarbeiter'!D270</f>
        <v/>
      </c>
      <c r="S270" s="66">
        <f>'KQuote Mitarbeiter'!K270</f>
        <v/>
      </c>
    </row>
    <row r="271">
      <c r="A271" s="47">
        <f>'KQuote Mitarbeiter'!A271</f>
        <v/>
      </c>
      <c r="B271" s="48">
        <f>'KQuote Mitarbeiter'!B271</f>
        <v/>
      </c>
      <c r="C271" s="58">
        <f>IF($B271="","",(N(Berechnung!D271)+N(Berechnung!Q271))*N(Berechnung!C271))</f>
        <v/>
      </c>
      <c r="D271" s="58">
        <f>IF($B271="","",(N(Berechnung!E271)+N(Berechnung!R271))*N(Berechnung!C271))</f>
        <v/>
      </c>
      <c r="E271" s="58">
        <f>IF($B271="","",(N(Berechnung!F271)+N(Berechnung!S271))*N(Berechnung!C271))</f>
        <v/>
      </c>
      <c r="F271" s="58">
        <f>IF($B271="","",(N(Berechnung!G271)+N(Berechnung!T271))*N(Berechnung!C271))</f>
        <v/>
      </c>
      <c r="G271" s="58">
        <f>IF($B271="","",(N(Berechnung!H271)+N(Berechnung!U271))*N(Berechnung!C271))</f>
        <v/>
      </c>
      <c r="H271" s="58">
        <f>IF($B271="","",(N(Berechnung!I271)+N(Berechnung!V271))*N(Berechnung!C271))</f>
        <v/>
      </c>
      <c r="I271" s="58">
        <f>IF($B271="","",(N(Berechnung!J271)+N(Berechnung!W271))*N(Berechnung!C271))</f>
        <v/>
      </c>
      <c r="J271" s="58">
        <f>IF($B271="","",(N(Berechnung!K271)+N(Berechnung!X271))*N(Berechnung!C271))</f>
        <v/>
      </c>
      <c r="K271" s="58">
        <f>IF($B271="","",(N(Berechnung!L271)+N(Berechnung!Y271))*N(Berechnung!C271))</f>
        <v/>
      </c>
      <c r="L271" s="58">
        <f>IF($B271="","",(N(Berechnung!M271)+N(Berechnung!Z271))*N(Berechnung!C271))</f>
        <v/>
      </c>
      <c r="M271" s="58">
        <f>IF($B271="","",(N(Berechnung!N271)+N(Berechnung!AA271))*N(Berechnung!C271))</f>
        <v/>
      </c>
      <c r="N271" s="58">
        <f>IF($B271="","",(N(Berechnung!O271)+N(Berechnung!AB271))*N(Berechnung!C271))</f>
        <v/>
      </c>
      <c r="O271" s="65">
        <f>IF($B271="","",SUM(C271:N271))</f>
        <v/>
      </c>
      <c r="P271" s="57">
        <f>'KQuote Mitarbeiter'!E271</f>
        <v/>
      </c>
      <c r="Q271" s="66">
        <f>'KQuote Mitarbeiter'!L271</f>
        <v/>
      </c>
      <c r="R271" s="57">
        <f>'KQuote Mitarbeiter'!D271</f>
        <v/>
      </c>
      <c r="S271" s="66">
        <f>'KQuote Mitarbeiter'!K271</f>
        <v/>
      </c>
    </row>
    <row r="272">
      <c r="A272" s="47">
        <f>'KQuote Mitarbeiter'!A272</f>
        <v/>
      </c>
      <c r="B272" s="48">
        <f>'KQuote Mitarbeiter'!B272</f>
        <v/>
      </c>
      <c r="C272" s="58">
        <f>IF($B272="","",(N(Berechnung!D272)+N(Berechnung!Q272))*N(Berechnung!C272))</f>
        <v/>
      </c>
      <c r="D272" s="58">
        <f>IF($B272="","",(N(Berechnung!E272)+N(Berechnung!R272))*N(Berechnung!C272))</f>
        <v/>
      </c>
      <c r="E272" s="58">
        <f>IF($B272="","",(N(Berechnung!F272)+N(Berechnung!S272))*N(Berechnung!C272))</f>
        <v/>
      </c>
      <c r="F272" s="58">
        <f>IF($B272="","",(N(Berechnung!G272)+N(Berechnung!T272))*N(Berechnung!C272))</f>
        <v/>
      </c>
      <c r="G272" s="58">
        <f>IF($B272="","",(N(Berechnung!H272)+N(Berechnung!U272))*N(Berechnung!C272))</f>
        <v/>
      </c>
      <c r="H272" s="58">
        <f>IF($B272="","",(N(Berechnung!I272)+N(Berechnung!V272))*N(Berechnung!C272))</f>
        <v/>
      </c>
      <c r="I272" s="58">
        <f>IF($B272="","",(N(Berechnung!J272)+N(Berechnung!W272))*N(Berechnung!C272))</f>
        <v/>
      </c>
      <c r="J272" s="58">
        <f>IF($B272="","",(N(Berechnung!K272)+N(Berechnung!X272))*N(Berechnung!C272))</f>
        <v/>
      </c>
      <c r="K272" s="58">
        <f>IF($B272="","",(N(Berechnung!L272)+N(Berechnung!Y272))*N(Berechnung!C272))</f>
        <v/>
      </c>
      <c r="L272" s="58">
        <f>IF($B272="","",(N(Berechnung!M272)+N(Berechnung!Z272))*N(Berechnung!C272))</f>
        <v/>
      </c>
      <c r="M272" s="58">
        <f>IF($B272="","",(N(Berechnung!N272)+N(Berechnung!AA272))*N(Berechnung!C272))</f>
        <v/>
      </c>
      <c r="N272" s="58">
        <f>IF($B272="","",(N(Berechnung!O272)+N(Berechnung!AB272))*N(Berechnung!C272))</f>
        <v/>
      </c>
      <c r="O272" s="65">
        <f>IF($B272="","",SUM(C272:N272))</f>
        <v/>
      </c>
      <c r="P272" s="57">
        <f>'KQuote Mitarbeiter'!E272</f>
        <v/>
      </c>
      <c r="Q272" s="66">
        <f>'KQuote Mitarbeiter'!L272</f>
        <v/>
      </c>
      <c r="R272" s="57">
        <f>'KQuote Mitarbeiter'!D272</f>
        <v/>
      </c>
      <c r="S272" s="66">
        <f>'KQuote Mitarbeiter'!K272</f>
        <v/>
      </c>
    </row>
    <row r="273">
      <c r="A273" s="47">
        <f>'KQuote Mitarbeiter'!A273</f>
        <v/>
      </c>
      <c r="B273" s="48">
        <f>'KQuote Mitarbeiter'!B273</f>
        <v/>
      </c>
      <c r="C273" s="58">
        <f>IF($B273="","",(N(Berechnung!D273)+N(Berechnung!Q273))*N(Berechnung!C273))</f>
        <v/>
      </c>
      <c r="D273" s="58">
        <f>IF($B273="","",(N(Berechnung!E273)+N(Berechnung!R273))*N(Berechnung!C273))</f>
        <v/>
      </c>
      <c r="E273" s="58">
        <f>IF($B273="","",(N(Berechnung!F273)+N(Berechnung!S273))*N(Berechnung!C273))</f>
        <v/>
      </c>
      <c r="F273" s="58">
        <f>IF($B273="","",(N(Berechnung!G273)+N(Berechnung!T273))*N(Berechnung!C273))</f>
        <v/>
      </c>
      <c r="G273" s="58">
        <f>IF($B273="","",(N(Berechnung!H273)+N(Berechnung!U273))*N(Berechnung!C273))</f>
        <v/>
      </c>
      <c r="H273" s="58">
        <f>IF($B273="","",(N(Berechnung!I273)+N(Berechnung!V273))*N(Berechnung!C273))</f>
        <v/>
      </c>
      <c r="I273" s="58">
        <f>IF($B273="","",(N(Berechnung!J273)+N(Berechnung!W273))*N(Berechnung!C273))</f>
        <v/>
      </c>
      <c r="J273" s="58">
        <f>IF($B273="","",(N(Berechnung!K273)+N(Berechnung!X273))*N(Berechnung!C273))</f>
        <v/>
      </c>
      <c r="K273" s="58">
        <f>IF($B273="","",(N(Berechnung!L273)+N(Berechnung!Y273))*N(Berechnung!C273))</f>
        <v/>
      </c>
      <c r="L273" s="58">
        <f>IF($B273="","",(N(Berechnung!M273)+N(Berechnung!Z273))*N(Berechnung!C273))</f>
        <v/>
      </c>
      <c r="M273" s="58">
        <f>IF($B273="","",(N(Berechnung!N273)+N(Berechnung!AA273))*N(Berechnung!C273))</f>
        <v/>
      </c>
      <c r="N273" s="58">
        <f>IF($B273="","",(N(Berechnung!O273)+N(Berechnung!AB273))*N(Berechnung!C273))</f>
        <v/>
      </c>
      <c r="O273" s="65">
        <f>IF($B273="","",SUM(C273:N273))</f>
        <v/>
      </c>
      <c r="P273" s="57">
        <f>'KQuote Mitarbeiter'!E273</f>
        <v/>
      </c>
      <c r="Q273" s="66">
        <f>'KQuote Mitarbeiter'!L273</f>
        <v/>
      </c>
      <c r="R273" s="57">
        <f>'KQuote Mitarbeiter'!D273</f>
        <v/>
      </c>
      <c r="S273" s="66">
        <f>'KQuote Mitarbeiter'!K273</f>
        <v/>
      </c>
    </row>
    <row r="274">
      <c r="A274" s="47">
        <f>'KQuote Mitarbeiter'!A274</f>
        <v/>
      </c>
      <c r="B274" s="48">
        <f>'KQuote Mitarbeiter'!B274</f>
        <v/>
      </c>
      <c r="C274" s="58">
        <f>IF($B274="","",(N(Berechnung!D274)+N(Berechnung!Q274))*N(Berechnung!C274))</f>
        <v/>
      </c>
      <c r="D274" s="58">
        <f>IF($B274="","",(N(Berechnung!E274)+N(Berechnung!R274))*N(Berechnung!C274))</f>
        <v/>
      </c>
      <c r="E274" s="58">
        <f>IF($B274="","",(N(Berechnung!F274)+N(Berechnung!S274))*N(Berechnung!C274))</f>
        <v/>
      </c>
      <c r="F274" s="58">
        <f>IF($B274="","",(N(Berechnung!G274)+N(Berechnung!T274))*N(Berechnung!C274))</f>
        <v/>
      </c>
      <c r="G274" s="58">
        <f>IF($B274="","",(N(Berechnung!H274)+N(Berechnung!U274))*N(Berechnung!C274))</f>
        <v/>
      </c>
      <c r="H274" s="58">
        <f>IF($B274="","",(N(Berechnung!I274)+N(Berechnung!V274))*N(Berechnung!C274))</f>
        <v/>
      </c>
      <c r="I274" s="58">
        <f>IF($B274="","",(N(Berechnung!J274)+N(Berechnung!W274))*N(Berechnung!C274))</f>
        <v/>
      </c>
      <c r="J274" s="58">
        <f>IF($B274="","",(N(Berechnung!K274)+N(Berechnung!X274))*N(Berechnung!C274))</f>
        <v/>
      </c>
      <c r="K274" s="58">
        <f>IF($B274="","",(N(Berechnung!L274)+N(Berechnung!Y274))*N(Berechnung!C274))</f>
        <v/>
      </c>
      <c r="L274" s="58">
        <f>IF($B274="","",(N(Berechnung!M274)+N(Berechnung!Z274))*N(Berechnung!C274))</f>
        <v/>
      </c>
      <c r="M274" s="58">
        <f>IF($B274="","",(N(Berechnung!N274)+N(Berechnung!AA274))*N(Berechnung!C274))</f>
        <v/>
      </c>
      <c r="N274" s="58">
        <f>IF($B274="","",(N(Berechnung!O274)+N(Berechnung!AB274))*N(Berechnung!C274))</f>
        <v/>
      </c>
      <c r="O274" s="65">
        <f>IF($B274="","",SUM(C274:N274))</f>
        <v/>
      </c>
      <c r="P274" s="57">
        <f>'KQuote Mitarbeiter'!E274</f>
        <v/>
      </c>
      <c r="Q274" s="66">
        <f>'KQuote Mitarbeiter'!L274</f>
        <v/>
      </c>
      <c r="R274" s="57">
        <f>'KQuote Mitarbeiter'!D274</f>
        <v/>
      </c>
      <c r="S274" s="66">
        <f>'KQuote Mitarbeiter'!K274</f>
        <v/>
      </c>
    </row>
    <row r="275">
      <c r="A275" s="47">
        <f>'KQuote Mitarbeiter'!A275</f>
        <v/>
      </c>
      <c r="B275" s="48">
        <f>'KQuote Mitarbeiter'!B275</f>
        <v/>
      </c>
      <c r="C275" s="58">
        <f>IF($B275="","",(N(Berechnung!D275)+N(Berechnung!Q275))*N(Berechnung!C275))</f>
        <v/>
      </c>
      <c r="D275" s="58">
        <f>IF($B275="","",(N(Berechnung!E275)+N(Berechnung!R275))*N(Berechnung!C275))</f>
        <v/>
      </c>
      <c r="E275" s="58">
        <f>IF($B275="","",(N(Berechnung!F275)+N(Berechnung!S275))*N(Berechnung!C275))</f>
        <v/>
      </c>
      <c r="F275" s="58">
        <f>IF($B275="","",(N(Berechnung!G275)+N(Berechnung!T275))*N(Berechnung!C275))</f>
        <v/>
      </c>
      <c r="G275" s="58">
        <f>IF($B275="","",(N(Berechnung!H275)+N(Berechnung!U275))*N(Berechnung!C275))</f>
        <v/>
      </c>
      <c r="H275" s="58">
        <f>IF($B275="","",(N(Berechnung!I275)+N(Berechnung!V275))*N(Berechnung!C275))</f>
        <v/>
      </c>
      <c r="I275" s="58">
        <f>IF($B275="","",(N(Berechnung!J275)+N(Berechnung!W275))*N(Berechnung!C275))</f>
        <v/>
      </c>
      <c r="J275" s="58">
        <f>IF($B275="","",(N(Berechnung!K275)+N(Berechnung!X275))*N(Berechnung!C275))</f>
        <v/>
      </c>
      <c r="K275" s="58">
        <f>IF($B275="","",(N(Berechnung!L275)+N(Berechnung!Y275))*N(Berechnung!C275))</f>
        <v/>
      </c>
      <c r="L275" s="58">
        <f>IF($B275="","",(N(Berechnung!M275)+N(Berechnung!Z275))*N(Berechnung!C275))</f>
        <v/>
      </c>
      <c r="M275" s="58">
        <f>IF($B275="","",(N(Berechnung!N275)+N(Berechnung!AA275))*N(Berechnung!C275))</f>
        <v/>
      </c>
      <c r="N275" s="58">
        <f>IF($B275="","",(N(Berechnung!O275)+N(Berechnung!AB275))*N(Berechnung!C275))</f>
        <v/>
      </c>
      <c r="O275" s="65">
        <f>IF($B275="","",SUM(C275:N275))</f>
        <v/>
      </c>
      <c r="P275" s="57">
        <f>'KQuote Mitarbeiter'!E275</f>
        <v/>
      </c>
      <c r="Q275" s="66">
        <f>'KQuote Mitarbeiter'!L275</f>
        <v/>
      </c>
      <c r="R275" s="57">
        <f>'KQuote Mitarbeiter'!D275</f>
        <v/>
      </c>
      <c r="S275" s="66">
        <f>'KQuote Mitarbeiter'!K275</f>
        <v/>
      </c>
    </row>
    <row r="276">
      <c r="A276" s="47">
        <f>'KQuote Mitarbeiter'!A276</f>
        <v/>
      </c>
      <c r="B276" s="48">
        <f>'KQuote Mitarbeiter'!B276</f>
        <v/>
      </c>
      <c r="C276" s="58">
        <f>IF($B276="","",(N(Berechnung!D276)+N(Berechnung!Q276))*N(Berechnung!C276))</f>
        <v/>
      </c>
      <c r="D276" s="58">
        <f>IF($B276="","",(N(Berechnung!E276)+N(Berechnung!R276))*N(Berechnung!C276))</f>
        <v/>
      </c>
      <c r="E276" s="58">
        <f>IF($B276="","",(N(Berechnung!F276)+N(Berechnung!S276))*N(Berechnung!C276))</f>
        <v/>
      </c>
      <c r="F276" s="58">
        <f>IF($B276="","",(N(Berechnung!G276)+N(Berechnung!T276))*N(Berechnung!C276))</f>
        <v/>
      </c>
      <c r="G276" s="58">
        <f>IF($B276="","",(N(Berechnung!H276)+N(Berechnung!U276))*N(Berechnung!C276))</f>
        <v/>
      </c>
      <c r="H276" s="58">
        <f>IF($B276="","",(N(Berechnung!I276)+N(Berechnung!V276))*N(Berechnung!C276))</f>
        <v/>
      </c>
      <c r="I276" s="58">
        <f>IF($B276="","",(N(Berechnung!J276)+N(Berechnung!W276))*N(Berechnung!C276))</f>
        <v/>
      </c>
      <c r="J276" s="58">
        <f>IF($B276="","",(N(Berechnung!K276)+N(Berechnung!X276))*N(Berechnung!C276))</f>
        <v/>
      </c>
      <c r="K276" s="58">
        <f>IF($B276="","",(N(Berechnung!L276)+N(Berechnung!Y276))*N(Berechnung!C276))</f>
        <v/>
      </c>
      <c r="L276" s="58">
        <f>IF($B276="","",(N(Berechnung!M276)+N(Berechnung!Z276))*N(Berechnung!C276))</f>
        <v/>
      </c>
      <c r="M276" s="58">
        <f>IF($B276="","",(N(Berechnung!N276)+N(Berechnung!AA276))*N(Berechnung!C276))</f>
        <v/>
      </c>
      <c r="N276" s="58">
        <f>IF($B276="","",(N(Berechnung!O276)+N(Berechnung!AB276))*N(Berechnung!C276))</f>
        <v/>
      </c>
      <c r="O276" s="65">
        <f>IF($B276="","",SUM(C276:N276))</f>
        <v/>
      </c>
      <c r="P276" s="57">
        <f>'KQuote Mitarbeiter'!E276</f>
        <v/>
      </c>
      <c r="Q276" s="66">
        <f>'KQuote Mitarbeiter'!L276</f>
        <v/>
      </c>
      <c r="R276" s="57">
        <f>'KQuote Mitarbeiter'!D276</f>
        <v/>
      </c>
      <c r="S276" s="66">
        <f>'KQuote Mitarbeiter'!K276</f>
        <v/>
      </c>
    </row>
    <row r="277">
      <c r="A277" s="47">
        <f>'KQuote Mitarbeiter'!A277</f>
        <v/>
      </c>
      <c r="B277" s="48">
        <f>'KQuote Mitarbeiter'!B277</f>
        <v/>
      </c>
      <c r="C277" s="58">
        <f>IF($B277="","",(N(Berechnung!D277)+N(Berechnung!Q277))*N(Berechnung!C277))</f>
        <v/>
      </c>
      <c r="D277" s="58">
        <f>IF($B277="","",(N(Berechnung!E277)+N(Berechnung!R277))*N(Berechnung!C277))</f>
        <v/>
      </c>
      <c r="E277" s="58">
        <f>IF($B277="","",(N(Berechnung!F277)+N(Berechnung!S277))*N(Berechnung!C277))</f>
        <v/>
      </c>
      <c r="F277" s="58">
        <f>IF($B277="","",(N(Berechnung!G277)+N(Berechnung!T277))*N(Berechnung!C277))</f>
        <v/>
      </c>
      <c r="G277" s="58">
        <f>IF($B277="","",(N(Berechnung!H277)+N(Berechnung!U277))*N(Berechnung!C277))</f>
        <v/>
      </c>
      <c r="H277" s="58">
        <f>IF($B277="","",(N(Berechnung!I277)+N(Berechnung!V277))*N(Berechnung!C277))</f>
        <v/>
      </c>
      <c r="I277" s="58">
        <f>IF($B277="","",(N(Berechnung!J277)+N(Berechnung!W277))*N(Berechnung!C277))</f>
        <v/>
      </c>
      <c r="J277" s="58">
        <f>IF($B277="","",(N(Berechnung!K277)+N(Berechnung!X277))*N(Berechnung!C277))</f>
        <v/>
      </c>
      <c r="K277" s="58">
        <f>IF($B277="","",(N(Berechnung!L277)+N(Berechnung!Y277))*N(Berechnung!C277))</f>
        <v/>
      </c>
      <c r="L277" s="58">
        <f>IF($B277="","",(N(Berechnung!M277)+N(Berechnung!Z277))*N(Berechnung!C277))</f>
        <v/>
      </c>
      <c r="M277" s="58">
        <f>IF($B277="","",(N(Berechnung!N277)+N(Berechnung!AA277))*N(Berechnung!C277))</f>
        <v/>
      </c>
      <c r="N277" s="58">
        <f>IF($B277="","",(N(Berechnung!O277)+N(Berechnung!AB277))*N(Berechnung!C277))</f>
        <v/>
      </c>
      <c r="O277" s="65">
        <f>IF($B277="","",SUM(C277:N277))</f>
        <v/>
      </c>
      <c r="P277" s="57">
        <f>'KQuote Mitarbeiter'!E277</f>
        <v/>
      </c>
      <c r="Q277" s="66">
        <f>'KQuote Mitarbeiter'!L277</f>
        <v/>
      </c>
      <c r="R277" s="57">
        <f>'KQuote Mitarbeiter'!D277</f>
        <v/>
      </c>
      <c r="S277" s="66">
        <f>'KQuote Mitarbeiter'!K277</f>
        <v/>
      </c>
    </row>
    <row r="278">
      <c r="A278" s="47">
        <f>'KQuote Mitarbeiter'!A278</f>
        <v/>
      </c>
      <c r="B278" s="48">
        <f>'KQuote Mitarbeiter'!B278</f>
        <v/>
      </c>
      <c r="C278" s="58">
        <f>IF($B278="","",(N(Berechnung!D278)+N(Berechnung!Q278))*N(Berechnung!C278))</f>
        <v/>
      </c>
      <c r="D278" s="58">
        <f>IF($B278="","",(N(Berechnung!E278)+N(Berechnung!R278))*N(Berechnung!C278))</f>
        <v/>
      </c>
      <c r="E278" s="58">
        <f>IF($B278="","",(N(Berechnung!F278)+N(Berechnung!S278))*N(Berechnung!C278))</f>
        <v/>
      </c>
      <c r="F278" s="58">
        <f>IF($B278="","",(N(Berechnung!G278)+N(Berechnung!T278))*N(Berechnung!C278))</f>
        <v/>
      </c>
      <c r="G278" s="58">
        <f>IF($B278="","",(N(Berechnung!H278)+N(Berechnung!U278))*N(Berechnung!C278))</f>
        <v/>
      </c>
      <c r="H278" s="58">
        <f>IF($B278="","",(N(Berechnung!I278)+N(Berechnung!V278))*N(Berechnung!C278))</f>
        <v/>
      </c>
      <c r="I278" s="58">
        <f>IF($B278="","",(N(Berechnung!J278)+N(Berechnung!W278))*N(Berechnung!C278))</f>
        <v/>
      </c>
      <c r="J278" s="58">
        <f>IF($B278="","",(N(Berechnung!K278)+N(Berechnung!X278))*N(Berechnung!C278))</f>
        <v/>
      </c>
      <c r="K278" s="58">
        <f>IF($B278="","",(N(Berechnung!L278)+N(Berechnung!Y278))*N(Berechnung!C278))</f>
        <v/>
      </c>
      <c r="L278" s="58">
        <f>IF($B278="","",(N(Berechnung!M278)+N(Berechnung!Z278))*N(Berechnung!C278))</f>
        <v/>
      </c>
      <c r="M278" s="58">
        <f>IF($B278="","",(N(Berechnung!N278)+N(Berechnung!AA278))*N(Berechnung!C278))</f>
        <v/>
      </c>
      <c r="N278" s="58">
        <f>IF($B278="","",(N(Berechnung!O278)+N(Berechnung!AB278))*N(Berechnung!C278))</f>
        <v/>
      </c>
      <c r="O278" s="65">
        <f>IF($B278="","",SUM(C278:N278))</f>
        <v/>
      </c>
      <c r="P278" s="57">
        <f>'KQuote Mitarbeiter'!E278</f>
        <v/>
      </c>
      <c r="Q278" s="66">
        <f>'KQuote Mitarbeiter'!L278</f>
        <v/>
      </c>
      <c r="R278" s="57">
        <f>'KQuote Mitarbeiter'!D278</f>
        <v/>
      </c>
      <c r="S278" s="66">
        <f>'KQuote Mitarbeiter'!K278</f>
        <v/>
      </c>
    </row>
    <row r="279">
      <c r="A279" s="47">
        <f>'KQuote Mitarbeiter'!A279</f>
        <v/>
      </c>
      <c r="B279" s="48">
        <f>'KQuote Mitarbeiter'!B279</f>
        <v/>
      </c>
      <c r="C279" s="58">
        <f>IF($B279="","",(N(Berechnung!D279)+N(Berechnung!Q279))*N(Berechnung!C279))</f>
        <v/>
      </c>
      <c r="D279" s="58">
        <f>IF($B279="","",(N(Berechnung!E279)+N(Berechnung!R279))*N(Berechnung!C279))</f>
        <v/>
      </c>
      <c r="E279" s="58">
        <f>IF($B279="","",(N(Berechnung!F279)+N(Berechnung!S279))*N(Berechnung!C279))</f>
        <v/>
      </c>
      <c r="F279" s="58">
        <f>IF($B279="","",(N(Berechnung!G279)+N(Berechnung!T279))*N(Berechnung!C279))</f>
        <v/>
      </c>
      <c r="G279" s="58">
        <f>IF($B279="","",(N(Berechnung!H279)+N(Berechnung!U279))*N(Berechnung!C279))</f>
        <v/>
      </c>
      <c r="H279" s="58">
        <f>IF($B279="","",(N(Berechnung!I279)+N(Berechnung!V279))*N(Berechnung!C279))</f>
        <v/>
      </c>
      <c r="I279" s="58">
        <f>IF($B279="","",(N(Berechnung!J279)+N(Berechnung!W279))*N(Berechnung!C279))</f>
        <v/>
      </c>
      <c r="J279" s="58">
        <f>IF($B279="","",(N(Berechnung!K279)+N(Berechnung!X279))*N(Berechnung!C279))</f>
        <v/>
      </c>
      <c r="K279" s="58">
        <f>IF($B279="","",(N(Berechnung!L279)+N(Berechnung!Y279))*N(Berechnung!C279))</f>
        <v/>
      </c>
      <c r="L279" s="58">
        <f>IF($B279="","",(N(Berechnung!M279)+N(Berechnung!Z279))*N(Berechnung!C279))</f>
        <v/>
      </c>
      <c r="M279" s="58">
        <f>IF($B279="","",(N(Berechnung!N279)+N(Berechnung!AA279))*N(Berechnung!C279))</f>
        <v/>
      </c>
      <c r="N279" s="58">
        <f>IF($B279="","",(N(Berechnung!O279)+N(Berechnung!AB279))*N(Berechnung!C279))</f>
        <v/>
      </c>
      <c r="O279" s="65">
        <f>IF($B279="","",SUM(C279:N279))</f>
        <v/>
      </c>
      <c r="P279" s="57">
        <f>'KQuote Mitarbeiter'!E279</f>
        <v/>
      </c>
      <c r="Q279" s="66">
        <f>'KQuote Mitarbeiter'!L279</f>
        <v/>
      </c>
      <c r="R279" s="57">
        <f>'KQuote Mitarbeiter'!D279</f>
        <v/>
      </c>
      <c r="S279" s="66">
        <f>'KQuote Mitarbeiter'!K279</f>
        <v/>
      </c>
    </row>
    <row r="280">
      <c r="A280" s="47">
        <f>'KQuote Mitarbeiter'!A280</f>
        <v/>
      </c>
      <c r="B280" s="48">
        <f>'KQuote Mitarbeiter'!B280</f>
        <v/>
      </c>
      <c r="C280" s="58">
        <f>IF($B280="","",(N(Berechnung!D280)+N(Berechnung!Q280))*N(Berechnung!C280))</f>
        <v/>
      </c>
      <c r="D280" s="58">
        <f>IF($B280="","",(N(Berechnung!E280)+N(Berechnung!R280))*N(Berechnung!C280))</f>
        <v/>
      </c>
      <c r="E280" s="58">
        <f>IF($B280="","",(N(Berechnung!F280)+N(Berechnung!S280))*N(Berechnung!C280))</f>
        <v/>
      </c>
      <c r="F280" s="58">
        <f>IF($B280="","",(N(Berechnung!G280)+N(Berechnung!T280))*N(Berechnung!C280))</f>
        <v/>
      </c>
      <c r="G280" s="58">
        <f>IF($B280="","",(N(Berechnung!H280)+N(Berechnung!U280))*N(Berechnung!C280))</f>
        <v/>
      </c>
      <c r="H280" s="58">
        <f>IF($B280="","",(N(Berechnung!I280)+N(Berechnung!V280))*N(Berechnung!C280))</f>
        <v/>
      </c>
      <c r="I280" s="58">
        <f>IF($B280="","",(N(Berechnung!J280)+N(Berechnung!W280))*N(Berechnung!C280))</f>
        <v/>
      </c>
      <c r="J280" s="58">
        <f>IF($B280="","",(N(Berechnung!K280)+N(Berechnung!X280))*N(Berechnung!C280))</f>
        <v/>
      </c>
      <c r="K280" s="58">
        <f>IF($B280="","",(N(Berechnung!L280)+N(Berechnung!Y280))*N(Berechnung!C280))</f>
        <v/>
      </c>
      <c r="L280" s="58">
        <f>IF($B280="","",(N(Berechnung!M280)+N(Berechnung!Z280))*N(Berechnung!C280))</f>
        <v/>
      </c>
      <c r="M280" s="58">
        <f>IF($B280="","",(N(Berechnung!N280)+N(Berechnung!AA280))*N(Berechnung!C280))</f>
        <v/>
      </c>
      <c r="N280" s="58">
        <f>IF($B280="","",(N(Berechnung!O280)+N(Berechnung!AB280))*N(Berechnung!C280))</f>
        <v/>
      </c>
      <c r="O280" s="65">
        <f>IF($B280="","",SUM(C280:N280))</f>
        <v/>
      </c>
      <c r="P280" s="57">
        <f>'KQuote Mitarbeiter'!E280</f>
        <v/>
      </c>
      <c r="Q280" s="66">
        <f>'KQuote Mitarbeiter'!L280</f>
        <v/>
      </c>
      <c r="R280" s="57">
        <f>'KQuote Mitarbeiter'!D280</f>
        <v/>
      </c>
      <c r="S280" s="66">
        <f>'KQuote Mitarbeiter'!K280</f>
        <v/>
      </c>
    </row>
    <row r="281">
      <c r="A281" s="47">
        <f>'KQuote Mitarbeiter'!A281</f>
        <v/>
      </c>
      <c r="B281" s="48">
        <f>'KQuote Mitarbeiter'!B281</f>
        <v/>
      </c>
      <c r="C281" s="58">
        <f>IF($B281="","",(N(Berechnung!D281)+N(Berechnung!Q281))*N(Berechnung!C281))</f>
        <v/>
      </c>
      <c r="D281" s="58">
        <f>IF($B281="","",(N(Berechnung!E281)+N(Berechnung!R281))*N(Berechnung!C281))</f>
        <v/>
      </c>
      <c r="E281" s="58">
        <f>IF($B281="","",(N(Berechnung!F281)+N(Berechnung!S281))*N(Berechnung!C281))</f>
        <v/>
      </c>
      <c r="F281" s="58">
        <f>IF($B281="","",(N(Berechnung!G281)+N(Berechnung!T281))*N(Berechnung!C281))</f>
        <v/>
      </c>
      <c r="G281" s="58">
        <f>IF($B281="","",(N(Berechnung!H281)+N(Berechnung!U281))*N(Berechnung!C281))</f>
        <v/>
      </c>
      <c r="H281" s="58">
        <f>IF($B281="","",(N(Berechnung!I281)+N(Berechnung!V281))*N(Berechnung!C281))</f>
        <v/>
      </c>
      <c r="I281" s="58">
        <f>IF($B281="","",(N(Berechnung!J281)+N(Berechnung!W281))*N(Berechnung!C281))</f>
        <v/>
      </c>
      <c r="J281" s="58">
        <f>IF($B281="","",(N(Berechnung!K281)+N(Berechnung!X281))*N(Berechnung!C281))</f>
        <v/>
      </c>
      <c r="K281" s="58">
        <f>IF($B281="","",(N(Berechnung!L281)+N(Berechnung!Y281))*N(Berechnung!C281))</f>
        <v/>
      </c>
      <c r="L281" s="58">
        <f>IF($B281="","",(N(Berechnung!M281)+N(Berechnung!Z281))*N(Berechnung!C281))</f>
        <v/>
      </c>
      <c r="M281" s="58">
        <f>IF($B281="","",(N(Berechnung!N281)+N(Berechnung!AA281))*N(Berechnung!C281))</f>
        <v/>
      </c>
      <c r="N281" s="58">
        <f>IF($B281="","",(N(Berechnung!O281)+N(Berechnung!AB281))*N(Berechnung!C281))</f>
        <v/>
      </c>
      <c r="O281" s="65">
        <f>IF($B281="","",SUM(C281:N281))</f>
        <v/>
      </c>
      <c r="P281" s="57">
        <f>'KQuote Mitarbeiter'!E281</f>
        <v/>
      </c>
      <c r="Q281" s="66">
        <f>'KQuote Mitarbeiter'!L281</f>
        <v/>
      </c>
      <c r="R281" s="57">
        <f>'KQuote Mitarbeiter'!D281</f>
        <v/>
      </c>
      <c r="S281" s="66">
        <f>'KQuote Mitarbeiter'!K281</f>
        <v/>
      </c>
    </row>
    <row r="282">
      <c r="A282" s="47">
        <f>'KQuote Mitarbeiter'!A282</f>
        <v/>
      </c>
      <c r="B282" s="48">
        <f>'KQuote Mitarbeiter'!B282</f>
        <v/>
      </c>
      <c r="C282" s="58">
        <f>IF($B282="","",(N(Berechnung!D282)+N(Berechnung!Q282))*N(Berechnung!C282))</f>
        <v/>
      </c>
      <c r="D282" s="58">
        <f>IF($B282="","",(N(Berechnung!E282)+N(Berechnung!R282))*N(Berechnung!C282))</f>
        <v/>
      </c>
      <c r="E282" s="58">
        <f>IF($B282="","",(N(Berechnung!F282)+N(Berechnung!S282))*N(Berechnung!C282))</f>
        <v/>
      </c>
      <c r="F282" s="58">
        <f>IF($B282="","",(N(Berechnung!G282)+N(Berechnung!T282))*N(Berechnung!C282))</f>
        <v/>
      </c>
      <c r="G282" s="58">
        <f>IF($B282="","",(N(Berechnung!H282)+N(Berechnung!U282))*N(Berechnung!C282))</f>
        <v/>
      </c>
      <c r="H282" s="58">
        <f>IF($B282="","",(N(Berechnung!I282)+N(Berechnung!V282))*N(Berechnung!C282))</f>
        <v/>
      </c>
      <c r="I282" s="58">
        <f>IF($B282="","",(N(Berechnung!J282)+N(Berechnung!W282))*N(Berechnung!C282))</f>
        <v/>
      </c>
      <c r="J282" s="58">
        <f>IF($B282="","",(N(Berechnung!K282)+N(Berechnung!X282))*N(Berechnung!C282))</f>
        <v/>
      </c>
      <c r="K282" s="58">
        <f>IF($B282="","",(N(Berechnung!L282)+N(Berechnung!Y282))*N(Berechnung!C282))</f>
        <v/>
      </c>
      <c r="L282" s="58">
        <f>IF($B282="","",(N(Berechnung!M282)+N(Berechnung!Z282))*N(Berechnung!C282))</f>
        <v/>
      </c>
      <c r="M282" s="58">
        <f>IF($B282="","",(N(Berechnung!N282)+N(Berechnung!AA282))*N(Berechnung!C282))</f>
        <v/>
      </c>
      <c r="N282" s="58">
        <f>IF($B282="","",(N(Berechnung!O282)+N(Berechnung!AB282))*N(Berechnung!C282))</f>
        <v/>
      </c>
      <c r="O282" s="65">
        <f>IF($B282="","",SUM(C282:N282))</f>
        <v/>
      </c>
      <c r="P282" s="57">
        <f>'KQuote Mitarbeiter'!E282</f>
        <v/>
      </c>
      <c r="Q282" s="66">
        <f>'KQuote Mitarbeiter'!L282</f>
        <v/>
      </c>
      <c r="R282" s="57">
        <f>'KQuote Mitarbeiter'!D282</f>
        <v/>
      </c>
      <c r="S282" s="66">
        <f>'KQuote Mitarbeiter'!K282</f>
        <v/>
      </c>
    </row>
    <row r="283">
      <c r="A283" s="47">
        <f>'KQuote Mitarbeiter'!A283</f>
        <v/>
      </c>
      <c r="B283" s="48">
        <f>'KQuote Mitarbeiter'!B283</f>
        <v/>
      </c>
      <c r="C283" s="58">
        <f>IF($B283="","",(N(Berechnung!D283)+N(Berechnung!Q283))*N(Berechnung!C283))</f>
        <v/>
      </c>
      <c r="D283" s="58">
        <f>IF($B283="","",(N(Berechnung!E283)+N(Berechnung!R283))*N(Berechnung!C283))</f>
        <v/>
      </c>
      <c r="E283" s="58">
        <f>IF($B283="","",(N(Berechnung!F283)+N(Berechnung!S283))*N(Berechnung!C283))</f>
        <v/>
      </c>
      <c r="F283" s="58">
        <f>IF($B283="","",(N(Berechnung!G283)+N(Berechnung!T283))*N(Berechnung!C283))</f>
        <v/>
      </c>
      <c r="G283" s="58">
        <f>IF($B283="","",(N(Berechnung!H283)+N(Berechnung!U283))*N(Berechnung!C283))</f>
        <v/>
      </c>
      <c r="H283" s="58">
        <f>IF($B283="","",(N(Berechnung!I283)+N(Berechnung!V283))*N(Berechnung!C283))</f>
        <v/>
      </c>
      <c r="I283" s="58">
        <f>IF($B283="","",(N(Berechnung!J283)+N(Berechnung!W283))*N(Berechnung!C283))</f>
        <v/>
      </c>
      <c r="J283" s="58">
        <f>IF($B283="","",(N(Berechnung!K283)+N(Berechnung!X283))*N(Berechnung!C283))</f>
        <v/>
      </c>
      <c r="K283" s="58">
        <f>IF($B283="","",(N(Berechnung!L283)+N(Berechnung!Y283))*N(Berechnung!C283))</f>
        <v/>
      </c>
      <c r="L283" s="58">
        <f>IF($B283="","",(N(Berechnung!M283)+N(Berechnung!Z283))*N(Berechnung!C283))</f>
        <v/>
      </c>
      <c r="M283" s="58">
        <f>IF($B283="","",(N(Berechnung!N283)+N(Berechnung!AA283))*N(Berechnung!C283))</f>
        <v/>
      </c>
      <c r="N283" s="58">
        <f>IF($B283="","",(N(Berechnung!O283)+N(Berechnung!AB283))*N(Berechnung!C283))</f>
        <v/>
      </c>
      <c r="O283" s="65">
        <f>IF($B283="","",SUM(C283:N283))</f>
        <v/>
      </c>
      <c r="P283" s="57">
        <f>'KQuote Mitarbeiter'!E283</f>
        <v/>
      </c>
      <c r="Q283" s="66">
        <f>'KQuote Mitarbeiter'!L283</f>
        <v/>
      </c>
      <c r="R283" s="57">
        <f>'KQuote Mitarbeiter'!D283</f>
        <v/>
      </c>
      <c r="S283" s="66">
        <f>'KQuote Mitarbeiter'!K283</f>
        <v/>
      </c>
    </row>
    <row r="284">
      <c r="A284" s="47">
        <f>'KQuote Mitarbeiter'!A284</f>
        <v/>
      </c>
      <c r="B284" s="48">
        <f>'KQuote Mitarbeiter'!B284</f>
        <v/>
      </c>
      <c r="C284" s="58">
        <f>IF($B284="","",(N(Berechnung!D284)+N(Berechnung!Q284))*N(Berechnung!C284))</f>
        <v/>
      </c>
      <c r="D284" s="58">
        <f>IF($B284="","",(N(Berechnung!E284)+N(Berechnung!R284))*N(Berechnung!C284))</f>
        <v/>
      </c>
      <c r="E284" s="58">
        <f>IF($B284="","",(N(Berechnung!F284)+N(Berechnung!S284))*N(Berechnung!C284))</f>
        <v/>
      </c>
      <c r="F284" s="58">
        <f>IF($B284="","",(N(Berechnung!G284)+N(Berechnung!T284))*N(Berechnung!C284))</f>
        <v/>
      </c>
      <c r="G284" s="58">
        <f>IF($B284="","",(N(Berechnung!H284)+N(Berechnung!U284))*N(Berechnung!C284))</f>
        <v/>
      </c>
      <c r="H284" s="58">
        <f>IF($B284="","",(N(Berechnung!I284)+N(Berechnung!V284))*N(Berechnung!C284))</f>
        <v/>
      </c>
      <c r="I284" s="58">
        <f>IF($B284="","",(N(Berechnung!J284)+N(Berechnung!W284))*N(Berechnung!C284))</f>
        <v/>
      </c>
      <c r="J284" s="58">
        <f>IF($B284="","",(N(Berechnung!K284)+N(Berechnung!X284))*N(Berechnung!C284))</f>
        <v/>
      </c>
      <c r="K284" s="58">
        <f>IF($B284="","",(N(Berechnung!L284)+N(Berechnung!Y284))*N(Berechnung!C284))</f>
        <v/>
      </c>
      <c r="L284" s="58">
        <f>IF($B284="","",(N(Berechnung!M284)+N(Berechnung!Z284))*N(Berechnung!C284))</f>
        <v/>
      </c>
      <c r="M284" s="58">
        <f>IF($B284="","",(N(Berechnung!N284)+N(Berechnung!AA284))*N(Berechnung!C284))</f>
        <v/>
      </c>
      <c r="N284" s="58">
        <f>IF($B284="","",(N(Berechnung!O284)+N(Berechnung!AB284))*N(Berechnung!C284))</f>
        <v/>
      </c>
      <c r="O284" s="65">
        <f>IF($B284="","",SUM(C284:N284))</f>
        <v/>
      </c>
      <c r="P284" s="57">
        <f>'KQuote Mitarbeiter'!E284</f>
        <v/>
      </c>
      <c r="Q284" s="66">
        <f>'KQuote Mitarbeiter'!L284</f>
        <v/>
      </c>
      <c r="R284" s="57">
        <f>'KQuote Mitarbeiter'!D284</f>
        <v/>
      </c>
      <c r="S284" s="66">
        <f>'KQuote Mitarbeiter'!K284</f>
        <v/>
      </c>
    </row>
    <row r="285">
      <c r="A285" s="47">
        <f>'KQuote Mitarbeiter'!A285</f>
        <v/>
      </c>
      <c r="B285" s="48">
        <f>'KQuote Mitarbeiter'!B285</f>
        <v/>
      </c>
      <c r="C285" s="58">
        <f>IF($B285="","",(N(Berechnung!D285)+N(Berechnung!Q285))*N(Berechnung!C285))</f>
        <v/>
      </c>
      <c r="D285" s="58">
        <f>IF($B285="","",(N(Berechnung!E285)+N(Berechnung!R285))*N(Berechnung!C285))</f>
        <v/>
      </c>
      <c r="E285" s="58">
        <f>IF($B285="","",(N(Berechnung!F285)+N(Berechnung!S285))*N(Berechnung!C285))</f>
        <v/>
      </c>
      <c r="F285" s="58">
        <f>IF($B285="","",(N(Berechnung!G285)+N(Berechnung!T285))*N(Berechnung!C285))</f>
        <v/>
      </c>
      <c r="G285" s="58">
        <f>IF($B285="","",(N(Berechnung!H285)+N(Berechnung!U285))*N(Berechnung!C285))</f>
        <v/>
      </c>
      <c r="H285" s="58">
        <f>IF($B285="","",(N(Berechnung!I285)+N(Berechnung!V285))*N(Berechnung!C285))</f>
        <v/>
      </c>
      <c r="I285" s="58">
        <f>IF($B285="","",(N(Berechnung!J285)+N(Berechnung!W285))*N(Berechnung!C285))</f>
        <v/>
      </c>
      <c r="J285" s="58">
        <f>IF($B285="","",(N(Berechnung!K285)+N(Berechnung!X285))*N(Berechnung!C285))</f>
        <v/>
      </c>
      <c r="K285" s="58">
        <f>IF($B285="","",(N(Berechnung!L285)+N(Berechnung!Y285))*N(Berechnung!C285))</f>
        <v/>
      </c>
      <c r="L285" s="58">
        <f>IF($B285="","",(N(Berechnung!M285)+N(Berechnung!Z285))*N(Berechnung!C285))</f>
        <v/>
      </c>
      <c r="M285" s="58">
        <f>IF($B285="","",(N(Berechnung!N285)+N(Berechnung!AA285))*N(Berechnung!C285))</f>
        <v/>
      </c>
      <c r="N285" s="58">
        <f>IF($B285="","",(N(Berechnung!O285)+N(Berechnung!AB285))*N(Berechnung!C285))</f>
        <v/>
      </c>
      <c r="O285" s="65">
        <f>IF($B285="","",SUM(C285:N285))</f>
        <v/>
      </c>
      <c r="P285" s="57">
        <f>'KQuote Mitarbeiter'!E285</f>
        <v/>
      </c>
      <c r="Q285" s="66">
        <f>'KQuote Mitarbeiter'!L285</f>
        <v/>
      </c>
      <c r="R285" s="57">
        <f>'KQuote Mitarbeiter'!D285</f>
        <v/>
      </c>
      <c r="S285" s="66">
        <f>'KQuote Mitarbeiter'!K285</f>
        <v/>
      </c>
    </row>
    <row r="286">
      <c r="A286" s="47">
        <f>'KQuote Mitarbeiter'!A286</f>
        <v/>
      </c>
      <c r="B286" s="48">
        <f>'KQuote Mitarbeiter'!B286</f>
        <v/>
      </c>
      <c r="C286" s="58">
        <f>IF($B286="","",(N(Berechnung!D286)+N(Berechnung!Q286))*N(Berechnung!C286))</f>
        <v/>
      </c>
      <c r="D286" s="58">
        <f>IF($B286="","",(N(Berechnung!E286)+N(Berechnung!R286))*N(Berechnung!C286))</f>
        <v/>
      </c>
      <c r="E286" s="58">
        <f>IF($B286="","",(N(Berechnung!F286)+N(Berechnung!S286))*N(Berechnung!C286))</f>
        <v/>
      </c>
      <c r="F286" s="58">
        <f>IF($B286="","",(N(Berechnung!G286)+N(Berechnung!T286))*N(Berechnung!C286))</f>
        <v/>
      </c>
      <c r="G286" s="58">
        <f>IF($B286="","",(N(Berechnung!H286)+N(Berechnung!U286))*N(Berechnung!C286))</f>
        <v/>
      </c>
      <c r="H286" s="58">
        <f>IF($B286="","",(N(Berechnung!I286)+N(Berechnung!V286))*N(Berechnung!C286))</f>
        <v/>
      </c>
      <c r="I286" s="58">
        <f>IF($B286="","",(N(Berechnung!J286)+N(Berechnung!W286))*N(Berechnung!C286))</f>
        <v/>
      </c>
      <c r="J286" s="58">
        <f>IF($B286="","",(N(Berechnung!K286)+N(Berechnung!X286))*N(Berechnung!C286))</f>
        <v/>
      </c>
      <c r="K286" s="58">
        <f>IF($B286="","",(N(Berechnung!L286)+N(Berechnung!Y286))*N(Berechnung!C286))</f>
        <v/>
      </c>
      <c r="L286" s="58">
        <f>IF($B286="","",(N(Berechnung!M286)+N(Berechnung!Z286))*N(Berechnung!C286))</f>
        <v/>
      </c>
      <c r="M286" s="58">
        <f>IF($B286="","",(N(Berechnung!N286)+N(Berechnung!AA286))*N(Berechnung!C286))</f>
        <v/>
      </c>
      <c r="N286" s="58">
        <f>IF($B286="","",(N(Berechnung!O286)+N(Berechnung!AB286))*N(Berechnung!C286))</f>
        <v/>
      </c>
      <c r="O286" s="65">
        <f>IF($B286="","",SUM(C286:N286))</f>
        <v/>
      </c>
      <c r="P286" s="57">
        <f>'KQuote Mitarbeiter'!E286</f>
        <v/>
      </c>
      <c r="Q286" s="66">
        <f>'KQuote Mitarbeiter'!L286</f>
        <v/>
      </c>
      <c r="R286" s="57">
        <f>'KQuote Mitarbeiter'!D286</f>
        <v/>
      </c>
      <c r="S286" s="66">
        <f>'KQuote Mitarbeiter'!K286</f>
        <v/>
      </c>
    </row>
    <row r="287">
      <c r="A287" s="47">
        <f>'KQuote Mitarbeiter'!A287</f>
        <v/>
      </c>
      <c r="B287" s="48">
        <f>'KQuote Mitarbeiter'!B287</f>
        <v/>
      </c>
      <c r="C287" s="58">
        <f>IF($B287="","",(N(Berechnung!D287)+N(Berechnung!Q287))*N(Berechnung!C287))</f>
        <v/>
      </c>
      <c r="D287" s="58">
        <f>IF($B287="","",(N(Berechnung!E287)+N(Berechnung!R287))*N(Berechnung!C287))</f>
        <v/>
      </c>
      <c r="E287" s="58">
        <f>IF($B287="","",(N(Berechnung!F287)+N(Berechnung!S287))*N(Berechnung!C287))</f>
        <v/>
      </c>
      <c r="F287" s="58">
        <f>IF($B287="","",(N(Berechnung!G287)+N(Berechnung!T287))*N(Berechnung!C287))</f>
        <v/>
      </c>
      <c r="G287" s="58">
        <f>IF($B287="","",(N(Berechnung!H287)+N(Berechnung!U287))*N(Berechnung!C287))</f>
        <v/>
      </c>
      <c r="H287" s="58">
        <f>IF($B287="","",(N(Berechnung!I287)+N(Berechnung!V287))*N(Berechnung!C287))</f>
        <v/>
      </c>
      <c r="I287" s="58">
        <f>IF($B287="","",(N(Berechnung!J287)+N(Berechnung!W287))*N(Berechnung!C287))</f>
        <v/>
      </c>
      <c r="J287" s="58">
        <f>IF($B287="","",(N(Berechnung!K287)+N(Berechnung!X287))*N(Berechnung!C287))</f>
        <v/>
      </c>
      <c r="K287" s="58">
        <f>IF($B287="","",(N(Berechnung!L287)+N(Berechnung!Y287))*N(Berechnung!C287))</f>
        <v/>
      </c>
      <c r="L287" s="58">
        <f>IF($B287="","",(N(Berechnung!M287)+N(Berechnung!Z287))*N(Berechnung!C287))</f>
        <v/>
      </c>
      <c r="M287" s="58">
        <f>IF($B287="","",(N(Berechnung!N287)+N(Berechnung!AA287))*N(Berechnung!C287))</f>
        <v/>
      </c>
      <c r="N287" s="58">
        <f>IF($B287="","",(N(Berechnung!O287)+N(Berechnung!AB287))*N(Berechnung!C287))</f>
        <v/>
      </c>
      <c r="O287" s="65">
        <f>IF($B287="","",SUM(C287:N287))</f>
        <v/>
      </c>
      <c r="P287" s="57">
        <f>'KQuote Mitarbeiter'!E287</f>
        <v/>
      </c>
      <c r="Q287" s="66">
        <f>'KQuote Mitarbeiter'!L287</f>
        <v/>
      </c>
      <c r="R287" s="57">
        <f>'KQuote Mitarbeiter'!D287</f>
        <v/>
      </c>
      <c r="S287" s="66">
        <f>'KQuote Mitarbeiter'!K287</f>
        <v/>
      </c>
    </row>
    <row r="288">
      <c r="A288" s="47">
        <f>'KQuote Mitarbeiter'!A288</f>
        <v/>
      </c>
      <c r="B288" s="48">
        <f>'KQuote Mitarbeiter'!B288</f>
        <v/>
      </c>
      <c r="C288" s="58">
        <f>IF($B288="","",(N(Berechnung!D288)+N(Berechnung!Q288))*N(Berechnung!C288))</f>
        <v/>
      </c>
      <c r="D288" s="58">
        <f>IF($B288="","",(N(Berechnung!E288)+N(Berechnung!R288))*N(Berechnung!C288))</f>
        <v/>
      </c>
      <c r="E288" s="58">
        <f>IF($B288="","",(N(Berechnung!F288)+N(Berechnung!S288))*N(Berechnung!C288))</f>
        <v/>
      </c>
      <c r="F288" s="58">
        <f>IF($B288="","",(N(Berechnung!G288)+N(Berechnung!T288))*N(Berechnung!C288))</f>
        <v/>
      </c>
      <c r="G288" s="58">
        <f>IF($B288="","",(N(Berechnung!H288)+N(Berechnung!U288))*N(Berechnung!C288))</f>
        <v/>
      </c>
      <c r="H288" s="58">
        <f>IF($B288="","",(N(Berechnung!I288)+N(Berechnung!V288))*N(Berechnung!C288))</f>
        <v/>
      </c>
      <c r="I288" s="58">
        <f>IF($B288="","",(N(Berechnung!J288)+N(Berechnung!W288))*N(Berechnung!C288))</f>
        <v/>
      </c>
      <c r="J288" s="58">
        <f>IF($B288="","",(N(Berechnung!K288)+N(Berechnung!X288))*N(Berechnung!C288))</f>
        <v/>
      </c>
      <c r="K288" s="58">
        <f>IF($B288="","",(N(Berechnung!L288)+N(Berechnung!Y288))*N(Berechnung!C288))</f>
        <v/>
      </c>
      <c r="L288" s="58">
        <f>IF($B288="","",(N(Berechnung!M288)+N(Berechnung!Z288))*N(Berechnung!C288))</f>
        <v/>
      </c>
      <c r="M288" s="58">
        <f>IF($B288="","",(N(Berechnung!N288)+N(Berechnung!AA288))*N(Berechnung!C288))</f>
        <v/>
      </c>
      <c r="N288" s="58">
        <f>IF($B288="","",(N(Berechnung!O288)+N(Berechnung!AB288))*N(Berechnung!C288))</f>
        <v/>
      </c>
      <c r="O288" s="65">
        <f>IF($B288="","",SUM(C288:N288))</f>
        <v/>
      </c>
      <c r="P288" s="57">
        <f>'KQuote Mitarbeiter'!E288</f>
        <v/>
      </c>
      <c r="Q288" s="66">
        <f>'KQuote Mitarbeiter'!L288</f>
        <v/>
      </c>
      <c r="R288" s="57">
        <f>'KQuote Mitarbeiter'!D288</f>
        <v/>
      </c>
      <c r="S288" s="66">
        <f>'KQuote Mitarbeiter'!K288</f>
        <v/>
      </c>
    </row>
    <row r="289">
      <c r="A289" s="47">
        <f>'KQuote Mitarbeiter'!A289</f>
        <v/>
      </c>
      <c r="B289" s="48">
        <f>'KQuote Mitarbeiter'!B289</f>
        <v/>
      </c>
      <c r="C289" s="58">
        <f>IF($B289="","",(N(Berechnung!D289)+N(Berechnung!Q289))*N(Berechnung!C289))</f>
        <v/>
      </c>
      <c r="D289" s="58">
        <f>IF($B289="","",(N(Berechnung!E289)+N(Berechnung!R289))*N(Berechnung!C289))</f>
        <v/>
      </c>
      <c r="E289" s="58">
        <f>IF($B289="","",(N(Berechnung!F289)+N(Berechnung!S289))*N(Berechnung!C289))</f>
        <v/>
      </c>
      <c r="F289" s="58">
        <f>IF($B289="","",(N(Berechnung!G289)+N(Berechnung!T289))*N(Berechnung!C289))</f>
        <v/>
      </c>
      <c r="G289" s="58">
        <f>IF($B289="","",(N(Berechnung!H289)+N(Berechnung!U289))*N(Berechnung!C289))</f>
        <v/>
      </c>
      <c r="H289" s="58">
        <f>IF($B289="","",(N(Berechnung!I289)+N(Berechnung!V289))*N(Berechnung!C289))</f>
        <v/>
      </c>
      <c r="I289" s="58">
        <f>IF($B289="","",(N(Berechnung!J289)+N(Berechnung!W289))*N(Berechnung!C289))</f>
        <v/>
      </c>
      <c r="J289" s="58">
        <f>IF($B289="","",(N(Berechnung!K289)+N(Berechnung!X289))*N(Berechnung!C289))</f>
        <v/>
      </c>
      <c r="K289" s="58">
        <f>IF($B289="","",(N(Berechnung!L289)+N(Berechnung!Y289))*N(Berechnung!C289))</f>
        <v/>
      </c>
      <c r="L289" s="58">
        <f>IF($B289="","",(N(Berechnung!M289)+N(Berechnung!Z289))*N(Berechnung!C289))</f>
        <v/>
      </c>
      <c r="M289" s="58">
        <f>IF($B289="","",(N(Berechnung!N289)+N(Berechnung!AA289))*N(Berechnung!C289))</f>
        <v/>
      </c>
      <c r="N289" s="58">
        <f>IF($B289="","",(N(Berechnung!O289)+N(Berechnung!AB289))*N(Berechnung!C289))</f>
        <v/>
      </c>
      <c r="O289" s="65">
        <f>IF($B289="","",SUM(C289:N289))</f>
        <v/>
      </c>
      <c r="P289" s="57">
        <f>'KQuote Mitarbeiter'!E289</f>
        <v/>
      </c>
      <c r="Q289" s="66">
        <f>'KQuote Mitarbeiter'!L289</f>
        <v/>
      </c>
      <c r="R289" s="57">
        <f>'KQuote Mitarbeiter'!D289</f>
        <v/>
      </c>
      <c r="S289" s="66">
        <f>'KQuote Mitarbeiter'!K289</f>
        <v/>
      </c>
    </row>
    <row r="290">
      <c r="A290" s="47">
        <f>'KQuote Mitarbeiter'!A290</f>
        <v/>
      </c>
      <c r="B290" s="48">
        <f>'KQuote Mitarbeiter'!B290</f>
        <v/>
      </c>
      <c r="C290" s="58">
        <f>IF($B290="","",(N(Berechnung!D290)+N(Berechnung!Q290))*N(Berechnung!C290))</f>
        <v/>
      </c>
      <c r="D290" s="58">
        <f>IF($B290="","",(N(Berechnung!E290)+N(Berechnung!R290))*N(Berechnung!C290))</f>
        <v/>
      </c>
      <c r="E290" s="58">
        <f>IF($B290="","",(N(Berechnung!F290)+N(Berechnung!S290))*N(Berechnung!C290))</f>
        <v/>
      </c>
      <c r="F290" s="58">
        <f>IF($B290="","",(N(Berechnung!G290)+N(Berechnung!T290))*N(Berechnung!C290))</f>
        <v/>
      </c>
      <c r="G290" s="58">
        <f>IF($B290="","",(N(Berechnung!H290)+N(Berechnung!U290))*N(Berechnung!C290))</f>
        <v/>
      </c>
      <c r="H290" s="58">
        <f>IF($B290="","",(N(Berechnung!I290)+N(Berechnung!V290))*N(Berechnung!C290))</f>
        <v/>
      </c>
      <c r="I290" s="58">
        <f>IF($B290="","",(N(Berechnung!J290)+N(Berechnung!W290))*N(Berechnung!C290))</f>
        <v/>
      </c>
      <c r="J290" s="58">
        <f>IF($B290="","",(N(Berechnung!K290)+N(Berechnung!X290))*N(Berechnung!C290))</f>
        <v/>
      </c>
      <c r="K290" s="58">
        <f>IF($B290="","",(N(Berechnung!L290)+N(Berechnung!Y290))*N(Berechnung!C290))</f>
        <v/>
      </c>
      <c r="L290" s="58">
        <f>IF($B290="","",(N(Berechnung!M290)+N(Berechnung!Z290))*N(Berechnung!C290))</f>
        <v/>
      </c>
      <c r="M290" s="58">
        <f>IF($B290="","",(N(Berechnung!N290)+N(Berechnung!AA290))*N(Berechnung!C290))</f>
        <v/>
      </c>
      <c r="N290" s="58">
        <f>IF($B290="","",(N(Berechnung!O290)+N(Berechnung!AB290))*N(Berechnung!C290))</f>
        <v/>
      </c>
      <c r="O290" s="65">
        <f>IF($B290="","",SUM(C290:N290))</f>
        <v/>
      </c>
      <c r="P290" s="57">
        <f>'KQuote Mitarbeiter'!E290</f>
        <v/>
      </c>
      <c r="Q290" s="66">
        <f>'KQuote Mitarbeiter'!L290</f>
        <v/>
      </c>
      <c r="R290" s="57">
        <f>'KQuote Mitarbeiter'!D290</f>
        <v/>
      </c>
      <c r="S290" s="66">
        <f>'KQuote Mitarbeiter'!K290</f>
        <v/>
      </c>
    </row>
    <row r="291">
      <c r="A291" s="47">
        <f>'KQuote Mitarbeiter'!A291</f>
        <v/>
      </c>
      <c r="B291" s="48">
        <f>'KQuote Mitarbeiter'!B291</f>
        <v/>
      </c>
      <c r="C291" s="58">
        <f>IF($B291="","",(N(Berechnung!D291)+N(Berechnung!Q291))*N(Berechnung!C291))</f>
        <v/>
      </c>
      <c r="D291" s="58">
        <f>IF($B291="","",(N(Berechnung!E291)+N(Berechnung!R291))*N(Berechnung!C291))</f>
        <v/>
      </c>
      <c r="E291" s="58">
        <f>IF($B291="","",(N(Berechnung!F291)+N(Berechnung!S291))*N(Berechnung!C291))</f>
        <v/>
      </c>
      <c r="F291" s="58">
        <f>IF($B291="","",(N(Berechnung!G291)+N(Berechnung!T291))*N(Berechnung!C291))</f>
        <v/>
      </c>
      <c r="G291" s="58">
        <f>IF($B291="","",(N(Berechnung!H291)+N(Berechnung!U291))*N(Berechnung!C291))</f>
        <v/>
      </c>
      <c r="H291" s="58">
        <f>IF($B291="","",(N(Berechnung!I291)+N(Berechnung!V291))*N(Berechnung!C291))</f>
        <v/>
      </c>
      <c r="I291" s="58">
        <f>IF($B291="","",(N(Berechnung!J291)+N(Berechnung!W291))*N(Berechnung!C291))</f>
        <v/>
      </c>
      <c r="J291" s="58">
        <f>IF($B291="","",(N(Berechnung!K291)+N(Berechnung!X291))*N(Berechnung!C291))</f>
        <v/>
      </c>
      <c r="K291" s="58">
        <f>IF($B291="","",(N(Berechnung!L291)+N(Berechnung!Y291))*N(Berechnung!C291))</f>
        <v/>
      </c>
      <c r="L291" s="58">
        <f>IF($B291="","",(N(Berechnung!M291)+N(Berechnung!Z291))*N(Berechnung!C291))</f>
        <v/>
      </c>
      <c r="M291" s="58">
        <f>IF($B291="","",(N(Berechnung!N291)+N(Berechnung!AA291))*N(Berechnung!C291))</f>
        <v/>
      </c>
      <c r="N291" s="58">
        <f>IF($B291="","",(N(Berechnung!O291)+N(Berechnung!AB291))*N(Berechnung!C291))</f>
        <v/>
      </c>
      <c r="O291" s="65">
        <f>IF($B291="","",SUM(C291:N291))</f>
        <v/>
      </c>
      <c r="P291" s="57">
        <f>'KQuote Mitarbeiter'!E291</f>
        <v/>
      </c>
      <c r="Q291" s="66">
        <f>'KQuote Mitarbeiter'!L291</f>
        <v/>
      </c>
      <c r="R291" s="57">
        <f>'KQuote Mitarbeiter'!D291</f>
        <v/>
      </c>
      <c r="S291" s="66">
        <f>'KQuote Mitarbeiter'!K291</f>
        <v/>
      </c>
    </row>
    <row r="292">
      <c r="A292" s="47">
        <f>'KQuote Mitarbeiter'!A292</f>
        <v/>
      </c>
      <c r="B292" s="48">
        <f>'KQuote Mitarbeiter'!B292</f>
        <v/>
      </c>
      <c r="C292" s="58">
        <f>IF($B292="","",(N(Berechnung!D292)+N(Berechnung!Q292))*N(Berechnung!C292))</f>
        <v/>
      </c>
      <c r="D292" s="58">
        <f>IF($B292="","",(N(Berechnung!E292)+N(Berechnung!R292))*N(Berechnung!C292))</f>
        <v/>
      </c>
      <c r="E292" s="58">
        <f>IF($B292="","",(N(Berechnung!F292)+N(Berechnung!S292))*N(Berechnung!C292))</f>
        <v/>
      </c>
      <c r="F292" s="58">
        <f>IF($B292="","",(N(Berechnung!G292)+N(Berechnung!T292))*N(Berechnung!C292))</f>
        <v/>
      </c>
      <c r="G292" s="58">
        <f>IF($B292="","",(N(Berechnung!H292)+N(Berechnung!U292))*N(Berechnung!C292))</f>
        <v/>
      </c>
      <c r="H292" s="58">
        <f>IF($B292="","",(N(Berechnung!I292)+N(Berechnung!V292))*N(Berechnung!C292))</f>
        <v/>
      </c>
      <c r="I292" s="58">
        <f>IF($B292="","",(N(Berechnung!J292)+N(Berechnung!W292))*N(Berechnung!C292))</f>
        <v/>
      </c>
      <c r="J292" s="58">
        <f>IF($B292="","",(N(Berechnung!K292)+N(Berechnung!X292))*N(Berechnung!C292))</f>
        <v/>
      </c>
      <c r="K292" s="58">
        <f>IF($B292="","",(N(Berechnung!L292)+N(Berechnung!Y292))*N(Berechnung!C292))</f>
        <v/>
      </c>
      <c r="L292" s="58">
        <f>IF($B292="","",(N(Berechnung!M292)+N(Berechnung!Z292))*N(Berechnung!C292))</f>
        <v/>
      </c>
      <c r="M292" s="58">
        <f>IF($B292="","",(N(Berechnung!N292)+N(Berechnung!AA292))*N(Berechnung!C292))</f>
        <v/>
      </c>
      <c r="N292" s="58">
        <f>IF($B292="","",(N(Berechnung!O292)+N(Berechnung!AB292))*N(Berechnung!C292))</f>
        <v/>
      </c>
      <c r="O292" s="65">
        <f>IF($B292="","",SUM(C292:N292))</f>
        <v/>
      </c>
      <c r="P292" s="57">
        <f>'KQuote Mitarbeiter'!E292</f>
        <v/>
      </c>
      <c r="Q292" s="66">
        <f>'KQuote Mitarbeiter'!L292</f>
        <v/>
      </c>
      <c r="R292" s="57">
        <f>'KQuote Mitarbeiter'!D292</f>
        <v/>
      </c>
      <c r="S292" s="66">
        <f>'KQuote Mitarbeiter'!K292</f>
        <v/>
      </c>
    </row>
    <row r="293">
      <c r="A293" s="47">
        <f>'KQuote Mitarbeiter'!A293</f>
        <v/>
      </c>
      <c r="B293" s="48">
        <f>'KQuote Mitarbeiter'!B293</f>
        <v/>
      </c>
      <c r="C293" s="58">
        <f>IF($B293="","",(N(Berechnung!D293)+N(Berechnung!Q293))*N(Berechnung!C293))</f>
        <v/>
      </c>
      <c r="D293" s="58">
        <f>IF($B293="","",(N(Berechnung!E293)+N(Berechnung!R293))*N(Berechnung!C293))</f>
        <v/>
      </c>
      <c r="E293" s="58">
        <f>IF($B293="","",(N(Berechnung!F293)+N(Berechnung!S293))*N(Berechnung!C293))</f>
        <v/>
      </c>
      <c r="F293" s="58">
        <f>IF($B293="","",(N(Berechnung!G293)+N(Berechnung!T293))*N(Berechnung!C293))</f>
        <v/>
      </c>
      <c r="G293" s="58">
        <f>IF($B293="","",(N(Berechnung!H293)+N(Berechnung!U293))*N(Berechnung!C293))</f>
        <v/>
      </c>
      <c r="H293" s="58">
        <f>IF($B293="","",(N(Berechnung!I293)+N(Berechnung!V293))*N(Berechnung!C293))</f>
        <v/>
      </c>
      <c r="I293" s="58">
        <f>IF($B293="","",(N(Berechnung!J293)+N(Berechnung!W293))*N(Berechnung!C293))</f>
        <v/>
      </c>
      <c r="J293" s="58">
        <f>IF($B293="","",(N(Berechnung!K293)+N(Berechnung!X293))*N(Berechnung!C293))</f>
        <v/>
      </c>
      <c r="K293" s="58">
        <f>IF($B293="","",(N(Berechnung!L293)+N(Berechnung!Y293))*N(Berechnung!C293))</f>
        <v/>
      </c>
      <c r="L293" s="58">
        <f>IF($B293="","",(N(Berechnung!M293)+N(Berechnung!Z293))*N(Berechnung!C293))</f>
        <v/>
      </c>
      <c r="M293" s="58">
        <f>IF($B293="","",(N(Berechnung!N293)+N(Berechnung!AA293))*N(Berechnung!C293))</f>
        <v/>
      </c>
      <c r="N293" s="58">
        <f>IF($B293="","",(N(Berechnung!O293)+N(Berechnung!AB293))*N(Berechnung!C293))</f>
        <v/>
      </c>
      <c r="O293" s="65">
        <f>IF($B293="","",SUM(C293:N293))</f>
        <v/>
      </c>
      <c r="P293" s="57">
        <f>'KQuote Mitarbeiter'!E293</f>
        <v/>
      </c>
      <c r="Q293" s="66">
        <f>'KQuote Mitarbeiter'!L293</f>
        <v/>
      </c>
      <c r="R293" s="57">
        <f>'KQuote Mitarbeiter'!D293</f>
        <v/>
      </c>
      <c r="S293" s="66">
        <f>'KQuote Mitarbeiter'!K293</f>
        <v/>
      </c>
    </row>
    <row r="294">
      <c r="A294" s="47">
        <f>'KQuote Mitarbeiter'!A294</f>
        <v/>
      </c>
      <c r="B294" s="48">
        <f>'KQuote Mitarbeiter'!B294</f>
        <v/>
      </c>
      <c r="C294" s="58">
        <f>IF($B294="","",(N(Berechnung!D294)+N(Berechnung!Q294))*N(Berechnung!C294))</f>
        <v/>
      </c>
      <c r="D294" s="58">
        <f>IF($B294="","",(N(Berechnung!E294)+N(Berechnung!R294))*N(Berechnung!C294))</f>
        <v/>
      </c>
      <c r="E294" s="58">
        <f>IF($B294="","",(N(Berechnung!F294)+N(Berechnung!S294))*N(Berechnung!C294))</f>
        <v/>
      </c>
      <c r="F294" s="58">
        <f>IF($B294="","",(N(Berechnung!G294)+N(Berechnung!T294))*N(Berechnung!C294))</f>
        <v/>
      </c>
      <c r="G294" s="58">
        <f>IF($B294="","",(N(Berechnung!H294)+N(Berechnung!U294))*N(Berechnung!C294))</f>
        <v/>
      </c>
      <c r="H294" s="58">
        <f>IF($B294="","",(N(Berechnung!I294)+N(Berechnung!V294))*N(Berechnung!C294))</f>
        <v/>
      </c>
      <c r="I294" s="58">
        <f>IF($B294="","",(N(Berechnung!J294)+N(Berechnung!W294))*N(Berechnung!C294))</f>
        <v/>
      </c>
      <c r="J294" s="58">
        <f>IF($B294="","",(N(Berechnung!K294)+N(Berechnung!X294))*N(Berechnung!C294))</f>
        <v/>
      </c>
      <c r="K294" s="58">
        <f>IF($B294="","",(N(Berechnung!L294)+N(Berechnung!Y294))*N(Berechnung!C294))</f>
        <v/>
      </c>
      <c r="L294" s="58">
        <f>IF($B294="","",(N(Berechnung!M294)+N(Berechnung!Z294))*N(Berechnung!C294))</f>
        <v/>
      </c>
      <c r="M294" s="58">
        <f>IF($B294="","",(N(Berechnung!N294)+N(Berechnung!AA294))*N(Berechnung!C294))</f>
        <v/>
      </c>
      <c r="N294" s="58">
        <f>IF($B294="","",(N(Berechnung!O294)+N(Berechnung!AB294))*N(Berechnung!C294))</f>
        <v/>
      </c>
      <c r="O294" s="65">
        <f>IF($B294="","",SUM(C294:N294))</f>
        <v/>
      </c>
      <c r="P294" s="57">
        <f>'KQuote Mitarbeiter'!E294</f>
        <v/>
      </c>
      <c r="Q294" s="66">
        <f>'KQuote Mitarbeiter'!L294</f>
        <v/>
      </c>
      <c r="R294" s="57">
        <f>'KQuote Mitarbeiter'!D294</f>
        <v/>
      </c>
      <c r="S294" s="66">
        <f>'KQuote Mitarbeiter'!K294</f>
        <v/>
      </c>
    </row>
    <row r="295">
      <c r="A295" s="47">
        <f>'KQuote Mitarbeiter'!A295</f>
        <v/>
      </c>
      <c r="B295" s="48">
        <f>'KQuote Mitarbeiter'!B295</f>
        <v/>
      </c>
      <c r="C295" s="58">
        <f>IF($B295="","",(N(Berechnung!D295)+N(Berechnung!Q295))*N(Berechnung!C295))</f>
        <v/>
      </c>
      <c r="D295" s="58">
        <f>IF($B295="","",(N(Berechnung!E295)+N(Berechnung!R295))*N(Berechnung!C295))</f>
        <v/>
      </c>
      <c r="E295" s="58">
        <f>IF($B295="","",(N(Berechnung!F295)+N(Berechnung!S295))*N(Berechnung!C295))</f>
        <v/>
      </c>
      <c r="F295" s="58">
        <f>IF($B295="","",(N(Berechnung!G295)+N(Berechnung!T295))*N(Berechnung!C295))</f>
        <v/>
      </c>
      <c r="G295" s="58">
        <f>IF($B295="","",(N(Berechnung!H295)+N(Berechnung!U295))*N(Berechnung!C295))</f>
        <v/>
      </c>
      <c r="H295" s="58">
        <f>IF($B295="","",(N(Berechnung!I295)+N(Berechnung!V295))*N(Berechnung!C295))</f>
        <v/>
      </c>
      <c r="I295" s="58">
        <f>IF($B295="","",(N(Berechnung!J295)+N(Berechnung!W295))*N(Berechnung!C295))</f>
        <v/>
      </c>
      <c r="J295" s="58">
        <f>IF($B295="","",(N(Berechnung!K295)+N(Berechnung!X295))*N(Berechnung!C295))</f>
        <v/>
      </c>
      <c r="K295" s="58">
        <f>IF($B295="","",(N(Berechnung!L295)+N(Berechnung!Y295))*N(Berechnung!C295))</f>
        <v/>
      </c>
      <c r="L295" s="58">
        <f>IF($B295="","",(N(Berechnung!M295)+N(Berechnung!Z295))*N(Berechnung!C295))</f>
        <v/>
      </c>
      <c r="M295" s="58">
        <f>IF($B295="","",(N(Berechnung!N295)+N(Berechnung!AA295))*N(Berechnung!C295))</f>
        <v/>
      </c>
      <c r="N295" s="58">
        <f>IF($B295="","",(N(Berechnung!O295)+N(Berechnung!AB295))*N(Berechnung!C295))</f>
        <v/>
      </c>
      <c r="O295" s="65">
        <f>IF($B295="","",SUM(C295:N295))</f>
        <v/>
      </c>
      <c r="P295" s="57">
        <f>'KQuote Mitarbeiter'!E295</f>
        <v/>
      </c>
      <c r="Q295" s="66">
        <f>'KQuote Mitarbeiter'!L295</f>
        <v/>
      </c>
      <c r="R295" s="57">
        <f>'KQuote Mitarbeiter'!D295</f>
        <v/>
      </c>
      <c r="S295" s="66">
        <f>'KQuote Mitarbeiter'!K295</f>
        <v/>
      </c>
    </row>
    <row r="296">
      <c r="A296" s="47">
        <f>'KQuote Mitarbeiter'!A296</f>
        <v/>
      </c>
      <c r="B296" s="48">
        <f>'KQuote Mitarbeiter'!B296</f>
        <v/>
      </c>
      <c r="C296" s="58">
        <f>IF($B296="","",(N(Berechnung!D296)+N(Berechnung!Q296))*N(Berechnung!C296))</f>
        <v/>
      </c>
      <c r="D296" s="58">
        <f>IF($B296="","",(N(Berechnung!E296)+N(Berechnung!R296))*N(Berechnung!C296))</f>
        <v/>
      </c>
      <c r="E296" s="58">
        <f>IF($B296="","",(N(Berechnung!F296)+N(Berechnung!S296))*N(Berechnung!C296))</f>
        <v/>
      </c>
      <c r="F296" s="58">
        <f>IF($B296="","",(N(Berechnung!G296)+N(Berechnung!T296))*N(Berechnung!C296))</f>
        <v/>
      </c>
      <c r="G296" s="58">
        <f>IF($B296="","",(N(Berechnung!H296)+N(Berechnung!U296))*N(Berechnung!C296))</f>
        <v/>
      </c>
      <c r="H296" s="58">
        <f>IF($B296="","",(N(Berechnung!I296)+N(Berechnung!V296))*N(Berechnung!C296))</f>
        <v/>
      </c>
      <c r="I296" s="58">
        <f>IF($B296="","",(N(Berechnung!J296)+N(Berechnung!W296))*N(Berechnung!C296))</f>
        <v/>
      </c>
      <c r="J296" s="58">
        <f>IF($B296="","",(N(Berechnung!K296)+N(Berechnung!X296))*N(Berechnung!C296))</f>
        <v/>
      </c>
      <c r="K296" s="58">
        <f>IF($B296="","",(N(Berechnung!L296)+N(Berechnung!Y296))*N(Berechnung!C296))</f>
        <v/>
      </c>
      <c r="L296" s="58">
        <f>IF($B296="","",(N(Berechnung!M296)+N(Berechnung!Z296))*N(Berechnung!C296))</f>
        <v/>
      </c>
      <c r="M296" s="58">
        <f>IF($B296="","",(N(Berechnung!N296)+N(Berechnung!AA296))*N(Berechnung!C296))</f>
        <v/>
      </c>
      <c r="N296" s="58">
        <f>IF($B296="","",(N(Berechnung!O296)+N(Berechnung!AB296))*N(Berechnung!C296))</f>
        <v/>
      </c>
      <c r="O296" s="65">
        <f>IF($B296="","",SUM(C296:N296))</f>
        <v/>
      </c>
      <c r="P296" s="57">
        <f>'KQuote Mitarbeiter'!E296</f>
        <v/>
      </c>
      <c r="Q296" s="66">
        <f>'KQuote Mitarbeiter'!L296</f>
        <v/>
      </c>
      <c r="R296" s="57">
        <f>'KQuote Mitarbeiter'!D296</f>
        <v/>
      </c>
      <c r="S296" s="66">
        <f>'KQuote Mitarbeiter'!K296</f>
        <v/>
      </c>
    </row>
    <row r="297">
      <c r="A297" s="47">
        <f>'KQuote Mitarbeiter'!A297</f>
        <v/>
      </c>
      <c r="B297" s="48">
        <f>'KQuote Mitarbeiter'!B297</f>
        <v/>
      </c>
      <c r="C297" s="58">
        <f>IF($B297="","",(N(Berechnung!D297)+N(Berechnung!Q297))*N(Berechnung!C297))</f>
        <v/>
      </c>
      <c r="D297" s="58">
        <f>IF($B297="","",(N(Berechnung!E297)+N(Berechnung!R297))*N(Berechnung!C297))</f>
        <v/>
      </c>
      <c r="E297" s="58">
        <f>IF($B297="","",(N(Berechnung!F297)+N(Berechnung!S297))*N(Berechnung!C297))</f>
        <v/>
      </c>
      <c r="F297" s="58">
        <f>IF($B297="","",(N(Berechnung!G297)+N(Berechnung!T297))*N(Berechnung!C297))</f>
        <v/>
      </c>
      <c r="G297" s="58">
        <f>IF($B297="","",(N(Berechnung!H297)+N(Berechnung!U297))*N(Berechnung!C297))</f>
        <v/>
      </c>
      <c r="H297" s="58">
        <f>IF($B297="","",(N(Berechnung!I297)+N(Berechnung!V297))*N(Berechnung!C297))</f>
        <v/>
      </c>
      <c r="I297" s="58">
        <f>IF($B297="","",(N(Berechnung!J297)+N(Berechnung!W297))*N(Berechnung!C297))</f>
        <v/>
      </c>
      <c r="J297" s="58">
        <f>IF($B297="","",(N(Berechnung!K297)+N(Berechnung!X297))*N(Berechnung!C297))</f>
        <v/>
      </c>
      <c r="K297" s="58">
        <f>IF($B297="","",(N(Berechnung!L297)+N(Berechnung!Y297))*N(Berechnung!C297))</f>
        <v/>
      </c>
      <c r="L297" s="58">
        <f>IF($B297="","",(N(Berechnung!M297)+N(Berechnung!Z297))*N(Berechnung!C297))</f>
        <v/>
      </c>
      <c r="M297" s="58">
        <f>IF($B297="","",(N(Berechnung!N297)+N(Berechnung!AA297))*N(Berechnung!C297))</f>
        <v/>
      </c>
      <c r="N297" s="58">
        <f>IF($B297="","",(N(Berechnung!O297)+N(Berechnung!AB297))*N(Berechnung!C297))</f>
        <v/>
      </c>
      <c r="O297" s="65">
        <f>IF($B297="","",SUM(C297:N297))</f>
        <v/>
      </c>
      <c r="P297" s="57">
        <f>'KQuote Mitarbeiter'!E297</f>
        <v/>
      </c>
      <c r="Q297" s="66">
        <f>'KQuote Mitarbeiter'!L297</f>
        <v/>
      </c>
      <c r="R297" s="57">
        <f>'KQuote Mitarbeiter'!D297</f>
        <v/>
      </c>
      <c r="S297" s="66">
        <f>'KQuote Mitarbeiter'!K297</f>
        <v/>
      </c>
    </row>
    <row r="298">
      <c r="A298" s="47">
        <f>'KQuote Mitarbeiter'!A298</f>
        <v/>
      </c>
      <c r="B298" s="48">
        <f>'KQuote Mitarbeiter'!B298</f>
        <v/>
      </c>
      <c r="C298" s="58">
        <f>IF($B298="","",(N(Berechnung!D298)+N(Berechnung!Q298))*N(Berechnung!C298))</f>
        <v/>
      </c>
      <c r="D298" s="58">
        <f>IF($B298="","",(N(Berechnung!E298)+N(Berechnung!R298))*N(Berechnung!C298))</f>
        <v/>
      </c>
      <c r="E298" s="58">
        <f>IF($B298="","",(N(Berechnung!F298)+N(Berechnung!S298))*N(Berechnung!C298))</f>
        <v/>
      </c>
      <c r="F298" s="58">
        <f>IF($B298="","",(N(Berechnung!G298)+N(Berechnung!T298))*N(Berechnung!C298))</f>
        <v/>
      </c>
      <c r="G298" s="58">
        <f>IF($B298="","",(N(Berechnung!H298)+N(Berechnung!U298))*N(Berechnung!C298))</f>
        <v/>
      </c>
      <c r="H298" s="58">
        <f>IF($B298="","",(N(Berechnung!I298)+N(Berechnung!V298))*N(Berechnung!C298))</f>
        <v/>
      </c>
      <c r="I298" s="58">
        <f>IF($B298="","",(N(Berechnung!J298)+N(Berechnung!W298))*N(Berechnung!C298))</f>
        <v/>
      </c>
      <c r="J298" s="58">
        <f>IF($B298="","",(N(Berechnung!K298)+N(Berechnung!X298))*N(Berechnung!C298))</f>
        <v/>
      </c>
      <c r="K298" s="58">
        <f>IF($B298="","",(N(Berechnung!L298)+N(Berechnung!Y298))*N(Berechnung!C298))</f>
        <v/>
      </c>
      <c r="L298" s="58">
        <f>IF($B298="","",(N(Berechnung!M298)+N(Berechnung!Z298))*N(Berechnung!C298))</f>
        <v/>
      </c>
      <c r="M298" s="58">
        <f>IF($B298="","",(N(Berechnung!N298)+N(Berechnung!AA298))*N(Berechnung!C298))</f>
        <v/>
      </c>
      <c r="N298" s="58">
        <f>IF($B298="","",(N(Berechnung!O298)+N(Berechnung!AB298))*N(Berechnung!C298))</f>
        <v/>
      </c>
      <c r="O298" s="65">
        <f>IF($B298="","",SUM(C298:N298))</f>
        <v/>
      </c>
      <c r="P298" s="57">
        <f>'KQuote Mitarbeiter'!E298</f>
        <v/>
      </c>
      <c r="Q298" s="66">
        <f>'KQuote Mitarbeiter'!L298</f>
        <v/>
      </c>
      <c r="R298" s="57">
        <f>'KQuote Mitarbeiter'!D298</f>
        <v/>
      </c>
      <c r="S298" s="66">
        <f>'KQuote Mitarbeiter'!K298</f>
        <v/>
      </c>
    </row>
    <row r="299">
      <c r="A299" s="47">
        <f>'KQuote Mitarbeiter'!A299</f>
        <v/>
      </c>
      <c r="B299" s="48">
        <f>'KQuote Mitarbeiter'!B299</f>
        <v/>
      </c>
      <c r="C299" s="58">
        <f>IF($B299="","",(N(Berechnung!D299)+N(Berechnung!Q299))*N(Berechnung!C299))</f>
        <v/>
      </c>
      <c r="D299" s="58">
        <f>IF($B299="","",(N(Berechnung!E299)+N(Berechnung!R299))*N(Berechnung!C299))</f>
        <v/>
      </c>
      <c r="E299" s="58">
        <f>IF($B299="","",(N(Berechnung!F299)+N(Berechnung!S299))*N(Berechnung!C299))</f>
        <v/>
      </c>
      <c r="F299" s="58">
        <f>IF($B299="","",(N(Berechnung!G299)+N(Berechnung!T299))*N(Berechnung!C299))</f>
        <v/>
      </c>
      <c r="G299" s="58">
        <f>IF($B299="","",(N(Berechnung!H299)+N(Berechnung!U299))*N(Berechnung!C299))</f>
        <v/>
      </c>
      <c r="H299" s="58">
        <f>IF($B299="","",(N(Berechnung!I299)+N(Berechnung!V299))*N(Berechnung!C299))</f>
        <v/>
      </c>
      <c r="I299" s="58">
        <f>IF($B299="","",(N(Berechnung!J299)+N(Berechnung!W299))*N(Berechnung!C299))</f>
        <v/>
      </c>
      <c r="J299" s="58">
        <f>IF($B299="","",(N(Berechnung!K299)+N(Berechnung!X299))*N(Berechnung!C299))</f>
        <v/>
      </c>
      <c r="K299" s="58">
        <f>IF($B299="","",(N(Berechnung!L299)+N(Berechnung!Y299))*N(Berechnung!C299))</f>
        <v/>
      </c>
      <c r="L299" s="58">
        <f>IF($B299="","",(N(Berechnung!M299)+N(Berechnung!Z299))*N(Berechnung!C299))</f>
        <v/>
      </c>
      <c r="M299" s="58">
        <f>IF($B299="","",(N(Berechnung!N299)+N(Berechnung!AA299))*N(Berechnung!C299))</f>
        <v/>
      </c>
      <c r="N299" s="58">
        <f>IF($B299="","",(N(Berechnung!O299)+N(Berechnung!AB299))*N(Berechnung!C299))</f>
        <v/>
      </c>
      <c r="O299" s="65">
        <f>IF($B299="","",SUM(C299:N299))</f>
        <v/>
      </c>
      <c r="P299" s="57">
        <f>'KQuote Mitarbeiter'!E299</f>
        <v/>
      </c>
      <c r="Q299" s="66">
        <f>'KQuote Mitarbeiter'!L299</f>
        <v/>
      </c>
      <c r="R299" s="57">
        <f>'KQuote Mitarbeiter'!D299</f>
        <v/>
      </c>
      <c r="S299" s="66">
        <f>'KQuote Mitarbeiter'!K299</f>
        <v/>
      </c>
    </row>
    <row r="300">
      <c r="A300" s="47">
        <f>'KQuote Mitarbeiter'!A300</f>
        <v/>
      </c>
      <c r="B300" s="48">
        <f>'KQuote Mitarbeiter'!B300</f>
        <v/>
      </c>
      <c r="C300" s="58">
        <f>IF($B300="","",(N(Berechnung!D300)+N(Berechnung!Q300))*N(Berechnung!C300))</f>
        <v/>
      </c>
      <c r="D300" s="58">
        <f>IF($B300="","",(N(Berechnung!E300)+N(Berechnung!R300))*N(Berechnung!C300))</f>
        <v/>
      </c>
      <c r="E300" s="58">
        <f>IF($B300="","",(N(Berechnung!F300)+N(Berechnung!S300))*N(Berechnung!C300))</f>
        <v/>
      </c>
      <c r="F300" s="58">
        <f>IF($B300="","",(N(Berechnung!G300)+N(Berechnung!T300))*N(Berechnung!C300))</f>
        <v/>
      </c>
      <c r="G300" s="58">
        <f>IF($B300="","",(N(Berechnung!H300)+N(Berechnung!U300))*N(Berechnung!C300))</f>
        <v/>
      </c>
      <c r="H300" s="58">
        <f>IF($B300="","",(N(Berechnung!I300)+N(Berechnung!V300))*N(Berechnung!C300))</f>
        <v/>
      </c>
      <c r="I300" s="58">
        <f>IF($B300="","",(N(Berechnung!J300)+N(Berechnung!W300))*N(Berechnung!C300))</f>
        <v/>
      </c>
      <c r="J300" s="58">
        <f>IF($B300="","",(N(Berechnung!K300)+N(Berechnung!X300))*N(Berechnung!C300))</f>
        <v/>
      </c>
      <c r="K300" s="58">
        <f>IF($B300="","",(N(Berechnung!L300)+N(Berechnung!Y300))*N(Berechnung!C300))</f>
        <v/>
      </c>
      <c r="L300" s="58">
        <f>IF($B300="","",(N(Berechnung!M300)+N(Berechnung!Z300))*N(Berechnung!C300))</f>
        <v/>
      </c>
      <c r="M300" s="58">
        <f>IF($B300="","",(N(Berechnung!N300)+N(Berechnung!AA300))*N(Berechnung!C300))</f>
        <v/>
      </c>
      <c r="N300" s="58">
        <f>IF($B300="","",(N(Berechnung!O300)+N(Berechnung!AB300))*N(Berechnung!C300))</f>
        <v/>
      </c>
      <c r="O300" s="65">
        <f>IF($B300="","",SUM(C300:N300))</f>
        <v/>
      </c>
      <c r="P300" s="57">
        <f>'KQuote Mitarbeiter'!E300</f>
        <v/>
      </c>
      <c r="Q300" s="66">
        <f>'KQuote Mitarbeiter'!L300</f>
        <v/>
      </c>
      <c r="R300" s="57">
        <f>'KQuote Mitarbeiter'!D300</f>
        <v/>
      </c>
      <c r="S300" s="66">
        <f>'KQuote Mitarbeiter'!K300</f>
        <v/>
      </c>
    </row>
    <row r="301">
      <c r="A301" s="47">
        <f>'KQuote Mitarbeiter'!A301</f>
        <v/>
      </c>
      <c r="B301" s="48">
        <f>'KQuote Mitarbeiter'!B301</f>
        <v/>
      </c>
      <c r="C301" s="58">
        <f>IF($B301="","",(N(Berechnung!D301)+N(Berechnung!Q301))*N(Berechnung!C301))</f>
        <v/>
      </c>
      <c r="D301" s="58">
        <f>IF($B301="","",(N(Berechnung!E301)+N(Berechnung!R301))*N(Berechnung!C301))</f>
        <v/>
      </c>
      <c r="E301" s="58">
        <f>IF($B301="","",(N(Berechnung!F301)+N(Berechnung!S301))*N(Berechnung!C301))</f>
        <v/>
      </c>
      <c r="F301" s="58">
        <f>IF($B301="","",(N(Berechnung!G301)+N(Berechnung!T301))*N(Berechnung!C301))</f>
        <v/>
      </c>
      <c r="G301" s="58">
        <f>IF($B301="","",(N(Berechnung!H301)+N(Berechnung!U301))*N(Berechnung!C301))</f>
        <v/>
      </c>
      <c r="H301" s="58">
        <f>IF($B301="","",(N(Berechnung!I301)+N(Berechnung!V301))*N(Berechnung!C301))</f>
        <v/>
      </c>
      <c r="I301" s="58">
        <f>IF($B301="","",(N(Berechnung!J301)+N(Berechnung!W301))*N(Berechnung!C301))</f>
        <v/>
      </c>
      <c r="J301" s="58">
        <f>IF($B301="","",(N(Berechnung!K301)+N(Berechnung!X301))*N(Berechnung!C301))</f>
        <v/>
      </c>
      <c r="K301" s="58">
        <f>IF($B301="","",(N(Berechnung!L301)+N(Berechnung!Y301))*N(Berechnung!C301))</f>
        <v/>
      </c>
      <c r="L301" s="58">
        <f>IF($B301="","",(N(Berechnung!M301)+N(Berechnung!Z301))*N(Berechnung!C301))</f>
        <v/>
      </c>
      <c r="M301" s="58">
        <f>IF($B301="","",(N(Berechnung!N301)+N(Berechnung!AA301))*N(Berechnung!C301))</f>
        <v/>
      </c>
      <c r="N301" s="58">
        <f>IF($B301="","",(N(Berechnung!O301)+N(Berechnung!AB301))*N(Berechnung!C301))</f>
        <v/>
      </c>
      <c r="O301" s="65">
        <f>IF($B301="","",SUM(C301:N301))</f>
        <v/>
      </c>
      <c r="P301" s="57">
        <f>'KQuote Mitarbeiter'!E301</f>
        <v/>
      </c>
      <c r="Q301" s="66">
        <f>'KQuote Mitarbeiter'!L301</f>
        <v/>
      </c>
      <c r="R301" s="57">
        <f>'KQuote Mitarbeiter'!D301</f>
        <v/>
      </c>
      <c r="S301" s="66">
        <f>'KQuote Mitarbeiter'!K301</f>
        <v/>
      </c>
    </row>
    <row r="302">
      <c r="A302" s="47">
        <f>'KQuote Mitarbeiter'!A302</f>
        <v/>
      </c>
      <c r="B302" s="48">
        <f>'KQuote Mitarbeiter'!B302</f>
        <v/>
      </c>
      <c r="C302" s="58">
        <f>IF($B302="","",(N(Berechnung!D302)+N(Berechnung!Q302))*N(Berechnung!C302))</f>
        <v/>
      </c>
      <c r="D302" s="58">
        <f>IF($B302="","",(N(Berechnung!E302)+N(Berechnung!R302))*N(Berechnung!C302))</f>
        <v/>
      </c>
      <c r="E302" s="58">
        <f>IF($B302="","",(N(Berechnung!F302)+N(Berechnung!S302))*N(Berechnung!C302))</f>
        <v/>
      </c>
      <c r="F302" s="58">
        <f>IF($B302="","",(N(Berechnung!G302)+N(Berechnung!T302))*N(Berechnung!C302))</f>
        <v/>
      </c>
      <c r="G302" s="58">
        <f>IF($B302="","",(N(Berechnung!H302)+N(Berechnung!U302))*N(Berechnung!C302))</f>
        <v/>
      </c>
      <c r="H302" s="58">
        <f>IF($B302="","",(N(Berechnung!I302)+N(Berechnung!V302))*N(Berechnung!C302))</f>
        <v/>
      </c>
      <c r="I302" s="58">
        <f>IF($B302="","",(N(Berechnung!J302)+N(Berechnung!W302))*N(Berechnung!C302))</f>
        <v/>
      </c>
      <c r="J302" s="58">
        <f>IF($B302="","",(N(Berechnung!K302)+N(Berechnung!X302))*N(Berechnung!C302))</f>
        <v/>
      </c>
      <c r="K302" s="58">
        <f>IF($B302="","",(N(Berechnung!L302)+N(Berechnung!Y302))*N(Berechnung!C302))</f>
        <v/>
      </c>
      <c r="L302" s="58">
        <f>IF($B302="","",(N(Berechnung!M302)+N(Berechnung!Z302))*N(Berechnung!C302))</f>
        <v/>
      </c>
      <c r="M302" s="58">
        <f>IF($B302="","",(N(Berechnung!N302)+N(Berechnung!AA302))*N(Berechnung!C302))</f>
        <v/>
      </c>
      <c r="N302" s="58">
        <f>IF($B302="","",(N(Berechnung!O302)+N(Berechnung!AB302))*N(Berechnung!C302))</f>
        <v/>
      </c>
      <c r="O302" s="65">
        <f>IF($B302="","",SUM(C302:N302))</f>
        <v/>
      </c>
      <c r="P302" s="57">
        <f>'KQuote Mitarbeiter'!E302</f>
        <v/>
      </c>
      <c r="Q302" s="66">
        <f>'KQuote Mitarbeiter'!L302</f>
        <v/>
      </c>
      <c r="R302" s="57">
        <f>'KQuote Mitarbeiter'!D302</f>
        <v/>
      </c>
      <c r="S302" s="66">
        <f>'KQuote Mitarbeiter'!K302</f>
        <v/>
      </c>
    </row>
    <row r="303">
      <c r="A303" s="47">
        <f>'KQuote Mitarbeiter'!A303</f>
        <v/>
      </c>
      <c r="B303" s="48">
        <f>'KQuote Mitarbeiter'!B303</f>
        <v/>
      </c>
      <c r="C303" s="58">
        <f>IF($B303="","",(N(Berechnung!D303)+N(Berechnung!Q303))*N(Berechnung!C303))</f>
        <v/>
      </c>
      <c r="D303" s="58">
        <f>IF($B303="","",(N(Berechnung!E303)+N(Berechnung!R303))*N(Berechnung!C303))</f>
        <v/>
      </c>
      <c r="E303" s="58">
        <f>IF($B303="","",(N(Berechnung!F303)+N(Berechnung!S303))*N(Berechnung!C303))</f>
        <v/>
      </c>
      <c r="F303" s="58">
        <f>IF($B303="","",(N(Berechnung!G303)+N(Berechnung!T303))*N(Berechnung!C303))</f>
        <v/>
      </c>
      <c r="G303" s="58">
        <f>IF($B303="","",(N(Berechnung!H303)+N(Berechnung!U303))*N(Berechnung!C303))</f>
        <v/>
      </c>
      <c r="H303" s="58">
        <f>IF($B303="","",(N(Berechnung!I303)+N(Berechnung!V303))*N(Berechnung!C303))</f>
        <v/>
      </c>
      <c r="I303" s="58">
        <f>IF($B303="","",(N(Berechnung!J303)+N(Berechnung!W303))*N(Berechnung!C303))</f>
        <v/>
      </c>
      <c r="J303" s="58">
        <f>IF($B303="","",(N(Berechnung!K303)+N(Berechnung!X303))*N(Berechnung!C303))</f>
        <v/>
      </c>
      <c r="K303" s="58">
        <f>IF($B303="","",(N(Berechnung!L303)+N(Berechnung!Y303))*N(Berechnung!C303))</f>
        <v/>
      </c>
      <c r="L303" s="58">
        <f>IF($B303="","",(N(Berechnung!M303)+N(Berechnung!Z303))*N(Berechnung!C303))</f>
        <v/>
      </c>
      <c r="M303" s="58">
        <f>IF($B303="","",(N(Berechnung!N303)+N(Berechnung!AA303))*N(Berechnung!C303))</f>
        <v/>
      </c>
      <c r="N303" s="58">
        <f>IF($B303="","",(N(Berechnung!O303)+N(Berechnung!AB303))*N(Berechnung!C303))</f>
        <v/>
      </c>
      <c r="O303" s="65">
        <f>IF($B303="","",SUM(C303:N303))</f>
        <v/>
      </c>
      <c r="P303" s="57">
        <f>'KQuote Mitarbeiter'!E303</f>
        <v/>
      </c>
      <c r="Q303" s="66">
        <f>'KQuote Mitarbeiter'!L303</f>
        <v/>
      </c>
      <c r="R303" s="57">
        <f>'KQuote Mitarbeiter'!D303</f>
        <v/>
      </c>
      <c r="S303" s="66">
        <f>'KQuote Mitarbeiter'!K303</f>
        <v/>
      </c>
    </row>
    <row r="304">
      <c r="A304" s="47">
        <f>'KQuote Mitarbeiter'!A304</f>
        <v/>
      </c>
      <c r="B304" s="48">
        <f>'KQuote Mitarbeiter'!B304</f>
        <v/>
      </c>
      <c r="C304" s="58">
        <f>IF($B304="","",(N(Berechnung!D304)+N(Berechnung!Q304))*N(Berechnung!C304))</f>
        <v/>
      </c>
      <c r="D304" s="58">
        <f>IF($B304="","",(N(Berechnung!E304)+N(Berechnung!R304))*N(Berechnung!C304))</f>
        <v/>
      </c>
      <c r="E304" s="58">
        <f>IF($B304="","",(N(Berechnung!F304)+N(Berechnung!S304))*N(Berechnung!C304))</f>
        <v/>
      </c>
      <c r="F304" s="58">
        <f>IF($B304="","",(N(Berechnung!G304)+N(Berechnung!T304))*N(Berechnung!C304))</f>
        <v/>
      </c>
      <c r="G304" s="58">
        <f>IF($B304="","",(N(Berechnung!H304)+N(Berechnung!U304))*N(Berechnung!C304))</f>
        <v/>
      </c>
      <c r="H304" s="58">
        <f>IF($B304="","",(N(Berechnung!I304)+N(Berechnung!V304))*N(Berechnung!C304))</f>
        <v/>
      </c>
      <c r="I304" s="58">
        <f>IF($B304="","",(N(Berechnung!J304)+N(Berechnung!W304))*N(Berechnung!C304))</f>
        <v/>
      </c>
      <c r="J304" s="58">
        <f>IF($B304="","",(N(Berechnung!K304)+N(Berechnung!X304))*N(Berechnung!C304))</f>
        <v/>
      </c>
      <c r="K304" s="58">
        <f>IF($B304="","",(N(Berechnung!L304)+N(Berechnung!Y304))*N(Berechnung!C304))</f>
        <v/>
      </c>
      <c r="L304" s="58">
        <f>IF($B304="","",(N(Berechnung!M304)+N(Berechnung!Z304))*N(Berechnung!C304))</f>
        <v/>
      </c>
      <c r="M304" s="58">
        <f>IF($B304="","",(N(Berechnung!N304)+N(Berechnung!AA304))*N(Berechnung!C304))</f>
        <v/>
      </c>
      <c r="N304" s="58">
        <f>IF($B304="","",(N(Berechnung!O304)+N(Berechnung!AB304))*N(Berechnung!C304))</f>
        <v/>
      </c>
      <c r="O304" s="65">
        <f>IF($B304="","",SUM(C304:N304))</f>
        <v/>
      </c>
      <c r="P304" s="57">
        <f>'KQuote Mitarbeiter'!E304</f>
        <v/>
      </c>
      <c r="Q304" s="66">
        <f>'KQuote Mitarbeiter'!L304</f>
        <v/>
      </c>
      <c r="R304" s="57">
        <f>'KQuote Mitarbeiter'!D304</f>
        <v/>
      </c>
      <c r="S304" s="66">
        <f>'KQuote Mitarbeiter'!K304</f>
        <v/>
      </c>
    </row>
    <row r="305">
      <c r="A305" s="47">
        <f>'KQuote Mitarbeiter'!A305</f>
        <v/>
      </c>
      <c r="B305" s="48">
        <f>'KQuote Mitarbeiter'!B305</f>
        <v/>
      </c>
      <c r="C305" s="58">
        <f>IF($B305="","",(N(Berechnung!D305)+N(Berechnung!Q305))*N(Berechnung!C305))</f>
        <v/>
      </c>
      <c r="D305" s="58">
        <f>IF($B305="","",(N(Berechnung!E305)+N(Berechnung!R305))*N(Berechnung!C305))</f>
        <v/>
      </c>
      <c r="E305" s="58">
        <f>IF($B305="","",(N(Berechnung!F305)+N(Berechnung!S305))*N(Berechnung!C305))</f>
        <v/>
      </c>
      <c r="F305" s="58">
        <f>IF($B305="","",(N(Berechnung!G305)+N(Berechnung!T305))*N(Berechnung!C305))</f>
        <v/>
      </c>
      <c r="G305" s="58">
        <f>IF($B305="","",(N(Berechnung!H305)+N(Berechnung!U305))*N(Berechnung!C305))</f>
        <v/>
      </c>
      <c r="H305" s="58">
        <f>IF($B305="","",(N(Berechnung!I305)+N(Berechnung!V305))*N(Berechnung!C305))</f>
        <v/>
      </c>
      <c r="I305" s="58">
        <f>IF($B305="","",(N(Berechnung!J305)+N(Berechnung!W305))*N(Berechnung!C305))</f>
        <v/>
      </c>
      <c r="J305" s="58">
        <f>IF($B305="","",(N(Berechnung!K305)+N(Berechnung!X305))*N(Berechnung!C305))</f>
        <v/>
      </c>
      <c r="K305" s="58">
        <f>IF($B305="","",(N(Berechnung!L305)+N(Berechnung!Y305))*N(Berechnung!C305))</f>
        <v/>
      </c>
      <c r="L305" s="58">
        <f>IF($B305="","",(N(Berechnung!M305)+N(Berechnung!Z305))*N(Berechnung!C305))</f>
        <v/>
      </c>
      <c r="M305" s="58">
        <f>IF($B305="","",(N(Berechnung!N305)+N(Berechnung!AA305))*N(Berechnung!C305))</f>
        <v/>
      </c>
      <c r="N305" s="58">
        <f>IF($B305="","",(N(Berechnung!O305)+N(Berechnung!AB305))*N(Berechnung!C305))</f>
        <v/>
      </c>
      <c r="O305" s="65">
        <f>IF($B305="","",SUM(C305:N305))</f>
        <v/>
      </c>
      <c r="P305" s="57">
        <f>'KQuote Mitarbeiter'!E305</f>
        <v/>
      </c>
      <c r="Q305" s="66">
        <f>'KQuote Mitarbeiter'!L305</f>
        <v/>
      </c>
      <c r="R305" s="57">
        <f>'KQuote Mitarbeiter'!D305</f>
        <v/>
      </c>
      <c r="S305" s="66">
        <f>'KQuote Mitarbeiter'!K305</f>
        <v/>
      </c>
    </row>
    <row r="306">
      <c r="A306" s="41" t="n"/>
      <c r="B306" s="41" t="inlineStr">
        <is>
          <t>Summe</t>
        </is>
      </c>
      <c r="C306" s="45">
        <f>SUM(C6:C305)</f>
        <v/>
      </c>
      <c r="D306" s="45">
        <f>SUM(D6:D305)</f>
        <v/>
      </c>
      <c r="E306" s="45">
        <f>SUM(E6:E305)</f>
        <v/>
      </c>
      <c r="F306" s="45">
        <f>SUM(F6:F305)</f>
        <v/>
      </c>
      <c r="G306" s="45">
        <f>SUM(G6:G305)</f>
        <v/>
      </c>
      <c r="H306" s="45">
        <f>SUM(H6:H305)</f>
        <v/>
      </c>
      <c r="I306" s="45">
        <f>SUM(I6:I305)</f>
        <v/>
      </c>
      <c r="J306" s="45">
        <f>SUM(J6:J305)</f>
        <v/>
      </c>
      <c r="K306" s="45">
        <f>SUM(K6:K305)</f>
        <v/>
      </c>
      <c r="L306" s="45">
        <f>SUM(L6:L305)</f>
        <v/>
      </c>
      <c r="M306" s="45">
        <f>SUM(M6:M305)</f>
        <v/>
      </c>
      <c r="N306" s="45">
        <f>SUM(N6:N305)</f>
        <v/>
      </c>
      <c r="O306" s="45">
        <f>SUM(O6:O305)</f>
        <v/>
      </c>
      <c r="P306" s="45">
        <f>SUM(P6:P305)</f>
        <v/>
      </c>
      <c r="Q306" s="71">
        <f>'KQuote Mitarbeiter'!R6</f>
        <v/>
      </c>
      <c r="R306" s="45">
        <f>SUM(R6:R305)</f>
        <v/>
      </c>
      <c r="S306" s="71">
        <f>IF(R306&gt;0,O306/R306,0)</f>
        <v/>
      </c>
    </row>
  </sheetData>
  <mergeCells count="1">
    <mergeCell ref="A2:T2"/>
  </mergeCell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3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Hilfsblatt: Krankheitstage des Auswertungsjahres (automatisch, nicht bearbeiten)</t>
        </is>
      </c>
      <c r="N1" s="12" t="inlineStr">
        <is>
          <t>→ Erklärung</t>
        </is>
      </c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Std./Tag</t>
        </is>
      </c>
      <c r="D5" s="21" t="inlineStr">
        <is>
          <t>O1 Jan</t>
        </is>
      </c>
      <c r="E5" s="21" t="inlineStr">
        <is>
          <t>O1 Feb</t>
        </is>
      </c>
      <c r="F5" s="21" t="inlineStr">
        <is>
          <t>O1 Mär</t>
        </is>
      </c>
      <c r="G5" s="21" t="inlineStr">
        <is>
          <t>O1 Apr</t>
        </is>
      </c>
      <c r="H5" s="21" t="inlineStr">
        <is>
          <t>O1 Mai</t>
        </is>
      </c>
      <c r="I5" s="21" t="inlineStr">
        <is>
          <t>O1 Jun</t>
        </is>
      </c>
      <c r="J5" s="21" t="inlineStr">
        <is>
          <t>O1 Jul</t>
        </is>
      </c>
      <c r="K5" s="21" t="inlineStr">
        <is>
          <t>O1 Aug</t>
        </is>
      </c>
      <c r="L5" s="21" t="inlineStr">
        <is>
          <t>O1 Sep</t>
        </is>
      </c>
      <c r="M5" s="21" t="inlineStr">
        <is>
          <t>O1 Okt</t>
        </is>
      </c>
      <c r="N5" s="21" t="inlineStr">
        <is>
          <t>O1 Nov</t>
        </is>
      </c>
      <c r="O5" s="21" t="inlineStr">
        <is>
          <t>O1 Dez</t>
        </is>
      </c>
      <c r="P5" s="21" t="inlineStr">
        <is>
          <t>Summe O1</t>
        </is>
      </c>
      <c r="Q5" s="21" t="inlineStr">
        <is>
          <t>O2 Jan</t>
        </is>
      </c>
      <c r="R5" s="21" t="inlineStr">
        <is>
          <t>O2 Feb</t>
        </is>
      </c>
      <c r="S5" s="21" t="inlineStr">
        <is>
          <t>O2 Mär</t>
        </is>
      </c>
      <c r="T5" s="21" t="inlineStr">
        <is>
          <t>O2 Apr</t>
        </is>
      </c>
      <c r="U5" s="21" t="inlineStr">
        <is>
          <t>O2 Mai</t>
        </is>
      </c>
      <c r="V5" s="21" t="inlineStr">
        <is>
          <t>O2 Jun</t>
        </is>
      </c>
      <c r="W5" s="21" t="inlineStr">
        <is>
          <t>O2 Jul</t>
        </is>
      </c>
      <c r="X5" s="21" t="inlineStr">
        <is>
          <t>O2 Aug</t>
        </is>
      </c>
      <c r="Y5" s="21" t="inlineStr">
        <is>
          <t>O2 Sep</t>
        </is>
      </c>
      <c r="Z5" s="21" t="inlineStr">
        <is>
          <t>O2 Okt</t>
        </is>
      </c>
      <c r="AA5" s="21" t="inlineStr">
        <is>
          <t>O2 Nov</t>
        </is>
      </c>
      <c r="AB5" s="21" t="inlineStr">
        <is>
          <t>O2 Dez</t>
        </is>
      </c>
      <c r="AC5" s="21" t="inlineStr">
        <is>
          <t>Summe O2</t>
        </is>
      </c>
      <c r="AD5" s="21" t="inlineStr">
        <is>
          <t>Tage Jahr</t>
        </is>
      </c>
      <c r="AE5" s="21" t="inlineStr">
        <is>
          <t>Std. Jahr</t>
        </is>
      </c>
      <c r="AF5" s="21" t="inlineStr">
        <is>
          <t>Tage alle J.</t>
        </is>
      </c>
      <c r="AG5" s="21" t="inlineStr">
        <is>
          <t>Std. alle J.</t>
        </is>
      </c>
    </row>
    <row r="6">
      <c r="A6" s="74">
        <f>IF(Mitarbeiter!B6="","",Mitarbeiter!A6)</f>
        <v/>
      </c>
      <c r="B6" s="6">
        <f>IF(Mitarbeiter!B6="","",Mitarbeiter!B6)</f>
        <v/>
      </c>
      <c r="C6" s="75">
        <f>IF(Mitarbeiter!B6="","",Mitarbeiter!F6)</f>
        <v/>
      </c>
      <c r="D6" s="76">
        <f>N(INDEX(Krankheitstage!$G6:$DV6,1,(Einstellungen!$C$3-2026)*24+1))</f>
        <v/>
      </c>
      <c r="E6" s="76">
        <f>N(INDEX(Krankheitstage!$G6:$DV6,1,(Einstellungen!$C$3-2026)*24+2))</f>
        <v/>
      </c>
      <c r="F6" s="76">
        <f>N(INDEX(Krankheitstage!$G6:$DV6,1,(Einstellungen!$C$3-2026)*24+3))</f>
        <v/>
      </c>
      <c r="G6" s="76">
        <f>N(INDEX(Krankheitstage!$G6:$DV6,1,(Einstellungen!$C$3-2026)*24+4))</f>
        <v/>
      </c>
      <c r="H6" s="76">
        <f>N(INDEX(Krankheitstage!$G6:$DV6,1,(Einstellungen!$C$3-2026)*24+5))</f>
        <v/>
      </c>
      <c r="I6" s="76">
        <f>N(INDEX(Krankheitstage!$G6:$DV6,1,(Einstellungen!$C$3-2026)*24+6))</f>
        <v/>
      </c>
      <c r="J6" s="76">
        <f>N(INDEX(Krankheitstage!$G6:$DV6,1,(Einstellungen!$C$3-2026)*24+7))</f>
        <v/>
      </c>
      <c r="K6" s="76">
        <f>N(INDEX(Krankheitstage!$G6:$DV6,1,(Einstellungen!$C$3-2026)*24+8))</f>
        <v/>
      </c>
      <c r="L6" s="76">
        <f>N(INDEX(Krankheitstage!$G6:$DV6,1,(Einstellungen!$C$3-2026)*24+9))</f>
        <v/>
      </c>
      <c r="M6" s="76">
        <f>N(INDEX(Krankheitstage!$G6:$DV6,1,(Einstellungen!$C$3-2026)*24+10))</f>
        <v/>
      </c>
      <c r="N6" s="76">
        <f>N(INDEX(Krankheitstage!$G6:$DV6,1,(Einstellungen!$C$3-2026)*24+11))</f>
        <v/>
      </c>
      <c r="O6" s="76">
        <f>N(INDEX(Krankheitstage!$G6:$DV6,1,(Einstellungen!$C$3-2026)*24+12))</f>
        <v/>
      </c>
      <c r="P6" s="76">
        <f>IF($B6="","",SUM(D6:O6))</f>
        <v/>
      </c>
      <c r="Q6" s="76">
        <f>N(INDEX(Krankheitstage!$G6:$DV6,1,(Einstellungen!$C$3-2026)*24+13))</f>
        <v/>
      </c>
      <c r="R6" s="76">
        <f>N(INDEX(Krankheitstage!$G6:$DV6,1,(Einstellungen!$C$3-2026)*24+14))</f>
        <v/>
      </c>
      <c r="S6" s="76">
        <f>N(INDEX(Krankheitstage!$G6:$DV6,1,(Einstellungen!$C$3-2026)*24+15))</f>
        <v/>
      </c>
      <c r="T6" s="76">
        <f>N(INDEX(Krankheitstage!$G6:$DV6,1,(Einstellungen!$C$3-2026)*24+16))</f>
        <v/>
      </c>
      <c r="U6" s="76">
        <f>N(INDEX(Krankheitstage!$G6:$DV6,1,(Einstellungen!$C$3-2026)*24+17))</f>
        <v/>
      </c>
      <c r="V6" s="76">
        <f>N(INDEX(Krankheitstage!$G6:$DV6,1,(Einstellungen!$C$3-2026)*24+18))</f>
        <v/>
      </c>
      <c r="W6" s="76">
        <f>N(INDEX(Krankheitstage!$G6:$DV6,1,(Einstellungen!$C$3-2026)*24+19))</f>
        <v/>
      </c>
      <c r="X6" s="76">
        <f>N(INDEX(Krankheitstage!$G6:$DV6,1,(Einstellungen!$C$3-2026)*24+20))</f>
        <v/>
      </c>
      <c r="Y6" s="76">
        <f>N(INDEX(Krankheitstage!$G6:$DV6,1,(Einstellungen!$C$3-2026)*24+21))</f>
        <v/>
      </c>
      <c r="Z6" s="76">
        <f>N(INDEX(Krankheitstage!$G6:$DV6,1,(Einstellungen!$C$3-2026)*24+22))</f>
        <v/>
      </c>
      <c r="AA6" s="76">
        <f>N(INDEX(Krankheitstage!$G6:$DV6,1,(Einstellungen!$C$3-2026)*24+23))</f>
        <v/>
      </c>
      <c r="AB6" s="76">
        <f>N(INDEX(Krankheitstage!$G6:$DV6,1,(Einstellungen!$C$3-2026)*24+24))</f>
        <v/>
      </c>
      <c r="AC6" s="76">
        <f>IF($B6="","",SUM(Q6:AB6))</f>
        <v/>
      </c>
      <c r="AD6" s="76">
        <f>IF($B6="","",SUM(P6,AC6))</f>
        <v/>
      </c>
      <c r="AE6" s="77">
        <f>IF($B6="","",AD6*N(C6))</f>
        <v/>
      </c>
      <c r="AF6" s="76">
        <f>IF($B6="","",Krankheitstage!E6)</f>
        <v/>
      </c>
      <c r="AG6" s="77">
        <f>IF($B6="","",AF6*N(C6))</f>
        <v/>
      </c>
    </row>
    <row r="7">
      <c r="A7" s="74">
        <f>IF(Mitarbeiter!B7="","",Mitarbeiter!A7)</f>
        <v/>
      </c>
      <c r="B7" s="6">
        <f>IF(Mitarbeiter!B7="","",Mitarbeiter!B7)</f>
        <v/>
      </c>
      <c r="C7" s="75">
        <f>IF(Mitarbeiter!B7="","",Mitarbeiter!F7)</f>
        <v/>
      </c>
      <c r="D7" s="76">
        <f>N(INDEX(Krankheitstage!$G7:$DV7,1,(Einstellungen!$C$3-2026)*24+1))</f>
        <v/>
      </c>
      <c r="E7" s="76">
        <f>N(INDEX(Krankheitstage!$G7:$DV7,1,(Einstellungen!$C$3-2026)*24+2))</f>
        <v/>
      </c>
      <c r="F7" s="76">
        <f>N(INDEX(Krankheitstage!$G7:$DV7,1,(Einstellungen!$C$3-2026)*24+3))</f>
        <v/>
      </c>
      <c r="G7" s="76">
        <f>N(INDEX(Krankheitstage!$G7:$DV7,1,(Einstellungen!$C$3-2026)*24+4))</f>
        <v/>
      </c>
      <c r="H7" s="76">
        <f>N(INDEX(Krankheitstage!$G7:$DV7,1,(Einstellungen!$C$3-2026)*24+5))</f>
        <v/>
      </c>
      <c r="I7" s="76">
        <f>N(INDEX(Krankheitstage!$G7:$DV7,1,(Einstellungen!$C$3-2026)*24+6))</f>
        <v/>
      </c>
      <c r="J7" s="76">
        <f>N(INDEX(Krankheitstage!$G7:$DV7,1,(Einstellungen!$C$3-2026)*24+7))</f>
        <v/>
      </c>
      <c r="K7" s="76">
        <f>N(INDEX(Krankheitstage!$G7:$DV7,1,(Einstellungen!$C$3-2026)*24+8))</f>
        <v/>
      </c>
      <c r="L7" s="76">
        <f>N(INDEX(Krankheitstage!$G7:$DV7,1,(Einstellungen!$C$3-2026)*24+9))</f>
        <v/>
      </c>
      <c r="M7" s="76">
        <f>N(INDEX(Krankheitstage!$G7:$DV7,1,(Einstellungen!$C$3-2026)*24+10))</f>
        <v/>
      </c>
      <c r="N7" s="76">
        <f>N(INDEX(Krankheitstage!$G7:$DV7,1,(Einstellungen!$C$3-2026)*24+11))</f>
        <v/>
      </c>
      <c r="O7" s="76">
        <f>N(INDEX(Krankheitstage!$G7:$DV7,1,(Einstellungen!$C$3-2026)*24+12))</f>
        <v/>
      </c>
      <c r="P7" s="76">
        <f>IF($B7="","",SUM(D7:O7))</f>
        <v/>
      </c>
      <c r="Q7" s="76">
        <f>N(INDEX(Krankheitstage!$G7:$DV7,1,(Einstellungen!$C$3-2026)*24+13))</f>
        <v/>
      </c>
      <c r="R7" s="76">
        <f>N(INDEX(Krankheitstage!$G7:$DV7,1,(Einstellungen!$C$3-2026)*24+14))</f>
        <v/>
      </c>
      <c r="S7" s="76">
        <f>N(INDEX(Krankheitstage!$G7:$DV7,1,(Einstellungen!$C$3-2026)*24+15))</f>
        <v/>
      </c>
      <c r="T7" s="76">
        <f>N(INDEX(Krankheitstage!$G7:$DV7,1,(Einstellungen!$C$3-2026)*24+16))</f>
        <v/>
      </c>
      <c r="U7" s="76">
        <f>N(INDEX(Krankheitstage!$G7:$DV7,1,(Einstellungen!$C$3-2026)*24+17))</f>
        <v/>
      </c>
      <c r="V7" s="76">
        <f>N(INDEX(Krankheitstage!$G7:$DV7,1,(Einstellungen!$C$3-2026)*24+18))</f>
        <v/>
      </c>
      <c r="W7" s="76">
        <f>N(INDEX(Krankheitstage!$G7:$DV7,1,(Einstellungen!$C$3-2026)*24+19))</f>
        <v/>
      </c>
      <c r="X7" s="76">
        <f>N(INDEX(Krankheitstage!$G7:$DV7,1,(Einstellungen!$C$3-2026)*24+20))</f>
        <v/>
      </c>
      <c r="Y7" s="76">
        <f>N(INDEX(Krankheitstage!$G7:$DV7,1,(Einstellungen!$C$3-2026)*24+21))</f>
        <v/>
      </c>
      <c r="Z7" s="76">
        <f>N(INDEX(Krankheitstage!$G7:$DV7,1,(Einstellungen!$C$3-2026)*24+22))</f>
        <v/>
      </c>
      <c r="AA7" s="76">
        <f>N(INDEX(Krankheitstage!$G7:$DV7,1,(Einstellungen!$C$3-2026)*24+23))</f>
        <v/>
      </c>
      <c r="AB7" s="76">
        <f>N(INDEX(Krankheitstage!$G7:$DV7,1,(Einstellungen!$C$3-2026)*24+24))</f>
        <v/>
      </c>
      <c r="AC7" s="76">
        <f>IF($B7="","",SUM(Q7:AB7))</f>
        <v/>
      </c>
      <c r="AD7" s="76">
        <f>IF($B7="","",SUM(P7,AC7))</f>
        <v/>
      </c>
      <c r="AE7" s="77">
        <f>IF($B7="","",AD7*N(C7))</f>
        <v/>
      </c>
      <c r="AF7" s="76">
        <f>IF($B7="","",Krankheitstage!E7)</f>
        <v/>
      </c>
      <c r="AG7" s="77">
        <f>IF($B7="","",AF7*N(C7))</f>
        <v/>
      </c>
    </row>
    <row r="8">
      <c r="A8" s="74">
        <f>IF(Mitarbeiter!B8="","",Mitarbeiter!A8)</f>
        <v/>
      </c>
      <c r="B8" s="6">
        <f>IF(Mitarbeiter!B8="","",Mitarbeiter!B8)</f>
        <v/>
      </c>
      <c r="C8" s="75">
        <f>IF(Mitarbeiter!B8="","",Mitarbeiter!F8)</f>
        <v/>
      </c>
      <c r="D8" s="76">
        <f>N(INDEX(Krankheitstage!$G8:$DV8,1,(Einstellungen!$C$3-2026)*24+1))</f>
        <v/>
      </c>
      <c r="E8" s="76">
        <f>N(INDEX(Krankheitstage!$G8:$DV8,1,(Einstellungen!$C$3-2026)*24+2))</f>
        <v/>
      </c>
      <c r="F8" s="76">
        <f>N(INDEX(Krankheitstage!$G8:$DV8,1,(Einstellungen!$C$3-2026)*24+3))</f>
        <v/>
      </c>
      <c r="G8" s="76">
        <f>N(INDEX(Krankheitstage!$G8:$DV8,1,(Einstellungen!$C$3-2026)*24+4))</f>
        <v/>
      </c>
      <c r="H8" s="76">
        <f>N(INDEX(Krankheitstage!$G8:$DV8,1,(Einstellungen!$C$3-2026)*24+5))</f>
        <v/>
      </c>
      <c r="I8" s="76">
        <f>N(INDEX(Krankheitstage!$G8:$DV8,1,(Einstellungen!$C$3-2026)*24+6))</f>
        <v/>
      </c>
      <c r="J8" s="76">
        <f>N(INDEX(Krankheitstage!$G8:$DV8,1,(Einstellungen!$C$3-2026)*24+7))</f>
        <v/>
      </c>
      <c r="K8" s="76">
        <f>N(INDEX(Krankheitstage!$G8:$DV8,1,(Einstellungen!$C$3-2026)*24+8))</f>
        <v/>
      </c>
      <c r="L8" s="76">
        <f>N(INDEX(Krankheitstage!$G8:$DV8,1,(Einstellungen!$C$3-2026)*24+9))</f>
        <v/>
      </c>
      <c r="M8" s="76">
        <f>N(INDEX(Krankheitstage!$G8:$DV8,1,(Einstellungen!$C$3-2026)*24+10))</f>
        <v/>
      </c>
      <c r="N8" s="76">
        <f>N(INDEX(Krankheitstage!$G8:$DV8,1,(Einstellungen!$C$3-2026)*24+11))</f>
        <v/>
      </c>
      <c r="O8" s="76">
        <f>N(INDEX(Krankheitstage!$G8:$DV8,1,(Einstellungen!$C$3-2026)*24+12))</f>
        <v/>
      </c>
      <c r="P8" s="76">
        <f>IF($B8="","",SUM(D8:O8))</f>
        <v/>
      </c>
      <c r="Q8" s="76">
        <f>N(INDEX(Krankheitstage!$G8:$DV8,1,(Einstellungen!$C$3-2026)*24+13))</f>
        <v/>
      </c>
      <c r="R8" s="76">
        <f>N(INDEX(Krankheitstage!$G8:$DV8,1,(Einstellungen!$C$3-2026)*24+14))</f>
        <v/>
      </c>
      <c r="S8" s="76">
        <f>N(INDEX(Krankheitstage!$G8:$DV8,1,(Einstellungen!$C$3-2026)*24+15))</f>
        <v/>
      </c>
      <c r="T8" s="76">
        <f>N(INDEX(Krankheitstage!$G8:$DV8,1,(Einstellungen!$C$3-2026)*24+16))</f>
        <v/>
      </c>
      <c r="U8" s="76">
        <f>N(INDEX(Krankheitstage!$G8:$DV8,1,(Einstellungen!$C$3-2026)*24+17))</f>
        <v/>
      </c>
      <c r="V8" s="76">
        <f>N(INDEX(Krankheitstage!$G8:$DV8,1,(Einstellungen!$C$3-2026)*24+18))</f>
        <v/>
      </c>
      <c r="W8" s="76">
        <f>N(INDEX(Krankheitstage!$G8:$DV8,1,(Einstellungen!$C$3-2026)*24+19))</f>
        <v/>
      </c>
      <c r="X8" s="76">
        <f>N(INDEX(Krankheitstage!$G8:$DV8,1,(Einstellungen!$C$3-2026)*24+20))</f>
        <v/>
      </c>
      <c r="Y8" s="76">
        <f>N(INDEX(Krankheitstage!$G8:$DV8,1,(Einstellungen!$C$3-2026)*24+21))</f>
        <v/>
      </c>
      <c r="Z8" s="76">
        <f>N(INDEX(Krankheitstage!$G8:$DV8,1,(Einstellungen!$C$3-2026)*24+22))</f>
        <v/>
      </c>
      <c r="AA8" s="76">
        <f>N(INDEX(Krankheitstage!$G8:$DV8,1,(Einstellungen!$C$3-2026)*24+23))</f>
        <v/>
      </c>
      <c r="AB8" s="76">
        <f>N(INDEX(Krankheitstage!$G8:$DV8,1,(Einstellungen!$C$3-2026)*24+24))</f>
        <v/>
      </c>
      <c r="AC8" s="76">
        <f>IF($B8="","",SUM(Q8:AB8))</f>
        <v/>
      </c>
      <c r="AD8" s="76">
        <f>IF($B8="","",SUM(P8,AC8))</f>
        <v/>
      </c>
      <c r="AE8" s="77">
        <f>IF($B8="","",AD8*N(C8))</f>
        <v/>
      </c>
      <c r="AF8" s="76">
        <f>IF($B8="","",Krankheitstage!E8)</f>
        <v/>
      </c>
      <c r="AG8" s="77">
        <f>IF($B8="","",AF8*N(C8))</f>
        <v/>
      </c>
    </row>
    <row r="9">
      <c r="A9" s="74">
        <f>IF(Mitarbeiter!B9="","",Mitarbeiter!A9)</f>
        <v/>
      </c>
      <c r="B9" s="6">
        <f>IF(Mitarbeiter!B9="","",Mitarbeiter!B9)</f>
        <v/>
      </c>
      <c r="C9" s="75">
        <f>IF(Mitarbeiter!B9="","",Mitarbeiter!F9)</f>
        <v/>
      </c>
      <c r="D9" s="76">
        <f>N(INDEX(Krankheitstage!$G9:$DV9,1,(Einstellungen!$C$3-2026)*24+1))</f>
        <v/>
      </c>
      <c r="E9" s="76">
        <f>N(INDEX(Krankheitstage!$G9:$DV9,1,(Einstellungen!$C$3-2026)*24+2))</f>
        <v/>
      </c>
      <c r="F9" s="76">
        <f>N(INDEX(Krankheitstage!$G9:$DV9,1,(Einstellungen!$C$3-2026)*24+3))</f>
        <v/>
      </c>
      <c r="G9" s="76">
        <f>N(INDEX(Krankheitstage!$G9:$DV9,1,(Einstellungen!$C$3-2026)*24+4))</f>
        <v/>
      </c>
      <c r="H9" s="76">
        <f>N(INDEX(Krankheitstage!$G9:$DV9,1,(Einstellungen!$C$3-2026)*24+5))</f>
        <v/>
      </c>
      <c r="I9" s="76">
        <f>N(INDEX(Krankheitstage!$G9:$DV9,1,(Einstellungen!$C$3-2026)*24+6))</f>
        <v/>
      </c>
      <c r="J9" s="76">
        <f>N(INDEX(Krankheitstage!$G9:$DV9,1,(Einstellungen!$C$3-2026)*24+7))</f>
        <v/>
      </c>
      <c r="K9" s="76">
        <f>N(INDEX(Krankheitstage!$G9:$DV9,1,(Einstellungen!$C$3-2026)*24+8))</f>
        <v/>
      </c>
      <c r="L9" s="76">
        <f>N(INDEX(Krankheitstage!$G9:$DV9,1,(Einstellungen!$C$3-2026)*24+9))</f>
        <v/>
      </c>
      <c r="M9" s="76">
        <f>N(INDEX(Krankheitstage!$G9:$DV9,1,(Einstellungen!$C$3-2026)*24+10))</f>
        <v/>
      </c>
      <c r="N9" s="76">
        <f>N(INDEX(Krankheitstage!$G9:$DV9,1,(Einstellungen!$C$3-2026)*24+11))</f>
        <v/>
      </c>
      <c r="O9" s="76">
        <f>N(INDEX(Krankheitstage!$G9:$DV9,1,(Einstellungen!$C$3-2026)*24+12))</f>
        <v/>
      </c>
      <c r="P9" s="76">
        <f>IF($B9="","",SUM(D9:O9))</f>
        <v/>
      </c>
      <c r="Q9" s="76">
        <f>N(INDEX(Krankheitstage!$G9:$DV9,1,(Einstellungen!$C$3-2026)*24+13))</f>
        <v/>
      </c>
      <c r="R9" s="76">
        <f>N(INDEX(Krankheitstage!$G9:$DV9,1,(Einstellungen!$C$3-2026)*24+14))</f>
        <v/>
      </c>
      <c r="S9" s="76">
        <f>N(INDEX(Krankheitstage!$G9:$DV9,1,(Einstellungen!$C$3-2026)*24+15))</f>
        <v/>
      </c>
      <c r="T9" s="76">
        <f>N(INDEX(Krankheitstage!$G9:$DV9,1,(Einstellungen!$C$3-2026)*24+16))</f>
        <v/>
      </c>
      <c r="U9" s="76">
        <f>N(INDEX(Krankheitstage!$G9:$DV9,1,(Einstellungen!$C$3-2026)*24+17))</f>
        <v/>
      </c>
      <c r="V9" s="76">
        <f>N(INDEX(Krankheitstage!$G9:$DV9,1,(Einstellungen!$C$3-2026)*24+18))</f>
        <v/>
      </c>
      <c r="W9" s="76">
        <f>N(INDEX(Krankheitstage!$G9:$DV9,1,(Einstellungen!$C$3-2026)*24+19))</f>
        <v/>
      </c>
      <c r="X9" s="76">
        <f>N(INDEX(Krankheitstage!$G9:$DV9,1,(Einstellungen!$C$3-2026)*24+20))</f>
        <v/>
      </c>
      <c r="Y9" s="76">
        <f>N(INDEX(Krankheitstage!$G9:$DV9,1,(Einstellungen!$C$3-2026)*24+21))</f>
        <v/>
      </c>
      <c r="Z9" s="76">
        <f>N(INDEX(Krankheitstage!$G9:$DV9,1,(Einstellungen!$C$3-2026)*24+22))</f>
        <v/>
      </c>
      <c r="AA9" s="76">
        <f>N(INDEX(Krankheitstage!$G9:$DV9,1,(Einstellungen!$C$3-2026)*24+23))</f>
        <v/>
      </c>
      <c r="AB9" s="76">
        <f>N(INDEX(Krankheitstage!$G9:$DV9,1,(Einstellungen!$C$3-2026)*24+24))</f>
        <v/>
      </c>
      <c r="AC9" s="76">
        <f>IF($B9="","",SUM(Q9:AB9))</f>
        <v/>
      </c>
      <c r="AD9" s="76">
        <f>IF($B9="","",SUM(P9,AC9))</f>
        <v/>
      </c>
      <c r="AE9" s="77">
        <f>IF($B9="","",AD9*N(C9))</f>
        <v/>
      </c>
      <c r="AF9" s="76">
        <f>IF($B9="","",Krankheitstage!E9)</f>
        <v/>
      </c>
      <c r="AG9" s="77">
        <f>IF($B9="","",AF9*N(C9))</f>
        <v/>
      </c>
    </row>
    <row r="10">
      <c r="A10" s="74">
        <f>IF(Mitarbeiter!B10="","",Mitarbeiter!A10)</f>
        <v/>
      </c>
      <c r="B10" s="6">
        <f>IF(Mitarbeiter!B10="","",Mitarbeiter!B10)</f>
        <v/>
      </c>
      <c r="C10" s="75">
        <f>IF(Mitarbeiter!B10="","",Mitarbeiter!F10)</f>
        <v/>
      </c>
      <c r="D10" s="76">
        <f>N(INDEX(Krankheitstage!$G10:$DV10,1,(Einstellungen!$C$3-2026)*24+1))</f>
        <v/>
      </c>
      <c r="E10" s="76">
        <f>N(INDEX(Krankheitstage!$G10:$DV10,1,(Einstellungen!$C$3-2026)*24+2))</f>
        <v/>
      </c>
      <c r="F10" s="76">
        <f>N(INDEX(Krankheitstage!$G10:$DV10,1,(Einstellungen!$C$3-2026)*24+3))</f>
        <v/>
      </c>
      <c r="G10" s="76">
        <f>N(INDEX(Krankheitstage!$G10:$DV10,1,(Einstellungen!$C$3-2026)*24+4))</f>
        <v/>
      </c>
      <c r="H10" s="76">
        <f>N(INDEX(Krankheitstage!$G10:$DV10,1,(Einstellungen!$C$3-2026)*24+5))</f>
        <v/>
      </c>
      <c r="I10" s="76">
        <f>N(INDEX(Krankheitstage!$G10:$DV10,1,(Einstellungen!$C$3-2026)*24+6))</f>
        <v/>
      </c>
      <c r="J10" s="76">
        <f>N(INDEX(Krankheitstage!$G10:$DV10,1,(Einstellungen!$C$3-2026)*24+7))</f>
        <v/>
      </c>
      <c r="K10" s="76">
        <f>N(INDEX(Krankheitstage!$G10:$DV10,1,(Einstellungen!$C$3-2026)*24+8))</f>
        <v/>
      </c>
      <c r="L10" s="76">
        <f>N(INDEX(Krankheitstage!$G10:$DV10,1,(Einstellungen!$C$3-2026)*24+9))</f>
        <v/>
      </c>
      <c r="M10" s="76">
        <f>N(INDEX(Krankheitstage!$G10:$DV10,1,(Einstellungen!$C$3-2026)*24+10))</f>
        <v/>
      </c>
      <c r="N10" s="76">
        <f>N(INDEX(Krankheitstage!$G10:$DV10,1,(Einstellungen!$C$3-2026)*24+11))</f>
        <v/>
      </c>
      <c r="O10" s="76">
        <f>N(INDEX(Krankheitstage!$G10:$DV10,1,(Einstellungen!$C$3-2026)*24+12))</f>
        <v/>
      </c>
      <c r="P10" s="76">
        <f>IF($B10="","",SUM(D10:O10))</f>
        <v/>
      </c>
      <c r="Q10" s="76">
        <f>N(INDEX(Krankheitstage!$G10:$DV10,1,(Einstellungen!$C$3-2026)*24+13))</f>
        <v/>
      </c>
      <c r="R10" s="76">
        <f>N(INDEX(Krankheitstage!$G10:$DV10,1,(Einstellungen!$C$3-2026)*24+14))</f>
        <v/>
      </c>
      <c r="S10" s="76">
        <f>N(INDEX(Krankheitstage!$G10:$DV10,1,(Einstellungen!$C$3-2026)*24+15))</f>
        <v/>
      </c>
      <c r="T10" s="76">
        <f>N(INDEX(Krankheitstage!$G10:$DV10,1,(Einstellungen!$C$3-2026)*24+16))</f>
        <v/>
      </c>
      <c r="U10" s="76">
        <f>N(INDEX(Krankheitstage!$G10:$DV10,1,(Einstellungen!$C$3-2026)*24+17))</f>
        <v/>
      </c>
      <c r="V10" s="76">
        <f>N(INDEX(Krankheitstage!$G10:$DV10,1,(Einstellungen!$C$3-2026)*24+18))</f>
        <v/>
      </c>
      <c r="W10" s="76">
        <f>N(INDEX(Krankheitstage!$G10:$DV10,1,(Einstellungen!$C$3-2026)*24+19))</f>
        <v/>
      </c>
      <c r="X10" s="76">
        <f>N(INDEX(Krankheitstage!$G10:$DV10,1,(Einstellungen!$C$3-2026)*24+20))</f>
        <v/>
      </c>
      <c r="Y10" s="76">
        <f>N(INDEX(Krankheitstage!$G10:$DV10,1,(Einstellungen!$C$3-2026)*24+21))</f>
        <v/>
      </c>
      <c r="Z10" s="76">
        <f>N(INDEX(Krankheitstage!$G10:$DV10,1,(Einstellungen!$C$3-2026)*24+22))</f>
        <v/>
      </c>
      <c r="AA10" s="76">
        <f>N(INDEX(Krankheitstage!$G10:$DV10,1,(Einstellungen!$C$3-2026)*24+23))</f>
        <v/>
      </c>
      <c r="AB10" s="76">
        <f>N(INDEX(Krankheitstage!$G10:$DV10,1,(Einstellungen!$C$3-2026)*24+24))</f>
        <v/>
      </c>
      <c r="AC10" s="76">
        <f>IF($B10="","",SUM(Q10:AB10))</f>
        <v/>
      </c>
      <c r="AD10" s="76">
        <f>IF($B10="","",SUM(P10,AC10))</f>
        <v/>
      </c>
      <c r="AE10" s="77">
        <f>IF($B10="","",AD10*N(C10))</f>
        <v/>
      </c>
      <c r="AF10" s="76">
        <f>IF($B10="","",Krankheitstage!E10)</f>
        <v/>
      </c>
      <c r="AG10" s="77">
        <f>IF($B10="","",AF10*N(C10))</f>
        <v/>
      </c>
    </row>
    <row r="11">
      <c r="A11" s="74">
        <f>IF(Mitarbeiter!B11="","",Mitarbeiter!A11)</f>
        <v/>
      </c>
      <c r="B11" s="6">
        <f>IF(Mitarbeiter!B11="","",Mitarbeiter!B11)</f>
        <v/>
      </c>
      <c r="C11" s="75">
        <f>IF(Mitarbeiter!B11="","",Mitarbeiter!F11)</f>
        <v/>
      </c>
      <c r="D11" s="76">
        <f>N(INDEX(Krankheitstage!$G11:$DV11,1,(Einstellungen!$C$3-2026)*24+1))</f>
        <v/>
      </c>
      <c r="E11" s="76">
        <f>N(INDEX(Krankheitstage!$G11:$DV11,1,(Einstellungen!$C$3-2026)*24+2))</f>
        <v/>
      </c>
      <c r="F11" s="76">
        <f>N(INDEX(Krankheitstage!$G11:$DV11,1,(Einstellungen!$C$3-2026)*24+3))</f>
        <v/>
      </c>
      <c r="G11" s="76">
        <f>N(INDEX(Krankheitstage!$G11:$DV11,1,(Einstellungen!$C$3-2026)*24+4))</f>
        <v/>
      </c>
      <c r="H11" s="76">
        <f>N(INDEX(Krankheitstage!$G11:$DV11,1,(Einstellungen!$C$3-2026)*24+5))</f>
        <v/>
      </c>
      <c r="I11" s="76">
        <f>N(INDEX(Krankheitstage!$G11:$DV11,1,(Einstellungen!$C$3-2026)*24+6))</f>
        <v/>
      </c>
      <c r="J11" s="76">
        <f>N(INDEX(Krankheitstage!$G11:$DV11,1,(Einstellungen!$C$3-2026)*24+7))</f>
        <v/>
      </c>
      <c r="K11" s="76">
        <f>N(INDEX(Krankheitstage!$G11:$DV11,1,(Einstellungen!$C$3-2026)*24+8))</f>
        <v/>
      </c>
      <c r="L11" s="76">
        <f>N(INDEX(Krankheitstage!$G11:$DV11,1,(Einstellungen!$C$3-2026)*24+9))</f>
        <v/>
      </c>
      <c r="M11" s="76">
        <f>N(INDEX(Krankheitstage!$G11:$DV11,1,(Einstellungen!$C$3-2026)*24+10))</f>
        <v/>
      </c>
      <c r="N11" s="76">
        <f>N(INDEX(Krankheitstage!$G11:$DV11,1,(Einstellungen!$C$3-2026)*24+11))</f>
        <v/>
      </c>
      <c r="O11" s="76">
        <f>N(INDEX(Krankheitstage!$G11:$DV11,1,(Einstellungen!$C$3-2026)*24+12))</f>
        <v/>
      </c>
      <c r="P11" s="76">
        <f>IF($B11="","",SUM(D11:O11))</f>
        <v/>
      </c>
      <c r="Q11" s="76">
        <f>N(INDEX(Krankheitstage!$G11:$DV11,1,(Einstellungen!$C$3-2026)*24+13))</f>
        <v/>
      </c>
      <c r="R11" s="76">
        <f>N(INDEX(Krankheitstage!$G11:$DV11,1,(Einstellungen!$C$3-2026)*24+14))</f>
        <v/>
      </c>
      <c r="S11" s="76">
        <f>N(INDEX(Krankheitstage!$G11:$DV11,1,(Einstellungen!$C$3-2026)*24+15))</f>
        <v/>
      </c>
      <c r="T11" s="76">
        <f>N(INDEX(Krankheitstage!$G11:$DV11,1,(Einstellungen!$C$3-2026)*24+16))</f>
        <v/>
      </c>
      <c r="U11" s="76">
        <f>N(INDEX(Krankheitstage!$G11:$DV11,1,(Einstellungen!$C$3-2026)*24+17))</f>
        <v/>
      </c>
      <c r="V11" s="76">
        <f>N(INDEX(Krankheitstage!$G11:$DV11,1,(Einstellungen!$C$3-2026)*24+18))</f>
        <v/>
      </c>
      <c r="W11" s="76">
        <f>N(INDEX(Krankheitstage!$G11:$DV11,1,(Einstellungen!$C$3-2026)*24+19))</f>
        <v/>
      </c>
      <c r="X11" s="76">
        <f>N(INDEX(Krankheitstage!$G11:$DV11,1,(Einstellungen!$C$3-2026)*24+20))</f>
        <v/>
      </c>
      <c r="Y11" s="76">
        <f>N(INDEX(Krankheitstage!$G11:$DV11,1,(Einstellungen!$C$3-2026)*24+21))</f>
        <v/>
      </c>
      <c r="Z11" s="76">
        <f>N(INDEX(Krankheitstage!$G11:$DV11,1,(Einstellungen!$C$3-2026)*24+22))</f>
        <v/>
      </c>
      <c r="AA11" s="76">
        <f>N(INDEX(Krankheitstage!$G11:$DV11,1,(Einstellungen!$C$3-2026)*24+23))</f>
        <v/>
      </c>
      <c r="AB11" s="76">
        <f>N(INDEX(Krankheitstage!$G11:$DV11,1,(Einstellungen!$C$3-2026)*24+24))</f>
        <v/>
      </c>
      <c r="AC11" s="76">
        <f>IF($B11="","",SUM(Q11:AB11))</f>
        <v/>
      </c>
      <c r="AD11" s="76">
        <f>IF($B11="","",SUM(P11,AC11))</f>
        <v/>
      </c>
      <c r="AE11" s="77">
        <f>IF($B11="","",AD11*N(C11))</f>
        <v/>
      </c>
      <c r="AF11" s="76">
        <f>IF($B11="","",Krankheitstage!E11)</f>
        <v/>
      </c>
      <c r="AG11" s="77">
        <f>IF($B11="","",AF11*N(C11))</f>
        <v/>
      </c>
    </row>
    <row r="12">
      <c r="A12" s="74">
        <f>IF(Mitarbeiter!B12="","",Mitarbeiter!A12)</f>
        <v/>
      </c>
      <c r="B12" s="6">
        <f>IF(Mitarbeiter!B12="","",Mitarbeiter!B12)</f>
        <v/>
      </c>
      <c r="C12" s="75">
        <f>IF(Mitarbeiter!B12="","",Mitarbeiter!F12)</f>
        <v/>
      </c>
      <c r="D12" s="76">
        <f>N(INDEX(Krankheitstage!$G12:$DV12,1,(Einstellungen!$C$3-2026)*24+1))</f>
        <v/>
      </c>
      <c r="E12" s="76">
        <f>N(INDEX(Krankheitstage!$G12:$DV12,1,(Einstellungen!$C$3-2026)*24+2))</f>
        <v/>
      </c>
      <c r="F12" s="76">
        <f>N(INDEX(Krankheitstage!$G12:$DV12,1,(Einstellungen!$C$3-2026)*24+3))</f>
        <v/>
      </c>
      <c r="G12" s="76">
        <f>N(INDEX(Krankheitstage!$G12:$DV12,1,(Einstellungen!$C$3-2026)*24+4))</f>
        <v/>
      </c>
      <c r="H12" s="76">
        <f>N(INDEX(Krankheitstage!$G12:$DV12,1,(Einstellungen!$C$3-2026)*24+5))</f>
        <v/>
      </c>
      <c r="I12" s="76">
        <f>N(INDEX(Krankheitstage!$G12:$DV12,1,(Einstellungen!$C$3-2026)*24+6))</f>
        <v/>
      </c>
      <c r="J12" s="76">
        <f>N(INDEX(Krankheitstage!$G12:$DV12,1,(Einstellungen!$C$3-2026)*24+7))</f>
        <v/>
      </c>
      <c r="K12" s="76">
        <f>N(INDEX(Krankheitstage!$G12:$DV12,1,(Einstellungen!$C$3-2026)*24+8))</f>
        <v/>
      </c>
      <c r="L12" s="76">
        <f>N(INDEX(Krankheitstage!$G12:$DV12,1,(Einstellungen!$C$3-2026)*24+9))</f>
        <v/>
      </c>
      <c r="M12" s="76">
        <f>N(INDEX(Krankheitstage!$G12:$DV12,1,(Einstellungen!$C$3-2026)*24+10))</f>
        <v/>
      </c>
      <c r="N12" s="76">
        <f>N(INDEX(Krankheitstage!$G12:$DV12,1,(Einstellungen!$C$3-2026)*24+11))</f>
        <v/>
      </c>
      <c r="O12" s="76">
        <f>N(INDEX(Krankheitstage!$G12:$DV12,1,(Einstellungen!$C$3-2026)*24+12))</f>
        <v/>
      </c>
      <c r="P12" s="76">
        <f>IF($B12="","",SUM(D12:O12))</f>
        <v/>
      </c>
      <c r="Q12" s="76">
        <f>N(INDEX(Krankheitstage!$G12:$DV12,1,(Einstellungen!$C$3-2026)*24+13))</f>
        <v/>
      </c>
      <c r="R12" s="76">
        <f>N(INDEX(Krankheitstage!$G12:$DV12,1,(Einstellungen!$C$3-2026)*24+14))</f>
        <v/>
      </c>
      <c r="S12" s="76">
        <f>N(INDEX(Krankheitstage!$G12:$DV12,1,(Einstellungen!$C$3-2026)*24+15))</f>
        <v/>
      </c>
      <c r="T12" s="76">
        <f>N(INDEX(Krankheitstage!$G12:$DV12,1,(Einstellungen!$C$3-2026)*24+16))</f>
        <v/>
      </c>
      <c r="U12" s="76">
        <f>N(INDEX(Krankheitstage!$G12:$DV12,1,(Einstellungen!$C$3-2026)*24+17))</f>
        <v/>
      </c>
      <c r="V12" s="76">
        <f>N(INDEX(Krankheitstage!$G12:$DV12,1,(Einstellungen!$C$3-2026)*24+18))</f>
        <v/>
      </c>
      <c r="W12" s="76">
        <f>N(INDEX(Krankheitstage!$G12:$DV12,1,(Einstellungen!$C$3-2026)*24+19))</f>
        <v/>
      </c>
      <c r="X12" s="76">
        <f>N(INDEX(Krankheitstage!$G12:$DV12,1,(Einstellungen!$C$3-2026)*24+20))</f>
        <v/>
      </c>
      <c r="Y12" s="76">
        <f>N(INDEX(Krankheitstage!$G12:$DV12,1,(Einstellungen!$C$3-2026)*24+21))</f>
        <v/>
      </c>
      <c r="Z12" s="76">
        <f>N(INDEX(Krankheitstage!$G12:$DV12,1,(Einstellungen!$C$3-2026)*24+22))</f>
        <v/>
      </c>
      <c r="AA12" s="76">
        <f>N(INDEX(Krankheitstage!$G12:$DV12,1,(Einstellungen!$C$3-2026)*24+23))</f>
        <v/>
      </c>
      <c r="AB12" s="76">
        <f>N(INDEX(Krankheitstage!$G12:$DV12,1,(Einstellungen!$C$3-2026)*24+24))</f>
        <v/>
      </c>
      <c r="AC12" s="76">
        <f>IF($B12="","",SUM(Q12:AB12))</f>
        <v/>
      </c>
      <c r="AD12" s="76">
        <f>IF($B12="","",SUM(P12,AC12))</f>
        <v/>
      </c>
      <c r="AE12" s="77">
        <f>IF($B12="","",AD12*N(C12))</f>
        <v/>
      </c>
      <c r="AF12" s="76">
        <f>IF($B12="","",Krankheitstage!E12)</f>
        <v/>
      </c>
      <c r="AG12" s="77">
        <f>IF($B12="","",AF12*N(C12))</f>
        <v/>
      </c>
    </row>
    <row r="13">
      <c r="A13" s="74">
        <f>IF(Mitarbeiter!B13="","",Mitarbeiter!A13)</f>
        <v/>
      </c>
      <c r="B13" s="6">
        <f>IF(Mitarbeiter!B13="","",Mitarbeiter!B13)</f>
        <v/>
      </c>
      <c r="C13" s="75">
        <f>IF(Mitarbeiter!B13="","",Mitarbeiter!F13)</f>
        <v/>
      </c>
      <c r="D13" s="76">
        <f>N(INDEX(Krankheitstage!$G13:$DV13,1,(Einstellungen!$C$3-2026)*24+1))</f>
        <v/>
      </c>
      <c r="E13" s="76">
        <f>N(INDEX(Krankheitstage!$G13:$DV13,1,(Einstellungen!$C$3-2026)*24+2))</f>
        <v/>
      </c>
      <c r="F13" s="76">
        <f>N(INDEX(Krankheitstage!$G13:$DV13,1,(Einstellungen!$C$3-2026)*24+3))</f>
        <v/>
      </c>
      <c r="G13" s="76">
        <f>N(INDEX(Krankheitstage!$G13:$DV13,1,(Einstellungen!$C$3-2026)*24+4))</f>
        <v/>
      </c>
      <c r="H13" s="76">
        <f>N(INDEX(Krankheitstage!$G13:$DV13,1,(Einstellungen!$C$3-2026)*24+5))</f>
        <v/>
      </c>
      <c r="I13" s="76">
        <f>N(INDEX(Krankheitstage!$G13:$DV13,1,(Einstellungen!$C$3-2026)*24+6))</f>
        <v/>
      </c>
      <c r="J13" s="76">
        <f>N(INDEX(Krankheitstage!$G13:$DV13,1,(Einstellungen!$C$3-2026)*24+7))</f>
        <v/>
      </c>
      <c r="K13" s="76">
        <f>N(INDEX(Krankheitstage!$G13:$DV13,1,(Einstellungen!$C$3-2026)*24+8))</f>
        <v/>
      </c>
      <c r="L13" s="76">
        <f>N(INDEX(Krankheitstage!$G13:$DV13,1,(Einstellungen!$C$3-2026)*24+9))</f>
        <v/>
      </c>
      <c r="M13" s="76">
        <f>N(INDEX(Krankheitstage!$G13:$DV13,1,(Einstellungen!$C$3-2026)*24+10))</f>
        <v/>
      </c>
      <c r="N13" s="76">
        <f>N(INDEX(Krankheitstage!$G13:$DV13,1,(Einstellungen!$C$3-2026)*24+11))</f>
        <v/>
      </c>
      <c r="O13" s="76">
        <f>N(INDEX(Krankheitstage!$G13:$DV13,1,(Einstellungen!$C$3-2026)*24+12))</f>
        <v/>
      </c>
      <c r="P13" s="76">
        <f>IF($B13="","",SUM(D13:O13))</f>
        <v/>
      </c>
      <c r="Q13" s="76">
        <f>N(INDEX(Krankheitstage!$G13:$DV13,1,(Einstellungen!$C$3-2026)*24+13))</f>
        <v/>
      </c>
      <c r="R13" s="76">
        <f>N(INDEX(Krankheitstage!$G13:$DV13,1,(Einstellungen!$C$3-2026)*24+14))</f>
        <v/>
      </c>
      <c r="S13" s="76">
        <f>N(INDEX(Krankheitstage!$G13:$DV13,1,(Einstellungen!$C$3-2026)*24+15))</f>
        <v/>
      </c>
      <c r="T13" s="76">
        <f>N(INDEX(Krankheitstage!$G13:$DV13,1,(Einstellungen!$C$3-2026)*24+16))</f>
        <v/>
      </c>
      <c r="U13" s="76">
        <f>N(INDEX(Krankheitstage!$G13:$DV13,1,(Einstellungen!$C$3-2026)*24+17))</f>
        <v/>
      </c>
      <c r="V13" s="76">
        <f>N(INDEX(Krankheitstage!$G13:$DV13,1,(Einstellungen!$C$3-2026)*24+18))</f>
        <v/>
      </c>
      <c r="W13" s="76">
        <f>N(INDEX(Krankheitstage!$G13:$DV13,1,(Einstellungen!$C$3-2026)*24+19))</f>
        <v/>
      </c>
      <c r="X13" s="76">
        <f>N(INDEX(Krankheitstage!$G13:$DV13,1,(Einstellungen!$C$3-2026)*24+20))</f>
        <v/>
      </c>
      <c r="Y13" s="76">
        <f>N(INDEX(Krankheitstage!$G13:$DV13,1,(Einstellungen!$C$3-2026)*24+21))</f>
        <v/>
      </c>
      <c r="Z13" s="76">
        <f>N(INDEX(Krankheitstage!$G13:$DV13,1,(Einstellungen!$C$3-2026)*24+22))</f>
        <v/>
      </c>
      <c r="AA13" s="76">
        <f>N(INDEX(Krankheitstage!$G13:$DV13,1,(Einstellungen!$C$3-2026)*24+23))</f>
        <v/>
      </c>
      <c r="AB13" s="76">
        <f>N(INDEX(Krankheitstage!$G13:$DV13,1,(Einstellungen!$C$3-2026)*24+24))</f>
        <v/>
      </c>
      <c r="AC13" s="76">
        <f>IF($B13="","",SUM(Q13:AB13))</f>
        <v/>
      </c>
      <c r="AD13" s="76">
        <f>IF($B13="","",SUM(P13,AC13))</f>
        <v/>
      </c>
      <c r="AE13" s="77">
        <f>IF($B13="","",AD13*N(C13))</f>
        <v/>
      </c>
      <c r="AF13" s="76">
        <f>IF($B13="","",Krankheitstage!E13)</f>
        <v/>
      </c>
      <c r="AG13" s="77">
        <f>IF($B13="","",AF13*N(C13))</f>
        <v/>
      </c>
    </row>
    <row r="14">
      <c r="A14" s="74">
        <f>IF(Mitarbeiter!B14="","",Mitarbeiter!A14)</f>
        <v/>
      </c>
      <c r="B14" s="6">
        <f>IF(Mitarbeiter!B14="","",Mitarbeiter!B14)</f>
        <v/>
      </c>
      <c r="C14" s="75">
        <f>IF(Mitarbeiter!B14="","",Mitarbeiter!F14)</f>
        <v/>
      </c>
      <c r="D14" s="76">
        <f>N(INDEX(Krankheitstage!$G14:$DV14,1,(Einstellungen!$C$3-2026)*24+1))</f>
        <v/>
      </c>
      <c r="E14" s="76">
        <f>N(INDEX(Krankheitstage!$G14:$DV14,1,(Einstellungen!$C$3-2026)*24+2))</f>
        <v/>
      </c>
      <c r="F14" s="76">
        <f>N(INDEX(Krankheitstage!$G14:$DV14,1,(Einstellungen!$C$3-2026)*24+3))</f>
        <v/>
      </c>
      <c r="G14" s="76">
        <f>N(INDEX(Krankheitstage!$G14:$DV14,1,(Einstellungen!$C$3-2026)*24+4))</f>
        <v/>
      </c>
      <c r="H14" s="76">
        <f>N(INDEX(Krankheitstage!$G14:$DV14,1,(Einstellungen!$C$3-2026)*24+5))</f>
        <v/>
      </c>
      <c r="I14" s="76">
        <f>N(INDEX(Krankheitstage!$G14:$DV14,1,(Einstellungen!$C$3-2026)*24+6))</f>
        <v/>
      </c>
      <c r="J14" s="76">
        <f>N(INDEX(Krankheitstage!$G14:$DV14,1,(Einstellungen!$C$3-2026)*24+7))</f>
        <v/>
      </c>
      <c r="K14" s="76">
        <f>N(INDEX(Krankheitstage!$G14:$DV14,1,(Einstellungen!$C$3-2026)*24+8))</f>
        <v/>
      </c>
      <c r="L14" s="76">
        <f>N(INDEX(Krankheitstage!$G14:$DV14,1,(Einstellungen!$C$3-2026)*24+9))</f>
        <v/>
      </c>
      <c r="M14" s="76">
        <f>N(INDEX(Krankheitstage!$G14:$DV14,1,(Einstellungen!$C$3-2026)*24+10))</f>
        <v/>
      </c>
      <c r="N14" s="76">
        <f>N(INDEX(Krankheitstage!$G14:$DV14,1,(Einstellungen!$C$3-2026)*24+11))</f>
        <v/>
      </c>
      <c r="O14" s="76">
        <f>N(INDEX(Krankheitstage!$G14:$DV14,1,(Einstellungen!$C$3-2026)*24+12))</f>
        <v/>
      </c>
      <c r="P14" s="76">
        <f>IF($B14="","",SUM(D14:O14))</f>
        <v/>
      </c>
      <c r="Q14" s="76">
        <f>N(INDEX(Krankheitstage!$G14:$DV14,1,(Einstellungen!$C$3-2026)*24+13))</f>
        <v/>
      </c>
      <c r="R14" s="76">
        <f>N(INDEX(Krankheitstage!$G14:$DV14,1,(Einstellungen!$C$3-2026)*24+14))</f>
        <v/>
      </c>
      <c r="S14" s="76">
        <f>N(INDEX(Krankheitstage!$G14:$DV14,1,(Einstellungen!$C$3-2026)*24+15))</f>
        <v/>
      </c>
      <c r="T14" s="76">
        <f>N(INDEX(Krankheitstage!$G14:$DV14,1,(Einstellungen!$C$3-2026)*24+16))</f>
        <v/>
      </c>
      <c r="U14" s="76">
        <f>N(INDEX(Krankheitstage!$G14:$DV14,1,(Einstellungen!$C$3-2026)*24+17))</f>
        <v/>
      </c>
      <c r="V14" s="76">
        <f>N(INDEX(Krankheitstage!$G14:$DV14,1,(Einstellungen!$C$3-2026)*24+18))</f>
        <v/>
      </c>
      <c r="W14" s="76">
        <f>N(INDEX(Krankheitstage!$G14:$DV14,1,(Einstellungen!$C$3-2026)*24+19))</f>
        <v/>
      </c>
      <c r="X14" s="76">
        <f>N(INDEX(Krankheitstage!$G14:$DV14,1,(Einstellungen!$C$3-2026)*24+20))</f>
        <v/>
      </c>
      <c r="Y14" s="76">
        <f>N(INDEX(Krankheitstage!$G14:$DV14,1,(Einstellungen!$C$3-2026)*24+21))</f>
        <v/>
      </c>
      <c r="Z14" s="76">
        <f>N(INDEX(Krankheitstage!$G14:$DV14,1,(Einstellungen!$C$3-2026)*24+22))</f>
        <v/>
      </c>
      <c r="AA14" s="76">
        <f>N(INDEX(Krankheitstage!$G14:$DV14,1,(Einstellungen!$C$3-2026)*24+23))</f>
        <v/>
      </c>
      <c r="AB14" s="76">
        <f>N(INDEX(Krankheitstage!$G14:$DV14,1,(Einstellungen!$C$3-2026)*24+24))</f>
        <v/>
      </c>
      <c r="AC14" s="76">
        <f>IF($B14="","",SUM(Q14:AB14))</f>
        <v/>
      </c>
      <c r="AD14" s="76">
        <f>IF($B14="","",SUM(P14,AC14))</f>
        <v/>
      </c>
      <c r="AE14" s="77">
        <f>IF($B14="","",AD14*N(C14))</f>
        <v/>
      </c>
      <c r="AF14" s="76">
        <f>IF($B14="","",Krankheitstage!E14)</f>
        <v/>
      </c>
      <c r="AG14" s="77">
        <f>IF($B14="","",AF14*N(C14))</f>
        <v/>
      </c>
    </row>
    <row r="15">
      <c r="A15" s="74">
        <f>IF(Mitarbeiter!B15="","",Mitarbeiter!A15)</f>
        <v/>
      </c>
      <c r="B15" s="6">
        <f>IF(Mitarbeiter!B15="","",Mitarbeiter!B15)</f>
        <v/>
      </c>
      <c r="C15" s="75">
        <f>IF(Mitarbeiter!B15="","",Mitarbeiter!F15)</f>
        <v/>
      </c>
      <c r="D15" s="76">
        <f>N(INDEX(Krankheitstage!$G15:$DV15,1,(Einstellungen!$C$3-2026)*24+1))</f>
        <v/>
      </c>
      <c r="E15" s="76">
        <f>N(INDEX(Krankheitstage!$G15:$DV15,1,(Einstellungen!$C$3-2026)*24+2))</f>
        <v/>
      </c>
      <c r="F15" s="76">
        <f>N(INDEX(Krankheitstage!$G15:$DV15,1,(Einstellungen!$C$3-2026)*24+3))</f>
        <v/>
      </c>
      <c r="G15" s="76">
        <f>N(INDEX(Krankheitstage!$G15:$DV15,1,(Einstellungen!$C$3-2026)*24+4))</f>
        <v/>
      </c>
      <c r="H15" s="76">
        <f>N(INDEX(Krankheitstage!$G15:$DV15,1,(Einstellungen!$C$3-2026)*24+5))</f>
        <v/>
      </c>
      <c r="I15" s="76">
        <f>N(INDEX(Krankheitstage!$G15:$DV15,1,(Einstellungen!$C$3-2026)*24+6))</f>
        <v/>
      </c>
      <c r="J15" s="76">
        <f>N(INDEX(Krankheitstage!$G15:$DV15,1,(Einstellungen!$C$3-2026)*24+7))</f>
        <v/>
      </c>
      <c r="K15" s="76">
        <f>N(INDEX(Krankheitstage!$G15:$DV15,1,(Einstellungen!$C$3-2026)*24+8))</f>
        <v/>
      </c>
      <c r="L15" s="76">
        <f>N(INDEX(Krankheitstage!$G15:$DV15,1,(Einstellungen!$C$3-2026)*24+9))</f>
        <v/>
      </c>
      <c r="M15" s="76">
        <f>N(INDEX(Krankheitstage!$G15:$DV15,1,(Einstellungen!$C$3-2026)*24+10))</f>
        <v/>
      </c>
      <c r="N15" s="76">
        <f>N(INDEX(Krankheitstage!$G15:$DV15,1,(Einstellungen!$C$3-2026)*24+11))</f>
        <v/>
      </c>
      <c r="O15" s="76">
        <f>N(INDEX(Krankheitstage!$G15:$DV15,1,(Einstellungen!$C$3-2026)*24+12))</f>
        <v/>
      </c>
      <c r="P15" s="76">
        <f>IF($B15="","",SUM(D15:O15))</f>
        <v/>
      </c>
      <c r="Q15" s="76">
        <f>N(INDEX(Krankheitstage!$G15:$DV15,1,(Einstellungen!$C$3-2026)*24+13))</f>
        <v/>
      </c>
      <c r="R15" s="76">
        <f>N(INDEX(Krankheitstage!$G15:$DV15,1,(Einstellungen!$C$3-2026)*24+14))</f>
        <v/>
      </c>
      <c r="S15" s="76">
        <f>N(INDEX(Krankheitstage!$G15:$DV15,1,(Einstellungen!$C$3-2026)*24+15))</f>
        <v/>
      </c>
      <c r="T15" s="76">
        <f>N(INDEX(Krankheitstage!$G15:$DV15,1,(Einstellungen!$C$3-2026)*24+16))</f>
        <v/>
      </c>
      <c r="U15" s="76">
        <f>N(INDEX(Krankheitstage!$G15:$DV15,1,(Einstellungen!$C$3-2026)*24+17))</f>
        <v/>
      </c>
      <c r="V15" s="76">
        <f>N(INDEX(Krankheitstage!$G15:$DV15,1,(Einstellungen!$C$3-2026)*24+18))</f>
        <v/>
      </c>
      <c r="W15" s="76">
        <f>N(INDEX(Krankheitstage!$G15:$DV15,1,(Einstellungen!$C$3-2026)*24+19))</f>
        <v/>
      </c>
      <c r="X15" s="76">
        <f>N(INDEX(Krankheitstage!$G15:$DV15,1,(Einstellungen!$C$3-2026)*24+20))</f>
        <v/>
      </c>
      <c r="Y15" s="76">
        <f>N(INDEX(Krankheitstage!$G15:$DV15,1,(Einstellungen!$C$3-2026)*24+21))</f>
        <v/>
      </c>
      <c r="Z15" s="76">
        <f>N(INDEX(Krankheitstage!$G15:$DV15,1,(Einstellungen!$C$3-2026)*24+22))</f>
        <v/>
      </c>
      <c r="AA15" s="76">
        <f>N(INDEX(Krankheitstage!$G15:$DV15,1,(Einstellungen!$C$3-2026)*24+23))</f>
        <v/>
      </c>
      <c r="AB15" s="76">
        <f>N(INDEX(Krankheitstage!$G15:$DV15,1,(Einstellungen!$C$3-2026)*24+24))</f>
        <v/>
      </c>
      <c r="AC15" s="76">
        <f>IF($B15="","",SUM(Q15:AB15))</f>
        <v/>
      </c>
      <c r="AD15" s="76">
        <f>IF($B15="","",SUM(P15,AC15))</f>
        <v/>
      </c>
      <c r="AE15" s="77">
        <f>IF($B15="","",AD15*N(C15))</f>
        <v/>
      </c>
      <c r="AF15" s="76">
        <f>IF($B15="","",Krankheitstage!E15)</f>
        <v/>
      </c>
      <c r="AG15" s="77">
        <f>IF($B15="","",AF15*N(C15))</f>
        <v/>
      </c>
    </row>
    <row r="16">
      <c r="A16" s="74">
        <f>IF(Mitarbeiter!B16="","",Mitarbeiter!A16)</f>
        <v/>
      </c>
      <c r="B16" s="6">
        <f>IF(Mitarbeiter!B16="","",Mitarbeiter!B16)</f>
        <v/>
      </c>
      <c r="C16" s="75">
        <f>IF(Mitarbeiter!B16="","",Mitarbeiter!F16)</f>
        <v/>
      </c>
      <c r="D16" s="76">
        <f>N(INDEX(Krankheitstage!$G16:$DV16,1,(Einstellungen!$C$3-2026)*24+1))</f>
        <v/>
      </c>
      <c r="E16" s="76">
        <f>N(INDEX(Krankheitstage!$G16:$DV16,1,(Einstellungen!$C$3-2026)*24+2))</f>
        <v/>
      </c>
      <c r="F16" s="76">
        <f>N(INDEX(Krankheitstage!$G16:$DV16,1,(Einstellungen!$C$3-2026)*24+3))</f>
        <v/>
      </c>
      <c r="G16" s="76">
        <f>N(INDEX(Krankheitstage!$G16:$DV16,1,(Einstellungen!$C$3-2026)*24+4))</f>
        <v/>
      </c>
      <c r="H16" s="76">
        <f>N(INDEX(Krankheitstage!$G16:$DV16,1,(Einstellungen!$C$3-2026)*24+5))</f>
        <v/>
      </c>
      <c r="I16" s="76">
        <f>N(INDEX(Krankheitstage!$G16:$DV16,1,(Einstellungen!$C$3-2026)*24+6))</f>
        <v/>
      </c>
      <c r="J16" s="76">
        <f>N(INDEX(Krankheitstage!$G16:$DV16,1,(Einstellungen!$C$3-2026)*24+7))</f>
        <v/>
      </c>
      <c r="K16" s="76">
        <f>N(INDEX(Krankheitstage!$G16:$DV16,1,(Einstellungen!$C$3-2026)*24+8))</f>
        <v/>
      </c>
      <c r="L16" s="76">
        <f>N(INDEX(Krankheitstage!$G16:$DV16,1,(Einstellungen!$C$3-2026)*24+9))</f>
        <v/>
      </c>
      <c r="M16" s="76">
        <f>N(INDEX(Krankheitstage!$G16:$DV16,1,(Einstellungen!$C$3-2026)*24+10))</f>
        <v/>
      </c>
      <c r="N16" s="76">
        <f>N(INDEX(Krankheitstage!$G16:$DV16,1,(Einstellungen!$C$3-2026)*24+11))</f>
        <v/>
      </c>
      <c r="O16" s="76">
        <f>N(INDEX(Krankheitstage!$G16:$DV16,1,(Einstellungen!$C$3-2026)*24+12))</f>
        <v/>
      </c>
      <c r="P16" s="76">
        <f>IF($B16="","",SUM(D16:O16))</f>
        <v/>
      </c>
      <c r="Q16" s="76">
        <f>N(INDEX(Krankheitstage!$G16:$DV16,1,(Einstellungen!$C$3-2026)*24+13))</f>
        <v/>
      </c>
      <c r="R16" s="76">
        <f>N(INDEX(Krankheitstage!$G16:$DV16,1,(Einstellungen!$C$3-2026)*24+14))</f>
        <v/>
      </c>
      <c r="S16" s="76">
        <f>N(INDEX(Krankheitstage!$G16:$DV16,1,(Einstellungen!$C$3-2026)*24+15))</f>
        <v/>
      </c>
      <c r="T16" s="76">
        <f>N(INDEX(Krankheitstage!$G16:$DV16,1,(Einstellungen!$C$3-2026)*24+16))</f>
        <v/>
      </c>
      <c r="U16" s="76">
        <f>N(INDEX(Krankheitstage!$G16:$DV16,1,(Einstellungen!$C$3-2026)*24+17))</f>
        <v/>
      </c>
      <c r="V16" s="76">
        <f>N(INDEX(Krankheitstage!$G16:$DV16,1,(Einstellungen!$C$3-2026)*24+18))</f>
        <v/>
      </c>
      <c r="W16" s="76">
        <f>N(INDEX(Krankheitstage!$G16:$DV16,1,(Einstellungen!$C$3-2026)*24+19))</f>
        <v/>
      </c>
      <c r="X16" s="76">
        <f>N(INDEX(Krankheitstage!$G16:$DV16,1,(Einstellungen!$C$3-2026)*24+20))</f>
        <v/>
      </c>
      <c r="Y16" s="76">
        <f>N(INDEX(Krankheitstage!$G16:$DV16,1,(Einstellungen!$C$3-2026)*24+21))</f>
        <v/>
      </c>
      <c r="Z16" s="76">
        <f>N(INDEX(Krankheitstage!$G16:$DV16,1,(Einstellungen!$C$3-2026)*24+22))</f>
        <v/>
      </c>
      <c r="AA16" s="76">
        <f>N(INDEX(Krankheitstage!$G16:$DV16,1,(Einstellungen!$C$3-2026)*24+23))</f>
        <v/>
      </c>
      <c r="AB16" s="76">
        <f>N(INDEX(Krankheitstage!$G16:$DV16,1,(Einstellungen!$C$3-2026)*24+24))</f>
        <v/>
      </c>
      <c r="AC16" s="76">
        <f>IF($B16="","",SUM(Q16:AB16))</f>
        <v/>
      </c>
      <c r="AD16" s="76">
        <f>IF($B16="","",SUM(P16,AC16))</f>
        <v/>
      </c>
      <c r="AE16" s="77">
        <f>IF($B16="","",AD16*N(C16))</f>
        <v/>
      </c>
      <c r="AF16" s="76">
        <f>IF($B16="","",Krankheitstage!E16)</f>
        <v/>
      </c>
      <c r="AG16" s="77">
        <f>IF($B16="","",AF16*N(C16))</f>
        <v/>
      </c>
    </row>
    <row r="17">
      <c r="A17" s="74">
        <f>IF(Mitarbeiter!B17="","",Mitarbeiter!A17)</f>
        <v/>
      </c>
      <c r="B17" s="6">
        <f>IF(Mitarbeiter!B17="","",Mitarbeiter!B17)</f>
        <v/>
      </c>
      <c r="C17" s="75">
        <f>IF(Mitarbeiter!B17="","",Mitarbeiter!F17)</f>
        <v/>
      </c>
      <c r="D17" s="76">
        <f>N(INDEX(Krankheitstage!$G17:$DV17,1,(Einstellungen!$C$3-2026)*24+1))</f>
        <v/>
      </c>
      <c r="E17" s="76">
        <f>N(INDEX(Krankheitstage!$G17:$DV17,1,(Einstellungen!$C$3-2026)*24+2))</f>
        <v/>
      </c>
      <c r="F17" s="76">
        <f>N(INDEX(Krankheitstage!$G17:$DV17,1,(Einstellungen!$C$3-2026)*24+3))</f>
        <v/>
      </c>
      <c r="G17" s="76">
        <f>N(INDEX(Krankheitstage!$G17:$DV17,1,(Einstellungen!$C$3-2026)*24+4))</f>
        <v/>
      </c>
      <c r="H17" s="76">
        <f>N(INDEX(Krankheitstage!$G17:$DV17,1,(Einstellungen!$C$3-2026)*24+5))</f>
        <v/>
      </c>
      <c r="I17" s="76">
        <f>N(INDEX(Krankheitstage!$G17:$DV17,1,(Einstellungen!$C$3-2026)*24+6))</f>
        <v/>
      </c>
      <c r="J17" s="76">
        <f>N(INDEX(Krankheitstage!$G17:$DV17,1,(Einstellungen!$C$3-2026)*24+7))</f>
        <v/>
      </c>
      <c r="K17" s="76">
        <f>N(INDEX(Krankheitstage!$G17:$DV17,1,(Einstellungen!$C$3-2026)*24+8))</f>
        <v/>
      </c>
      <c r="L17" s="76">
        <f>N(INDEX(Krankheitstage!$G17:$DV17,1,(Einstellungen!$C$3-2026)*24+9))</f>
        <v/>
      </c>
      <c r="M17" s="76">
        <f>N(INDEX(Krankheitstage!$G17:$DV17,1,(Einstellungen!$C$3-2026)*24+10))</f>
        <v/>
      </c>
      <c r="N17" s="76">
        <f>N(INDEX(Krankheitstage!$G17:$DV17,1,(Einstellungen!$C$3-2026)*24+11))</f>
        <v/>
      </c>
      <c r="O17" s="76">
        <f>N(INDEX(Krankheitstage!$G17:$DV17,1,(Einstellungen!$C$3-2026)*24+12))</f>
        <v/>
      </c>
      <c r="P17" s="76">
        <f>IF($B17="","",SUM(D17:O17))</f>
        <v/>
      </c>
      <c r="Q17" s="76">
        <f>N(INDEX(Krankheitstage!$G17:$DV17,1,(Einstellungen!$C$3-2026)*24+13))</f>
        <v/>
      </c>
      <c r="R17" s="76">
        <f>N(INDEX(Krankheitstage!$G17:$DV17,1,(Einstellungen!$C$3-2026)*24+14))</f>
        <v/>
      </c>
      <c r="S17" s="76">
        <f>N(INDEX(Krankheitstage!$G17:$DV17,1,(Einstellungen!$C$3-2026)*24+15))</f>
        <v/>
      </c>
      <c r="T17" s="76">
        <f>N(INDEX(Krankheitstage!$G17:$DV17,1,(Einstellungen!$C$3-2026)*24+16))</f>
        <v/>
      </c>
      <c r="U17" s="76">
        <f>N(INDEX(Krankheitstage!$G17:$DV17,1,(Einstellungen!$C$3-2026)*24+17))</f>
        <v/>
      </c>
      <c r="V17" s="76">
        <f>N(INDEX(Krankheitstage!$G17:$DV17,1,(Einstellungen!$C$3-2026)*24+18))</f>
        <v/>
      </c>
      <c r="W17" s="76">
        <f>N(INDEX(Krankheitstage!$G17:$DV17,1,(Einstellungen!$C$3-2026)*24+19))</f>
        <v/>
      </c>
      <c r="X17" s="76">
        <f>N(INDEX(Krankheitstage!$G17:$DV17,1,(Einstellungen!$C$3-2026)*24+20))</f>
        <v/>
      </c>
      <c r="Y17" s="76">
        <f>N(INDEX(Krankheitstage!$G17:$DV17,1,(Einstellungen!$C$3-2026)*24+21))</f>
        <v/>
      </c>
      <c r="Z17" s="76">
        <f>N(INDEX(Krankheitstage!$G17:$DV17,1,(Einstellungen!$C$3-2026)*24+22))</f>
        <v/>
      </c>
      <c r="AA17" s="76">
        <f>N(INDEX(Krankheitstage!$G17:$DV17,1,(Einstellungen!$C$3-2026)*24+23))</f>
        <v/>
      </c>
      <c r="AB17" s="76">
        <f>N(INDEX(Krankheitstage!$G17:$DV17,1,(Einstellungen!$C$3-2026)*24+24))</f>
        <v/>
      </c>
      <c r="AC17" s="76">
        <f>IF($B17="","",SUM(Q17:AB17))</f>
        <v/>
      </c>
      <c r="AD17" s="76">
        <f>IF($B17="","",SUM(P17,AC17))</f>
        <v/>
      </c>
      <c r="AE17" s="77">
        <f>IF($B17="","",AD17*N(C17))</f>
        <v/>
      </c>
      <c r="AF17" s="76">
        <f>IF($B17="","",Krankheitstage!E17)</f>
        <v/>
      </c>
      <c r="AG17" s="77">
        <f>IF($B17="","",AF17*N(C17))</f>
        <v/>
      </c>
    </row>
    <row r="18">
      <c r="A18" s="74">
        <f>IF(Mitarbeiter!B18="","",Mitarbeiter!A18)</f>
        <v/>
      </c>
      <c r="B18" s="6">
        <f>IF(Mitarbeiter!B18="","",Mitarbeiter!B18)</f>
        <v/>
      </c>
      <c r="C18" s="75">
        <f>IF(Mitarbeiter!B18="","",Mitarbeiter!F18)</f>
        <v/>
      </c>
      <c r="D18" s="76">
        <f>N(INDEX(Krankheitstage!$G18:$DV18,1,(Einstellungen!$C$3-2026)*24+1))</f>
        <v/>
      </c>
      <c r="E18" s="76">
        <f>N(INDEX(Krankheitstage!$G18:$DV18,1,(Einstellungen!$C$3-2026)*24+2))</f>
        <v/>
      </c>
      <c r="F18" s="76">
        <f>N(INDEX(Krankheitstage!$G18:$DV18,1,(Einstellungen!$C$3-2026)*24+3))</f>
        <v/>
      </c>
      <c r="G18" s="76">
        <f>N(INDEX(Krankheitstage!$G18:$DV18,1,(Einstellungen!$C$3-2026)*24+4))</f>
        <v/>
      </c>
      <c r="H18" s="76">
        <f>N(INDEX(Krankheitstage!$G18:$DV18,1,(Einstellungen!$C$3-2026)*24+5))</f>
        <v/>
      </c>
      <c r="I18" s="76">
        <f>N(INDEX(Krankheitstage!$G18:$DV18,1,(Einstellungen!$C$3-2026)*24+6))</f>
        <v/>
      </c>
      <c r="J18" s="76">
        <f>N(INDEX(Krankheitstage!$G18:$DV18,1,(Einstellungen!$C$3-2026)*24+7))</f>
        <v/>
      </c>
      <c r="K18" s="76">
        <f>N(INDEX(Krankheitstage!$G18:$DV18,1,(Einstellungen!$C$3-2026)*24+8))</f>
        <v/>
      </c>
      <c r="L18" s="76">
        <f>N(INDEX(Krankheitstage!$G18:$DV18,1,(Einstellungen!$C$3-2026)*24+9))</f>
        <v/>
      </c>
      <c r="M18" s="76">
        <f>N(INDEX(Krankheitstage!$G18:$DV18,1,(Einstellungen!$C$3-2026)*24+10))</f>
        <v/>
      </c>
      <c r="N18" s="76">
        <f>N(INDEX(Krankheitstage!$G18:$DV18,1,(Einstellungen!$C$3-2026)*24+11))</f>
        <v/>
      </c>
      <c r="O18" s="76">
        <f>N(INDEX(Krankheitstage!$G18:$DV18,1,(Einstellungen!$C$3-2026)*24+12))</f>
        <v/>
      </c>
      <c r="P18" s="76">
        <f>IF($B18="","",SUM(D18:O18))</f>
        <v/>
      </c>
      <c r="Q18" s="76">
        <f>N(INDEX(Krankheitstage!$G18:$DV18,1,(Einstellungen!$C$3-2026)*24+13))</f>
        <v/>
      </c>
      <c r="R18" s="76">
        <f>N(INDEX(Krankheitstage!$G18:$DV18,1,(Einstellungen!$C$3-2026)*24+14))</f>
        <v/>
      </c>
      <c r="S18" s="76">
        <f>N(INDEX(Krankheitstage!$G18:$DV18,1,(Einstellungen!$C$3-2026)*24+15))</f>
        <v/>
      </c>
      <c r="T18" s="76">
        <f>N(INDEX(Krankheitstage!$G18:$DV18,1,(Einstellungen!$C$3-2026)*24+16))</f>
        <v/>
      </c>
      <c r="U18" s="76">
        <f>N(INDEX(Krankheitstage!$G18:$DV18,1,(Einstellungen!$C$3-2026)*24+17))</f>
        <v/>
      </c>
      <c r="V18" s="76">
        <f>N(INDEX(Krankheitstage!$G18:$DV18,1,(Einstellungen!$C$3-2026)*24+18))</f>
        <v/>
      </c>
      <c r="W18" s="76">
        <f>N(INDEX(Krankheitstage!$G18:$DV18,1,(Einstellungen!$C$3-2026)*24+19))</f>
        <v/>
      </c>
      <c r="X18" s="76">
        <f>N(INDEX(Krankheitstage!$G18:$DV18,1,(Einstellungen!$C$3-2026)*24+20))</f>
        <v/>
      </c>
      <c r="Y18" s="76">
        <f>N(INDEX(Krankheitstage!$G18:$DV18,1,(Einstellungen!$C$3-2026)*24+21))</f>
        <v/>
      </c>
      <c r="Z18" s="76">
        <f>N(INDEX(Krankheitstage!$G18:$DV18,1,(Einstellungen!$C$3-2026)*24+22))</f>
        <v/>
      </c>
      <c r="AA18" s="76">
        <f>N(INDEX(Krankheitstage!$G18:$DV18,1,(Einstellungen!$C$3-2026)*24+23))</f>
        <v/>
      </c>
      <c r="AB18" s="76">
        <f>N(INDEX(Krankheitstage!$G18:$DV18,1,(Einstellungen!$C$3-2026)*24+24))</f>
        <v/>
      </c>
      <c r="AC18" s="76">
        <f>IF($B18="","",SUM(Q18:AB18))</f>
        <v/>
      </c>
      <c r="AD18" s="76">
        <f>IF($B18="","",SUM(P18,AC18))</f>
        <v/>
      </c>
      <c r="AE18" s="77">
        <f>IF($B18="","",AD18*N(C18))</f>
        <v/>
      </c>
      <c r="AF18" s="76">
        <f>IF($B18="","",Krankheitstage!E18)</f>
        <v/>
      </c>
      <c r="AG18" s="77">
        <f>IF($B18="","",AF18*N(C18))</f>
        <v/>
      </c>
    </row>
    <row r="19">
      <c r="A19" s="74">
        <f>IF(Mitarbeiter!B19="","",Mitarbeiter!A19)</f>
        <v/>
      </c>
      <c r="B19" s="6">
        <f>IF(Mitarbeiter!B19="","",Mitarbeiter!B19)</f>
        <v/>
      </c>
      <c r="C19" s="75">
        <f>IF(Mitarbeiter!B19="","",Mitarbeiter!F19)</f>
        <v/>
      </c>
      <c r="D19" s="76">
        <f>N(INDEX(Krankheitstage!$G19:$DV19,1,(Einstellungen!$C$3-2026)*24+1))</f>
        <v/>
      </c>
      <c r="E19" s="76">
        <f>N(INDEX(Krankheitstage!$G19:$DV19,1,(Einstellungen!$C$3-2026)*24+2))</f>
        <v/>
      </c>
      <c r="F19" s="76">
        <f>N(INDEX(Krankheitstage!$G19:$DV19,1,(Einstellungen!$C$3-2026)*24+3))</f>
        <v/>
      </c>
      <c r="G19" s="76">
        <f>N(INDEX(Krankheitstage!$G19:$DV19,1,(Einstellungen!$C$3-2026)*24+4))</f>
        <v/>
      </c>
      <c r="H19" s="76">
        <f>N(INDEX(Krankheitstage!$G19:$DV19,1,(Einstellungen!$C$3-2026)*24+5))</f>
        <v/>
      </c>
      <c r="I19" s="76">
        <f>N(INDEX(Krankheitstage!$G19:$DV19,1,(Einstellungen!$C$3-2026)*24+6))</f>
        <v/>
      </c>
      <c r="J19" s="76">
        <f>N(INDEX(Krankheitstage!$G19:$DV19,1,(Einstellungen!$C$3-2026)*24+7))</f>
        <v/>
      </c>
      <c r="K19" s="76">
        <f>N(INDEX(Krankheitstage!$G19:$DV19,1,(Einstellungen!$C$3-2026)*24+8))</f>
        <v/>
      </c>
      <c r="L19" s="76">
        <f>N(INDEX(Krankheitstage!$G19:$DV19,1,(Einstellungen!$C$3-2026)*24+9))</f>
        <v/>
      </c>
      <c r="M19" s="76">
        <f>N(INDEX(Krankheitstage!$G19:$DV19,1,(Einstellungen!$C$3-2026)*24+10))</f>
        <v/>
      </c>
      <c r="N19" s="76">
        <f>N(INDEX(Krankheitstage!$G19:$DV19,1,(Einstellungen!$C$3-2026)*24+11))</f>
        <v/>
      </c>
      <c r="O19" s="76">
        <f>N(INDEX(Krankheitstage!$G19:$DV19,1,(Einstellungen!$C$3-2026)*24+12))</f>
        <v/>
      </c>
      <c r="P19" s="76">
        <f>IF($B19="","",SUM(D19:O19))</f>
        <v/>
      </c>
      <c r="Q19" s="76">
        <f>N(INDEX(Krankheitstage!$G19:$DV19,1,(Einstellungen!$C$3-2026)*24+13))</f>
        <v/>
      </c>
      <c r="R19" s="76">
        <f>N(INDEX(Krankheitstage!$G19:$DV19,1,(Einstellungen!$C$3-2026)*24+14))</f>
        <v/>
      </c>
      <c r="S19" s="76">
        <f>N(INDEX(Krankheitstage!$G19:$DV19,1,(Einstellungen!$C$3-2026)*24+15))</f>
        <v/>
      </c>
      <c r="T19" s="76">
        <f>N(INDEX(Krankheitstage!$G19:$DV19,1,(Einstellungen!$C$3-2026)*24+16))</f>
        <v/>
      </c>
      <c r="U19" s="76">
        <f>N(INDEX(Krankheitstage!$G19:$DV19,1,(Einstellungen!$C$3-2026)*24+17))</f>
        <v/>
      </c>
      <c r="V19" s="76">
        <f>N(INDEX(Krankheitstage!$G19:$DV19,1,(Einstellungen!$C$3-2026)*24+18))</f>
        <v/>
      </c>
      <c r="W19" s="76">
        <f>N(INDEX(Krankheitstage!$G19:$DV19,1,(Einstellungen!$C$3-2026)*24+19))</f>
        <v/>
      </c>
      <c r="X19" s="76">
        <f>N(INDEX(Krankheitstage!$G19:$DV19,1,(Einstellungen!$C$3-2026)*24+20))</f>
        <v/>
      </c>
      <c r="Y19" s="76">
        <f>N(INDEX(Krankheitstage!$G19:$DV19,1,(Einstellungen!$C$3-2026)*24+21))</f>
        <v/>
      </c>
      <c r="Z19" s="76">
        <f>N(INDEX(Krankheitstage!$G19:$DV19,1,(Einstellungen!$C$3-2026)*24+22))</f>
        <v/>
      </c>
      <c r="AA19" s="76">
        <f>N(INDEX(Krankheitstage!$G19:$DV19,1,(Einstellungen!$C$3-2026)*24+23))</f>
        <v/>
      </c>
      <c r="AB19" s="76">
        <f>N(INDEX(Krankheitstage!$G19:$DV19,1,(Einstellungen!$C$3-2026)*24+24))</f>
        <v/>
      </c>
      <c r="AC19" s="76">
        <f>IF($B19="","",SUM(Q19:AB19))</f>
        <v/>
      </c>
      <c r="AD19" s="76">
        <f>IF($B19="","",SUM(P19,AC19))</f>
        <v/>
      </c>
      <c r="AE19" s="77">
        <f>IF($B19="","",AD19*N(C19))</f>
        <v/>
      </c>
      <c r="AF19" s="76">
        <f>IF($B19="","",Krankheitstage!E19)</f>
        <v/>
      </c>
      <c r="AG19" s="77">
        <f>IF($B19="","",AF19*N(C19))</f>
        <v/>
      </c>
    </row>
    <row r="20">
      <c r="A20" s="74">
        <f>IF(Mitarbeiter!B20="","",Mitarbeiter!A20)</f>
        <v/>
      </c>
      <c r="B20" s="6">
        <f>IF(Mitarbeiter!B20="","",Mitarbeiter!B20)</f>
        <v/>
      </c>
      <c r="C20" s="75">
        <f>IF(Mitarbeiter!B20="","",Mitarbeiter!F20)</f>
        <v/>
      </c>
      <c r="D20" s="76">
        <f>N(INDEX(Krankheitstage!$G20:$DV20,1,(Einstellungen!$C$3-2026)*24+1))</f>
        <v/>
      </c>
      <c r="E20" s="76">
        <f>N(INDEX(Krankheitstage!$G20:$DV20,1,(Einstellungen!$C$3-2026)*24+2))</f>
        <v/>
      </c>
      <c r="F20" s="76">
        <f>N(INDEX(Krankheitstage!$G20:$DV20,1,(Einstellungen!$C$3-2026)*24+3))</f>
        <v/>
      </c>
      <c r="G20" s="76">
        <f>N(INDEX(Krankheitstage!$G20:$DV20,1,(Einstellungen!$C$3-2026)*24+4))</f>
        <v/>
      </c>
      <c r="H20" s="76">
        <f>N(INDEX(Krankheitstage!$G20:$DV20,1,(Einstellungen!$C$3-2026)*24+5))</f>
        <v/>
      </c>
      <c r="I20" s="76">
        <f>N(INDEX(Krankheitstage!$G20:$DV20,1,(Einstellungen!$C$3-2026)*24+6))</f>
        <v/>
      </c>
      <c r="J20" s="76">
        <f>N(INDEX(Krankheitstage!$G20:$DV20,1,(Einstellungen!$C$3-2026)*24+7))</f>
        <v/>
      </c>
      <c r="K20" s="76">
        <f>N(INDEX(Krankheitstage!$G20:$DV20,1,(Einstellungen!$C$3-2026)*24+8))</f>
        <v/>
      </c>
      <c r="L20" s="76">
        <f>N(INDEX(Krankheitstage!$G20:$DV20,1,(Einstellungen!$C$3-2026)*24+9))</f>
        <v/>
      </c>
      <c r="M20" s="76">
        <f>N(INDEX(Krankheitstage!$G20:$DV20,1,(Einstellungen!$C$3-2026)*24+10))</f>
        <v/>
      </c>
      <c r="N20" s="76">
        <f>N(INDEX(Krankheitstage!$G20:$DV20,1,(Einstellungen!$C$3-2026)*24+11))</f>
        <v/>
      </c>
      <c r="O20" s="76">
        <f>N(INDEX(Krankheitstage!$G20:$DV20,1,(Einstellungen!$C$3-2026)*24+12))</f>
        <v/>
      </c>
      <c r="P20" s="76">
        <f>IF($B20="","",SUM(D20:O20))</f>
        <v/>
      </c>
      <c r="Q20" s="76">
        <f>N(INDEX(Krankheitstage!$G20:$DV20,1,(Einstellungen!$C$3-2026)*24+13))</f>
        <v/>
      </c>
      <c r="R20" s="76">
        <f>N(INDEX(Krankheitstage!$G20:$DV20,1,(Einstellungen!$C$3-2026)*24+14))</f>
        <v/>
      </c>
      <c r="S20" s="76">
        <f>N(INDEX(Krankheitstage!$G20:$DV20,1,(Einstellungen!$C$3-2026)*24+15))</f>
        <v/>
      </c>
      <c r="T20" s="76">
        <f>N(INDEX(Krankheitstage!$G20:$DV20,1,(Einstellungen!$C$3-2026)*24+16))</f>
        <v/>
      </c>
      <c r="U20" s="76">
        <f>N(INDEX(Krankheitstage!$G20:$DV20,1,(Einstellungen!$C$3-2026)*24+17))</f>
        <v/>
      </c>
      <c r="V20" s="76">
        <f>N(INDEX(Krankheitstage!$G20:$DV20,1,(Einstellungen!$C$3-2026)*24+18))</f>
        <v/>
      </c>
      <c r="W20" s="76">
        <f>N(INDEX(Krankheitstage!$G20:$DV20,1,(Einstellungen!$C$3-2026)*24+19))</f>
        <v/>
      </c>
      <c r="X20" s="76">
        <f>N(INDEX(Krankheitstage!$G20:$DV20,1,(Einstellungen!$C$3-2026)*24+20))</f>
        <v/>
      </c>
      <c r="Y20" s="76">
        <f>N(INDEX(Krankheitstage!$G20:$DV20,1,(Einstellungen!$C$3-2026)*24+21))</f>
        <v/>
      </c>
      <c r="Z20" s="76">
        <f>N(INDEX(Krankheitstage!$G20:$DV20,1,(Einstellungen!$C$3-2026)*24+22))</f>
        <v/>
      </c>
      <c r="AA20" s="76">
        <f>N(INDEX(Krankheitstage!$G20:$DV20,1,(Einstellungen!$C$3-2026)*24+23))</f>
        <v/>
      </c>
      <c r="AB20" s="76">
        <f>N(INDEX(Krankheitstage!$G20:$DV20,1,(Einstellungen!$C$3-2026)*24+24))</f>
        <v/>
      </c>
      <c r="AC20" s="76">
        <f>IF($B20="","",SUM(Q20:AB20))</f>
        <v/>
      </c>
      <c r="AD20" s="76">
        <f>IF($B20="","",SUM(P20,AC20))</f>
        <v/>
      </c>
      <c r="AE20" s="77">
        <f>IF($B20="","",AD20*N(C20))</f>
        <v/>
      </c>
      <c r="AF20" s="76">
        <f>IF($B20="","",Krankheitstage!E20)</f>
        <v/>
      </c>
      <c r="AG20" s="77">
        <f>IF($B20="","",AF20*N(C20))</f>
        <v/>
      </c>
    </row>
    <row r="21">
      <c r="A21" s="74">
        <f>IF(Mitarbeiter!B21="","",Mitarbeiter!A21)</f>
        <v/>
      </c>
      <c r="B21" s="6">
        <f>IF(Mitarbeiter!B21="","",Mitarbeiter!B21)</f>
        <v/>
      </c>
      <c r="C21" s="75">
        <f>IF(Mitarbeiter!B21="","",Mitarbeiter!F21)</f>
        <v/>
      </c>
      <c r="D21" s="76">
        <f>N(INDEX(Krankheitstage!$G21:$DV21,1,(Einstellungen!$C$3-2026)*24+1))</f>
        <v/>
      </c>
      <c r="E21" s="76">
        <f>N(INDEX(Krankheitstage!$G21:$DV21,1,(Einstellungen!$C$3-2026)*24+2))</f>
        <v/>
      </c>
      <c r="F21" s="76">
        <f>N(INDEX(Krankheitstage!$G21:$DV21,1,(Einstellungen!$C$3-2026)*24+3))</f>
        <v/>
      </c>
      <c r="G21" s="76">
        <f>N(INDEX(Krankheitstage!$G21:$DV21,1,(Einstellungen!$C$3-2026)*24+4))</f>
        <v/>
      </c>
      <c r="H21" s="76">
        <f>N(INDEX(Krankheitstage!$G21:$DV21,1,(Einstellungen!$C$3-2026)*24+5))</f>
        <v/>
      </c>
      <c r="I21" s="76">
        <f>N(INDEX(Krankheitstage!$G21:$DV21,1,(Einstellungen!$C$3-2026)*24+6))</f>
        <v/>
      </c>
      <c r="J21" s="76">
        <f>N(INDEX(Krankheitstage!$G21:$DV21,1,(Einstellungen!$C$3-2026)*24+7))</f>
        <v/>
      </c>
      <c r="K21" s="76">
        <f>N(INDEX(Krankheitstage!$G21:$DV21,1,(Einstellungen!$C$3-2026)*24+8))</f>
        <v/>
      </c>
      <c r="L21" s="76">
        <f>N(INDEX(Krankheitstage!$G21:$DV21,1,(Einstellungen!$C$3-2026)*24+9))</f>
        <v/>
      </c>
      <c r="M21" s="76">
        <f>N(INDEX(Krankheitstage!$G21:$DV21,1,(Einstellungen!$C$3-2026)*24+10))</f>
        <v/>
      </c>
      <c r="N21" s="76">
        <f>N(INDEX(Krankheitstage!$G21:$DV21,1,(Einstellungen!$C$3-2026)*24+11))</f>
        <v/>
      </c>
      <c r="O21" s="76">
        <f>N(INDEX(Krankheitstage!$G21:$DV21,1,(Einstellungen!$C$3-2026)*24+12))</f>
        <v/>
      </c>
      <c r="P21" s="76">
        <f>IF($B21="","",SUM(D21:O21))</f>
        <v/>
      </c>
      <c r="Q21" s="76">
        <f>N(INDEX(Krankheitstage!$G21:$DV21,1,(Einstellungen!$C$3-2026)*24+13))</f>
        <v/>
      </c>
      <c r="R21" s="76">
        <f>N(INDEX(Krankheitstage!$G21:$DV21,1,(Einstellungen!$C$3-2026)*24+14))</f>
        <v/>
      </c>
      <c r="S21" s="76">
        <f>N(INDEX(Krankheitstage!$G21:$DV21,1,(Einstellungen!$C$3-2026)*24+15))</f>
        <v/>
      </c>
      <c r="T21" s="76">
        <f>N(INDEX(Krankheitstage!$G21:$DV21,1,(Einstellungen!$C$3-2026)*24+16))</f>
        <v/>
      </c>
      <c r="U21" s="76">
        <f>N(INDEX(Krankheitstage!$G21:$DV21,1,(Einstellungen!$C$3-2026)*24+17))</f>
        <v/>
      </c>
      <c r="V21" s="76">
        <f>N(INDEX(Krankheitstage!$G21:$DV21,1,(Einstellungen!$C$3-2026)*24+18))</f>
        <v/>
      </c>
      <c r="W21" s="76">
        <f>N(INDEX(Krankheitstage!$G21:$DV21,1,(Einstellungen!$C$3-2026)*24+19))</f>
        <v/>
      </c>
      <c r="X21" s="76">
        <f>N(INDEX(Krankheitstage!$G21:$DV21,1,(Einstellungen!$C$3-2026)*24+20))</f>
        <v/>
      </c>
      <c r="Y21" s="76">
        <f>N(INDEX(Krankheitstage!$G21:$DV21,1,(Einstellungen!$C$3-2026)*24+21))</f>
        <v/>
      </c>
      <c r="Z21" s="76">
        <f>N(INDEX(Krankheitstage!$G21:$DV21,1,(Einstellungen!$C$3-2026)*24+22))</f>
        <v/>
      </c>
      <c r="AA21" s="76">
        <f>N(INDEX(Krankheitstage!$G21:$DV21,1,(Einstellungen!$C$3-2026)*24+23))</f>
        <v/>
      </c>
      <c r="AB21" s="76">
        <f>N(INDEX(Krankheitstage!$G21:$DV21,1,(Einstellungen!$C$3-2026)*24+24))</f>
        <v/>
      </c>
      <c r="AC21" s="76">
        <f>IF($B21="","",SUM(Q21:AB21))</f>
        <v/>
      </c>
      <c r="AD21" s="76">
        <f>IF($B21="","",SUM(P21,AC21))</f>
        <v/>
      </c>
      <c r="AE21" s="77">
        <f>IF($B21="","",AD21*N(C21))</f>
        <v/>
      </c>
      <c r="AF21" s="76">
        <f>IF($B21="","",Krankheitstage!E21)</f>
        <v/>
      </c>
      <c r="AG21" s="77">
        <f>IF($B21="","",AF21*N(C21))</f>
        <v/>
      </c>
    </row>
    <row r="22">
      <c r="A22" s="74">
        <f>IF(Mitarbeiter!B22="","",Mitarbeiter!A22)</f>
        <v/>
      </c>
      <c r="B22" s="6">
        <f>IF(Mitarbeiter!B22="","",Mitarbeiter!B22)</f>
        <v/>
      </c>
      <c r="C22" s="75">
        <f>IF(Mitarbeiter!B22="","",Mitarbeiter!F22)</f>
        <v/>
      </c>
      <c r="D22" s="76">
        <f>N(INDEX(Krankheitstage!$G22:$DV22,1,(Einstellungen!$C$3-2026)*24+1))</f>
        <v/>
      </c>
      <c r="E22" s="76">
        <f>N(INDEX(Krankheitstage!$G22:$DV22,1,(Einstellungen!$C$3-2026)*24+2))</f>
        <v/>
      </c>
      <c r="F22" s="76">
        <f>N(INDEX(Krankheitstage!$G22:$DV22,1,(Einstellungen!$C$3-2026)*24+3))</f>
        <v/>
      </c>
      <c r="G22" s="76">
        <f>N(INDEX(Krankheitstage!$G22:$DV22,1,(Einstellungen!$C$3-2026)*24+4))</f>
        <v/>
      </c>
      <c r="H22" s="76">
        <f>N(INDEX(Krankheitstage!$G22:$DV22,1,(Einstellungen!$C$3-2026)*24+5))</f>
        <v/>
      </c>
      <c r="I22" s="76">
        <f>N(INDEX(Krankheitstage!$G22:$DV22,1,(Einstellungen!$C$3-2026)*24+6))</f>
        <v/>
      </c>
      <c r="J22" s="76">
        <f>N(INDEX(Krankheitstage!$G22:$DV22,1,(Einstellungen!$C$3-2026)*24+7))</f>
        <v/>
      </c>
      <c r="K22" s="76">
        <f>N(INDEX(Krankheitstage!$G22:$DV22,1,(Einstellungen!$C$3-2026)*24+8))</f>
        <v/>
      </c>
      <c r="L22" s="76">
        <f>N(INDEX(Krankheitstage!$G22:$DV22,1,(Einstellungen!$C$3-2026)*24+9))</f>
        <v/>
      </c>
      <c r="M22" s="76">
        <f>N(INDEX(Krankheitstage!$G22:$DV22,1,(Einstellungen!$C$3-2026)*24+10))</f>
        <v/>
      </c>
      <c r="N22" s="76">
        <f>N(INDEX(Krankheitstage!$G22:$DV22,1,(Einstellungen!$C$3-2026)*24+11))</f>
        <v/>
      </c>
      <c r="O22" s="76">
        <f>N(INDEX(Krankheitstage!$G22:$DV22,1,(Einstellungen!$C$3-2026)*24+12))</f>
        <v/>
      </c>
      <c r="P22" s="76">
        <f>IF($B22="","",SUM(D22:O22))</f>
        <v/>
      </c>
      <c r="Q22" s="76">
        <f>N(INDEX(Krankheitstage!$G22:$DV22,1,(Einstellungen!$C$3-2026)*24+13))</f>
        <v/>
      </c>
      <c r="R22" s="76">
        <f>N(INDEX(Krankheitstage!$G22:$DV22,1,(Einstellungen!$C$3-2026)*24+14))</f>
        <v/>
      </c>
      <c r="S22" s="76">
        <f>N(INDEX(Krankheitstage!$G22:$DV22,1,(Einstellungen!$C$3-2026)*24+15))</f>
        <v/>
      </c>
      <c r="T22" s="76">
        <f>N(INDEX(Krankheitstage!$G22:$DV22,1,(Einstellungen!$C$3-2026)*24+16))</f>
        <v/>
      </c>
      <c r="U22" s="76">
        <f>N(INDEX(Krankheitstage!$G22:$DV22,1,(Einstellungen!$C$3-2026)*24+17))</f>
        <v/>
      </c>
      <c r="V22" s="76">
        <f>N(INDEX(Krankheitstage!$G22:$DV22,1,(Einstellungen!$C$3-2026)*24+18))</f>
        <v/>
      </c>
      <c r="W22" s="76">
        <f>N(INDEX(Krankheitstage!$G22:$DV22,1,(Einstellungen!$C$3-2026)*24+19))</f>
        <v/>
      </c>
      <c r="X22" s="76">
        <f>N(INDEX(Krankheitstage!$G22:$DV22,1,(Einstellungen!$C$3-2026)*24+20))</f>
        <v/>
      </c>
      <c r="Y22" s="76">
        <f>N(INDEX(Krankheitstage!$G22:$DV22,1,(Einstellungen!$C$3-2026)*24+21))</f>
        <v/>
      </c>
      <c r="Z22" s="76">
        <f>N(INDEX(Krankheitstage!$G22:$DV22,1,(Einstellungen!$C$3-2026)*24+22))</f>
        <v/>
      </c>
      <c r="AA22" s="76">
        <f>N(INDEX(Krankheitstage!$G22:$DV22,1,(Einstellungen!$C$3-2026)*24+23))</f>
        <v/>
      </c>
      <c r="AB22" s="76">
        <f>N(INDEX(Krankheitstage!$G22:$DV22,1,(Einstellungen!$C$3-2026)*24+24))</f>
        <v/>
      </c>
      <c r="AC22" s="76">
        <f>IF($B22="","",SUM(Q22:AB22))</f>
        <v/>
      </c>
      <c r="AD22" s="76">
        <f>IF($B22="","",SUM(P22,AC22))</f>
        <v/>
      </c>
      <c r="AE22" s="77">
        <f>IF($B22="","",AD22*N(C22))</f>
        <v/>
      </c>
      <c r="AF22" s="76">
        <f>IF($B22="","",Krankheitstage!E22)</f>
        <v/>
      </c>
      <c r="AG22" s="77">
        <f>IF($B22="","",AF22*N(C22))</f>
        <v/>
      </c>
    </row>
    <row r="23">
      <c r="A23" s="74">
        <f>IF(Mitarbeiter!B23="","",Mitarbeiter!A23)</f>
        <v/>
      </c>
      <c r="B23" s="6">
        <f>IF(Mitarbeiter!B23="","",Mitarbeiter!B23)</f>
        <v/>
      </c>
      <c r="C23" s="75">
        <f>IF(Mitarbeiter!B23="","",Mitarbeiter!F23)</f>
        <v/>
      </c>
      <c r="D23" s="76">
        <f>N(INDEX(Krankheitstage!$G23:$DV23,1,(Einstellungen!$C$3-2026)*24+1))</f>
        <v/>
      </c>
      <c r="E23" s="76">
        <f>N(INDEX(Krankheitstage!$G23:$DV23,1,(Einstellungen!$C$3-2026)*24+2))</f>
        <v/>
      </c>
      <c r="F23" s="76">
        <f>N(INDEX(Krankheitstage!$G23:$DV23,1,(Einstellungen!$C$3-2026)*24+3))</f>
        <v/>
      </c>
      <c r="G23" s="76">
        <f>N(INDEX(Krankheitstage!$G23:$DV23,1,(Einstellungen!$C$3-2026)*24+4))</f>
        <v/>
      </c>
      <c r="H23" s="76">
        <f>N(INDEX(Krankheitstage!$G23:$DV23,1,(Einstellungen!$C$3-2026)*24+5))</f>
        <v/>
      </c>
      <c r="I23" s="76">
        <f>N(INDEX(Krankheitstage!$G23:$DV23,1,(Einstellungen!$C$3-2026)*24+6))</f>
        <v/>
      </c>
      <c r="J23" s="76">
        <f>N(INDEX(Krankheitstage!$G23:$DV23,1,(Einstellungen!$C$3-2026)*24+7))</f>
        <v/>
      </c>
      <c r="K23" s="76">
        <f>N(INDEX(Krankheitstage!$G23:$DV23,1,(Einstellungen!$C$3-2026)*24+8))</f>
        <v/>
      </c>
      <c r="L23" s="76">
        <f>N(INDEX(Krankheitstage!$G23:$DV23,1,(Einstellungen!$C$3-2026)*24+9))</f>
        <v/>
      </c>
      <c r="M23" s="76">
        <f>N(INDEX(Krankheitstage!$G23:$DV23,1,(Einstellungen!$C$3-2026)*24+10))</f>
        <v/>
      </c>
      <c r="N23" s="76">
        <f>N(INDEX(Krankheitstage!$G23:$DV23,1,(Einstellungen!$C$3-2026)*24+11))</f>
        <v/>
      </c>
      <c r="O23" s="76">
        <f>N(INDEX(Krankheitstage!$G23:$DV23,1,(Einstellungen!$C$3-2026)*24+12))</f>
        <v/>
      </c>
      <c r="P23" s="76">
        <f>IF($B23="","",SUM(D23:O23))</f>
        <v/>
      </c>
      <c r="Q23" s="76">
        <f>N(INDEX(Krankheitstage!$G23:$DV23,1,(Einstellungen!$C$3-2026)*24+13))</f>
        <v/>
      </c>
      <c r="R23" s="76">
        <f>N(INDEX(Krankheitstage!$G23:$DV23,1,(Einstellungen!$C$3-2026)*24+14))</f>
        <v/>
      </c>
      <c r="S23" s="76">
        <f>N(INDEX(Krankheitstage!$G23:$DV23,1,(Einstellungen!$C$3-2026)*24+15))</f>
        <v/>
      </c>
      <c r="T23" s="76">
        <f>N(INDEX(Krankheitstage!$G23:$DV23,1,(Einstellungen!$C$3-2026)*24+16))</f>
        <v/>
      </c>
      <c r="U23" s="76">
        <f>N(INDEX(Krankheitstage!$G23:$DV23,1,(Einstellungen!$C$3-2026)*24+17))</f>
        <v/>
      </c>
      <c r="V23" s="76">
        <f>N(INDEX(Krankheitstage!$G23:$DV23,1,(Einstellungen!$C$3-2026)*24+18))</f>
        <v/>
      </c>
      <c r="W23" s="76">
        <f>N(INDEX(Krankheitstage!$G23:$DV23,1,(Einstellungen!$C$3-2026)*24+19))</f>
        <v/>
      </c>
      <c r="X23" s="76">
        <f>N(INDEX(Krankheitstage!$G23:$DV23,1,(Einstellungen!$C$3-2026)*24+20))</f>
        <v/>
      </c>
      <c r="Y23" s="76">
        <f>N(INDEX(Krankheitstage!$G23:$DV23,1,(Einstellungen!$C$3-2026)*24+21))</f>
        <v/>
      </c>
      <c r="Z23" s="76">
        <f>N(INDEX(Krankheitstage!$G23:$DV23,1,(Einstellungen!$C$3-2026)*24+22))</f>
        <v/>
      </c>
      <c r="AA23" s="76">
        <f>N(INDEX(Krankheitstage!$G23:$DV23,1,(Einstellungen!$C$3-2026)*24+23))</f>
        <v/>
      </c>
      <c r="AB23" s="76">
        <f>N(INDEX(Krankheitstage!$G23:$DV23,1,(Einstellungen!$C$3-2026)*24+24))</f>
        <v/>
      </c>
      <c r="AC23" s="76">
        <f>IF($B23="","",SUM(Q23:AB23))</f>
        <v/>
      </c>
      <c r="AD23" s="76">
        <f>IF($B23="","",SUM(P23,AC23))</f>
        <v/>
      </c>
      <c r="AE23" s="77">
        <f>IF($B23="","",AD23*N(C23))</f>
        <v/>
      </c>
      <c r="AF23" s="76">
        <f>IF($B23="","",Krankheitstage!E23)</f>
        <v/>
      </c>
      <c r="AG23" s="77">
        <f>IF($B23="","",AF23*N(C23))</f>
        <v/>
      </c>
    </row>
    <row r="24">
      <c r="A24" s="74">
        <f>IF(Mitarbeiter!B24="","",Mitarbeiter!A24)</f>
        <v/>
      </c>
      <c r="B24" s="6">
        <f>IF(Mitarbeiter!B24="","",Mitarbeiter!B24)</f>
        <v/>
      </c>
      <c r="C24" s="75">
        <f>IF(Mitarbeiter!B24="","",Mitarbeiter!F24)</f>
        <v/>
      </c>
      <c r="D24" s="76">
        <f>N(INDEX(Krankheitstage!$G24:$DV24,1,(Einstellungen!$C$3-2026)*24+1))</f>
        <v/>
      </c>
      <c r="E24" s="76">
        <f>N(INDEX(Krankheitstage!$G24:$DV24,1,(Einstellungen!$C$3-2026)*24+2))</f>
        <v/>
      </c>
      <c r="F24" s="76">
        <f>N(INDEX(Krankheitstage!$G24:$DV24,1,(Einstellungen!$C$3-2026)*24+3))</f>
        <v/>
      </c>
      <c r="G24" s="76">
        <f>N(INDEX(Krankheitstage!$G24:$DV24,1,(Einstellungen!$C$3-2026)*24+4))</f>
        <v/>
      </c>
      <c r="H24" s="76">
        <f>N(INDEX(Krankheitstage!$G24:$DV24,1,(Einstellungen!$C$3-2026)*24+5))</f>
        <v/>
      </c>
      <c r="I24" s="76">
        <f>N(INDEX(Krankheitstage!$G24:$DV24,1,(Einstellungen!$C$3-2026)*24+6))</f>
        <v/>
      </c>
      <c r="J24" s="76">
        <f>N(INDEX(Krankheitstage!$G24:$DV24,1,(Einstellungen!$C$3-2026)*24+7))</f>
        <v/>
      </c>
      <c r="K24" s="76">
        <f>N(INDEX(Krankheitstage!$G24:$DV24,1,(Einstellungen!$C$3-2026)*24+8))</f>
        <v/>
      </c>
      <c r="L24" s="76">
        <f>N(INDEX(Krankheitstage!$G24:$DV24,1,(Einstellungen!$C$3-2026)*24+9))</f>
        <v/>
      </c>
      <c r="M24" s="76">
        <f>N(INDEX(Krankheitstage!$G24:$DV24,1,(Einstellungen!$C$3-2026)*24+10))</f>
        <v/>
      </c>
      <c r="N24" s="76">
        <f>N(INDEX(Krankheitstage!$G24:$DV24,1,(Einstellungen!$C$3-2026)*24+11))</f>
        <v/>
      </c>
      <c r="O24" s="76">
        <f>N(INDEX(Krankheitstage!$G24:$DV24,1,(Einstellungen!$C$3-2026)*24+12))</f>
        <v/>
      </c>
      <c r="P24" s="76">
        <f>IF($B24="","",SUM(D24:O24))</f>
        <v/>
      </c>
      <c r="Q24" s="76">
        <f>N(INDEX(Krankheitstage!$G24:$DV24,1,(Einstellungen!$C$3-2026)*24+13))</f>
        <v/>
      </c>
      <c r="R24" s="76">
        <f>N(INDEX(Krankheitstage!$G24:$DV24,1,(Einstellungen!$C$3-2026)*24+14))</f>
        <v/>
      </c>
      <c r="S24" s="76">
        <f>N(INDEX(Krankheitstage!$G24:$DV24,1,(Einstellungen!$C$3-2026)*24+15))</f>
        <v/>
      </c>
      <c r="T24" s="76">
        <f>N(INDEX(Krankheitstage!$G24:$DV24,1,(Einstellungen!$C$3-2026)*24+16))</f>
        <v/>
      </c>
      <c r="U24" s="76">
        <f>N(INDEX(Krankheitstage!$G24:$DV24,1,(Einstellungen!$C$3-2026)*24+17))</f>
        <v/>
      </c>
      <c r="V24" s="76">
        <f>N(INDEX(Krankheitstage!$G24:$DV24,1,(Einstellungen!$C$3-2026)*24+18))</f>
        <v/>
      </c>
      <c r="W24" s="76">
        <f>N(INDEX(Krankheitstage!$G24:$DV24,1,(Einstellungen!$C$3-2026)*24+19))</f>
        <v/>
      </c>
      <c r="X24" s="76">
        <f>N(INDEX(Krankheitstage!$G24:$DV24,1,(Einstellungen!$C$3-2026)*24+20))</f>
        <v/>
      </c>
      <c r="Y24" s="76">
        <f>N(INDEX(Krankheitstage!$G24:$DV24,1,(Einstellungen!$C$3-2026)*24+21))</f>
        <v/>
      </c>
      <c r="Z24" s="76">
        <f>N(INDEX(Krankheitstage!$G24:$DV24,1,(Einstellungen!$C$3-2026)*24+22))</f>
        <v/>
      </c>
      <c r="AA24" s="76">
        <f>N(INDEX(Krankheitstage!$G24:$DV24,1,(Einstellungen!$C$3-2026)*24+23))</f>
        <v/>
      </c>
      <c r="AB24" s="76">
        <f>N(INDEX(Krankheitstage!$G24:$DV24,1,(Einstellungen!$C$3-2026)*24+24))</f>
        <v/>
      </c>
      <c r="AC24" s="76">
        <f>IF($B24="","",SUM(Q24:AB24))</f>
        <v/>
      </c>
      <c r="AD24" s="76">
        <f>IF($B24="","",SUM(P24,AC24))</f>
        <v/>
      </c>
      <c r="AE24" s="77">
        <f>IF($B24="","",AD24*N(C24))</f>
        <v/>
      </c>
      <c r="AF24" s="76">
        <f>IF($B24="","",Krankheitstage!E24)</f>
        <v/>
      </c>
      <c r="AG24" s="77">
        <f>IF($B24="","",AF24*N(C24))</f>
        <v/>
      </c>
    </row>
    <row r="25">
      <c r="A25" s="74">
        <f>IF(Mitarbeiter!B25="","",Mitarbeiter!A25)</f>
        <v/>
      </c>
      <c r="B25" s="6">
        <f>IF(Mitarbeiter!B25="","",Mitarbeiter!B25)</f>
        <v/>
      </c>
      <c r="C25" s="75">
        <f>IF(Mitarbeiter!B25="","",Mitarbeiter!F25)</f>
        <v/>
      </c>
      <c r="D25" s="76">
        <f>N(INDEX(Krankheitstage!$G25:$DV25,1,(Einstellungen!$C$3-2026)*24+1))</f>
        <v/>
      </c>
      <c r="E25" s="76">
        <f>N(INDEX(Krankheitstage!$G25:$DV25,1,(Einstellungen!$C$3-2026)*24+2))</f>
        <v/>
      </c>
      <c r="F25" s="76">
        <f>N(INDEX(Krankheitstage!$G25:$DV25,1,(Einstellungen!$C$3-2026)*24+3))</f>
        <v/>
      </c>
      <c r="G25" s="76">
        <f>N(INDEX(Krankheitstage!$G25:$DV25,1,(Einstellungen!$C$3-2026)*24+4))</f>
        <v/>
      </c>
      <c r="H25" s="76">
        <f>N(INDEX(Krankheitstage!$G25:$DV25,1,(Einstellungen!$C$3-2026)*24+5))</f>
        <v/>
      </c>
      <c r="I25" s="76">
        <f>N(INDEX(Krankheitstage!$G25:$DV25,1,(Einstellungen!$C$3-2026)*24+6))</f>
        <v/>
      </c>
      <c r="J25" s="76">
        <f>N(INDEX(Krankheitstage!$G25:$DV25,1,(Einstellungen!$C$3-2026)*24+7))</f>
        <v/>
      </c>
      <c r="K25" s="76">
        <f>N(INDEX(Krankheitstage!$G25:$DV25,1,(Einstellungen!$C$3-2026)*24+8))</f>
        <v/>
      </c>
      <c r="L25" s="76">
        <f>N(INDEX(Krankheitstage!$G25:$DV25,1,(Einstellungen!$C$3-2026)*24+9))</f>
        <v/>
      </c>
      <c r="M25" s="76">
        <f>N(INDEX(Krankheitstage!$G25:$DV25,1,(Einstellungen!$C$3-2026)*24+10))</f>
        <v/>
      </c>
      <c r="N25" s="76">
        <f>N(INDEX(Krankheitstage!$G25:$DV25,1,(Einstellungen!$C$3-2026)*24+11))</f>
        <v/>
      </c>
      <c r="O25" s="76">
        <f>N(INDEX(Krankheitstage!$G25:$DV25,1,(Einstellungen!$C$3-2026)*24+12))</f>
        <v/>
      </c>
      <c r="P25" s="76">
        <f>IF($B25="","",SUM(D25:O25))</f>
        <v/>
      </c>
      <c r="Q25" s="76">
        <f>N(INDEX(Krankheitstage!$G25:$DV25,1,(Einstellungen!$C$3-2026)*24+13))</f>
        <v/>
      </c>
      <c r="R25" s="76">
        <f>N(INDEX(Krankheitstage!$G25:$DV25,1,(Einstellungen!$C$3-2026)*24+14))</f>
        <v/>
      </c>
      <c r="S25" s="76">
        <f>N(INDEX(Krankheitstage!$G25:$DV25,1,(Einstellungen!$C$3-2026)*24+15))</f>
        <v/>
      </c>
      <c r="T25" s="76">
        <f>N(INDEX(Krankheitstage!$G25:$DV25,1,(Einstellungen!$C$3-2026)*24+16))</f>
        <v/>
      </c>
      <c r="U25" s="76">
        <f>N(INDEX(Krankheitstage!$G25:$DV25,1,(Einstellungen!$C$3-2026)*24+17))</f>
        <v/>
      </c>
      <c r="V25" s="76">
        <f>N(INDEX(Krankheitstage!$G25:$DV25,1,(Einstellungen!$C$3-2026)*24+18))</f>
        <v/>
      </c>
      <c r="W25" s="76">
        <f>N(INDEX(Krankheitstage!$G25:$DV25,1,(Einstellungen!$C$3-2026)*24+19))</f>
        <v/>
      </c>
      <c r="X25" s="76">
        <f>N(INDEX(Krankheitstage!$G25:$DV25,1,(Einstellungen!$C$3-2026)*24+20))</f>
        <v/>
      </c>
      <c r="Y25" s="76">
        <f>N(INDEX(Krankheitstage!$G25:$DV25,1,(Einstellungen!$C$3-2026)*24+21))</f>
        <v/>
      </c>
      <c r="Z25" s="76">
        <f>N(INDEX(Krankheitstage!$G25:$DV25,1,(Einstellungen!$C$3-2026)*24+22))</f>
        <v/>
      </c>
      <c r="AA25" s="76">
        <f>N(INDEX(Krankheitstage!$G25:$DV25,1,(Einstellungen!$C$3-2026)*24+23))</f>
        <v/>
      </c>
      <c r="AB25" s="76">
        <f>N(INDEX(Krankheitstage!$G25:$DV25,1,(Einstellungen!$C$3-2026)*24+24))</f>
        <v/>
      </c>
      <c r="AC25" s="76">
        <f>IF($B25="","",SUM(Q25:AB25))</f>
        <v/>
      </c>
      <c r="AD25" s="76">
        <f>IF($B25="","",SUM(P25,AC25))</f>
        <v/>
      </c>
      <c r="AE25" s="77">
        <f>IF($B25="","",AD25*N(C25))</f>
        <v/>
      </c>
      <c r="AF25" s="76">
        <f>IF($B25="","",Krankheitstage!E25)</f>
        <v/>
      </c>
      <c r="AG25" s="77">
        <f>IF($B25="","",AF25*N(C25))</f>
        <v/>
      </c>
    </row>
    <row r="26">
      <c r="A26" s="74">
        <f>IF(Mitarbeiter!B26="","",Mitarbeiter!A26)</f>
        <v/>
      </c>
      <c r="B26" s="6">
        <f>IF(Mitarbeiter!B26="","",Mitarbeiter!B26)</f>
        <v/>
      </c>
      <c r="C26" s="75">
        <f>IF(Mitarbeiter!B26="","",Mitarbeiter!F26)</f>
        <v/>
      </c>
      <c r="D26" s="76">
        <f>N(INDEX(Krankheitstage!$G26:$DV26,1,(Einstellungen!$C$3-2026)*24+1))</f>
        <v/>
      </c>
      <c r="E26" s="76">
        <f>N(INDEX(Krankheitstage!$G26:$DV26,1,(Einstellungen!$C$3-2026)*24+2))</f>
        <v/>
      </c>
      <c r="F26" s="76">
        <f>N(INDEX(Krankheitstage!$G26:$DV26,1,(Einstellungen!$C$3-2026)*24+3))</f>
        <v/>
      </c>
      <c r="G26" s="76">
        <f>N(INDEX(Krankheitstage!$G26:$DV26,1,(Einstellungen!$C$3-2026)*24+4))</f>
        <v/>
      </c>
      <c r="H26" s="76">
        <f>N(INDEX(Krankheitstage!$G26:$DV26,1,(Einstellungen!$C$3-2026)*24+5))</f>
        <v/>
      </c>
      <c r="I26" s="76">
        <f>N(INDEX(Krankheitstage!$G26:$DV26,1,(Einstellungen!$C$3-2026)*24+6))</f>
        <v/>
      </c>
      <c r="J26" s="76">
        <f>N(INDEX(Krankheitstage!$G26:$DV26,1,(Einstellungen!$C$3-2026)*24+7))</f>
        <v/>
      </c>
      <c r="K26" s="76">
        <f>N(INDEX(Krankheitstage!$G26:$DV26,1,(Einstellungen!$C$3-2026)*24+8))</f>
        <v/>
      </c>
      <c r="L26" s="76">
        <f>N(INDEX(Krankheitstage!$G26:$DV26,1,(Einstellungen!$C$3-2026)*24+9))</f>
        <v/>
      </c>
      <c r="M26" s="76">
        <f>N(INDEX(Krankheitstage!$G26:$DV26,1,(Einstellungen!$C$3-2026)*24+10))</f>
        <v/>
      </c>
      <c r="N26" s="76">
        <f>N(INDEX(Krankheitstage!$G26:$DV26,1,(Einstellungen!$C$3-2026)*24+11))</f>
        <v/>
      </c>
      <c r="O26" s="76">
        <f>N(INDEX(Krankheitstage!$G26:$DV26,1,(Einstellungen!$C$3-2026)*24+12))</f>
        <v/>
      </c>
      <c r="P26" s="76">
        <f>IF($B26="","",SUM(D26:O26))</f>
        <v/>
      </c>
      <c r="Q26" s="76">
        <f>N(INDEX(Krankheitstage!$G26:$DV26,1,(Einstellungen!$C$3-2026)*24+13))</f>
        <v/>
      </c>
      <c r="R26" s="76">
        <f>N(INDEX(Krankheitstage!$G26:$DV26,1,(Einstellungen!$C$3-2026)*24+14))</f>
        <v/>
      </c>
      <c r="S26" s="76">
        <f>N(INDEX(Krankheitstage!$G26:$DV26,1,(Einstellungen!$C$3-2026)*24+15))</f>
        <v/>
      </c>
      <c r="T26" s="76">
        <f>N(INDEX(Krankheitstage!$G26:$DV26,1,(Einstellungen!$C$3-2026)*24+16))</f>
        <v/>
      </c>
      <c r="U26" s="76">
        <f>N(INDEX(Krankheitstage!$G26:$DV26,1,(Einstellungen!$C$3-2026)*24+17))</f>
        <v/>
      </c>
      <c r="V26" s="76">
        <f>N(INDEX(Krankheitstage!$G26:$DV26,1,(Einstellungen!$C$3-2026)*24+18))</f>
        <v/>
      </c>
      <c r="W26" s="76">
        <f>N(INDEX(Krankheitstage!$G26:$DV26,1,(Einstellungen!$C$3-2026)*24+19))</f>
        <v/>
      </c>
      <c r="X26" s="76">
        <f>N(INDEX(Krankheitstage!$G26:$DV26,1,(Einstellungen!$C$3-2026)*24+20))</f>
        <v/>
      </c>
      <c r="Y26" s="76">
        <f>N(INDEX(Krankheitstage!$G26:$DV26,1,(Einstellungen!$C$3-2026)*24+21))</f>
        <v/>
      </c>
      <c r="Z26" s="76">
        <f>N(INDEX(Krankheitstage!$G26:$DV26,1,(Einstellungen!$C$3-2026)*24+22))</f>
        <v/>
      </c>
      <c r="AA26" s="76">
        <f>N(INDEX(Krankheitstage!$G26:$DV26,1,(Einstellungen!$C$3-2026)*24+23))</f>
        <v/>
      </c>
      <c r="AB26" s="76">
        <f>N(INDEX(Krankheitstage!$G26:$DV26,1,(Einstellungen!$C$3-2026)*24+24))</f>
        <v/>
      </c>
      <c r="AC26" s="76">
        <f>IF($B26="","",SUM(Q26:AB26))</f>
        <v/>
      </c>
      <c r="AD26" s="76">
        <f>IF($B26="","",SUM(P26,AC26))</f>
        <v/>
      </c>
      <c r="AE26" s="77">
        <f>IF($B26="","",AD26*N(C26))</f>
        <v/>
      </c>
      <c r="AF26" s="76">
        <f>IF($B26="","",Krankheitstage!E26)</f>
        <v/>
      </c>
      <c r="AG26" s="77">
        <f>IF($B26="","",AF26*N(C26))</f>
        <v/>
      </c>
    </row>
    <row r="27">
      <c r="A27" s="74">
        <f>IF(Mitarbeiter!B27="","",Mitarbeiter!A27)</f>
        <v/>
      </c>
      <c r="B27" s="6">
        <f>IF(Mitarbeiter!B27="","",Mitarbeiter!B27)</f>
        <v/>
      </c>
      <c r="C27" s="75">
        <f>IF(Mitarbeiter!B27="","",Mitarbeiter!F27)</f>
        <v/>
      </c>
      <c r="D27" s="76">
        <f>N(INDEX(Krankheitstage!$G27:$DV27,1,(Einstellungen!$C$3-2026)*24+1))</f>
        <v/>
      </c>
      <c r="E27" s="76">
        <f>N(INDEX(Krankheitstage!$G27:$DV27,1,(Einstellungen!$C$3-2026)*24+2))</f>
        <v/>
      </c>
      <c r="F27" s="76">
        <f>N(INDEX(Krankheitstage!$G27:$DV27,1,(Einstellungen!$C$3-2026)*24+3))</f>
        <v/>
      </c>
      <c r="G27" s="76">
        <f>N(INDEX(Krankheitstage!$G27:$DV27,1,(Einstellungen!$C$3-2026)*24+4))</f>
        <v/>
      </c>
      <c r="H27" s="76">
        <f>N(INDEX(Krankheitstage!$G27:$DV27,1,(Einstellungen!$C$3-2026)*24+5))</f>
        <v/>
      </c>
      <c r="I27" s="76">
        <f>N(INDEX(Krankheitstage!$G27:$DV27,1,(Einstellungen!$C$3-2026)*24+6))</f>
        <v/>
      </c>
      <c r="J27" s="76">
        <f>N(INDEX(Krankheitstage!$G27:$DV27,1,(Einstellungen!$C$3-2026)*24+7))</f>
        <v/>
      </c>
      <c r="K27" s="76">
        <f>N(INDEX(Krankheitstage!$G27:$DV27,1,(Einstellungen!$C$3-2026)*24+8))</f>
        <v/>
      </c>
      <c r="L27" s="76">
        <f>N(INDEX(Krankheitstage!$G27:$DV27,1,(Einstellungen!$C$3-2026)*24+9))</f>
        <v/>
      </c>
      <c r="M27" s="76">
        <f>N(INDEX(Krankheitstage!$G27:$DV27,1,(Einstellungen!$C$3-2026)*24+10))</f>
        <v/>
      </c>
      <c r="N27" s="76">
        <f>N(INDEX(Krankheitstage!$G27:$DV27,1,(Einstellungen!$C$3-2026)*24+11))</f>
        <v/>
      </c>
      <c r="O27" s="76">
        <f>N(INDEX(Krankheitstage!$G27:$DV27,1,(Einstellungen!$C$3-2026)*24+12))</f>
        <v/>
      </c>
      <c r="P27" s="76">
        <f>IF($B27="","",SUM(D27:O27))</f>
        <v/>
      </c>
      <c r="Q27" s="76">
        <f>N(INDEX(Krankheitstage!$G27:$DV27,1,(Einstellungen!$C$3-2026)*24+13))</f>
        <v/>
      </c>
      <c r="R27" s="76">
        <f>N(INDEX(Krankheitstage!$G27:$DV27,1,(Einstellungen!$C$3-2026)*24+14))</f>
        <v/>
      </c>
      <c r="S27" s="76">
        <f>N(INDEX(Krankheitstage!$G27:$DV27,1,(Einstellungen!$C$3-2026)*24+15))</f>
        <v/>
      </c>
      <c r="T27" s="76">
        <f>N(INDEX(Krankheitstage!$G27:$DV27,1,(Einstellungen!$C$3-2026)*24+16))</f>
        <v/>
      </c>
      <c r="U27" s="76">
        <f>N(INDEX(Krankheitstage!$G27:$DV27,1,(Einstellungen!$C$3-2026)*24+17))</f>
        <v/>
      </c>
      <c r="V27" s="76">
        <f>N(INDEX(Krankheitstage!$G27:$DV27,1,(Einstellungen!$C$3-2026)*24+18))</f>
        <v/>
      </c>
      <c r="W27" s="76">
        <f>N(INDEX(Krankheitstage!$G27:$DV27,1,(Einstellungen!$C$3-2026)*24+19))</f>
        <v/>
      </c>
      <c r="X27" s="76">
        <f>N(INDEX(Krankheitstage!$G27:$DV27,1,(Einstellungen!$C$3-2026)*24+20))</f>
        <v/>
      </c>
      <c r="Y27" s="76">
        <f>N(INDEX(Krankheitstage!$G27:$DV27,1,(Einstellungen!$C$3-2026)*24+21))</f>
        <v/>
      </c>
      <c r="Z27" s="76">
        <f>N(INDEX(Krankheitstage!$G27:$DV27,1,(Einstellungen!$C$3-2026)*24+22))</f>
        <v/>
      </c>
      <c r="AA27" s="76">
        <f>N(INDEX(Krankheitstage!$G27:$DV27,1,(Einstellungen!$C$3-2026)*24+23))</f>
        <v/>
      </c>
      <c r="AB27" s="76">
        <f>N(INDEX(Krankheitstage!$G27:$DV27,1,(Einstellungen!$C$3-2026)*24+24))</f>
        <v/>
      </c>
      <c r="AC27" s="76">
        <f>IF($B27="","",SUM(Q27:AB27))</f>
        <v/>
      </c>
      <c r="AD27" s="76">
        <f>IF($B27="","",SUM(P27,AC27))</f>
        <v/>
      </c>
      <c r="AE27" s="77">
        <f>IF($B27="","",AD27*N(C27))</f>
        <v/>
      </c>
      <c r="AF27" s="76">
        <f>IF($B27="","",Krankheitstage!E27)</f>
        <v/>
      </c>
      <c r="AG27" s="77">
        <f>IF($B27="","",AF27*N(C27))</f>
        <v/>
      </c>
    </row>
    <row r="28">
      <c r="A28" s="74">
        <f>IF(Mitarbeiter!B28="","",Mitarbeiter!A28)</f>
        <v/>
      </c>
      <c r="B28" s="6">
        <f>IF(Mitarbeiter!B28="","",Mitarbeiter!B28)</f>
        <v/>
      </c>
      <c r="C28" s="75">
        <f>IF(Mitarbeiter!B28="","",Mitarbeiter!F28)</f>
        <v/>
      </c>
      <c r="D28" s="76">
        <f>N(INDEX(Krankheitstage!$G28:$DV28,1,(Einstellungen!$C$3-2026)*24+1))</f>
        <v/>
      </c>
      <c r="E28" s="76">
        <f>N(INDEX(Krankheitstage!$G28:$DV28,1,(Einstellungen!$C$3-2026)*24+2))</f>
        <v/>
      </c>
      <c r="F28" s="76">
        <f>N(INDEX(Krankheitstage!$G28:$DV28,1,(Einstellungen!$C$3-2026)*24+3))</f>
        <v/>
      </c>
      <c r="G28" s="76">
        <f>N(INDEX(Krankheitstage!$G28:$DV28,1,(Einstellungen!$C$3-2026)*24+4))</f>
        <v/>
      </c>
      <c r="H28" s="76">
        <f>N(INDEX(Krankheitstage!$G28:$DV28,1,(Einstellungen!$C$3-2026)*24+5))</f>
        <v/>
      </c>
      <c r="I28" s="76">
        <f>N(INDEX(Krankheitstage!$G28:$DV28,1,(Einstellungen!$C$3-2026)*24+6))</f>
        <v/>
      </c>
      <c r="J28" s="76">
        <f>N(INDEX(Krankheitstage!$G28:$DV28,1,(Einstellungen!$C$3-2026)*24+7))</f>
        <v/>
      </c>
      <c r="K28" s="76">
        <f>N(INDEX(Krankheitstage!$G28:$DV28,1,(Einstellungen!$C$3-2026)*24+8))</f>
        <v/>
      </c>
      <c r="L28" s="76">
        <f>N(INDEX(Krankheitstage!$G28:$DV28,1,(Einstellungen!$C$3-2026)*24+9))</f>
        <v/>
      </c>
      <c r="M28" s="76">
        <f>N(INDEX(Krankheitstage!$G28:$DV28,1,(Einstellungen!$C$3-2026)*24+10))</f>
        <v/>
      </c>
      <c r="N28" s="76">
        <f>N(INDEX(Krankheitstage!$G28:$DV28,1,(Einstellungen!$C$3-2026)*24+11))</f>
        <v/>
      </c>
      <c r="O28" s="76">
        <f>N(INDEX(Krankheitstage!$G28:$DV28,1,(Einstellungen!$C$3-2026)*24+12))</f>
        <v/>
      </c>
      <c r="P28" s="76">
        <f>IF($B28="","",SUM(D28:O28))</f>
        <v/>
      </c>
      <c r="Q28" s="76">
        <f>N(INDEX(Krankheitstage!$G28:$DV28,1,(Einstellungen!$C$3-2026)*24+13))</f>
        <v/>
      </c>
      <c r="R28" s="76">
        <f>N(INDEX(Krankheitstage!$G28:$DV28,1,(Einstellungen!$C$3-2026)*24+14))</f>
        <v/>
      </c>
      <c r="S28" s="76">
        <f>N(INDEX(Krankheitstage!$G28:$DV28,1,(Einstellungen!$C$3-2026)*24+15))</f>
        <v/>
      </c>
      <c r="T28" s="76">
        <f>N(INDEX(Krankheitstage!$G28:$DV28,1,(Einstellungen!$C$3-2026)*24+16))</f>
        <v/>
      </c>
      <c r="U28" s="76">
        <f>N(INDEX(Krankheitstage!$G28:$DV28,1,(Einstellungen!$C$3-2026)*24+17))</f>
        <v/>
      </c>
      <c r="V28" s="76">
        <f>N(INDEX(Krankheitstage!$G28:$DV28,1,(Einstellungen!$C$3-2026)*24+18))</f>
        <v/>
      </c>
      <c r="W28" s="76">
        <f>N(INDEX(Krankheitstage!$G28:$DV28,1,(Einstellungen!$C$3-2026)*24+19))</f>
        <v/>
      </c>
      <c r="X28" s="76">
        <f>N(INDEX(Krankheitstage!$G28:$DV28,1,(Einstellungen!$C$3-2026)*24+20))</f>
        <v/>
      </c>
      <c r="Y28" s="76">
        <f>N(INDEX(Krankheitstage!$G28:$DV28,1,(Einstellungen!$C$3-2026)*24+21))</f>
        <v/>
      </c>
      <c r="Z28" s="76">
        <f>N(INDEX(Krankheitstage!$G28:$DV28,1,(Einstellungen!$C$3-2026)*24+22))</f>
        <v/>
      </c>
      <c r="AA28" s="76">
        <f>N(INDEX(Krankheitstage!$G28:$DV28,1,(Einstellungen!$C$3-2026)*24+23))</f>
        <v/>
      </c>
      <c r="AB28" s="76">
        <f>N(INDEX(Krankheitstage!$G28:$DV28,1,(Einstellungen!$C$3-2026)*24+24))</f>
        <v/>
      </c>
      <c r="AC28" s="76">
        <f>IF($B28="","",SUM(Q28:AB28))</f>
        <v/>
      </c>
      <c r="AD28" s="76">
        <f>IF($B28="","",SUM(P28,AC28))</f>
        <v/>
      </c>
      <c r="AE28" s="77">
        <f>IF($B28="","",AD28*N(C28))</f>
        <v/>
      </c>
      <c r="AF28" s="76">
        <f>IF($B28="","",Krankheitstage!E28)</f>
        <v/>
      </c>
      <c r="AG28" s="77">
        <f>IF($B28="","",AF28*N(C28))</f>
        <v/>
      </c>
    </row>
    <row r="29">
      <c r="A29" s="74">
        <f>IF(Mitarbeiter!B29="","",Mitarbeiter!A29)</f>
        <v/>
      </c>
      <c r="B29" s="6">
        <f>IF(Mitarbeiter!B29="","",Mitarbeiter!B29)</f>
        <v/>
      </c>
      <c r="C29" s="75">
        <f>IF(Mitarbeiter!B29="","",Mitarbeiter!F29)</f>
        <v/>
      </c>
      <c r="D29" s="76">
        <f>N(INDEX(Krankheitstage!$G29:$DV29,1,(Einstellungen!$C$3-2026)*24+1))</f>
        <v/>
      </c>
      <c r="E29" s="76">
        <f>N(INDEX(Krankheitstage!$G29:$DV29,1,(Einstellungen!$C$3-2026)*24+2))</f>
        <v/>
      </c>
      <c r="F29" s="76">
        <f>N(INDEX(Krankheitstage!$G29:$DV29,1,(Einstellungen!$C$3-2026)*24+3))</f>
        <v/>
      </c>
      <c r="G29" s="76">
        <f>N(INDEX(Krankheitstage!$G29:$DV29,1,(Einstellungen!$C$3-2026)*24+4))</f>
        <v/>
      </c>
      <c r="H29" s="76">
        <f>N(INDEX(Krankheitstage!$G29:$DV29,1,(Einstellungen!$C$3-2026)*24+5))</f>
        <v/>
      </c>
      <c r="I29" s="76">
        <f>N(INDEX(Krankheitstage!$G29:$DV29,1,(Einstellungen!$C$3-2026)*24+6))</f>
        <v/>
      </c>
      <c r="J29" s="76">
        <f>N(INDEX(Krankheitstage!$G29:$DV29,1,(Einstellungen!$C$3-2026)*24+7))</f>
        <v/>
      </c>
      <c r="K29" s="76">
        <f>N(INDEX(Krankheitstage!$G29:$DV29,1,(Einstellungen!$C$3-2026)*24+8))</f>
        <v/>
      </c>
      <c r="L29" s="76">
        <f>N(INDEX(Krankheitstage!$G29:$DV29,1,(Einstellungen!$C$3-2026)*24+9))</f>
        <v/>
      </c>
      <c r="M29" s="76">
        <f>N(INDEX(Krankheitstage!$G29:$DV29,1,(Einstellungen!$C$3-2026)*24+10))</f>
        <v/>
      </c>
      <c r="N29" s="76">
        <f>N(INDEX(Krankheitstage!$G29:$DV29,1,(Einstellungen!$C$3-2026)*24+11))</f>
        <v/>
      </c>
      <c r="O29" s="76">
        <f>N(INDEX(Krankheitstage!$G29:$DV29,1,(Einstellungen!$C$3-2026)*24+12))</f>
        <v/>
      </c>
      <c r="P29" s="76">
        <f>IF($B29="","",SUM(D29:O29))</f>
        <v/>
      </c>
      <c r="Q29" s="76">
        <f>N(INDEX(Krankheitstage!$G29:$DV29,1,(Einstellungen!$C$3-2026)*24+13))</f>
        <v/>
      </c>
      <c r="R29" s="76">
        <f>N(INDEX(Krankheitstage!$G29:$DV29,1,(Einstellungen!$C$3-2026)*24+14))</f>
        <v/>
      </c>
      <c r="S29" s="76">
        <f>N(INDEX(Krankheitstage!$G29:$DV29,1,(Einstellungen!$C$3-2026)*24+15))</f>
        <v/>
      </c>
      <c r="T29" s="76">
        <f>N(INDEX(Krankheitstage!$G29:$DV29,1,(Einstellungen!$C$3-2026)*24+16))</f>
        <v/>
      </c>
      <c r="U29" s="76">
        <f>N(INDEX(Krankheitstage!$G29:$DV29,1,(Einstellungen!$C$3-2026)*24+17))</f>
        <v/>
      </c>
      <c r="V29" s="76">
        <f>N(INDEX(Krankheitstage!$G29:$DV29,1,(Einstellungen!$C$3-2026)*24+18))</f>
        <v/>
      </c>
      <c r="W29" s="76">
        <f>N(INDEX(Krankheitstage!$G29:$DV29,1,(Einstellungen!$C$3-2026)*24+19))</f>
        <v/>
      </c>
      <c r="X29" s="76">
        <f>N(INDEX(Krankheitstage!$G29:$DV29,1,(Einstellungen!$C$3-2026)*24+20))</f>
        <v/>
      </c>
      <c r="Y29" s="76">
        <f>N(INDEX(Krankheitstage!$G29:$DV29,1,(Einstellungen!$C$3-2026)*24+21))</f>
        <v/>
      </c>
      <c r="Z29" s="76">
        <f>N(INDEX(Krankheitstage!$G29:$DV29,1,(Einstellungen!$C$3-2026)*24+22))</f>
        <v/>
      </c>
      <c r="AA29" s="76">
        <f>N(INDEX(Krankheitstage!$G29:$DV29,1,(Einstellungen!$C$3-2026)*24+23))</f>
        <v/>
      </c>
      <c r="AB29" s="76">
        <f>N(INDEX(Krankheitstage!$G29:$DV29,1,(Einstellungen!$C$3-2026)*24+24))</f>
        <v/>
      </c>
      <c r="AC29" s="76">
        <f>IF($B29="","",SUM(Q29:AB29))</f>
        <v/>
      </c>
      <c r="AD29" s="76">
        <f>IF($B29="","",SUM(P29,AC29))</f>
        <v/>
      </c>
      <c r="AE29" s="77">
        <f>IF($B29="","",AD29*N(C29))</f>
        <v/>
      </c>
      <c r="AF29" s="76">
        <f>IF($B29="","",Krankheitstage!E29)</f>
        <v/>
      </c>
      <c r="AG29" s="77">
        <f>IF($B29="","",AF29*N(C29))</f>
        <v/>
      </c>
    </row>
    <row r="30">
      <c r="A30" s="74">
        <f>IF(Mitarbeiter!B30="","",Mitarbeiter!A30)</f>
        <v/>
      </c>
      <c r="B30" s="6">
        <f>IF(Mitarbeiter!B30="","",Mitarbeiter!B30)</f>
        <v/>
      </c>
      <c r="C30" s="75">
        <f>IF(Mitarbeiter!B30="","",Mitarbeiter!F30)</f>
        <v/>
      </c>
      <c r="D30" s="76">
        <f>N(INDEX(Krankheitstage!$G30:$DV30,1,(Einstellungen!$C$3-2026)*24+1))</f>
        <v/>
      </c>
      <c r="E30" s="76">
        <f>N(INDEX(Krankheitstage!$G30:$DV30,1,(Einstellungen!$C$3-2026)*24+2))</f>
        <v/>
      </c>
      <c r="F30" s="76">
        <f>N(INDEX(Krankheitstage!$G30:$DV30,1,(Einstellungen!$C$3-2026)*24+3))</f>
        <v/>
      </c>
      <c r="G30" s="76">
        <f>N(INDEX(Krankheitstage!$G30:$DV30,1,(Einstellungen!$C$3-2026)*24+4))</f>
        <v/>
      </c>
      <c r="H30" s="76">
        <f>N(INDEX(Krankheitstage!$G30:$DV30,1,(Einstellungen!$C$3-2026)*24+5))</f>
        <v/>
      </c>
      <c r="I30" s="76">
        <f>N(INDEX(Krankheitstage!$G30:$DV30,1,(Einstellungen!$C$3-2026)*24+6))</f>
        <v/>
      </c>
      <c r="J30" s="76">
        <f>N(INDEX(Krankheitstage!$G30:$DV30,1,(Einstellungen!$C$3-2026)*24+7))</f>
        <v/>
      </c>
      <c r="K30" s="76">
        <f>N(INDEX(Krankheitstage!$G30:$DV30,1,(Einstellungen!$C$3-2026)*24+8))</f>
        <v/>
      </c>
      <c r="L30" s="76">
        <f>N(INDEX(Krankheitstage!$G30:$DV30,1,(Einstellungen!$C$3-2026)*24+9))</f>
        <v/>
      </c>
      <c r="M30" s="76">
        <f>N(INDEX(Krankheitstage!$G30:$DV30,1,(Einstellungen!$C$3-2026)*24+10))</f>
        <v/>
      </c>
      <c r="N30" s="76">
        <f>N(INDEX(Krankheitstage!$G30:$DV30,1,(Einstellungen!$C$3-2026)*24+11))</f>
        <v/>
      </c>
      <c r="O30" s="76">
        <f>N(INDEX(Krankheitstage!$G30:$DV30,1,(Einstellungen!$C$3-2026)*24+12))</f>
        <v/>
      </c>
      <c r="P30" s="76">
        <f>IF($B30="","",SUM(D30:O30))</f>
        <v/>
      </c>
      <c r="Q30" s="76">
        <f>N(INDEX(Krankheitstage!$G30:$DV30,1,(Einstellungen!$C$3-2026)*24+13))</f>
        <v/>
      </c>
      <c r="R30" s="76">
        <f>N(INDEX(Krankheitstage!$G30:$DV30,1,(Einstellungen!$C$3-2026)*24+14))</f>
        <v/>
      </c>
      <c r="S30" s="76">
        <f>N(INDEX(Krankheitstage!$G30:$DV30,1,(Einstellungen!$C$3-2026)*24+15))</f>
        <v/>
      </c>
      <c r="T30" s="76">
        <f>N(INDEX(Krankheitstage!$G30:$DV30,1,(Einstellungen!$C$3-2026)*24+16))</f>
        <v/>
      </c>
      <c r="U30" s="76">
        <f>N(INDEX(Krankheitstage!$G30:$DV30,1,(Einstellungen!$C$3-2026)*24+17))</f>
        <v/>
      </c>
      <c r="V30" s="76">
        <f>N(INDEX(Krankheitstage!$G30:$DV30,1,(Einstellungen!$C$3-2026)*24+18))</f>
        <v/>
      </c>
      <c r="W30" s="76">
        <f>N(INDEX(Krankheitstage!$G30:$DV30,1,(Einstellungen!$C$3-2026)*24+19))</f>
        <v/>
      </c>
      <c r="X30" s="76">
        <f>N(INDEX(Krankheitstage!$G30:$DV30,1,(Einstellungen!$C$3-2026)*24+20))</f>
        <v/>
      </c>
      <c r="Y30" s="76">
        <f>N(INDEX(Krankheitstage!$G30:$DV30,1,(Einstellungen!$C$3-2026)*24+21))</f>
        <v/>
      </c>
      <c r="Z30" s="76">
        <f>N(INDEX(Krankheitstage!$G30:$DV30,1,(Einstellungen!$C$3-2026)*24+22))</f>
        <v/>
      </c>
      <c r="AA30" s="76">
        <f>N(INDEX(Krankheitstage!$G30:$DV30,1,(Einstellungen!$C$3-2026)*24+23))</f>
        <v/>
      </c>
      <c r="AB30" s="76">
        <f>N(INDEX(Krankheitstage!$G30:$DV30,1,(Einstellungen!$C$3-2026)*24+24))</f>
        <v/>
      </c>
      <c r="AC30" s="76">
        <f>IF($B30="","",SUM(Q30:AB30))</f>
        <v/>
      </c>
      <c r="AD30" s="76">
        <f>IF($B30="","",SUM(P30,AC30))</f>
        <v/>
      </c>
      <c r="AE30" s="77">
        <f>IF($B30="","",AD30*N(C30))</f>
        <v/>
      </c>
      <c r="AF30" s="76">
        <f>IF($B30="","",Krankheitstage!E30)</f>
        <v/>
      </c>
      <c r="AG30" s="77">
        <f>IF($B30="","",AF30*N(C30))</f>
        <v/>
      </c>
    </row>
    <row r="31">
      <c r="A31" s="74">
        <f>IF(Mitarbeiter!B31="","",Mitarbeiter!A31)</f>
        <v/>
      </c>
      <c r="B31" s="6">
        <f>IF(Mitarbeiter!B31="","",Mitarbeiter!B31)</f>
        <v/>
      </c>
      <c r="C31" s="75">
        <f>IF(Mitarbeiter!B31="","",Mitarbeiter!F31)</f>
        <v/>
      </c>
      <c r="D31" s="76">
        <f>N(INDEX(Krankheitstage!$G31:$DV31,1,(Einstellungen!$C$3-2026)*24+1))</f>
        <v/>
      </c>
      <c r="E31" s="76">
        <f>N(INDEX(Krankheitstage!$G31:$DV31,1,(Einstellungen!$C$3-2026)*24+2))</f>
        <v/>
      </c>
      <c r="F31" s="76">
        <f>N(INDEX(Krankheitstage!$G31:$DV31,1,(Einstellungen!$C$3-2026)*24+3))</f>
        <v/>
      </c>
      <c r="G31" s="76">
        <f>N(INDEX(Krankheitstage!$G31:$DV31,1,(Einstellungen!$C$3-2026)*24+4))</f>
        <v/>
      </c>
      <c r="H31" s="76">
        <f>N(INDEX(Krankheitstage!$G31:$DV31,1,(Einstellungen!$C$3-2026)*24+5))</f>
        <v/>
      </c>
      <c r="I31" s="76">
        <f>N(INDEX(Krankheitstage!$G31:$DV31,1,(Einstellungen!$C$3-2026)*24+6))</f>
        <v/>
      </c>
      <c r="J31" s="76">
        <f>N(INDEX(Krankheitstage!$G31:$DV31,1,(Einstellungen!$C$3-2026)*24+7))</f>
        <v/>
      </c>
      <c r="K31" s="76">
        <f>N(INDEX(Krankheitstage!$G31:$DV31,1,(Einstellungen!$C$3-2026)*24+8))</f>
        <v/>
      </c>
      <c r="L31" s="76">
        <f>N(INDEX(Krankheitstage!$G31:$DV31,1,(Einstellungen!$C$3-2026)*24+9))</f>
        <v/>
      </c>
      <c r="M31" s="76">
        <f>N(INDEX(Krankheitstage!$G31:$DV31,1,(Einstellungen!$C$3-2026)*24+10))</f>
        <v/>
      </c>
      <c r="N31" s="76">
        <f>N(INDEX(Krankheitstage!$G31:$DV31,1,(Einstellungen!$C$3-2026)*24+11))</f>
        <v/>
      </c>
      <c r="O31" s="76">
        <f>N(INDEX(Krankheitstage!$G31:$DV31,1,(Einstellungen!$C$3-2026)*24+12))</f>
        <v/>
      </c>
      <c r="P31" s="76">
        <f>IF($B31="","",SUM(D31:O31))</f>
        <v/>
      </c>
      <c r="Q31" s="76">
        <f>N(INDEX(Krankheitstage!$G31:$DV31,1,(Einstellungen!$C$3-2026)*24+13))</f>
        <v/>
      </c>
      <c r="R31" s="76">
        <f>N(INDEX(Krankheitstage!$G31:$DV31,1,(Einstellungen!$C$3-2026)*24+14))</f>
        <v/>
      </c>
      <c r="S31" s="76">
        <f>N(INDEX(Krankheitstage!$G31:$DV31,1,(Einstellungen!$C$3-2026)*24+15))</f>
        <v/>
      </c>
      <c r="T31" s="76">
        <f>N(INDEX(Krankheitstage!$G31:$DV31,1,(Einstellungen!$C$3-2026)*24+16))</f>
        <v/>
      </c>
      <c r="U31" s="76">
        <f>N(INDEX(Krankheitstage!$G31:$DV31,1,(Einstellungen!$C$3-2026)*24+17))</f>
        <v/>
      </c>
      <c r="V31" s="76">
        <f>N(INDEX(Krankheitstage!$G31:$DV31,1,(Einstellungen!$C$3-2026)*24+18))</f>
        <v/>
      </c>
      <c r="W31" s="76">
        <f>N(INDEX(Krankheitstage!$G31:$DV31,1,(Einstellungen!$C$3-2026)*24+19))</f>
        <v/>
      </c>
      <c r="X31" s="76">
        <f>N(INDEX(Krankheitstage!$G31:$DV31,1,(Einstellungen!$C$3-2026)*24+20))</f>
        <v/>
      </c>
      <c r="Y31" s="76">
        <f>N(INDEX(Krankheitstage!$G31:$DV31,1,(Einstellungen!$C$3-2026)*24+21))</f>
        <v/>
      </c>
      <c r="Z31" s="76">
        <f>N(INDEX(Krankheitstage!$G31:$DV31,1,(Einstellungen!$C$3-2026)*24+22))</f>
        <v/>
      </c>
      <c r="AA31" s="76">
        <f>N(INDEX(Krankheitstage!$G31:$DV31,1,(Einstellungen!$C$3-2026)*24+23))</f>
        <v/>
      </c>
      <c r="AB31" s="76">
        <f>N(INDEX(Krankheitstage!$G31:$DV31,1,(Einstellungen!$C$3-2026)*24+24))</f>
        <v/>
      </c>
      <c r="AC31" s="76">
        <f>IF($B31="","",SUM(Q31:AB31))</f>
        <v/>
      </c>
      <c r="AD31" s="76">
        <f>IF($B31="","",SUM(P31,AC31))</f>
        <v/>
      </c>
      <c r="AE31" s="77">
        <f>IF($B31="","",AD31*N(C31))</f>
        <v/>
      </c>
      <c r="AF31" s="76">
        <f>IF($B31="","",Krankheitstage!E31)</f>
        <v/>
      </c>
      <c r="AG31" s="77">
        <f>IF($B31="","",AF31*N(C31))</f>
        <v/>
      </c>
    </row>
    <row r="32">
      <c r="A32" s="74">
        <f>IF(Mitarbeiter!B32="","",Mitarbeiter!A32)</f>
        <v/>
      </c>
      <c r="B32" s="6">
        <f>IF(Mitarbeiter!B32="","",Mitarbeiter!B32)</f>
        <v/>
      </c>
      <c r="C32" s="75">
        <f>IF(Mitarbeiter!B32="","",Mitarbeiter!F32)</f>
        <v/>
      </c>
      <c r="D32" s="76">
        <f>N(INDEX(Krankheitstage!$G32:$DV32,1,(Einstellungen!$C$3-2026)*24+1))</f>
        <v/>
      </c>
      <c r="E32" s="76">
        <f>N(INDEX(Krankheitstage!$G32:$DV32,1,(Einstellungen!$C$3-2026)*24+2))</f>
        <v/>
      </c>
      <c r="F32" s="76">
        <f>N(INDEX(Krankheitstage!$G32:$DV32,1,(Einstellungen!$C$3-2026)*24+3))</f>
        <v/>
      </c>
      <c r="G32" s="76">
        <f>N(INDEX(Krankheitstage!$G32:$DV32,1,(Einstellungen!$C$3-2026)*24+4))</f>
        <v/>
      </c>
      <c r="H32" s="76">
        <f>N(INDEX(Krankheitstage!$G32:$DV32,1,(Einstellungen!$C$3-2026)*24+5))</f>
        <v/>
      </c>
      <c r="I32" s="76">
        <f>N(INDEX(Krankheitstage!$G32:$DV32,1,(Einstellungen!$C$3-2026)*24+6))</f>
        <v/>
      </c>
      <c r="J32" s="76">
        <f>N(INDEX(Krankheitstage!$G32:$DV32,1,(Einstellungen!$C$3-2026)*24+7))</f>
        <v/>
      </c>
      <c r="K32" s="76">
        <f>N(INDEX(Krankheitstage!$G32:$DV32,1,(Einstellungen!$C$3-2026)*24+8))</f>
        <v/>
      </c>
      <c r="L32" s="76">
        <f>N(INDEX(Krankheitstage!$G32:$DV32,1,(Einstellungen!$C$3-2026)*24+9))</f>
        <v/>
      </c>
      <c r="M32" s="76">
        <f>N(INDEX(Krankheitstage!$G32:$DV32,1,(Einstellungen!$C$3-2026)*24+10))</f>
        <v/>
      </c>
      <c r="N32" s="76">
        <f>N(INDEX(Krankheitstage!$G32:$DV32,1,(Einstellungen!$C$3-2026)*24+11))</f>
        <v/>
      </c>
      <c r="O32" s="76">
        <f>N(INDEX(Krankheitstage!$G32:$DV32,1,(Einstellungen!$C$3-2026)*24+12))</f>
        <v/>
      </c>
      <c r="P32" s="76">
        <f>IF($B32="","",SUM(D32:O32))</f>
        <v/>
      </c>
      <c r="Q32" s="76">
        <f>N(INDEX(Krankheitstage!$G32:$DV32,1,(Einstellungen!$C$3-2026)*24+13))</f>
        <v/>
      </c>
      <c r="R32" s="76">
        <f>N(INDEX(Krankheitstage!$G32:$DV32,1,(Einstellungen!$C$3-2026)*24+14))</f>
        <v/>
      </c>
      <c r="S32" s="76">
        <f>N(INDEX(Krankheitstage!$G32:$DV32,1,(Einstellungen!$C$3-2026)*24+15))</f>
        <v/>
      </c>
      <c r="T32" s="76">
        <f>N(INDEX(Krankheitstage!$G32:$DV32,1,(Einstellungen!$C$3-2026)*24+16))</f>
        <v/>
      </c>
      <c r="U32" s="76">
        <f>N(INDEX(Krankheitstage!$G32:$DV32,1,(Einstellungen!$C$3-2026)*24+17))</f>
        <v/>
      </c>
      <c r="V32" s="76">
        <f>N(INDEX(Krankheitstage!$G32:$DV32,1,(Einstellungen!$C$3-2026)*24+18))</f>
        <v/>
      </c>
      <c r="W32" s="76">
        <f>N(INDEX(Krankheitstage!$G32:$DV32,1,(Einstellungen!$C$3-2026)*24+19))</f>
        <v/>
      </c>
      <c r="X32" s="76">
        <f>N(INDEX(Krankheitstage!$G32:$DV32,1,(Einstellungen!$C$3-2026)*24+20))</f>
        <v/>
      </c>
      <c r="Y32" s="76">
        <f>N(INDEX(Krankheitstage!$G32:$DV32,1,(Einstellungen!$C$3-2026)*24+21))</f>
        <v/>
      </c>
      <c r="Z32" s="76">
        <f>N(INDEX(Krankheitstage!$G32:$DV32,1,(Einstellungen!$C$3-2026)*24+22))</f>
        <v/>
      </c>
      <c r="AA32" s="76">
        <f>N(INDEX(Krankheitstage!$G32:$DV32,1,(Einstellungen!$C$3-2026)*24+23))</f>
        <v/>
      </c>
      <c r="AB32" s="76">
        <f>N(INDEX(Krankheitstage!$G32:$DV32,1,(Einstellungen!$C$3-2026)*24+24))</f>
        <v/>
      </c>
      <c r="AC32" s="76">
        <f>IF($B32="","",SUM(Q32:AB32))</f>
        <v/>
      </c>
      <c r="AD32" s="76">
        <f>IF($B32="","",SUM(P32,AC32))</f>
        <v/>
      </c>
      <c r="AE32" s="77">
        <f>IF($B32="","",AD32*N(C32))</f>
        <v/>
      </c>
      <c r="AF32" s="76">
        <f>IF($B32="","",Krankheitstage!E32)</f>
        <v/>
      </c>
      <c r="AG32" s="77">
        <f>IF($B32="","",AF32*N(C32))</f>
        <v/>
      </c>
    </row>
    <row r="33">
      <c r="A33" s="74">
        <f>IF(Mitarbeiter!B33="","",Mitarbeiter!A33)</f>
        <v/>
      </c>
      <c r="B33" s="6">
        <f>IF(Mitarbeiter!B33="","",Mitarbeiter!B33)</f>
        <v/>
      </c>
      <c r="C33" s="75">
        <f>IF(Mitarbeiter!B33="","",Mitarbeiter!F33)</f>
        <v/>
      </c>
      <c r="D33" s="76">
        <f>N(INDEX(Krankheitstage!$G33:$DV33,1,(Einstellungen!$C$3-2026)*24+1))</f>
        <v/>
      </c>
      <c r="E33" s="76">
        <f>N(INDEX(Krankheitstage!$G33:$DV33,1,(Einstellungen!$C$3-2026)*24+2))</f>
        <v/>
      </c>
      <c r="F33" s="76">
        <f>N(INDEX(Krankheitstage!$G33:$DV33,1,(Einstellungen!$C$3-2026)*24+3))</f>
        <v/>
      </c>
      <c r="G33" s="76">
        <f>N(INDEX(Krankheitstage!$G33:$DV33,1,(Einstellungen!$C$3-2026)*24+4))</f>
        <v/>
      </c>
      <c r="H33" s="76">
        <f>N(INDEX(Krankheitstage!$G33:$DV33,1,(Einstellungen!$C$3-2026)*24+5))</f>
        <v/>
      </c>
      <c r="I33" s="76">
        <f>N(INDEX(Krankheitstage!$G33:$DV33,1,(Einstellungen!$C$3-2026)*24+6))</f>
        <v/>
      </c>
      <c r="J33" s="76">
        <f>N(INDEX(Krankheitstage!$G33:$DV33,1,(Einstellungen!$C$3-2026)*24+7))</f>
        <v/>
      </c>
      <c r="K33" s="76">
        <f>N(INDEX(Krankheitstage!$G33:$DV33,1,(Einstellungen!$C$3-2026)*24+8))</f>
        <v/>
      </c>
      <c r="L33" s="76">
        <f>N(INDEX(Krankheitstage!$G33:$DV33,1,(Einstellungen!$C$3-2026)*24+9))</f>
        <v/>
      </c>
      <c r="M33" s="76">
        <f>N(INDEX(Krankheitstage!$G33:$DV33,1,(Einstellungen!$C$3-2026)*24+10))</f>
        <v/>
      </c>
      <c r="N33" s="76">
        <f>N(INDEX(Krankheitstage!$G33:$DV33,1,(Einstellungen!$C$3-2026)*24+11))</f>
        <v/>
      </c>
      <c r="O33" s="76">
        <f>N(INDEX(Krankheitstage!$G33:$DV33,1,(Einstellungen!$C$3-2026)*24+12))</f>
        <v/>
      </c>
      <c r="P33" s="76">
        <f>IF($B33="","",SUM(D33:O33))</f>
        <v/>
      </c>
      <c r="Q33" s="76">
        <f>N(INDEX(Krankheitstage!$G33:$DV33,1,(Einstellungen!$C$3-2026)*24+13))</f>
        <v/>
      </c>
      <c r="R33" s="76">
        <f>N(INDEX(Krankheitstage!$G33:$DV33,1,(Einstellungen!$C$3-2026)*24+14))</f>
        <v/>
      </c>
      <c r="S33" s="76">
        <f>N(INDEX(Krankheitstage!$G33:$DV33,1,(Einstellungen!$C$3-2026)*24+15))</f>
        <v/>
      </c>
      <c r="T33" s="76">
        <f>N(INDEX(Krankheitstage!$G33:$DV33,1,(Einstellungen!$C$3-2026)*24+16))</f>
        <v/>
      </c>
      <c r="U33" s="76">
        <f>N(INDEX(Krankheitstage!$G33:$DV33,1,(Einstellungen!$C$3-2026)*24+17))</f>
        <v/>
      </c>
      <c r="V33" s="76">
        <f>N(INDEX(Krankheitstage!$G33:$DV33,1,(Einstellungen!$C$3-2026)*24+18))</f>
        <v/>
      </c>
      <c r="W33" s="76">
        <f>N(INDEX(Krankheitstage!$G33:$DV33,1,(Einstellungen!$C$3-2026)*24+19))</f>
        <v/>
      </c>
      <c r="X33" s="76">
        <f>N(INDEX(Krankheitstage!$G33:$DV33,1,(Einstellungen!$C$3-2026)*24+20))</f>
        <v/>
      </c>
      <c r="Y33" s="76">
        <f>N(INDEX(Krankheitstage!$G33:$DV33,1,(Einstellungen!$C$3-2026)*24+21))</f>
        <v/>
      </c>
      <c r="Z33" s="76">
        <f>N(INDEX(Krankheitstage!$G33:$DV33,1,(Einstellungen!$C$3-2026)*24+22))</f>
        <v/>
      </c>
      <c r="AA33" s="76">
        <f>N(INDEX(Krankheitstage!$G33:$DV33,1,(Einstellungen!$C$3-2026)*24+23))</f>
        <v/>
      </c>
      <c r="AB33" s="76">
        <f>N(INDEX(Krankheitstage!$G33:$DV33,1,(Einstellungen!$C$3-2026)*24+24))</f>
        <v/>
      </c>
      <c r="AC33" s="76">
        <f>IF($B33="","",SUM(Q33:AB33))</f>
        <v/>
      </c>
      <c r="AD33" s="76">
        <f>IF($B33="","",SUM(P33,AC33))</f>
        <v/>
      </c>
      <c r="AE33" s="77">
        <f>IF($B33="","",AD33*N(C33))</f>
        <v/>
      </c>
      <c r="AF33" s="76">
        <f>IF($B33="","",Krankheitstage!E33)</f>
        <v/>
      </c>
      <c r="AG33" s="77">
        <f>IF($B33="","",AF33*N(C33))</f>
        <v/>
      </c>
    </row>
    <row r="34">
      <c r="A34" s="74">
        <f>IF(Mitarbeiter!B34="","",Mitarbeiter!A34)</f>
        <v/>
      </c>
      <c r="B34" s="6">
        <f>IF(Mitarbeiter!B34="","",Mitarbeiter!B34)</f>
        <v/>
      </c>
      <c r="C34" s="75">
        <f>IF(Mitarbeiter!B34="","",Mitarbeiter!F34)</f>
        <v/>
      </c>
      <c r="D34" s="76">
        <f>N(INDEX(Krankheitstage!$G34:$DV34,1,(Einstellungen!$C$3-2026)*24+1))</f>
        <v/>
      </c>
      <c r="E34" s="76">
        <f>N(INDEX(Krankheitstage!$G34:$DV34,1,(Einstellungen!$C$3-2026)*24+2))</f>
        <v/>
      </c>
      <c r="F34" s="76">
        <f>N(INDEX(Krankheitstage!$G34:$DV34,1,(Einstellungen!$C$3-2026)*24+3))</f>
        <v/>
      </c>
      <c r="G34" s="76">
        <f>N(INDEX(Krankheitstage!$G34:$DV34,1,(Einstellungen!$C$3-2026)*24+4))</f>
        <v/>
      </c>
      <c r="H34" s="76">
        <f>N(INDEX(Krankheitstage!$G34:$DV34,1,(Einstellungen!$C$3-2026)*24+5))</f>
        <v/>
      </c>
      <c r="I34" s="76">
        <f>N(INDEX(Krankheitstage!$G34:$DV34,1,(Einstellungen!$C$3-2026)*24+6))</f>
        <v/>
      </c>
      <c r="J34" s="76">
        <f>N(INDEX(Krankheitstage!$G34:$DV34,1,(Einstellungen!$C$3-2026)*24+7))</f>
        <v/>
      </c>
      <c r="K34" s="76">
        <f>N(INDEX(Krankheitstage!$G34:$DV34,1,(Einstellungen!$C$3-2026)*24+8))</f>
        <v/>
      </c>
      <c r="L34" s="76">
        <f>N(INDEX(Krankheitstage!$G34:$DV34,1,(Einstellungen!$C$3-2026)*24+9))</f>
        <v/>
      </c>
      <c r="M34" s="76">
        <f>N(INDEX(Krankheitstage!$G34:$DV34,1,(Einstellungen!$C$3-2026)*24+10))</f>
        <v/>
      </c>
      <c r="N34" s="76">
        <f>N(INDEX(Krankheitstage!$G34:$DV34,1,(Einstellungen!$C$3-2026)*24+11))</f>
        <v/>
      </c>
      <c r="O34" s="76">
        <f>N(INDEX(Krankheitstage!$G34:$DV34,1,(Einstellungen!$C$3-2026)*24+12))</f>
        <v/>
      </c>
      <c r="P34" s="76">
        <f>IF($B34="","",SUM(D34:O34))</f>
        <v/>
      </c>
      <c r="Q34" s="76">
        <f>N(INDEX(Krankheitstage!$G34:$DV34,1,(Einstellungen!$C$3-2026)*24+13))</f>
        <v/>
      </c>
      <c r="R34" s="76">
        <f>N(INDEX(Krankheitstage!$G34:$DV34,1,(Einstellungen!$C$3-2026)*24+14))</f>
        <v/>
      </c>
      <c r="S34" s="76">
        <f>N(INDEX(Krankheitstage!$G34:$DV34,1,(Einstellungen!$C$3-2026)*24+15))</f>
        <v/>
      </c>
      <c r="T34" s="76">
        <f>N(INDEX(Krankheitstage!$G34:$DV34,1,(Einstellungen!$C$3-2026)*24+16))</f>
        <v/>
      </c>
      <c r="U34" s="76">
        <f>N(INDEX(Krankheitstage!$G34:$DV34,1,(Einstellungen!$C$3-2026)*24+17))</f>
        <v/>
      </c>
      <c r="V34" s="76">
        <f>N(INDEX(Krankheitstage!$G34:$DV34,1,(Einstellungen!$C$3-2026)*24+18))</f>
        <v/>
      </c>
      <c r="W34" s="76">
        <f>N(INDEX(Krankheitstage!$G34:$DV34,1,(Einstellungen!$C$3-2026)*24+19))</f>
        <v/>
      </c>
      <c r="X34" s="76">
        <f>N(INDEX(Krankheitstage!$G34:$DV34,1,(Einstellungen!$C$3-2026)*24+20))</f>
        <v/>
      </c>
      <c r="Y34" s="76">
        <f>N(INDEX(Krankheitstage!$G34:$DV34,1,(Einstellungen!$C$3-2026)*24+21))</f>
        <v/>
      </c>
      <c r="Z34" s="76">
        <f>N(INDEX(Krankheitstage!$G34:$DV34,1,(Einstellungen!$C$3-2026)*24+22))</f>
        <v/>
      </c>
      <c r="AA34" s="76">
        <f>N(INDEX(Krankheitstage!$G34:$DV34,1,(Einstellungen!$C$3-2026)*24+23))</f>
        <v/>
      </c>
      <c r="AB34" s="76">
        <f>N(INDEX(Krankheitstage!$G34:$DV34,1,(Einstellungen!$C$3-2026)*24+24))</f>
        <v/>
      </c>
      <c r="AC34" s="76">
        <f>IF($B34="","",SUM(Q34:AB34))</f>
        <v/>
      </c>
      <c r="AD34" s="76">
        <f>IF($B34="","",SUM(P34,AC34))</f>
        <v/>
      </c>
      <c r="AE34" s="77">
        <f>IF($B34="","",AD34*N(C34))</f>
        <v/>
      </c>
      <c r="AF34" s="76">
        <f>IF($B34="","",Krankheitstage!E34)</f>
        <v/>
      </c>
      <c r="AG34" s="77">
        <f>IF($B34="","",AF34*N(C34))</f>
        <v/>
      </c>
    </row>
    <row r="35">
      <c r="A35" s="74">
        <f>IF(Mitarbeiter!B35="","",Mitarbeiter!A35)</f>
        <v/>
      </c>
      <c r="B35" s="6">
        <f>IF(Mitarbeiter!B35="","",Mitarbeiter!B35)</f>
        <v/>
      </c>
      <c r="C35" s="75">
        <f>IF(Mitarbeiter!B35="","",Mitarbeiter!F35)</f>
        <v/>
      </c>
      <c r="D35" s="76">
        <f>N(INDEX(Krankheitstage!$G35:$DV35,1,(Einstellungen!$C$3-2026)*24+1))</f>
        <v/>
      </c>
      <c r="E35" s="76">
        <f>N(INDEX(Krankheitstage!$G35:$DV35,1,(Einstellungen!$C$3-2026)*24+2))</f>
        <v/>
      </c>
      <c r="F35" s="76">
        <f>N(INDEX(Krankheitstage!$G35:$DV35,1,(Einstellungen!$C$3-2026)*24+3))</f>
        <v/>
      </c>
      <c r="G35" s="76">
        <f>N(INDEX(Krankheitstage!$G35:$DV35,1,(Einstellungen!$C$3-2026)*24+4))</f>
        <v/>
      </c>
      <c r="H35" s="76">
        <f>N(INDEX(Krankheitstage!$G35:$DV35,1,(Einstellungen!$C$3-2026)*24+5))</f>
        <v/>
      </c>
      <c r="I35" s="76">
        <f>N(INDEX(Krankheitstage!$G35:$DV35,1,(Einstellungen!$C$3-2026)*24+6))</f>
        <v/>
      </c>
      <c r="J35" s="76">
        <f>N(INDEX(Krankheitstage!$G35:$DV35,1,(Einstellungen!$C$3-2026)*24+7))</f>
        <v/>
      </c>
      <c r="K35" s="76">
        <f>N(INDEX(Krankheitstage!$G35:$DV35,1,(Einstellungen!$C$3-2026)*24+8))</f>
        <v/>
      </c>
      <c r="L35" s="76">
        <f>N(INDEX(Krankheitstage!$G35:$DV35,1,(Einstellungen!$C$3-2026)*24+9))</f>
        <v/>
      </c>
      <c r="M35" s="76">
        <f>N(INDEX(Krankheitstage!$G35:$DV35,1,(Einstellungen!$C$3-2026)*24+10))</f>
        <v/>
      </c>
      <c r="N35" s="76">
        <f>N(INDEX(Krankheitstage!$G35:$DV35,1,(Einstellungen!$C$3-2026)*24+11))</f>
        <v/>
      </c>
      <c r="O35" s="76">
        <f>N(INDEX(Krankheitstage!$G35:$DV35,1,(Einstellungen!$C$3-2026)*24+12))</f>
        <v/>
      </c>
      <c r="P35" s="76">
        <f>IF($B35="","",SUM(D35:O35))</f>
        <v/>
      </c>
      <c r="Q35" s="76">
        <f>N(INDEX(Krankheitstage!$G35:$DV35,1,(Einstellungen!$C$3-2026)*24+13))</f>
        <v/>
      </c>
      <c r="R35" s="76">
        <f>N(INDEX(Krankheitstage!$G35:$DV35,1,(Einstellungen!$C$3-2026)*24+14))</f>
        <v/>
      </c>
      <c r="S35" s="76">
        <f>N(INDEX(Krankheitstage!$G35:$DV35,1,(Einstellungen!$C$3-2026)*24+15))</f>
        <v/>
      </c>
      <c r="T35" s="76">
        <f>N(INDEX(Krankheitstage!$G35:$DV35,1,(Einstellungen!$C$3-2026)*24+16))</f>
        <v/>
      </c>
      <c r="U35" s="76">
        <f>N(INDEX(Krankheitstage!$G35:$DV35,1,(Einstellungen!$C$3-2026)*24+17))</f>
        <v/>
      </c>
      <c r="V35" s="76">
        <f>N(INDEX(Krankheitstage!$G35:$DV35,1,(Einstellungen!$C$3-2026)*24+18))</f>
        <v/>
      </c>
      <c r="W35" s="76">
        <f>N(INDEX(Krankheitstage!$G35:$DV35,1,(Einstellungen!$C$3-2026)*24+19))</f>
        <v/>
      </c>
      <c r="X35" s="76">
        <f>N(INDEX(Krankheitstage!$G35:$DV35,1,(Einstellungen!$C$3-2026)*24+20))</f>
        <v/>
      </c>
      <c r="Y35" s="76">
        <f>N(INDEX(Krankheitstage!$G35:$DV35,1,(Einstellungen!$C$3-2026)*24+21))</f>
        <v/>
      </c>
      <c r="Z35" s="76">
        <f>N(INDEX(Krankheitstage!$G35:$DV35,1,(Einstellungen!$C$3-2026)*24+22))</f>
        <v/>
      </c>
      <c r="AA35" s="76">
        <f>N(INDEX(Krankheitstage!$G35:$DV35,1,(Einstellungen!$C$3-2026)*24+23))</f>
        <v/>
      </c>
      <c r="AB35" s="76">
        <f>N(INDEX(Krankheitstage!$G35:$DV35,1,(Einstellungen!$C$3-2026)*24+24))</f>
        <v/>
      </c>
      <c r="AC35" s="76">
        <f>IF($B35="","",SUM(Q35:AB35))</f>
        <v/>
      </c>
      <c r="AD35" s="76">
        <f>IF($B35="","",SUM(P35,AC35))</f>
        <v/>
      </c>
      <c r="AE35" s="77">
        <f>IF($B35="","",AD35*N(C35))</f>
        <v/>
      </c>
      <c r="AF35" s="76">
        <f>IF($B35="","",Krankheitstage!E35)</f>
        <v/>
      </c>
      <c r="AG35" s="77">
        <f>IF($B35="","",AF35*N(C35))</f>
        <v/>
      </c>
    </row>
    <row r="36">
      <c r="A36" s="74">
        <f>IF(Mitarbeiter!B36="","",Mitarbeiter!A36)</f>
        <v/>
      </c>
      <c r="B36" s="6">
        <f>IF(Mitarbeiter!B36="","",Mitarbeiter!B36)</f>
        <v/>
      </c>
      <c r="C36" s="75">
        <f>IF(Mitarbeiter!B36="","",Mitarbeiter!F36)</f>
        <v/>
      </c>
      <c r="D36" s="76">
        <f>N(INDEX(Krankheitstage!$G36:$DV36,1,(Einstellungen!$C$3-2026)*24+1))</f>
        <v/>
      </c>
      <c r="E36" s="76">
        <f>N(INDEX(Krankheitstage!$G36:$DV36,1,(Einstellungen!$C$3-2026)*24+2))</f>
        <v/>
      </c>
      <c r="F36" s="76">
        <f>N(INDEX(Krankheitstage!$G36:$DV36,1,(Einstellungen!$C$3-2026)*24+3))</f>
        <v/>
      </c>
      <c r="G36" s="76">
        <f>N(INDEX(Krankheitstage!$G36:$DV36,1,(Einstellungen!$C$3-2026)*24+4))</f>
        <v/>
      </c>
      <c r="H36" s="76">
        <f>N(INDEX(Krankheitstage!$G36:$DV36,1,(Einstellungen!$C$3-2026)*24+5))</f>
        <v/>
      </c>
      <c r="I36" s="76">
        <f>N(INDEX(Krankheitstage!$G36:$DV36,1,(Einstellungen!$C$3-2026)*24+6))</f>
        <v/>
      </c>
      <c r="J36" s="76">
        <f>N(INDEX(Krankheitstage!$G36:$DV36,1,(Einstellungen!$C$3-2026)*24+7))</f>
        <v/>
      </c>
      <c r="K36" s="76">
        <f>N(INDEX(Krankheitstage!$G36:$DV36,1,(Einstellungen!$C$3-2026)*24+8))</f>
        <v/>
      </c>
      <c r="L36" s="76">
        <f>N(INDEX(Krankheitstage!$G36:$DV36,1,(Einstellungen!$C$3-2026)*24+9))</f>
        <v/>
      </c>
      <c r="M36" s="76">
        <f>N(INDEX(Krankheitstage!$G36:$DV36,1,(Einstellungen!$C$3-2026)*24+10))</f>
        <v/>
      </c>
      <c r="N36" s="76">
        <f>N(INDEX(Krankheitstage!$G36:$DV36,1,(Einstellungen!$C$3-2026)*24+11))</f>
        <v/>
      </c>
      <c r="O36" s="76">
        <f>N(INDEX(Krankheitstage!$G36:$DV36,1,(Einstellungen!$C$3-2026)*24+12))</f>
        <v/>
      </c>
      <c r="P36" s="76">
        <f>IF($B36="","",SUM(D36:O36))</f>
        <v/>
      </c>
      <c r="Q36" s="76">
        <f>N(INDEX(Krankheitstage!$G36:$DV36,1,(Einstellungen!$C$3-2026)*24+13))</f>
        <v/>
      </c>
      <c r="R36" s="76">
        <f>N(INDEX(Krankheitstage!$G36:$DV36,1,(Einstellungen!$C$3-2026)*24+14))</f>
        <v/>
      </c>
      <c r="S36" s="76">
        <f>N(INDEX(Krankheitstage!$G36:$DV36,1,(Einstellungen!$C$3-2026)*24+15))</f>
        <v/>
      </c>
      <c r="T36" s="76">
        <f>N(INDEX(Krankheitstage!$G36:$DV36,1,(Einstellungen!$C$3-2026)*24+16))</f>
        <v/>
      </c>
      <c r="U36" s="76">
        <f>N(INDEX(Krankheitstage!$G36:$DV36,1,(Einstellungen!$C$3-2026)*24+17))</f>
        <v/>
      </c>
      <c r="V36" s="76">
        <f>N(INDEX(Krankheitstage!$G36:$DV36,1,(Einstellungen!$C$3-2026)*24+18))</f>
        <v/>
      </c>
      <c r="W36" s="76">
        <f>N(INDEX(Krankheitstage!$G36:$DV36,1,(Einstellungen!$C$3-2026)*24+19))</f>
        <v/>
      </c>
      <c r="X36" s="76">
        <f>N(INDEX(Krankheitstage!$G36:$DV36,1,(Einstellungen!$C$3-2026)*24+20))</f>
        <v/>
      </c>
      <c r="Y36" s="76">
        <f>N(INDEX(Krankheitstage!$G36:$DV36,1,(Einstellungen!$C$3-2026)*24+21))</f>
        <v/>
      </c>
      <c r="Z36" s="76">
        <f>N(INDEX(Krankheitstage!$G36:$DV36,1,(Einstellungen!$C$3-2026)*24+22))</f>
        <v/>
      </c>
      <c r="AA36" s="76">
        <f>N(INDEX(Krankheitstage!$G36:$DV36,1,(Einstellungen!$C$3-2026)*24+23))</f>
        <v/>
      </c>
      <c r="AB36" s="76">
        <f>N(INDEX(Krankheitstage!$G36:$DV36,1,(Einstellungen!$C$3-2026)*24+24))</f>
        <v/>
      </c>
      <c r="AC36" s="76">
        <f>IF($B36="","",SUM(Q36:AB36))</f>
        <v/>
      </c>
      <c r="AD36" s="76">
        <f>IF($B36="","",SUM(P36,AC36))</f>
        <v/>
      </c>
      <c r="AE36" s="77">
        <f>IF($B36="","",AD36*N(C36))</f>
        <v/>
      </c>
      <c r="AF36" s="76">
        <f>IF($B36="","",Krankheitstage!E36)</f>
        <v/>
      </c>
      <c r="AG36" s="77">
        <f>IF($B36="","",AF36*N(C36))</f>
        <v/>
      </c>
    </row>
    <row r="37">
      <c r="A37" s="74">
        <f>IF(Mitarbeiter!B37="","",Mitarbeiter!A37)</f>
        <v/>
      </c>
      <c r="B37" s="6">
        <f>IF(Mitarbeiter!B37="","",Mitarbeiter!B37)</f>
        <v/>
      </c>
      <c r="C37" s="75">
        <f>IF(Mitarbeiter!B37="","",Mitarbeiter!F37)</f>
        <v/>
      </c>
      <c r="D37" s="76">
        <f>N(INDEX(Krankheitstage!$G37:$DV37,1,(Einstellungen!$C$3-2026)*24+1))</f>
        <v/>
      </c>
      <c r="E37" s="76">
        <f>N(INDEX(Krankheitstage!$G37:$DV37,1,(Einstellungen!$C$3-2026)*24+2))</f>
        <v/>
      </c>
      <c r="F37" s="76">
        <f>N(INDEX(Krankheitstage!$G37:$DV37,1,(Einstellungen!$C$3-2026)*24+3))</f>
        <v/>
      </c>
      <c r="G37" s="76">
        <f>N(INDEX(Krankheitstage!$G37:$DV37,1,(Einstellungen!$C$3-2026)*24+4))</f>
        <v/>
      </c>
      <c r="H37" s="76">
        <f>N(INDEX(Krankheitstage!$G37:$DV37,1,(Einstellungen!$C$3-2026)*24+5))</f>
        <v/>
      </c>
      <c r="I37" s="76">
        <f>N(INDEX(Krankheitstage!$G37:$DV37,1,(Einstellungen!$C$3-2026)*24+6))</f>
        <v/>
      </c>
      <c r="J37" s="76">
        <f>N(INDEX(Krankheitstage!$G37:$DV37,1,(Einstellungen!$C$3-2026)*24+7))</f>
        <v/>
      </c>
      <c r="K37" s="76">
        <f>N(INDEX(Krankheitstage!$G37:$DV37,1,(Einstellungen!$C$3-2026)*24+8))</f>
        <v/>
      </c>
      <c r="L37" s="76">
        <f>N(INDEX(Krankheitstage!$G37:$DV37,1,(Einstellungen!$C$3-2026)*24+9))</f>
        <v/>
      </c>
      <c r="M37" s="76">
        <f>N(INDEX(Krankheitstage!$G37:$DV37,1,(Einstellungen!$C$3-2026)*24+10))</f>
        <v/>
      </c>
      <c r="N37" s="76">
        <f>N(INDEX(Krankheitstage!$G37:$DV37,1,(Einstellungen!$C$3-2026)*24+11))</f>
        <v/>
      </c>
      <c r="O37" s="76">
        <f>N(INDEX(Krankheitstage!$G37:$DV37,1,(Einstellungen!$C$3-2026)*24+12))</f>
        <v/>
      </c>
      <c r="P37" s="76">
        <f>IF($B37="","",SUM(D37:O37))</f>
        <v/>
      </c>
      <c r="Q37" s="76">
        <f>N(INDEX(Krankheitstage!$G37:$DV37,1,(Einstellungen!$C$3-2026)*24+13))</f>
        <v/>
      </c>
      <c r="R37" s="76">
        <f>N(INDEX(Krankheitstage!$G37:$DV37,1,(Einstellungen!$C$3-2026)*24+14))</f>
        <v/>
      </c>
      <c r="S37" s="76">
        <f>N(INDEX(Krankheitstage!$G37:$DV37,1,(Einstellungen!$C$3-2026)*24+15))</f>
        <v/>
      </c>
      <c r="T37" s="76">
        <f>N(INDEX(Krankheitstage!$G37:$DV37,1,(Einstellungen!$C$3-2026)*24+16))</f>
        <v/>
      </c>
      <c r="U37" s="76">
        <f>N(INDEX(Krankheitstage!$G37:$DV37,1,(Einstellungen!$C$3-2026)*24+17))</f>
        <v/>
      </c>
      <c r="V37" s="76">
        <f>N(INDEX(Krankheitstage!$G37:$DV37,1,(Einstellungen!$C$3-2026)*24+18))</f>
        <v/>
      </c>
      <c r="W37" s="76">
        <f>N(INDEX(Krankheitstage!$G37:$DV37,1,(Einstellungen!$C$3-2026)*24+19))</f>
        <v/>
      </c>
      <c r="X37" s="76">
        <f>N(INDEX(Krankheitstage!$G37:$DV37,1,(Einstellungen!$C$3-2026)*24+20))</f>
        <v/>
      </c>
      <c r="Y37" s="76">
        <f>N(INDEX(Krankheitstage!$G37:$DV37,1,(Einstellungen!$C$3-2026)*24+21))</f>
        <v/>
      </c>
      <c r="Z37" s="76">
        <f>N(INDEX(Krankheitstage!$G37:$DV37,1,(Einstellungen!$C$3-2026)*24+22))</f>
        <v/>
      </c>
      <c r="AA37" s="76">
        <f>N(INDEX(Krankheitstage!$G37:$DV37,1,(Einstellungen!$C$3-2026)*24+23))</f>
        <v/>
      </c>
      <c r="AB37" s="76">
        <f>N(INDEX(Krankheitstage!$G37:$DV37,1,(Einstellungen!$C$3-2026)*24+24))</f>
        <v/>
      </c>
      <c r="AC37" s="76">
        <f>IF($B37="","",SUM(Q37:AB37))</f>
        <v/>
      </c>
      <c r="AD37" s="76">
        <f>IF($B37="","",SUM(P37,AC37))</f>
        <v/>
      </c>
      <c r="AE37" s="77">
        <f>IF($B37="","",AD37*N(C37))</f>
        <v/>
      </c>
      <c r="AF37" s="76">
        <f>IF($B37="","",Krankheitstage!E37)</f>
        <v/>
      </c>
      <c r="AG37" s="77">
        <f>IF($B37="","",AF37*N(C37))</f>
        <v/>
      </c>
    </row>
    <row r="38">
      <c r="A38" s="74">
        <f>IF(Mitarbeiter!B38="","",Mitarbeiter!A38)</f>
        <v/>
      </c>
      <c r="B38" s="6">
        <f>IF(Mitarbeiter!B38="","",Mitarbeiter!B38)</f>
        <v/>
      </c>
      <c r="C38" s="75">
        <f>IF(Mitarbeiter!B38="","",Mitarbeiter!F38)</f>
        <v/>
      </c>
      <c r="D38" s="76">
        <f>N(INDEX(Krankheitstage!$G38:$DV38,1,(Einstellungen!$C$3-2026)*24+1))</f>
        <v/>
      </c>
      <c r="E38" s="76">
        <f>N(INDEX(Krankheitstage!$G38:$DV38,1,(Einstellungen!$C$3-2026)*24+2))</f>
        <v/>
      </c>
      <c r="F38" s="76">
        <f>N(INDEX(Krankheitstage!$G38:$DV38,1,(Einstellungen!$C$3-2026)*24+3))</f>
        <v/>
      </c>
      <c r="G38" s="76">
        <f>N(INDEX(Krankheitstage!$G38:$DV38,1,(Einstellungen!$C$3-2026)*24+4))</f>
        <v/>
      </c>
      <c r="H38" s="76">
        <f>N(INDEX(Krankheitstage!$G38:$DV38,1,(Einstellungen!$C$3-2026)*24+5))</f>
        <v/>
      </c>
      <c r="I38" s="76">
        <f>N(INDEX(Krankheitstage!$G38:$DV38,1,(Einstellungen!$C$3-2026)*24+6))</f>
        <v/>
      </c>
      <c r="J38" s="76">
        <f>N(INDEX(Krankheitstage!$G38:$DV38,1,(Einstellungen!$C$3-2026)*24+7))</f>
        <v/>
      </c>
      <c r="K38" s="76">
        <f>N(INDEX(Krankheitstage!$G38:$DV38,1,(Einstellungen!$C$3-2026)*24+8))</f>
        <v/>
      </c>
      <c r="L38" s="76">
        <f>N(INDEX(Krankheitstage!$G38:$DV38,1,(Einstellungen!$C$3-2026)*24+9))</f>
        <v/>
      </c>
      <c r="M38" s="76">
        <f>N(INDEX(Krankheitstage!$G38:$DV38,1,(Einstellungen!$C$3-2026)*24+10))</f>
        <v/>
      </c>
      <c r="N38" s="76">
        <f>N(INDEX(Krankheitstage!$G38:$DV38,1,(Einstellungen!$C$3-2026)*24+11))</f>
        <v/>
      </c>
      <c r="O38" s="76">
        <f>N(INDEX(Krankheitstage!$G38:$DV38,1,(Einstellungen!$C$3-2026)*24+12))</f>
        <v/>
      </c>
      <c r="P38" s="76">
        <f>IF($B38="","",SUM(D38:O38))</f>
        <v/>
      </c>
      <c r="Q38" s="76">
        <f>N(INDEX(Krankheitstage!$G38:$DV38,1,(Einstellungen!$C$3-2026)*24+13))</f>
        <v/>
      </c>
      <c r="R38" s="76">
        <f>N(INDEX(Krankheitstage!$G38:$DV38,1,(Einstellungen!$C$3-2026)*24+14))</f>
        <v/>
      </c>
      <c r="S38" s="76">
        <f>N(INDEX(Krankheitstage!$G38:$DV38,1,(Einstellungen!$C$3-2026)*24+15))</f>
        <v/>
      </c>
      <c r="T38" s="76">
        <f>N(INDEX(Krankheitstage!$G38:$DV38,1,(Einstellungen!$C$3-2026)*24+16))</f>
        <v/>
      </c>
      <c r="U38" s="76">
        <f>N(INDEX(Krankheitstage!$G38:$DV38,1,(Einstellungen!$C$3-2026)*24+17))</f>
        <v/>
      </c>
      <c r="V38" s="76">
        <f>N(INDEX(Krankheitstage!$G38:$DV38,1,(Einstellungen!$C$3-2026)*24+18))</f>
        <v/>
      </c>
      <c r="W38" s="76">
        <f>N(INDEX(Krankheitstage!$G38:$DV38,1,(Einstellungen!$C$3-2026)*24+19))</f>
        <v/>
      </c>
      <c r="X38" s="76">
        <f>N(INDEX(Krankheitstage!$G38:$DV38,1,(Einstellungen!$C$3-2026)*24+20))</f>
        <v/>
      </c>
      <c r="Y38" s="76">
        <f>N(INDEX(Krankheitstage!$G38:$DV38,1,(Einstellungen!$C$3-2026)*24+21))</f>
        <v/>
      </c>
      <c r="Z38" s="76">
        <f>N(INDEX(Krankheitstage!$G38:$DV38,1,(Einstellungen!$C$3-2026)*24+22))</f>
        <v/>
      </c>
      <c r="AA38" s="76">
        <f>N(INDEX(Krankheitstage!$G38:$DV38,1,(Einstellungen!$C$3-2026)*24+23))</f>
        <v/>
      </c>
      <c r="AB38" s="76">
        <f>N(INDEX(Krankheitstage!$G38:$DV38,1,(Einstellungen!$C$3-2026)*24+24))</f>
        <v/>
      </c>
      <c r="AC38" s="76">
        <f>IF($B38="","",SUM(Q38:AB38))</f>
        <v/>
      </c>
      <c r="AD38" s="76">
        <f>IF($B38="","",SUM(P38,AC38))</f>
        <v/>
      </c>
      <c r="AE38" s="77">
        <f>IF($B38="","",AD38*N(C38))</f>
        <v/>
      </c>
      <c r="AF38" s="76">
        <f>IF($B38="","",Krankheitstage!E38)</f>
        <v/>
      </c>
      <c r="AG38" s="77">
        <f>IF($B38="","",AF38*N(C38))</f>
        <v/>
      </c>
    </row>
    <row r="39">
      <c r="A39" s="74">
        <f>IF(Mitarbeiter!B39="","",Mitarbeiter!A39)</f>
        <v/>
      </c>
      <c r="B39" s="6">
        <f>IF(Mitarbeiter!B39="","",Mitarbeiter!B39)</f>
        <v/>
      </c>
      <c r="C39" s="75">
        <f>IF(Mitarbeiter!B39="","",Mitarbeiter!F39)</f>
        <v/>
      </c>
      <c r="D39" s="76">
        <f>N(INDEX(Krankheitstage!$G39:$DV39,1,(Einstellungen!$C$3-2026)*24+1))</f>
        <v/>
      </c>
      <c r="E39" s="76">
        <f>N(INDEX(Krankheitstage!$G39:$DV39,1,(Einstellungen!$C$3-2026)*24+2))</f>
        <v/>
      </c>
      <c r="F39" s="76">
        <f>N(INDEX(Krankheitstage!$G39:$DV39,1,(Einstellungen!$C$3-2026)*24+3))</f>
        <v/>
      </c>
      <c r="G39" s="76">
        <f>N(INDEX(Krankheitstage!$G39:$DV39,1,(Einstellungen!$C$3-2026)*24+4))</f>
        <v/>
      </c>
      <c r="H39" s="76">
        <f>N(INDEX(Krankheitstage!$G39:$DV39,1,(Einstellungen!$C$3-2026)*24+5))</f>
        <v/>
      </c>
      <c r="I39" s="76">
        <f>N(INDEX(Krankheitstage!$G39:$DV39,1,(Einstellungen!$C$3-2026)*24+6))</f>
        <v/>
      </c>
      <c r="J39" s="76">
        <f>N(INDEX(Krankheitstage!$G39:$DV39,1,(Einstellungen!$C$3-2026)*24+7))</f>
        <v/>
      </c>
      <c r="K39" s="76">
        <f>N(INDEX(Krankheitstage!$G39:$DV39,1,(Einstellungen!$C$3-2026)*24+8))</f>
        <v/>
      </c>
      <c r="L39" s="76">
        <f>N(INDEX(Krankheitstage!$G39:$DV39,1,(Einstellungen!$C$3-2026)*24+9))</f>
        <v/>
      </c>
      <c r="M39" s="76">
        <f>N(INDEX(Krankheitstage!$G39:$DV39,1,(Einstellungen!$C$3-2026)*24+10))</f>
        <v/>
      </c>
      <c r="N39" s="76">
        <f>N(INDEX(Krankheitstage!$G39:$DV39,1,(Einstellungen!$C$3-2026)*24+11))</f>
        <v/>
      </c>
      <c r="O39" s="76">
        <f>N(INDEX(Krankheitstage!$G39:$DV39,1,(Einstellungen!$C$3-2026)*24+12))</f>
        <v/>
      </c>
      <c r="P39" s="76">
        <f>IF($B39="","",SUM(D39:O39))</f>
        <v/>
      </c>
      <c r="Q39" s="76">
        <f>N(INDEX(Krankheitstage!$G39:$DV39,1,(Einstellungen!$C$3-2026)*24+13))</f>
        <v/>
      </c>
      <c r="R39" s="76">
        <f>N(INDEX(Krankheitstage!$G39:$DV39,1,(Einstellungen!$C$3-2026)*24+14))</f>
        <v/>
      </c>
      <c r="S39" s="76">
        <f>N(INDEX(Krankheitstage!$G39:$DV39,1,(Einstellungen!$C$3-2026)*24+15))</f>
        <v/>
      </c>
      <c r="T39" s="76">
        <f>N(INDEX(Krankheitstage!$G39:$DV39,1,(Einstellungen!$C$3-2026)*24+16))</f>
        <v/>
      </c>
      <c r="U39" s="76">
        <f>N(INDEX(Krankheitstage!$G39:$DV39,1,(Einstellungen!$C$3-2026)*24+17))</f>
        <v/>
      </c>
      <c r="V39" s="76">
        <f>N(INDEX(Krankheitstage!$G39:$DV39,1,(Einstellungen!$C$3-2026)*24+18))</f>
        <v/>
      </c>
      <c r="W39" s="76">
        <f>N(INDEX(Krankheitstage!$G39:$DV39,1,(Einstellungen!$C$3-2026)*24+19))</f>
        <v/>
      </c>
      <c r="X39" s="76">
        <f>N(INDEX(Krankheitstage!$G39:$DV39,1,(Einstellungen!$C$3-2026)*24+20))</f>
        <v/>
      </c>
      <c r="Y39" s="76">
        <f>N(INDEX(Krankheitstage!$G39:$DV39,1,(Einstellungen!$C$3-2026)*24+21))</f>
        <v/>
      </c>
      <c r="Z39" s="76">
        <f>N(INDEX(Krankheitstage!$G39:$DV39,1,(Einstellungen!$C$3-2026)*24+22))</f>
        <v/>
      </c>
      <c r="AA39" s="76">
        <f>N(INDEX(Krankheitstage!$G39:$DV39,1,(Einstellungen!$C$3-2026)*24+23))</f>
        <v/>
      </c>
      <c r="AB39" s="76">
        <f>N(INDEX(Krankheitstage!$G39:$DV39,1,(Einstellungen!$C$3-2026)*24+24))</f>
        <v/>
      </c>
      <c r="AC39" s="76">
        <f>IF($B39="","",SUM(Q39:AB39))</f>
        <v/>
      </c>
      <c r="AD39" s="76">
        <f>IF($B39="","",SUM(P39,AC39))</f>
        <v/>
      </c>
      <c r="AE39" s="77">
        <f>IF($B39="","",AD39*N(C39))</f>
        <v/>
      </c>
      <c r="AF39" s="76">
        <f>IF($B39="","",Krankheitstage!E39)</f>
        <v/>
      </c>
      <c r="AG39" s="77">
        <f>IF($B39="","",AF39*N(C39))</f>
        <v/>
      </c>
    </row>
    <row r="40">
      <c r="A40" s="74">
        <f>IF(Mitarbeiter!B40="","",Mitarbeiter!A40)</f>
        <v/>
      </c>
      <c r="B40" s="6">
        <f>IF(Mitarbeiter!B40="","",Mitarbeiter!B40)</f>
        <v/>
      </c>
      <c r="C40" s="75">
        <f>IF(Mitarbeiter!B40="","",Mitarbeiter!F40)</f>
        <v/>
      </c>
      <c r="D40" s="76">
        <f>N(INDEX(Krankheitstage!$G40:$DV40,1,(Einstellungen!$C$3-2026)*24+1))</f>
        <v/>
      </c>
      <c r="E40" s="76">
        <f>N(INDEX(Krankheitstage!$G40:$DV40,1,(Einstellungen!$C$3-2026)*24+2))</f>
        <v/>
      </c>
      <c r="F40" s="76">
        <f>N(INDEX(Krankheitstage!$G40:$DV40,1,(Einstellungen!$C$3-2026)*24+3))</f>
        <v/>
      </c>
      <c r="G40" s="76">
        <f>N(INDEX(Krankheitstage!$G40:$DV40,1,(Einstellungen!$C$3-2026)*24+4))</f>
        <v/>
      </c>
      <c r="H40" s="76">
        <f>N(INDEX(Krankheitstage!$G40:$DV40,1,(Einstellungen!$C$3-2026)*24+5))</f>
        <v/>
      </c>
      <c r="I40" s="76">
        <f>N(INDEX(Krankheitstage!$G40:$DV40,1,(Einstellungen!$C$3-2026)*24+6))</f>
        <v/>
      </c>
      <c r="J40" s="76">
        <f>N(INDEX(Krankheitstage!$G40:$DV40,1,(Einstellungen!$C$3-2026)*24+7))</f>
        <v/>
      </c>
      <c r="K40" s="76">
        <f>N(INDEX(Krankheitstage!$G40:$DV40,1,(Einstellungen!$C$3-2026)*24+8))</f>
        <v/>
      </c>
      <c r="L40" s="76">
        <f>N(INDEX(Krankheitstage!$G40:$DV40,1,(Einstellungen!$C$3-2026)*24+9))</f>
        <v/>
      </c>
      <c r="M40" s="76">
        <f>N(INDEX(Krankheitstage!$G40:$DV40,1,(Einstellungen!$C$3-2026)*24+10))</f>
        <v/>
      </c>
      <c r="N40" s="76">
        <f>N(INDEX(Krankheitstage!$G40:$DV40,1,(Einstellungen!$C$3-2026)*24+11))</f>
        <v/>
      </c>
      <c r="O40" s="76">
        <f>N(INDEX(Krankheitstage!$G40:$DV40,1,(Einstellungen!$C$3-2026)*24+12))</f>
        <v/>
      </c>
      <c r="P40" s="76">
        <f>IF($B40="","",SUM(D40:O40))</f>
        <v/>
      </c>
      <c r="Q40" s="76">
        <f>N(INDEX(Krankheitstage!$G40:$DV40,1,(Einstellungen!$C$3-2026)*24+13))</f>
        <v/>
      </c>
      <c r="R40" s="76">
        <f>N(INDEX(Krankheitstage!$G40:$DV40,1,(Einstellungen!$C$3-2026)*24+14))</f>
        <v/>
      </c>
      <c r="S40" s="76">
        <f>N(INDEX(Krankheitstage!$G40:$DV40,1,(Einstellungen!$C$3-2026)*24+15))</f>
        <v/>
      </c>
      <c r="T40" s="76">
        <f>N(INDEX(Krankheitstage!$G40:$DV40,1,(Einstellungen!$C$3-2026)*24+16))</f>
        <v/>
      </c>
      <c r="U40" s="76">
        <f>N(INDEX(Krankheitstage!$G40:$DV40,1,(Einstellungen!$C$3-2026)*24+17))</f>
        <v/>
      </c>
      <c r="V40" s="76">
        <f>N(INDEX(Krankheitstage!$G40:$DV40,1,(Einstellungen!$C$3-2026)*24+18))</f>
        <v/>
      </c>
      <c r="W40" s="76">
        <f>N(INDEX(Krankheitstage!$G40:$DV40,1,(Einstellungen!$C$3-2026)*24+19))</f>
        <v/>
      </c>
      <c r="X40" s="76">
        <f>N(INDEX(Krankheitstage!$G40:$DV40,1,(Einstellungen!$C$3-2026)*24+20))</f>
        <v/>
      </c>
      <c r="Y40" s="76">
        <f>N(INDEX(Krankheitstage!$G40:$DV40,1,(Einstellungen!$C$3-2026)*24+21))</f>
        <v/>
      </c>
      <c r="Z40" s="76">
        <f>N(INDEX(Krankheitstage!$G40:$DV40,1,(Einstellungen!$C$3-2026)*24+22))</f>
        <v/>
      </c>
      <c r="AA40" s="76">
        <f>N(INDEX(Krankheitstage!$G40:$DV40,1,(Einstellungen!$C$3-2026)*24+23))</f>
        <v/>
      </c>
      <c r="AB40" s="76">
        <f>N(INDEX(Krankheitstage!$G40:$DV40,1,(Einstellungen!$C$3-2026)*24+24))</f>
        <v/>
      </c>
      <c r="AC40" s="76">
        <f>IF($B40="","",SUM(Q40:AB40))</f>
        <v/>
      </c>
      <c r="AD40" s="76">
        <f>IF($B40="","",SUM(P40,AC40))</f>
        <v/>
      </c>
      <c r="AE40" s="77">
        <f>IF($B40="","",AD40*N(C40))</f>
        <v/>
      </c>
      <c r="AF40" s="76">
        <f>IF($B40="","",Krankheitstage!E40)</f>
        <v/>
      </c>
      <c r="AG40" s="77">
        <f>IF($B40="","",AF40*N(C40))</f>
        <v/>
      </c>
    </row>
    <row r="41">
      <c r="A41" s="74">
        <f>IF(Mitarbeiter!B41="","",Mitarbeiter!A41)</f>
        <v/>
      </c>
      <c r="B41" s="6">
        <f>IF(Mitarbeiter!B41="","",Mitarbeiter!B41)</f>
        <v/>
      </c>
      <c r="C41" s="75">
        <f>IF(Mitarbeiter!B41="","",Mitarbeiter!F41)</f>
        <v/>
      </c>
      <c r="D41" s="76">
        <f>N(INDEX(Krankheitstage!$G41:$DV41,1,(Einstellungen!$C$3-2026)*24+1))</f>
        <v/>
      </c>
      <c r="E41" s="76">
        <f>N(INDEX(Krankheitstage!$G41:$DV41,1,(Einstellungen!$C$3-2026)*24+2))</f>
        <v/>
      </c>
      <c r="F41" s="76">
        <f>N(INDEX(Krankheitstage!$G41:$DV41,1,(Einstellungen!$C$3-2026)*24+3))</f>
        <v/>
      </c>
      <c r="G41" s="76">
        <f>N(INDEX(Krankheitstage!$G41:$DV41,1,(Einstellungen!$C$3-2026)*24+4))</f>
        <v/>
      </c>
      <c r="H41" s="76">
        <f>N(INDEX(Krankheitstage!$G41:$DV41,1,(Einstellungen!$C$3-2026)*24+5))</f>
        <v/>
      </c>
      <c r="I41" s="76">
        <f>N(INDEX(Krankheitstage!$G41:$DV41,1,(Einstellungen!$C$3-2026)*24+6))</f>
        <v/>
      </c>
      <c r="J41" s="76">
        <f>N(INDEX(Krankheitstage!$G41:$DV41,1,(Einstellungen!$C$3-2026)*24+7))</f>
        <v/>
      </c>
      <c r="K41" s="76">
        <f>N(INDEX(Krankheitstage!$G41:$DV41,1,(Einstellungen!$C$3-2026)*24+8))</f>
        <v/>
      </c>
      <c r="L41" s="76">
        <f>N(INDEX(Krankheitstage!$G41:$DV41,1,(Einstellungen!$C$3-2026)*24+9))</f>
        <v/>
      </c>
      <c r="M41" s="76">
        <f>N(INDEX(Krankheitstage!$G41:$DV41,1,(Einstellungen!$C$3-2026)*24+10))</f>
        <v/>
      </c>
      <c r="N41" s="76">
        <f>N(INDEX(Krankheitstage!$G41:$DV41,1,(Einstellungen!$C$3-2026)*24+11))</f>
        <v/>
      </c>
      <c r="O41" s="76">
        <f>N(INDEX(Krankheitstage!$G41:$DV41,1,(Einstellungen!$C$3-2026)*24+12))</f>
        <v/>
      </c>
      <c r="P41" s="76">
        <f>IF($B41="","",SUM(D41:O41))</f>
        <v/>
      </c>
      <c r="Q41" s="76">
        <f>N(INDEX(Krankheitstage!$G41:$DV41,1,(Einstellungen!$C$3-2026)*24+13))</f>
        <v/>
      </c>
      <c r="R41" s="76">
        <f>N(INDEX(Krankheitstage!$G41:$DV41,1,(Einstellungen!$C$3-2026)*24+14))</f>
        <v/>
      </c>
      <c r="S41" s="76">
        <f>N(INDEX(Krankheitstage!$G41:$DV41,1,(Einstellungen!$C$3-2026)*24+15))</f>
        <v/>
      </c>
      <c r="T41" s="76">
        <f>N(INDEX(Krankheitstage!$G41:$DV41,1,(Einstellungen!$C$3-2026)*24+16))</f>
        <v/>
      </c>
      <c r="U41" s="76">
        <f>N(INDEX(Krankheitstage!$G41:$DV41,1,(Einstellungen!$C$3-2026)*24+17))</f>
        <v/>
      </c>
      <c r="V41" s="76">
        <f>N(INDEX(Krankheitstage!$G41:$DV41,1,(Einstellungen!$C$3-2026)*24+18))</f>
        <v/>
      </c>
      <c r="W41" s="76">
        <f>N(INDEX(Krankheitstage!$G41:$DV41,1,(Einstellungen!$C$3-2026)*24+19))</f>
        <v/>
      </c>
      <c r="X41" s="76">
        <f>N(INDEX(Krankheitstage!$G41:$DV41,1,(Einstellungen!$C$3-2026)*24+20))</f>
        <v/>
      </c>
      <c r="Y41" s="76">
        <f>N(INDEX(Krankheitstage!$G41:$DV41,1,(Einstellungen!$C$3-2026)*24+21))</f>
        <v/>
      </c>
      <c r="Z41" s="76">
        <f>N(INDEX(Krankheitstage!$G41:$DV41,1,(Einstellungen!$C$3-2026)*24+22))</f>
        <v/>
      </c>
      <c r="AA41" s="76">
        <f>N(INDEX(Krankheitstage!$G41:$DV41,1,(Einstellungen!$C$3-2026)*24+23))</f>
        <v/>
      </c>
      <c r="AB41" s="76">
        <f>N(INDEX(Krankheitstage!$G41:$DV41,1,(Einstellungen!$C$3-2026)*24+24))</f>
        <v/>
      </c>
      <c r="AC41" s="76">
        <f>IF($B41="","",SUM(Q41:AB41))</f>
        <v/>
      </c>
      <c r="AD41" s="76">
        <f>IF($B41="","",SUM(P41,AC41))</f>
        <v/>
      </c>
      <c r="AE41" s="77">
        <f>IF($B41="","",AD41*N(C41))</f>
        <v/>
      </c>
      <c r="AF41" s="76">
        <f>IF($B41="","",Krankheitstage!E41)</f>
        <v/>
      </c>
      <c r="AG41" s="77">
        <f>IF($B41="","",AF41*N(C41))</f>
        <v/>
      </c>
    </row>
    <row r="42">
      <c r="A42" s="74">
        <f>IF(Mitarbeiter!B42="","",Mitarbeiter!A42)</f>
        <v/>
      </c>
      <c r="B42" s="6">
        <f>IF(Mitarbeiter!B42="","",Mitarbeiter!B42)</f>
        <v/>
      </c>
      <c r="C42" s="75">
        <f>IF(Mitarbeiter!B42="","",Mitarbeiter!F42)</f>
        <v/>
      </c>
      <c r="D42" s="76">
        <f>N(INDEX(Krankheitstage!$G42:$DV42,1,(Einstellungen!$C$3-2026)*24+1))</f>
        <v/>
      </c>
      <c r="E42" s="76">
        <f>N(INDEX(Krankheitstage!$G42:$DV42,1,(Einstellungen!$C$3-2026)*24+2))</f>
        <v/>
      </c>
      <c r="F42" s="76">
        <f>N(INDEX(Krankheitstage!$G42:$DV42,1,(Einstellungen!$C$3-2026)*24+3))</f>
        <v/>
      </c>
      <c r="G42" s="76">
        <f>N(INDEX(Krankheitstage!$G42:$DV42,1,(Einstellungen!$C$3-2026)*24+4))</f>
        <v/>
      </c>
      <c r="H42" s="76">
        <f>N(INDEX(Krankheitstage!$G42:$DV42,1,(Einstellungen!$C$3-2026)*24+5))</f>
        <v/>
      </c>
      <c r="I42" s="76">
        <f>N(INDEX(Krankheitstage!$G42:$DV42,1,(Einstellungen!$C$3-2026)*24+6))</f>
        <v/>
      </c>
      <c r="J42" s="76">
        <f>N(INDEX(Krankheitstage!$G42:$DV42,1,(Einstellungen!$C$3-2026)*24+7))</f>
        <v/>
      </c>
      <c r="K42" s="76">
        <f>N(INDEX(Krankheitstage!$G42:$DV42,1,(Einstellungen!$C$3-2026)*24+8))</f>
        <v/>
      </c>
      <c r="L42" s="76">
        <f>N(INDEX(Krankheitstage!$G42:$DV42,1,(Einstellungen!$C$3-2026)*24+9))</f>
        <v/>
      </c>
      <c r="M42" s="76">
        <f>N(INDEX(Krankheitstage!$G42:$DV42,1,(Einstellungen!$C$3-2026)*24+10))</f>
        <v/>
      </c>
      <c r="N42" s="76">
        <f>N(INDEX(Krankheitstage!$G42:$DV42,1,(Einstellungen!$C$3-2026)*24+11))</f>
        <v/>
      </c>
      <c r="O42" s="76">
        <f>N(INDEX(Krankheitstage!$G42:$DV42,1,(Einstellungen!$C$3-2026)*24+12))</f>
        <v/>
      </c>
      <c r="P42" s="76">
        <f>IF($B42="","",SUM(D42:O42))</f>
        <v/>
      </c>
      <c r="Q42" s="76">
        <f>N(INDEX(Krankheitstage!$G42:$DV42,1,(Einstellungen!$C$3-2026)*24+13))</f>
        <v/>
      </c>
      <c r="R42" s="76">
        <f>N(INDEX(Krankheitstage!$G42:$DV42,1,(Einstellungen!$C$3-2026)*24+14))</f>
        <v/>
      </c>
      <c r="S42" s="76">
        <f>N(INDEX(Krankheitstage!$G42:$DV42,1,(Einstellungen!$C$3-2026)*24+15))</f>
        <v/>
      </c>
      <c r="T42" s="76">
        <f>N(INDEX(Krankheitstage!$G42:$DV42,1,(Einstellungen!$C$3-2026)*24+16))</f>
        <v/>
      </c>
      <c r="U42" s="76">
        <f>N(INDEX(Krankheitstage!$G42:$DV42,1,(Einstellungen!$C$3-2026)*24+17))</f>
        <v/>
      </c>
      <c r="V42" s="76">
        <f>N(INDEX(Krankheitstage!$G42:$DV42,1,(Einstellungen!$C$3-2026)*24+18))</f>
        <v/>
      </c>
      <c r="W42" s="76">
        <f>N(INDEX(Krankheitstage!$G42:$DV42,1,(Einstellungen!$C$3-2026)*24+19))</f>
        <v/>
      </c>
      <c r="X42" s="76">
        <f>N(INDEX(Krankheitstage!$G42:$DV42,1,(Einstellungen!$C$3-2026)*24+20))</f>
        <v/>
      </c>
      <c r="Y42" s="76">
        <f>N(INDEX(Krankheitstage!$G42:$DV42,1,(Einstellungen!$C$3-2026)*24+21))</f>
        <v/>
      </c>
      <c r="Z42" s="76">
        <f>N(INDEX(Krankheitstage!$G42:$DV42,1,(Einstellungen!$C$3-2026)*24+22))</f>
        <v/>
      </c>
      <c r="AA42" s="76">
        <f>N(INDEX(Krankheitstage!$G42:$DV42,1,(Einstellungen!$C$3-2026)*24+23))</f>
        <v/>
      </c>
      <c r="AB42" s="76">
        <f>N(INDEX(Krankheitstage!$G42:$DV42,1,(Einstellungen!$C$3-2026)*24+24))</f>
        <v/>
      </c>
      <c r="AC42" s="76">
        <f>IF($B42="","",SUM(Q42:AB42))</f>
        <v/>
      </c>
      <c r="AD42" s="76">
        <f>IF($B42="","",SUM(P42,AC42))</f>
        <v/>
      </c>
      <c r="AE42" s="77">
        <f>IF($B42="","",AD42*N(C42))</f>
        <v/>
      </c>
      <c r="AF42" s="76">
        <f>IF($B42="","",Krankheitstage!E42)</f>
        <v/>
      </c>
      <c r="AG42" s="77">
        <f>IF($B42="","",AF42*N(C42))</f>
        <v/>
      </c>
    </row>
    <row r="43">
      <c r="A43" s="74">
        <f>IF(Mitarbeiter!B43="","",Mitarbeiter!A43)</f>
        <v/>
      </c>
      <c r="B43" s="6">
        <f>IF(Mitarbeiter!B43="","",Mitarbeiter!B43)</f>
        <v/>
      </c>
      <c r="C43" s="75">
        <f>IF(Mitarbeiter!B43="","",Mitarbeiter!F43)</f>
        <v/>
      </c>
      <c r="D43" s="76">
        <f>N(INDEX(Krankheitstage!$G43:$DV43,1,(Einstellungen!$C$3-2026)*24+1))</f>
        <v/>
      </c>
      <c r="E43" s="76">
        <f>N(INDEX(Krankheitstage!$G43:$DV43,1,(Einstellungen!$C$3-2026)*24+2))</f>
        <v/>
      </c>
      <c r="F43" s="76">
        <f>N(INDEX(Krankheitstage!$G43:$DV43,1,(Einstellungen!$C$3-2026)*24+3))</f>
        <v/>
      </c>
      <c r="G43" s="76">
        <f>N(INDEX(Krankheitstage!$G43:$DV43,1,(Einstellungen!$C$3-2026)*24+4))</f>
        <v/>
      </c>
      <c r="H43" s="76">
        <f>N(INDEX(Krankheitstage!$G43:$DV43,1,(Einstellungen!$C$3-2026)*24+5))</f>
        <v/>
      </c>
      <c r="I43" s="76">
        <f>N(INDEX(Krankheitstage!$G43:$DV43,1,(Einstellungen!$C$3-2026)*24+6))</f>
        <v/>
      </c>
      <c r="J43" s="76">
        <f>N(INDEX(Krankheitstage!$G43:$DV43,1,(Einstellungen!$C$3-2026)*24+7))</f>
        <v/>
      </c>
      <c r="K43" s="76">
        <f>N(INDEX(Krankheitstage!$G43:$DV43,1,(Einstellungen!$C$3-2026)*24+8))</f>
        <v/>
      </c>
      <c r="L43" s="76">
        <f>N(INDEX(Krankheitstage!$G43:$DV43,1,(Einstellungen!$C$3-2026)*24+9))</f>
        <v/>
      </c>
      <c r="M43" s="76">
        <f>N(INDEX(Krankheitstage!$G43:$DV43,1,(Einstellungen!$C$3-2026)*24+10))</f>
        <v/>
      </c>
      <c r="N43" s="76">
        <f>N(INDEX(Krankheitstage!$G43:$DV43,1,(Einstellungen!$C$3-2026)*24+11))</f>
        <v/>
      </c>
      <c r="O43" s="76">
        <f>N(INDEX(Krankheitstage!$G43:$DV43,1,(Einstellungen!$C$3-2026)*24+12))</f>
        <v/>
      </c>
      <c r="P43" s="76">
        <f>IF($B43="","",SUM(D43:O43))</f>
        <v/>
      </c>
      <c r="Q43" s="76">
        <f>N(INDEX(Krankheitstage!$G43:$DV43,1,(Einstellungen!$C$3-2026)*24+13))</f>
        <v/>
      </c>
      <c r="R43" s="76">
        <f>N(INDEX(Krankheitstage!$G43:$DV43,1,(Einstellungen!$C$3-2026)*24+14))</f>
        <v/>
      </c>
      <c r="S43" s="76">
        <f>N(INDEX(Krankheitstage!$G43:$DV43,1,(Einstellungen!$C$3-2026)*24+15))</f>
        <v/>
      </c>
      <c r="T43" s="76">
        <f>N(INDEX(Krankheitstage!$G43:$DV43,1,(Einstellungen!$C$3-2026)*24+16))</f>
        <v/>
      </c>
      <c r="U43" s="76">
        <f>N(INDEX(Krankheitstage!$G43:$DV43,1,(Einstellungen!$C$3-2026)*24+17))</f>
        <v/>
      </c>
      <c r="V43" s="76">
        <f>N(INDEX(Krankheitstage!$G43:$DV43,1,(Einstellungen!$C$3-2026)*24+18))</f>
        <v/>
      </c>
      <c r="W43" s="76">
        <f>N(INDEX(Krankheitstage!$G43:$DV43,1,(Einstellungen!$C$3-2026)*24+19))</f>
        <v/>
      </c>
      <c r="X43" s="76">
        <f>N(INDEX(Krankheitstage!$G43:$DV43,1,(Einstellungen!$C$3-2026)*24+20))</f>
        <v/>
      </c>
      <c r="Y43" s="76">
        <f>N(INDEX(Krankheitstage!$G43:$DV43,1,(Einstellungen!$C$3-2026)*24+21))</f>
        <v/>
      </c>
      <c r="Z43" s="76">
        <f>N(INDEX(Krankheitstage!$G43:$DV43,1,(Einstellungen!$C$3-2026)*24+22))</f>
        <v/>
      </c>
      <c r="AA43" s="76">
        <f>N(INDEX(Krankheitstage!$G43:$DV43,1,(Einstellungen!$C$3-2026)*24+23))</f>
        <v/>
      </c>
      <c r="AB43" s="76">
        <f>N(INDEX(Krankheitstage!$G43:$DV43,1,(Einstellungen!$C$3-2026)*24+24))</f>
        <v/>
      </c>
      <c r="AC43" s="76">
        <f>IF($B43="","",SUM(Q43:AB43))</f>
        <v/>
      </c>
      <c r="AD43" s="76">
        <f>IF($B43="","",SUM(P43,AC43))</f>
        <v/>
      </c>
      <c r="AE43" s="77">
        <f>IF($B43="","",AD43*N(C43))</f>
        <v/>
      </c>
      <c r="AF43" s="76">
        <f>IF($B43="","",Krankheitstage!E43)</f>
        <v/>
      </c>
      <c r="AG43" s="77">
        <f>IF($B43="","",AF43*N(C43))</f>
        <v/>
      </c>
    </row>
    <row r="44">
      <c r="A44" s="74">
        <f>IF(Mitarbeiter!B44="","",Mitarbeiter!A44)</f>
        <v/>
      </c>
      <c r="B44" s="6">
        <f>IF(Mitarbeiter!B44="","",Mitarbeiter!B44)</f>
        <v/>
      </c>
      <c r="C44" s="75">
        <f>IF(Mitarbeiter!B44="","",Mitarbeiter!F44)</f>
        <v/>
      </c>
      <c r="D44" s="76">
        <f>N(INDEX(Krankheitstage!$G44:$DV44,1,(Einstellungen!$C$3-2026)*24+1))</f>
        <v/>
      </c>
      <c r="E44" s="76">
        <f>N(INDEX(Krankheitstage!$G44:$DV44,1,(Einstellungen!$C$3-2026)*24+2))</f>
        <v/>
      </c>
      <c r="F44" s="76">
        <f>N(INDEX(Krankheitstage!$G44:$DV44,1,(Einstellungen!$C$3-2026)*24+3))</f>
        <v/>
      </c>
      <c r="G44" s="76">
        <f>N(INDEX(Krankheitstage!$G44:$DV44,1,(Einstellungen!$C$3-2026)*24+4))</f>
        <v/>
      </c>
      <c r="H44" s="76">
        <f>N(INDEX(Krankheitstage!$G44:$DV44,1,(Einstellungen!$C$3-2026)*24+5))</f>
        <v/>
      </c>
      <c r="I44" s="76">
        <f>N(INDEX(Krankheitstage!$G44:$DV44,1,(Einstellungen!$C$3-2026)*24+6))</f>
        <v/>
      </c>
      <c r="J44" s="76">
        <f>N(INDEX(Krankheitstage!$G44:$DV44,1,(Einstellungen!$C$3-2026)*24+7))</f>
        <v/>
      </c>
      <c r="K44" s="76">
        <f>N(INDEX(Krankheitstage!$G44:$DV44,1,(Einstellungen!$C$3-2026)*24+8))</f>
        <v/>
      </c>
      <c r="L44" s="76">
        <f>N(INDEX(Krankheitstage!$G44:$DV44,1,(Einstellungen!$C$3-2026)*24+9))</f>
        <v/>
      </c>
      <c r="M44" s="76">
        <f>N(INDEX(Krankheitstage!$G44:$DV44,1,(Einstellungen!$C$3-2026)*24+10))</f>
        <v/>
      </c>
      <c r="N44" s="76">
        <f>N(INDEX(Krankheitstage!$G44:$DV44,1,(Einstellungen!$C$3-2026)*24+11))</f>
        <v/>
      </c>
      <c r="O44" s="76">
        <f>N(INDEX(Krankheitstage!$G44:$DV44,1,(Einstellungen!$C$3-2026)*24+12))</f>
        <v/>
      </c>
      <c r="P44" s="76">
        <f>IF($B44="","",SUM(D44:O44))</f>
        <v/>
      </c>
      <c r="Q44" s="76">
        <f>N(INDEX(Krankheitstage!$G44:$DV44,1,(Einstellungen!$C$3-2026)*24+13))</f>
        <v/>
      </c>
      <c r="R44" s="76">
        <f>N(INDEX(Krankheitstage!$G44:$DV44,1,(Einstellungen!$C$3-2026)*24+14))</f>
        <v/>
      </c>
      <c r="S44" s="76">
        <f>N(INDEX(Krankheitstage!$G44:$DV44,1,(Einstellungen!$C$3-2026)*24+15))</f>
        <v/>
      </c>
      <c r="T44" s="76">
        <f>N(INDEX(Krankheitstage!$G44:$DV44,1,(Einstellungen!$C$3-2026)*24+16))</f>
        <v/>
      </c>
      <c r="U44" s="76">
        <f>N(INDEX(Krankheitstage!$G44:$DV44,1,(Einstellungen!$C$3-2026)*24+17))</f>
        <v/>
      </c>
      <c r="V44" s="76">
        <f>N(INDEX(Krankheitstage!$G44:$DV44,1,(Einstellungen!$C$3-2026)*24+18))</f>
        <v/>
      </c>
      <c r="W44" s="76">
        <f>N(INDEX(Krankheitstage!$G44:$DV44,1,(Einstellungen!$C$3-2026)*24+19))</f>
        <v/>
      </c>
      <c r="X44" s="76">
        <f>N(INDEX(Krankheitstage!$G44:$DV44,1,(Einstellungen!$C$3-2026)*24+20))</f>
        <v/>
      </c>
      <c r="Y44" s="76">
        <f>N(INDEX(Krankheitstage!$G44:$DV44,1,(Einstellungen!$C$3-2026)*24+21))</f>
        <v/>
      </c>
      <c r="Z44" s="76">
        <f>N(INDEX(Krankheitstage!$G44:$DV44,1,(Einstellungen!$C$3-2026)*24+22))</f>
        <v/>
      </c>
      <c r="AA44" s="76">
        <f>N(INDEX(Krankheitstage!$G44:$DV44,1,(Einstellungen!$C$3-2026)*24+23))</f>
        <v/>
      </c>
      <c r="AB44" s="76">
        <f>N(INDEX(Krankheitstage!$G44:$DV44,1,(Einstellungen!$C$3-2026)*24+24))</f>
        <v/>
      </c>
      <c r="AC44" s="76">
        <f>IF($B44="","",SUM(Q44:AB44))</f>
        <v/>
      </c>
      <c r="AD44" s="76">
        <f>IF($B44="","",SUM(P44,AC44))</f>
        <v/>
      </c>
      <c r="AE44" s="77">
        <f>IF($B44="","",AD44*N(C44))</f>
        <v/>
      </c>
      <c r="AF44" s="76">
        <f>IF($B44="","",Krankheitstage!E44)</f>
        <v/>
      </c>
      <c r="AG44" s="77">
        <f>IF($B44="","",AF44*N(C44))</f>
        <v/>
      </c>
    </row>
    <row r="45">
      <c r="A45" s="74">
        <f>IF(Mitarbeiter!B45="","",Mitarbeiter!A45)</f>
        <v/>
      </c>
      <c r="B45" s="6">
        <f>IF(Mitarbeiter!B45="","",Mitarbeiter!B45)</f>
        <v/>
      </c>
      <c r="C45" s="75">
        <f>IF(Mitarbeiter!B45="","",Mitarbeiter!F45)</f>
        <v/>
      </c>
      <c r="D45" s="76">
        <f>N(INDEX(Krankheitstage!$G45:$DV45,1,(Einstellungen!$C$3-2026)*24+1))</f>
        <v/>
      </c>
      <c r="E45" s="76">
        <f>N(INDEX(Krankheitstage!$G45:$DV45,1,(Einstellungen!$C$3-2026)*24+2))</f>
        <v/>
      </c>
      <c r="F45" s="76">
        <f>N(INDEX(Krankheitstage!$G45:$DV45,1,(Einstellungen!$C$3-2026)*24+3))</f>
        <v/>
      </c>
      <c r="G45" s="76">
        <f>N(INDEX(Krankheitstage!$G45:$DV45,1,(Einstellungen!$C$3-2026)*24+4))</f>
        <v/>
      </c>
      <c r="H45" s="76">
        <f>N(INDEX(Krankheitstage!$G45:$DV45,1,(Einstellungen!$C$3-2026)*24+5))</f>
        <v/>
      </c>
      <c r="I45" s="76">
        <f>N(INDEX(Krankheitstage!$G45:$DV45,1,(Einstellungen!$C$3-2026)*24+6))</f>
        <v/>
      </c>
      <c r="J45" s="76">
        <f>N(INDEX(Krankheitstage!$G45:$DV45,1,(Einstellungen!$C$3-2026)*24+7))</f>
        <v/>
      </c>
      <c r="K45" s="76">
        <f>N(INDEX(Krankheitstage!$G45:$DV45,1,(Einstellungen!$C$3-2026)*24+8))</f>
        <v/>
      </c>
      <c r="L45" s="76">
        <f>N(INDEX(Krankheitstage!$G45:$DV45,1,(Einstellungen!$C$3-2026)*24+9))</f>
        <v/>
      </c>
      <c r="M45" s="76">
        <f>N(INDEX(Krankheitstage!$G45:$DV45,1,(Einstellungen!$C$3-2026)*24+10))</f>
        <v/>
      </c>
      <c r="N45" s="76">
        <f>N(INDEX(Krankheitstage!$G45:$DV45,1,(Einstellungen!$C$3-2026)*24+11))</f>
        <v/>
      </c>
      <c r="O45" s="76">
        <f>N(INDEX(Krankheitstage!$G45:$DV45,1,(Einstellungen!$C$3-2026)*24+12))</f>
        <v/>
      </c>
      <c r="P45" s="76">
        <f>IF($B45="","",SUM(D45:O45))</f>
        <v/>
      </c>
      <c r="Q45" s="76">
        <f>N(INDEX(Krankheitstage!$G45:$DV45,1,(Einstellungen!$C$3-2026)*24+13))</f>
        <v/>
      </c>
      <c r="R45" s="76">
        <f>N(INDEX(Krankheitstage!$G45:$DV45,1,(Einstellungen!$C$3-2026)*24+14))</f>
        <v/>
      </c>
      <c r="S45" s="76">
        <f>N(INDEX(Krankheitstage!$G45:$DV45,1,(Einstellungen!$C$3-2026)*24+15))</f>
        <v/>
      </c>
      <c r="T45" s="76">
        <f>N(INDEX(Krankheitstage!$G45:$DV45,1,(Einstellungen!$C$3-2026)*24+16))</f>
        <v/>
      </c>
      <c r="U45" s="76">
        <f>N(INDEX(Krankheitstage!$G45:$DV45,1,(Einstellungen!$C$3-2026)*24+17))</f>
        <v/>
      </c>
      <c r="V45" s="76">
        <f>N(INDEX(Krankheitstage!$G45:$DV45,1,(Einstellungen!$C$3-2026)*24+18))</f>
        <v/>
      </c>
      <c r="W45" s="76">
        <f>N(INDEX(Krankheitstage!$G45:$DV45,1,(Einstellungen!$C$3-2026)*24+19))</f>
        <v/>
      </c>
      <c r="X45" s="76">
        <f>N(INDEX(Krankheitstage!$G45:$DV45,1,(Einstellungen!$C$3-2026)*24+20))</f>
        <v/>
      </c>
      <c r="Y45" s="76">
        <f>N(INDEX(Krankheitstage!$G45:$DV45,1,(Einstellungen!$C$3-2026)*24+21))</f>
        <v/>
      </c>
      <c r="Z45" s="76">
        <f>N(INDEX(Krankheitstage!$G45:$DV45,1,(Einstellungen!$C$3-2026)*24+22))</f>
        <v/>
      </c>
      <c r="AA45" s="76">
        <f>N(INDEX(Krankheitstage!$G45:$DV45,1,(Einstellungen!$C$3-2026)*24+23))</f>
        <v/>
      </c>
      <c r="AB45" s="76">
        <f>N(INDEX(Krankheitstage!$G45:$DV45,1,(Einstellungen!$C$3-2026)*24+24))</f>
        <v/>
      </c>
      <c r="AC45" s="76">
        <f>IF($B45="","",SUM(Q45:AB45))</f>
        <v/>
      </c>
      <c r="AD45" s="76">
        <f>IF($B45="","",SUM(P45,AC45))</f>
        <v/>
      </c>
      <c r="AE45" s="77">
        <f>IF($B45="","",AD45*N(C45))</f>
        <v/>
      </c>
      <c r="AF45" s="76">
        <f>IF($B45="","",Krankheitstage!E45)</f>
        <v/>
      </c>
      <c r="AG45" s="77">
        <f>IF($B45="","",AF45*N(C45))</f>
        <v/>
      </c>
    </row>
    <row r="46">
      <c r="A46" s="74">
        <f>IF(Mitarbeiter!B46="","",Mitarbeiter!A46)</f>
        <v/>
      </c>
      <c r="B46" s="6">
        <f>IF(Mitarbeiter!B46="","",Mitarbeiter!B46)</f>
        <v/>
      </c>
      <c r="C46" s="75">
        <f>IF(Mitarbeiter!B46="","",Mitarbeiter!F46)</f>
        <v/>
      </c>
      <c r="D46" s="76">
        <f>N(INDEX(Krankheitstage!$G46:$DV46,1,(Einstellungen!$C$3-2026)*24+1))</f>
        <v/>
      </c>
      <c r="E46" s="76">
        <f>N(INDEX(Krankheitstage!$G46:$DV46,1,(Einstellungen!$C$3-2026)*24+2))</f>
        <v/>
      </c>
      <c r="F46" s="76">
        <f>N(INDEX(Krankheitstage!$G46:$DV46,1,(Einstellungen!$C$3-2026)*24+3))</f>
        <v/>
      </c>
      <c r="G46" s="76">
        <f>N(INDEX(Krankheitstage!$G46:$DV46,1,(Einstellungen!$C$3-2026)*24+4))</f>
        <v/>
      </c>
      <c r="H46" s="76">
        <f>N(INDEX(Krankheitstage!$G46:$DV46,1,(Einstellungen!$C$3-2026)*24+5))</f>
        <v/>
      </c>
      <c r="I46" s="76">
        <f>N(INDEX(Krankheitstage!$G46:$DV46,1,(Einstellungen!$C$3-2026)*24+6))</f>
        <v/>
      </c>
      <c r="J46" s="76">
        <f>N(INDEX(Krankheitstage!$G46:$DV46,1,(Einstellungen!$C$3-2026)*24+7))</f>
        <v/>
      </c>
      <c r="K46" s="76">
        <f>N(INDEX(Krankheitstage!$G46:$DV46,1,(Einstellungen!$C$3-2026)*24+8))</f>
        <v/>
      </c>
      <c r="L46" s="76">
        <f>N(INDEX(Krankheitstage!$G46:$DV46,1,(Einstellungen!$C$3-2026)*24+9))</f>
        <v/>
      </c>
      <c r="M46" s="76">
        <f>N(INDEX(Krankheitstage!$G46:$DV46,1,(Einstellungen!$C$3-2026)*24+10))</f>
        <v/>
      </c>
      <c r="N46" s="76">
        <f>N(INDEX(Krankheitstage!$G46:$DV46,1,(Einstellungen!$C$3-2026)*24+11))</f>
        <v/>
      </c>
      <c r="O46" s="76">
        <f>N(INDEX(Krankheitstage!$G46:$DV46,1,(Einstellungen!$C$3-2026)*24+12))</f>
        <v/>
      </c>
      <c r="P46" s="76">
        <f>IF($B46="","",SUM(D46:O46))</f>
        <v/>
      </c>
      <c r="Q46" s="76">
        <f>N(INDEX(Krankheitstage!$G46:$DV46,1,(Einstellungen!$C$3-2026)*24+13))</f>
        <v/>
      </c>
      <c r="R46" s="76">
        <f>N(INDEX(Krankheitstage!$G46:$DV46,1,(Einstellungen!$C$3-2026)*24+14))</f>
        <v/>
      </c>
      <c r="S46" s="76">
        <f>N(INDEX(Krankheitstage!$G46:$DV46,1,(Einstellungen!$C$3-2026)*24+15))</f>
        <v/>
      </c>
      <c r="T46" s="76">
        <f>N(INDEX(Krankheitstage!$G46:$DV46,1,(Einstellungen!$C$3-2026)*24+16))</f>
        <v/>
      </c>
      <c r="U46" s="76">
        <f>N(INDEX(Krankheitstage!$G46:$DV46,1,(Einstellungen!$C$3-2026)*24+17))</f>
        <v/>
      </c>
      <c r="V46" s="76">
        <f>N(INDEX(Krankheitstage!$G46:$DV46,1,(Einstellungen!$C$3-2026)*24+18))</f>
        <v/>
      </c>
      <c r="W46" s="76">
        <f>N(INDEX(Krankheitstage!$G46:$DV46,1,(Einstellungen!$C$3-2026)*24+19))</f>
        <v/>
      </c>
      <c r="X46" s="76">
        <f>N(INDEX(Krankheitstage!$G46:$DV46,1,(Einstellungen!$C$3-2026)*24+20))</f>
        <v/>
      </c>
      <c r="Y46" s="76">
        <f>N(INDEX(Krankheitstage!$G46:$DV46,1,(Einstellungen!$C$3-2026)*24+21))</f>
        <v/>
      </c>
      <c r="Z46" s="76">
        <f>N(INDEX(Krankheitstage!$G46:$DV46,1,(Einstellungen!$C$3-2026)*24+22))</f>
        <v/>
      </c>
      <c r="AA46" s="76">
        <f>N(INDEX(Krankheitstage!$G46:$DV46,1,(Einstellungen!$C$3-2026)*24+23))</f>
        <v/>
      </c>
      <c r="AB46" s="76">
        <f>N(INDEX(Krankheitstage!$G46:$DV46,1,(Einstellungen!$C$3-2026)*24+24))</f>
        <v/>
      </c>
      <c r="AC46" s="76">
        <f>IF($B46="","",SUM(Q46:AB46))</f>
        <v/>
      </c>
      <c r="AD46" s="76">
        <f>IF($B46="","",SUM(P46,AC46))</f>
        <v/>
      </c>
      <c r="AE46" s="77">
        <f>IF($B46="","",AD46*N(C46))</f>
        <v/>
      </c>
      <c r="AF46" s="76">
        <f>IF($B46="","",Krankheitstage!E46)</f>
        <v/>
      </c>
      <c r="AG46" s="77">
        <f>IF($B46="","",AF46*N(C46))</f>
        <v/>
      </c>
    </row>
    <row r="47">
      <c r="A47" s="74">
        <f>IF(Mitarbeiter!B47="","",Mitarbeiter!A47)</f>
        <v/>
      </c>
      <c r="B47" s="6">
        <f>IF(Mitarbeiter!B47="","",Mitarbeiter!B47)</f>
        <v/>
      </c>
      <c r="C47" s="75">
        <f>IF(Mitarbeiter!B47="","",Mitarbeiter!F47)</f>
        <v/>
      </c>
      <c r="D47" s="76">
        <f>N(INDEX(Krankheitstage!$G47:$DV47,1,(Einstellungen!$C$3-2026)*24+1))</f>
        <v/>
      </c>
      <c r="E47" s="76">
        <f>N(INDEX(Krankheitstage!$G47:$DV47,1,(Einstellungen!$C$3-2026)*24+2))</f>
        <v/>
      </c>
      <c r="F47" s="76">
        <f>N(INDEX(Krankheitstage!$G47:$DV47,1,(Einstellungen!$C$3-2026)*24+3))</f>
        <v/>
      </c>
      <c r="G47" s="76">
        <f>N(INDEX(Krankheitstage!$G47:$DV47,1,(Einstellungen!$C$3-2026)*24+4))</f>
        <v/>
      </c>
      <c r="H47" s="76">
        <f>N(INDEX(Krankheitstage!$G47:$DV47,1,(Einstellungen!$C$3-2026)*24+5))</f>
        <v/>
      </c>
      <c r="I47" s="76">
        <f>N(INDEX(Krankheitstage!$G47:$DV47,1,(Einstellungen!$C$3-2026)*24+6))</f>
        <v/>
      </c>
      <c r="J47" s="76">
        <f>N(INDEX(Krankheitstage!$G47:$DV47,1,(Einstellungen!$C$3-2026)*24+7))</f>
        <v/>
      </c>
      <c r="K47" s="76">
        <f>N(INDEX(Krankheitstage!$G47:$DV47,1,(Einstellungen!$C$3-2026)*24+8))</f>
        <v/>
      </c>
      <c r="L47" s="76">
        <f>N(INDEX(Krankheitstage!$G47:$DV47,1,(Einstellungen!$C$3-2026)*24+9))</f>
        <v/>
      </c>
      <c r="M47" s="76">
        <f>N(INDEX(Krankheitstage!$G47:$DV47,1,(Einstellungen!$C$3-2026)*24+10))</f>
        <v/>
      </c>
      <c r="N47" s="76">
        <f>N(INDEX(Krankheitstage!$G47:$DV47,1,(Einstellungen!$C$3-2026)*24+11))</f>
        <v/>
      </c>
      <c r="O47" s="76">
        <f>N(INDEX(Krankheitstage!$G47:$DV47,1,(Einstellungen!$C$3-2026)*24+12))</f>
        <v/>
      </c>
      <c r="P47" s="76">
        <f>IF($B47="","",SUM(D47:O47))</f>
        <v/>
      </c>
      <c r="Q47" s="76">
        <f>N(INDEX(Krankheitstage!$G47:$DV47,1,(Einstellungen!$C$3-2026)*24+13))</f>
        <v/>
      </c>
      <c r="R47" s="76">
        <f>N(INDEX(Krankheitstage!$G47:$DV47,1,(Einstellungen!$C$3-2026)*24+14))</f>
        <v/>
      </c>
      <c r="S47" s="76">
        <f>N(INDEX(Krankheitstage!$G47:$DV47,1,(Einstellungen!$C$3-2026)*24+15))</f>
        <v/>
      </c>
      <c r="T47" s="76">
        <f>N(INDEX(Krankheitstage!$G47:$DV47,1,(Einstellungen!$C$3-2026)*24+16))</f>
        <v/>
      </c>
      <c r="U47" s="76">
        <f>N(INDEX(Krankheitstage!$G47:$DV47,1,(Einstellungen!$C$3-2026)*24+17))</f>
        <v/>
      </c>
      <c r="V47" s="76">
        <f>N(INDEX(Krankheitstage!$G47:$DV47,1,(Einstellungen!$C$3-2026)*24+18))</f>
        <v/>
      </c>
      <c r="W47" s="76">
        <f>N(INDEX(Krankheitstage!$G47:$DV47,1,(Einstellungen!$C$3-2026)*24+19))</f>
        <v/>
      </c>
      <c r="X47" s="76">
        <f>N(INDEX(Krankheitstage!$G47:$DV47,1,(Einstellungen!$C$3-2026)*24+20))</f>
        <v/>
      </c>
      <c r="Y47" s="76">
        <f>N(INDEX(Krankheitstage!$G47:$DV47,1,(Einstellungen!$C$3-2026)*24+21))</f>
        <v/>
      </c>
      <c r="Z47" s="76">
        <f>N(INDEX(Krankheitstage!$G47:$DV47,1,(Einstellungen!$C$3-2026)*24+22))</f>
        <v/>
      </c>
      <c r="AA47" s="76">
        <f>N(INDEX(Krankheitstage!$G47:$DV47,1,(Einstellungen!$C$3-2026)*24+23))</f>
        <v/>
      </c>
      <c r="AB47" s="76">
        <f>N(INDEX(Krankheitstage!$G47:$DV47,1,(Einstellungen!$C$3-2026)*24+24))</f>
        <v/>
      </c>
      <c r="AC47" s="76">
        <f>IF($B47="","",SUM(Q47:AB47))</f>
        <v/>
      </c>
      <c r="AD47" s="76">
        <f>IF($B47="","",SUM(P47,AC47))</f>
        <v/>
      </c>
      <c r="AE47" s="77">
        <f>IF($B47="","",AD47*N(C47))</f>
        <v/>
      </c>
      <c r="AF47" s="76">
        <f>IF($B47="","",Krankheitstage!E47)</f>
        <v/>
      </c>
      <c r="AG47" s="77">
        <f>IF($B47="","",AF47*N(C47))</f>
        <v/>
      </c>
    </row>
    <row r="48">
      <c r="A48" s="74">
        <f>IF(Mitarbeiter!B48="","",Mitarbeiter!A48)</f>
        <v/>
      </c>
      <c r="B48" s="6">
        <f>IF(Mitarbeiter!B48="","",Mitarbeiter!B48)</f>
        <v/>
      </c>
      <c r="C48" s="75">
        <f>IF(Mitarbeiter!B48="","",Mitarbeiter!F48)</f>
        <v/>
      </c>
      <c r="D48" s="76">
        <f>N(INDEX(Krankheitstage!$G48:$DV48,1,(Einstellungen!$C$3-2026)*24+1))</f>
        <v/>
      </c>
      <c r="E48" s="76">
        <f>N(INDEX(Krankheitstage!$G48:$DV48,1,(Einstellungen!$C$3-2026)*24+2))</f>
        <v/>
      </c>
      <c r="F48" s="76">
        <f>N(INDEX(Krankheitstage!$G48:$DV48,1,(Einstellungen!$C$3-2026)*24+3))</f>
        <v/>
      </c>
      <c r="G48" s="76">
        <f>N(INDEX(Krankheitstage!$G48:$DV48,1,(Einstellungen!$C$3-2026)*24+4))</f>
        <v/>
      </c>
      <c r="H48" s="76">
        <f>N(INDEX(Krankheitstage!$G48:$DV48,1,(Einstellungen!$C$3-2026)*24+5))</f>
        <v/>
      </c>
      <c r="I48" s="76">
        <f>N(INDEX(Krankheitstage!$G48:$DV48,1,(Einstellungen!$C$3-2026)*24+6))</f>
        <v/>
      </c>
      <c r="J48" s="76">
        <f>N(INDEX(Krankheitstage!$G48:$DV48,1,(Einstellungen!$C$3-2026)*24+7))</f>
        <v/>
      </c>
      <c r="K48" s="76">
        <f>N(INDEX(Krankheitstage!$G48:$DV48,1,(Einstellungen!$C$3-2026)*24+8))</f>
        <v/>
      </c>
      <c r="L48" s="76">
        <f>N(INDEX(Krankheitstage!$G48:$DV48,1,(Einstellungen!$C$3-2026)*24+9))</f>
        <v/>
      </c>
      <c r="M48" s="76">
        <f>N(INDEX(Krankheitstage!$G48:$DV48,1,(Einstellungen!$C$3-2026)*24+10))</f>
        <v/>
      </c>
      <c r="N48" s="76">
        <f>N(INDEX(Krankheitstage!$G48:$DV48,1,(Einstellungen!$C$3-2026)*24+11))</f>
        <v/>
      </c>
      <c r="O48" s="76">
        <f>N(INDEX(Krankheitstage!$G48:$DV48,1,(Einstellungen!$C$3-2026)*24+12))</f>
        <v/>
      </c>
      <c r="P48" s="76">
        <f>IF($B48="","",SUM(D48:O48))</f>
        <v/>
      </c>
      <c r="Q48" s="76">
        <f>N(INDEX(Krankheitstage!$G48:$DV48,1,(Einstellungen!$C$3-2026)*24+13))</f>
        <v/>
      </c>
      <c r="R48" s="76">
        <f>N(INDEX(Krankheitstage!$G48:$DV48,1,(Einstellungen!$C$3-2026)*24+14))</f>
        <v/>
      </c>
      <c r="S48" s="76">
        <f>N(INDEX(Krankheitstage!$G48:$DV48,1,(Einstellungen!$C$3-2026)*24+15))</f>
        <v/>
      </c>
      <c r="T48" s="76">
        <f>N(INDEX(Krankheitstage!$G48:$DV48,1,(Einstellungen!$C$3-2026)*24+16))</f>
        <v/>
      </c>
      <c r="U48" s="76">
        <f>N(INDEX(Krankheitstage!$G48:$DV48,1,(Einstellungen!$C$3-2026)*24+17))</f>
        <v/>
      </c>
      <c r="V48" s="76">
        <f>N(INDEX(Krankheitstage!$G48:$DV48,1,(Einstellungen!$C$3-2026)*24+18))</f>
        <v/>
      </c>
      <c r="W48" s="76">
        <f>N(INDEX(Krankheitstage!$G48:$DV48,1,(Einstellungen!$C$3-2026)*24+19))</f>
        <v/>
      </c>
      <c r="X48" s="76">
        <f>N(INDEX(Krankheitstage!$G48:$DV48,1,(Einstellungen!$C$3-2026)*24+20))</f>
        <v/>
      </c>
      <c r="Y48" s="76">
        <f>N(INDEX(Krankheitstage!$G48:$DV48,1,(Einstellungen!$C$3-2026)*24+21))</f>
        <v/>
      </c>
      <c r="Z48" s="76">
        <f>N(INDEX(Krankheitstage!$G48:$DV48,1,(Einstellungen!$C$3-2026)*24+22))</f>
        <v/>
      </c>
      <c r="AA48" s="76">
        <f>N(INDEX(Krankheitstage!$G48:$DV48,1,(Einstellungen!$C$3-2026)*24+23))</f>
        <v/>
      </c>
      <c r="AB48" s="76">
        <f>N(INDEX(Krankheitstage!$G48:$DV48,1,(Einstellungen!$C$3-2026)*24+24))</f>
        <v/>
      </c>
      <c r="AC48" s="76">
        <f>IF($B48="","",SUM(Q48:AB48))</f>
        <v/>
      </c>
      <c r="AD48" s="76">
        <f>IF($B48="","",SUM(P48,AC48))</f>
        <v/>
      </c>
      <c r="AE48" s="77">
        <f>IF($B48="","",AD48*N(C48))</f>
        <v/>
      </c>
      <c r="AF48" s="76">
        <f>IF($B48="","",Krankheitstage!E48)</f>
        <v/>
      </c>
      <c r="AG48" s="77">
        <f>IF($B48="","",AF48*N(C48))</f>
        <v/>
      </c>
    </row>
    <row r="49">
      <c r="A49" s="74">
        <f>IF(Mitarbeiter!B49="","",Mitarbeiter!A49)</f>
        <v/>
      </c>
      <c r="B49" s="6">
        <f>IF(Mitarbeiter!B49="","",Mitarbeiter!B49)</f>
        <v/>
      </c>
      <c r="C49" s="75">
        <f>IF(Mitarbeiter!B49="","",Mitarbeiter!F49)</f>
        <v/>
      </c>
      <c r="D49" s="76">
        <f>N(INDEX(Krankheitstage!$G49:$DV49,1,(Einstellungen!$C$3-2026)*24+1))</f>
        <v/>
      </c>
      <c r="E49" s="76">
        <f>N(INDEX(Krankheitstage!$G49:$DV49,1,(Einstellungen!$C$3-2026)*24+2))</f>
        <v/>
      </c>
      <c r="F49" s="76">
        <f>N(INDEX(Krankheitstage!$G49:$DV49,1,(Einstellungen!$C$3-2026)*24+3))</f>
        <v/>
      </c>
      <c r="G49" s="76">
        <f>N(INDEX(Krankheitstage!$G49:$DV49,1,(Einstellungen!$C$3-2026)*24+4))</f>
        <v/>
      </c>
      <c r="H49" s="76">
        <f>N(INDEX(Krankheitstage!$G49:$DV49,1,(Einstellungen!$C$3-2026)*24+5))</f>
        <v/>
      </c>
      <c r="I49" s="76">
        <f>N(INDEX(Krankheitstage!$G49:$DV49,1,(Einstellungen!$C$3-2026)*24+6))</f>
        <v/>
      </c>
      <c r="J49" s="76">
        <f>N(INDEX(Krankheitstage!$G49:$DV49,1,(Einstellungen!$C$3-2026)*24+7))</f>
        <v/>
      </c>
      <c r="K49" s="76">
        <f>N(INDEX(Krankheitstage!$G49:$DV49,1,(Einstellungen!$C$3-2026)*24+8))</f>
        <v/>
      </c>
      <c r="L49" s="76">
        <f>N(INDEX(Krankheitstage!$G49:$DV49,1,(Einstellungen!$C$3-2026)*24+9))</f>
        <v/>
      </c>
      <c r="M49" s="76">
        <f>N(INDEX(Krankheitstage!$G49:$DV49,1,(Einstellungen!$C$3-2026)*24+10))</f>
        <v/>
      </c>
      <c r="N49" s="76">
        <f>N(INDEX(Krankheitstage!$G49:$DV49,1,(Einstellungen!$C$3-2026)*24+11))</f>
        <v/>
      </c>
      <c r="O49" s="76">
        <f>N(INDEX(Krankheitstage!$G49:$DV49,1,(Einstellungen!$C$3-2026)*24+12))</f>
        <v/>
      </c>
      <c r="P49" s="76">
        <f>IF($B49="","",SUM(D49:O49))</f>
        <v/>
      </c>
      <c r="Q49" s="76">
        <f>N(INDEX(Krankheitstage!$G49:$DV49,1,(Einstellungen!$C$3-2026)*24+13))</f>
        <v/>
      </c>
      <c r="R49" s="76">
        <f>N(INDEX(Krankheitstage!$G49:$DV49,1,(Einstellungen!$C$3-2026)*24+14))</f>
        <v/>
      </c>
      <c r="S49" s="76">
        <f>N(INDEX(Krankheitstage!$G49:$DV49,1,(Einstellungen!$C$3-2026)*24+15))</f>
        <v/>
      </c>
      <c r="T49" s="76">
        <f>N(INDEX(Krankheitstage!$G49:$DV49,1,(Einstellungen!$C$3-2026)*24+16))</f>
        <v/>
      </c>
      <c r="U49" s="76">
        <f>N(INDEX(Krankheitstage!$G49:$DV49,1,(Einstellungen!$C$3-2026)*24+17))</f>
        <v/>
      </c>
      <c r="V49" s="76">
        <f>N(INDEX(Krankheitstage!$G49:$DV49,1,(Einstellungen!$C$3-2026)*24+18))</f>
        <v/>
      </c>
      <c r="W49" s="76">
        <f>N(INDEX(Krankheitstage!$G49:$DV49,1,(Einstellungen!$C$3-2026)*24+19))</f>
        <v/>
      </c>
      <c r="X49" s="76">
        <f>N(INDEX(Krankheitstage!$G49:$DV49,1,(Einstellungen!$C$3-2026)*24+20))</f>
        <v/>
      </c>
      <c r="Y49" s="76">
        <f>N(INDEX(Krankheitstage!$G49:$DV49,1,(Einstellungen!$C$3-2026)*24+21))</f>
        <v/>
      </c>
      <c r="Z49" s="76">
        <f>N(INDEX(Krankheitstage!$G49:$DV49,1,(Einstellungen!$C$3-2026)*24+22))</f>
        <v/>
      </c>
      <c r="AA49" s="76">
        <f>N(INDEX(Krankheitstage!$G49:$DV49,1,(Einstellungen!$C$3-2026)*24+23))</f>
        <v/>
      </c>
      <c r="AB49" s="76">
        <f>N(INDEX(Krankheitstage!$G49:$DV49,1,(Einstellungen!$C$3-2026)*24+24))</f>
        <v/>
      </c>
      <c r="AC49" s="76">
        <f>IF($B49="","",SUM(Q49:AB49))</f>
        <v/>
      </c>
      <c r="AD49" s="76">
        <f>IF($B49="","",SUM(P49,AC49))</f>
        <v/>
      </c>
      <c r="AE49" s="77">
        <f>IF($B49="","",AD49*N(C49))</f>
        <v/>
      </c>
      <c r="AF49" s="76">
        <f>IF($B49="","",Krankheitstage!E49)</f>
        <v/>
      </c>
      <c r="AG49" s="77">
        <f>IF($B49="","",AF49*N(C49))</f>
        <v/>
      </c>
    </row>
    <row r="50">
      <c r="A50" s="74">
        <f>IF(Mitarbeiter!B50="","",Mitarbeiter!A50)</f>
        <v/>
      </c>
      <c r="B50" s="6">
        <f>IF(Mitarbeiter!B50="","",Mitarbeiter!B50)</f>
        <v/>
      </c>
      <c r="C50" s="75">
        <f>IF(Mitarbeiter!B50="","",Mitarbeiter!F50)</f>
        <v/>
      </c>
      <c r="D50" s="76">
        <f>N(INDEX(Krankheitstage!$G50:$DV50,1,(Einstellungen!$C$3-2026)*24+1))</f>
        <v/>
      </c>
      <c r="E50" s="76">
        <f>N(INDEX(Krankheitstage!$G50:$DV50,1,(Einstellungen!$C$3-2026)*24+2))</f>
        <v/>
      </c>
      <c r="F50" s="76">
        <f>N(INDEX(Krankheitstage!$G50:$DV50,1,(Einstellungen!$C$3-2026)*24+3))</f>
        <v/>
      </c>
      <c r="G50" s="76">
        <f>N(INDEX(Krankheitstage!$G50:$DV50,1,(Einstellungen!$C$3-2026)*24+4))</f>
        <v/>
      </c>
      <c r="H50" s="76">
        <f>N(INDEX(Krankheitstage!$G50:$DV50,1,(Einstellungen!$C$3-2026)*24+5))</f>
        <v/>
      </c>
      <c r="I50" s="76">
        <f>N(INDEX(Krankheitstage!$G50:$DV50,1,(Einstellungen!$C$3-2026)*24+6))</f>
        <v/>
      </c>
      <c r="J50" s="76">
        <f>N(INDEX(Krankheitstage!$G50:$DV50,1,(Einstellungen!$C$3-2026)*24+7))</f>
        <v/>
      </c>
      <c r="K50" s="76">
        <f>N(INDEX(Krankheitstage!$G50:$DV50,1,(Einstellungen!$C$3-2026)*24+8))</f>
        <v/>
      </c>
      <c r="L50" s="76">
        <f>N(INDEX(Krankheitstage!$G50:$DV50,1,(Einstellungen!$C$3-2026)*24+9))</f>
        <v/>
      </c>
      <c r="M50" s="76">
        <f>N(INDEX(Krankheitstage!$G50:$DV50,1,(Einstellungen!$C$3-2026)*24+10))</f>
        <v/>
      </c>
      <c r="N50" s="76">
        <f>N(INDEX(Krankheitstage!$G50:$DV50,1,(Einstellungen!$C$3-2026)*24+11))</f>
        <v/>
      </c>
      <c r="O50" s="76">
        <f>N(INDEX(Krankheitstage!$G50:$DV50,1,(Einstellungen!$C$3-2026)*24+12))</f>
        <v/>
      </c>
      <c r="P50" s="76">
        <f>IF($B50="","",SUM(D50:O50))</f>
        <v/>
      </c>
      <c r="Q50" s="76">
        <f>N(INDEX(Krankheitstage!$G50:$DV50,1,(Einstellungen!$C$3-2026)*24+13))</f>
        <v/>
      </c>
      <c r="R50" s="76">
        <f>N(INDEX(Krankheitstage!$G50:$DV50,1,(Einstellungen!$C$3-2026)*24+14))</f>
        <v/>
      </c>
      <c r="S50" s="76">
        <f>N(INDEX(Krankheitstage!$G50:$DV50,1,(Einstellungen!$C$3-2026)*24+15))</f>
        <v/>
      </c>
      <c r="T50" s="76">
        <f>N(INDEX(Krankheitstage!$G50:$DV50,1,(Einstellungen!$C$3-2026)*24+16))</f>
        <v/>
      </c>
      <c r="U50" s="76">
        <f>N(INDEX(Krankheitstage!$G50:$DV50,1,(Einstellungen!$C$3-2026)*24+17))</f>
        <v/>
      </c>
      <c r="V50" s="76">
        <f>N(INDEX(Krankheitstage!$G50:$DV50,1,(Einstellungen!$C$3-2026)*24+18))</f>
        <v/>
      </c>
      <c r="W50" s="76">
        <f>N(INDEX(Krankheitstage!$G50:$DV50,1,(Einstellungen!$C$3-2026)*24+19))</f>
        <v/>
      </c>
      <c r="X50" s="76">
        <f>N(INDEX(Krankheitstage!$G50:$DV50,1,(Einstellungen!$C$3-2026)*24+20))</f>
        <v/>
      </c>
      <c r="Y50" s="76">
        <f>N(INDEX(Krankheitstage!$G50:$DV50,1,(Einstellungen!$C$3-2026)*24+21))</f>
        <v/>
      </c>
      <c r="Z50" s="76">
        <f>N(INDEX(Krankheitstage!$G50:$DV50,1,(Einstellungen!$C$3-2026)*24+22))</f>
        <v/>
      </c>
      <c r="AA50" s="76">
        <f>N(INDEX(Krankheitstage!$G50:$DV50,1,(Einstellungen!$C$3-2026)*24+23))</f>
        <v/>
      </c>
      <c r="AB50" s="76">
        <f>N(INDEX(Krankheitstage!$G50:$DV50,1,(Einstellungen!$C$3-2026)*24+24))</f>
        <v/>
      </c>
      <c r="AC50" s="76">
        <f>IF($B50="","",SUM(Q50:AB50))</f>
        <v/>
      </c>
      <c r="AD50" s="76">
        <f>IF($B50="","",SUM(P50,AC50))</f>
        <v/>
      </c>
      <c r="AE50" s="77">
        <f>IF($B50="","",AD50*N(C50))</f>
        <v/>
      </c>
      <c r="AF50" s="76">
        <f>IF($B50="","",Krankheitstage!E50)</f>
        <v/>
      </c>
      <c r="AG50" s="77">
        <f>IF($B50="","",AF50*N(C50))</f>
        <v/>
      </c>
    </row>
    <row r="51">
      <c r="A51" s="74">
        <f>IF(Mitarbeiter!B51="","",Mitarbeiter!A51)</f>
        <v/>
      </c>
      <c r="B51" s="6">
        <f>IF(Mitarbeiter!B51="","",Mitarbeiter!B51)</f>
        <v/>
      </c>
      <c r="C51" s="75">
        <f>IF(Mitarbeiter!B51="","",Mitarbeiter!F51)</f>
        <v/>
      </c>
      <c r="D51" s="76">
        <f>N(INDEX(Krankheitstage!$G51:$DV51,1,(Einstellungen!$C$3-2026)*24+1))</f>
        <v/>
      </c>
      <c r="E51" s="76">
        <f>N(INDEX(Krankheitstage!$G51:$DV51,1,(Einstellungen!$C$3-2026)*24+2))</f>
        <v/>
      </c>
      <c r="F51" s="76">
        <f>N(INDEX(Krankheitstage!$G51:$DV51,1,(Einstellungen!$C$3-2026)*24+3))</f>
        <v/>
      </c>
      <c r="G51" s="76">
        <f>N(INDEX(Krankheitstage!$G51:$DV51,1,(Einstellungen!$C$3-2026)*24+4))</f>
        <v/>
      </c>
      <c r="H51" s="76">
        <f>N(INDEX(Krankheitstage!$G51:$DV51,1,(Einstellungen!$C$3-2026)*24+5))</f>
        <v/>
      </c>
      <c r="I51" s="76">
        <f>N(INDEX(Krankheitstage!$G51:$DV51,1,(Einstellungen!$C$3-2026)*24+6))</f>
        <v/>
      </c>
      <c r="J51" s="76">
        <f>N(INDEX(Krankheitstage!$G51:$DV51,1,(Einstellungen!$C$3-2026)*24+7))</f>
        <v/>
      </c>
      <c r="K51" s="76">
        <f>N(INDEX(Krankheitstage!$G51:$DV51,1,(Einstellungen!$C$3-2026)*24+8))</f>
        <v/>
      </c>
      <c r="L51" s="76">
        <f>N(INDEX(Krankheitstage!$G51:$DV51,1,(Einstellungen!$C$3-2026)*24+9))</f>
        <v/>
      </c>
      <c r="M51" s="76">
        <f>N(INDEX(Krankheitstage!$G51:$DV51,1,(Einstellungen!$C$3-2026)*24+10))</f>
        <v/>
      </c>
      <c r="N51" s="76">
        <f>N(INDEX(Krankheitstage!$G51:$DV51,1,(Einstellungen!$C$3-2026)*24+11))</f>
        <v/>
      </c>
      <c r="O51" s="76">
        <f>N(INDEX(Krankheitstage!$G51:$DV51,1,(Einstellungen!$C$3-2026)*24+12))</f>
        <v/>
      </c>
      <c r="P51" s="76">
        <f>IF($B51="","",SUM(D51:O51))</f>
        <v/>
      </c>
      <c r="Q51" s="76">
        <f>N(INDEX(Krankheitstage!$G51:$DV51,1,(Einstellungen!$C$3-2026)*24+13))</f>
        <v/>
      </c>
      <c r="R51" s="76">
        <f>N(INDEX(Krankheitstage!$G51:$DV51,1,(Einstellungen!$C$3-2026)*24+14))</f>
        <v/>
      </c>
      <c r="S51" s="76">
        <f>N(INDEX(Krankheitstage!$G51:$DV51,1,(Einstellungen!$C$3-2026)*24+15))</f>
        <v/>
      </c>
      <c r="T51" s="76">
        <f>N(INDEX(Krankheitstage!$G51:$DV51,1,(Einstellungen!$C$3-2026)*24+16))</f>
        <v/>
      </c>
      <c r="U51" s="76">
        <f>N(INDEX(Krankheitstage!$G51:$DV51,1,(Einstellungen!$C$3-2026)*24+17))</f>
        <v/>
      </c>
      <c r="V51" s="76">
        <f>N(INDEX(Krankheitstage!$G51:$DV51,1,(Einstellungen!$C$3-2026)*24+18))</f>
        <v/>
      </c>
      <c r="W51" s="76">
        <f>N(INDEX(Krankheitstage!$G51:$DV51,1,(Einstellungen!$C$3-2026)*24+19))</f>
        <v/>
      </c>
      <c r="X51" s="76">
        <f>N(INDEX(Krankheitstage!$G51:$DV51,1,(Einstellungen!$C$3-2026)*24+20))</f>
        <v/>
      </c>
      <c r="Y51" s="76">
        <f>N(INDEX(Krankheitstage!$G51:$DV51,1,(Einstellungen!$C$3-2026)*24+21))</f>
        <v/>
      </c>
      <c r="Z51" s="76">
        <f>N(INDEX(Krankheitstage!$G51:$DV51,1,(Einstellungen!$C$3-2026)*24+22))</f>
        <v/>
      </c>
      <c r="AA51" s="76">
        <f>N(INDEX(Krankheitstage!$G51:$DV51,1,(Einstellungen!$C$3-2026)*24+23))</f>
        <v/>
      </c>
      <c r="AB51" s="76">
        <f>N(INDEX(Krankheitstage!$G51:$DV51,1,(Einstellungen!$C$3-2026)*24+24))</f>
        <v/>
      </c>
      <c r="AC51" s="76">
        <f>IF($B51="","",SUM(Q51:AB51))</f>
        <v/>
      </c>
      <c r="AD51" s="76">
        <f>IF($B51="","",SUM(P51,AC51))</f>
        <v/>
      </c>
      <c r="AE51" s="77">
        <f>IF($B51="","",AD51*N(C51))</f>
        <v/>
      </c>
      <c r="AF51" s="76">
        <f>IF($B51="","",Krankheitstage!E51)</f>
        <v/>
      </c>
      <c r="AG51" s="77">
        <f>IF($B51="","",AF51*N(C51))</f>
        <v/>
      </c>
    </row>
    <row r="52">
      <c r="A52" s="74">
        <f>IF(Mitarbeiter!B52="","",Mitarbeiter!A52)</f>
        <v/>
      </c>
      <c r="B52" s="6">
        <f>IF(Mitarbeiter!B52="","",Mitarbeiter!B52)</f>
        <v/>
      </c>
      <c r="C52" s="75">
        <f>IF(Mitarbeiter!B52="","",Mitarbeiter!F52)</f>
        <v/>
      </c>
      <c r="D52" s="76">
        <f>N(INDEX(Krankheitstage!$G52:$DV52,1,(Einstellungen!$C$3-2026)*24+1))</f>
        <v/>
      </c>
      <c r="E52" s="76">
        <f>N(INDEX(Krankheitstage!$G52:$DV52,1,(Einstellungen!$C$3-2026)*24+2))</f>
        <v/>
      </c>
      <c r="F52" s="76">
        <f>N(INDEX(Krankheitstage!$G52:$DV52,1,(Einstellungen!$C$3-2026)*24+3))</f>
        <v/>
      </c>
      <c r="G52" s="76">
        <f>N(INDEX(Krankheitstage!$G52:$DV52,1,(Einstellungen!$C$3-2026)*24+4))</f>
        <v/>
      </c>
      <c r="H52" s="76">
        <f>N(INDEX(Krankheitstage!$G52:$DV52,1,(Einstellungen!$C$3-2026)*24+5))</f>
        <v/>
      </c>
      <c r="I52" s="76">
        <f>N(INDEX(Krankheitstage!$G52:$DV52,1,(Einstellungen!$C$3-2026)*24+6))</f>
        <v/>
      </c>
      <c r="J52" s="76">
        <f>N(INDEX(Krankheitstage!$G52:$DV52,1,(Einstellungen!$C$3-2026)*24+7))</f>
        <v/>
      </c>
      <c r="K52" s="76">
        <f>N(INDEX(Krankheitstage!$G52:$DV52,1,(Einstellungen!$C$3-2026)*24+8))</f>
        <v/>
      </c>
      <c r="L52" s="76">
        <f>N(INDEX(Krankheitstage!$G52:$DV52,1,(Einstellungen!$C$3-2026)*24+9))</f>
        <v/>
      </c>
      <c r="M52" s="76">
        <f>N(INDEX(Krankheitstage!$G52:$DV52,1,(Einstellungen!$C$3-2026)*24+10))</f>
        <v/>
      </c>
      <c r="N52" s="76">
        <f>N(INDEX(Krankheitstage!$G52:$DV52,1,(Einstellungen!$C$3-2026)*24+11))</f>
        <v/>
      </c>
      <c r="O52" s="76">
        <f>N(INDEX(Krankheitstage!$G52:$DV52,1,(Einstellungen!$C$3-2026)*24+12))</f>
        <v/>
      </c>
      <c r="P52" s="76">
        <f>IF($B52="","",SUM(D52:O52))</f>
        <v/>
      </c>
      <c r="Q52" s="76">
        <f>N(INDEX(Krankheitstage!$G52:$DV52,1,(Einstellungen!$C$3-2026)*24+13))</f>
        <v/>
      </c>
      <c r="R52" s="76">
        <f>N(INDEX(Krankheitstage!$G52:$DV52,1,(Einstellungen!$C$3-2026)*24+14))</f>
        <v/>
      </c>
      <c r="S52" s="76">
        <f>N(INDEX(Krankheitstage!$G52:$DV52,1,(Einstellungen!$C$3-2026)*24+15))</f>
        <v/>
      </c>
      <c r="T52" s="76">
        <f>N(INDEX(Krankheitstage!$G52:$DV52,1,(Einstellungen!$C$3-2026)*24+16))</f>
        <v/>
      </c>
      <c r="U52" s="76">
        <f>N(INDEX(Krankheitstage!$G52:$DV52,1,(Einstellungen!$C$3-2026)*24+17))</f>
        <v/>
      </c>
      <c r="V52" s="76">
        <f>N(INDEX(Krankheitstage!$G52:$DV52,1,(Einstellungen!$C$3-2026)*24+18))</f>
        <v/>
      </c>
      <c r="W52" s="76">
        <f>N(INDEX(Krankheitstage!$G52:$DV52,1,(Einstellungen!$C$3-2026)*24+19))</f>
        <v/>
      </c>
      <c r="X52" s="76">
        <f>N(INDEX(Krankheitstage!$G52:$DV52,1,(Einstellungen!$C$3-2026)*24+20))</f>
        <v/>
      </c>
      <c r="Y52" s="76">
        <f>N(INDEX(Krankheitstage!$G52:$DV52,1,(Einstellungen!$C$3-2026)*24+21))</f>
        <v/>
      </c>
      <c r="Z52" s="76">
        <f>N(INDEX(Krankheitstage!$G52:$DV52,1,(Einstellungen!$C$3-2026)*24+22))</f>
        <v/>
      </c>
      <c r="AA52" s="76">
        <f>N(INDEX(Krankheitstage!$G52:$DV52,1,(Einstellungen!$C$3-2026)*24+23))</f>
        <v/>
      </c>
      <c r="AB52" s="76">
        <f>N(INDEX(Krankheitstage!$G52:$DV52,1,(Einstellungen!$C$3-2026)*24+24))</f>
        <v/>
      </c>
      <c r="AC52" s="76">
        <f>IF($B52="","",SUM(Q52:AB52))</f>
        <v/>
      </c>
      <c r="AD52" s="76">
        <f>IF($B52="","",SUM(P52,AC52))</f>
        <v/>
      </c>
      <c r="AE52" s="77">
        <f>IF($B52="","",AD52*N(C52))</f>
        <v/>
      </c>
      <c r="AF52" s="76">
        <f>IF($B52="","",Krankheitstage!E52)</f>
        <v/>
      </c>
      <c r="AG52" s="77">
        <f>IF($B52="","",AF52*N(C52))</f>
        <v/>
      </c>
    </row>
    <row r="53">
      <c r="A53" s="74">
        <f>IF(Mitarbeiter!B53="","",Mitarbeiter!A53)</f>
        <v/>
      </c>
      <c r="B53" s="6">
        <f>IF(Mitarbeiter!B53="","",Mitarbeiter!B53)</f>
        <v/>
      </c>
      <c r="C53" s="75">
        <f>IF(Mitarbeiter!B53="","",Mitarbeiter!F53)</f>
        <v/>
      </c>
      <c r="D53" s="76">
        <f>N(INDEX(Krankheitstage!$G53:$DV53,1,(Einstellungen!$C$3-2026)*24+1))</f>
        <v/>
      </c>
      <c r="E53" s="76">
        <f>N(INDEX(Krankheitstage!$G53:$DV53,1,(Einstellungen!$C$3-2026)*24+2))</f>
        <v/>
      </c>
      <c r="F53" s="76">
        <f>N(INDEX(Krankheitstage!$G53:$DV53,1,(Einstellungen!$C$3-2026)*24+3))</f>
        <v/>
      </c>
      <c r="G53" s="76">
        <f>N(INDEX(Krankheitstage!$G53:$DV53,1,(Einstellungen!$C$3-2026)*24+4))</f>
        <v/>
      </c>
      <c r="H53" s="76">
        <f>N(INDEX(Krankheitstage!$G53:$DV53,1,(Einstellungen!$C$3-2026)*24+5))</f>
        <v/>
      </c>
      <c r="I53" s="76">
        <f>N(INDEX(Krankheitstage!$G53:$DV53,1,(Einstellungen!$C$3-2026)*24+6))</f>
        <v/>
      </c>
      <c r="J53" s="76">
        <f>N(INDEX(Krankheitstage!$G53:$DV53,1,(Einstellungen!$C$3-2026)*24+7))</f>
        <v/>
      </c>
      <c r="K53" s="76">
        <f>N(INDEX(Krankheitstage!$G53:$DV53,1,(Einstellungen!$C$3-2026)*24+8))</f>
        <v/>
      </c>
      <c r="L53" s="76">
        <f>N(INDEX(Krankheitstage!$G53:$DV53,1,(Einstellungen!$C$3-2026)*24+9))</f>
        <v/>
      </c>
      <c r="M53" s="76">
        <f>N(INDEX(Krankheitstage!$G53:$DV53,1,(Einstellungen!$C$3-2026)*24+10))</f>
        <v/>
      </c>
      <c r="N53" s="76">
        <f>N(INDEX(Krankheitstage!$G53:$DV53,1,(Einstellungen!$C$3-2026)*24+11))</f>
        <v/>
      </c>
      <c r="O53" s="76">
        <f>N(INDEX(Krankheitstage!$G53:$DV53,1,(Einstellungen!$C$3-2026)*24+12))</f>
        <v/>
      </c>
      <c r="P53" s="76">
        <f>IF($B53="","",SUM(D53:O53))</f>
        <v/>
      </c>
      <c r="Q53" s="76">
        <f>N(INDEX(Krankheitstage!$G53:$DV53,1,(Einstellungen!$C$3-2026)*24+13))</f>
        <v/>
      </c>
      <c r="R53" s="76">
        <f>N(INDEX(Krankheitstage!$G53:$DV53,1,(Einstellungen!$C$3-2026)*24+14))</f>
        <v/>
      </c>
      <c r="S53" s="76">
        <f>N(INDEX(Krankheitstage!$G53:$DV53,1,(Einstellungen!$C$3-2026)*24+15))</f>
        <v/>
      </c>
      <c r="T53" s="76">
        <f>N(INDEX(Krankheitstage!$G53:$DV53,1,(Einstellungen!$C$3-2026)*24+16))</f>
        <v/>
      </c>
      <c r="U53" s="76">
        <f>N(INDEX(Krankheitstage!$G53:$DV53,1,(Einstellungen!$C$3-2026)*24+17))</f>
        <v/>
      </c>
      <c r="V53" s="76">
        <f>N(INDEX(Krankheitstage!$G53:$DV53,1,(Einstellungen!$C$3-2026)*24+18))</f>
        <v/>
      </c>
      <c r="W53" s="76">
        <f>N(INDEX(Krankheitstage!$G53:$DV53,1,(Einstellungen!$C$3-2026)*24+19))</f>
        <v/>
      </c>
      <c r="X53" s="76">
        <f>N(INDEX(Krankheitstage!$G53:$DV53,1,(Einstellungen!$C$3-2026)*24+20))</f>
        <v/>
      </c>
      <c r="Y53" s="76">
        <f>N(INDEX(Krankheitstage!$G53:$DV53,1,(Einstellungen!$C$3-2026)*24+21))</f>
        <v/>
      </c>
      <c r="Z53" s="76">
        <f>N(INDEX(Krankheitstage!$G53:$DV53,1,(Einstellungen!$C$3-2026)*24+22))</f>
        <v/>
      </c>
      <c r="AA53" s="76">
        <f>N(INDEX(Krankheitstage!$G53:$DV53,1,(Einstellungen!$C$3-2026)*24+23))</f>
        <v/>
      </c>
      <c r="AB53" s="76">
        <f>N(INDEX(Krankheitstage!$G53:$DV53,1,(Einstellungen!$C$3-2026)*24+24))</f>
        <v/>
      </c>
      <c r="AC53" s="76">
        <f>IF($B53="","",SUM(Q53:AB53))</f>
        <v/>
      </c>
      <c r="AD53" s="76">
        <f>IF($B53="","",SUM(P53,AC53))</f>
        <v/>
      </c>
      <c r="AE53" s="77">
        <f>IF($B53="","",AD53*N(C53))</f>
        <v/>
      </c>
      <c r="AF53" s="76">
        <f>IF($B53="","",Krankheitstage!E53)</f>
        <v/>
      </c>
      <c r="AG53" s="77">
        <f>IF($B53="","",AF53*N(C53))</f>
        <v/>
      </c>
    </row>
    <row r="54">
      <c r="A54" s="74">
        <f>IF(Mitarbeiter!B54="","",Mitarbeiter!A54)</f>
        <v/>
      </c>
      <c r="B54" s="6">
        <f>IF(Mitarbeiter!B54="","",Mitarbeiter!B54)</f>
        <v/>
      </c>
      <c r="C54" s="75">
        <f>IF(Mitarbeiter!B54="","",Mitarbeiter!F54)</f>
        <v/>
      </c>
      <c r="D54" s="76">
        <f>N(INDEX(Krankheitstage!$G54:$DV54,1,(Einstellungen!$C$3-2026)*24+1))</f>
        <v/>
      </c>
      <c r="E54" s="76">
        <f>N(INDEX(Krankheitstage!$G54:$DV54,1,(Einstellungen!$C$3-2026)*24+2))</f>
        <v/>
      </c>
      <c r="F54" s="76">
        <f>N(INDEX(Krankheitstage!$G54:$DV54,1,(Einstellungen!$C$3-2026)*24+3))</f>
        <v/>
      </c>
      <c r="G54" s="76">
        <f>N(INDEX(Krankheitstage!$G54:$DV54,1,(Einstellungen!$C$3-2026)*24+4))</f>
        <v/>
      </c>
      <c r="H54" s="76">
        <f>N(INDEX(Krankheitstage!$G54:$DV54,1,(Einstellungen!$C$3-2026)*24+5))</f>
        <v/>
      </c>
      <c r="I54" s="76">
        <f>N(INDEX(Krankheitstage!$G54:$DV54,1,(Einstellungen!$C$3-2026)*24+6))</f>
        <v/>
      </c>
      <c r="J54" s="76">
        <f>N(INDEX(Krankheitstage!$G54:$DV54,1,(Einstellungen!$C$3-2026)*24+7))</f>
        <v/>
      </c>
      <c r="K54" s="76">
        <f>N(INDEX(Krankheitstage!$G54:$DV54,1,(Einstellungen!$C$3-2026)*24+8))</f>
        <v/>
      </c>
      <c r="L54" s="76">
        <f>N(INDEX(Krankheitstage!$G54:$DV54,1,(Einstellungen!$C$3-2026)*24+9))</f>
        <v/>
      </c>
      <c r="M54" s="76">
        <f>N(INDEX(Krankheitstage!$G54:$DV54,1,(Einstellungen!$C$3-2026)*24+10))</f>
        <v/>
      </c>
      <c r="N54" s="76">
        <f>N(INDEX(Krankheitstage!$G54:$DV54,1,(Einstellungen!$C$3-2026)*24+11))</f>
        <v/>
      </c>
      <c r="O54" s="76">
        <f>N(INDEX(Krankheitstage!$G54:$DV54,1,(Einstellungen!$C$3-2026)*24+12))</f>
        <v/>
      </c>
      <c r="P54" s="76">
        <f>IF($B54="","",SUM(D54:O54))</f>
        <v/>
      </c>
      <c r="Q54" s="76">
        <f>N(INDEX(Krankheitstage!$G54:$DV54,1,(Einstellungen!$C$3-2026)*24+13))</f>
        <v/>
      </c>
      <c r="R54" s="76">
        <f>N(INDEX(Krankheitstage!$G54:$DV54,1,(Einstellungen!$C$3-2026)*24+14))</f>
        <v/>
      </c>
      <c r="S54" s="76">
        <f>N(INDEX(Krankheitstage!$G54:$DV54,1,(Einstellungen!$C$3-2026)*24+15))</f>
        <v/>
      </c>
      <c r="T54" s="76">
        <f>N(INDEX(Krankheitstage!$G54:$DV54,1,(Einstellungen!$C$3-2026)*24+16))</f>
        <v/>
      </c>
      <c r="U54" s="76">
        <f>N(INDEX(Krankheitstage!$G54:$DV54,1,(Einstellungen!$C$3-2026)*24+17))</f>
        <v/>
      </c>
      <c r="V54" s="76">
        <f>N(INDEX(Krankheitstage!$G54:$DV54,1,(Einstellungen!$C$3-2026)*24+18))</f>
        <v/>
      </c>
      <c r="W54" s="76">
        <f>N(INDEX(Krankheitstage!$G54:$DV54,1,(Einstellungen!$C$3-2026)*24+19))</f>
        <v/>
      </c>
      <c r="X54" s="76">
        <f>N(INDEX(Krankheitstage!$G54:$DV54,1,(Einstellungen!$C$3-2026)*24+20))</f>
        <v/>
      </c>
      <c r="Y54" s="76">
        <f>N(INDEX(Krankheitstage!$G54:$DV54,1,(Einstellungen!$C$3-2026)*24+21))</f>
        <v/>
      </c>
      <c r="Z54" s="76">
        <f>N(INDEX(Krankheitstage!$G54:$DV54,1,(Einstellungen!$C$3-2026)*24+22))</f>
        <v/>
      </c>
      <c r="AA54" s="76">
        <f>N(INDEX(Krankheitstage!$G54:$DV54,1,(Einstellungen!$C$3-2026)*24+23))</f>
        <v/>
      </c>
      <c r="AB54" s="76">
        <f>N(INDEX(Krankheitstage!$G54:$DV54,1,(Einstellungen!$C$3-2026)*24+24))</f>
        <v/>
      </c>
      <c r="AC54" s="76">
        <f>IF($B54="","",SUM(Q54:AB54))</f>
        <v/>
      </c>
      <c r="AD54" s="76">
        <f>IF($B54="","",SUM(P54,AC54))</f>
        <v/>
      </c>
      <c r="AE54" s="77">
        <f>IF($B54="","",AD54*N(C54))</f>
        <v/>
      </c>
      <c r="AF54" s="76">
        <f>IF($B54="","",Krankheitstage!E54)</f>
        <v/>
      </c>
      <c r="AG54" s="77">
        <f>IF($B54="","",AF54*N(C54))</f>
        <v/>
      </c>
    </row>
    <row r="55">
      <c r="A55" s="74">
        <f>IF(Mitarbeiter!B55="","",Mitarbeiter!A55)</f>
        <v/>
      </c>
      <c r="B55" s="6">
        <f>IF(Mitarbeiter!B55="","",Mitarbeiter!B55)</f>
        <v/>
      </c>
      <c r="C55" s="75">
        <f>IF(Mitarbeiter!B55="","",Mitarbeiter!F55)</f>
        <v/>
      </c>
      <c r="D55" s="76">
        <f>N(INDEX(Krankheitstage!$G55:$DV55,1,(Einstellungen!$C$3-2026)*24+1))</f>
        <v/>
      </c>
      <c r="E55" s="76">
        <f>N(INDEX(Krankheitstage!$G55:$DV55,1,(Einstellungen!$C$3-2026)*24+2))</f>
        <v/>
      </c>
      <c r="F55" s="76">
        <f>N(INDEX(Krankheitstage!$G55:$DV55,1,(Einstellungen!$C$3-2026)*24+3))</f>
        <v/>
      </c>
      <c r="G55" s="76">
        <f>N(INDEX(Krankheitstage!$G55:$DV55,1,(Einstellungen!$C$3-2026)*24+4))</f>
        <v/>
      </c>
      <c r="H55" s="76">
        <f>N(INDEX(Krankheitstage!$G55:$DV55,1,(Einstellungen!$C$3-2026)*24+5))</f>
        <v/>
      </c>
      <c r="I55" s="76">
        <f>N(INDEX(Krankheitstage!$G55:$DV55,1,(Einstellungen!$C$3-2026)*24+6))</f>
        <v/>
      </c>
      <c r="J55" s="76">
        <f>N(INDEX(Krankheitstage!$G55:$DV55,1,(Einstellungen!$C$3-2026)*24+7))</f>
        <v/>
      </c>
      <c r="K55" s="76">
        <f>N(INDEX(Krankheitstage!$G55:$DV55,1,(Einstellungen!$C$3-2026)*24+8))</f>
        <v/>
      </c>
      <c r="L55" s="76">
        <f>N(INDEX(Krankheitstage!$G55:$DV55,1,(Einstellungen!$C$3-2026)*24+9))</f>
        <v/>
      </c>
      <c r="M55" s="76">
        <f>N(INDEX(Krankheitstage!$G55:$DV55,1,(Einstellungen!$C$3-2026)*24+10))</f>
        <v/>
      </c>
      <c r="N55" s="76">
        <f>N(INDEX(Krankheitstage!$G55:$DV55,1,(Einstellungen!$C$3-2026)*24+11))</f>
        <v/>
      </c>
      <c r="O55" s="76">
        <f>N(INDEX(Krankheitstage!$G55:$DV55,1,(Einstellungen!$C$3-2026)*24+12))</f>
        <v/>
      </c>
      <c r="P55" s="76">
        <f>IF($B55="","",SUM(D55:O55))</f>
        <v/>
      </c>
      <c r="Q55" s="76">
        <f>N(INDEX(Krankheitstage!$G55:$DV55,1,(Einstellungen!$C$3-2026)*24+13))</f>
        <v/>
      </c>
      <c r="R55" s="76">
        <f>N(INDEX(Krankheitstage!$G55:$DV55,1,(Einstellungen!$C$3-2026)*24+14))</f>
        <v/>
      </c>
      <c r="S55" s="76">
        <f>N(INDEX(Krankheitstage!$G55:$DV55,1,(Einstellungen!$C$3-2026)*24+15))</f>
        <v/>
      </c>
      <c r="T55" s="76">
        <f>N(INDEX(Krankheitstage!$G55:$DV55,1,(Einstellungen!$C$3-2026)*24+16))</f>
        <v/>
      </c>
      <c r="U55" s="76">
        <f>N(INDEX(Krankheitstage!$G55:$DV55,1,(Einstellungen!$C$3-2026)*24+17))</f>
        <v/>
      </c>
      <c r="V55" s="76">
        <f>N(INDEX(Krankheitstage!$G55:$DV55,1,(Einstellungen!$C$3-2026)*24+18))</f>
        <v/>
      </c>
      <c r="W55" s="76">
        <f>N(INDEX(Krankheitstage!$G55:$DV55,1,(Einstellungen!$C$3-2026)*24+19))</f>
        <v/>
      </c>
      <c r="X55" s="76">
        <f>N(INDEX(Krankheitstage!$G55:$DV55,1,(Einstellungen!$C$3-2026)*24+20))</f>
        <v/>
      </c>
      <c r="Y55" s="76">
        <f>N(INDEX(Krankheitstage!$G55:$DV55,1,(Einstellungen!$C$3-2026)*24+21))</f>
        <v/>
      </c>
      <c r="Z55" s="76">
        <f>N(INDEX(Krankheitstage!$G55:$DV55,1,(Einstellungen!$C$3-2026)*24+22))</f>
        <v/>
      </c>
      <c r="AA55" s="76">
        <f>N(INDEX(Krankheitstage!$G55:$DV55,1,(Einstellungen!$C$3-2026)*24+23))</f>
        <v/>
      </c>
      <c r="AB55" s="76">
        <f>N(INDEX(Krankheitstage!$G55:$DV55,1,(Einstellungen!$C$3-2026)*24+24))</f>
        <v/>
      </c>
      <c r="AC55" s="76">
        <f>IF($B55="","",SUM(Q55:AB55))</f>
        <v/>
      </c>
      <c r="AD55" s="76">
        <f>IF($B55="","",SUM(P55,AC55))</f>
        <v/>
      </c>
      <c r="AE55" s="77">
        <f>IF($B55="","",AD55*N(C55))</f>
        <v/>
      </c>
      <c r="AF55" s="76">
        <f>IF($B55="","",Krankheitstage!E55)</f>
        <v/>
      </c>
      <c r="AG55" s="77">
        <f>IF($B55="","",AF55*N(C55))</f>
        <v/>
      </c>
    </row>
    <row r="56">
      <c r="A56" s="74">
        <f>IF(Mitarbeiter!B56="","",Mitarbeiter!A56)</f>
        <v/>
      </c>
      <c r="B56" s="6">
        <f>IF(Mitarbeiter!B56="","",Mitarbeiter!B56)</f>
        <v/>
      </c>
      <c r="C56" s="75">
        <f>IF(Mitarbeiter!B56="","",Mitarbeiter!F56)</f>
        <v/>
      </c>
      <c r="D56" s="76">
        <f>N(INDEX(Krankheitstage!$G56:$DV56,1,(Einstellungen!$C$3-2026)*24+1))</f>
        <v/>
      </c>
      <c r="E56" s="76">
        <f>N(INDEX(Krankheitstage!$G56:$DV56,1,(Einstellungen!$C$3-2026)*24+2))</f>
        <v/>
      </c>
      <c r="F56" s="76">
        <f>N(INDEX(Krankheitstage!$G56:$DV56,1,(Einstellungen!$C$3-2026)*24+3))</f>
        <v/>
      </c>
      <c r="G56" s="76">
        <f>N(INDEX(Krankheitstage!$G56:$DV56,1,(Einstellungen!$C$3-2026)*24+4))</f>
        <v/>
      </c>
      <c r="H56" s="76">
        <f>N(INDEX(Krankheitstage!$G56:$DV56,1,(Einstellungen!$C$3-2026)*24+5))</f>
        <v/>
      </c>
      <c r="I56" s="76">
        <f>N(INDEX(Krankheitstage!$G56:$DV56,1,(Einstellungen!$C$3-2026)*24+6))</f>
        <v/>
      </c>
      <c r="J56" s="76">
        <f>N(INDEX(Krankheitstage!$G56:$DV56,1,(Einstellungen!$C$3-2026)*24+7))</f>
        <v/>
      </c>
      <c r="K56" s="76">
        <f>N(INDEX(Krankheitstage!$G56:$DV56,1,(Einstellungen!$C$3-2026)*24+8))</f>
        <v/>
      </c>
      <c r="L56" s="76">
        <f>N(INDEX(Krankheitstage!$G56:$DV56,1,(Einstellungen!$C$3-2026)*24+9))</f>
        <v/>
      </c>
      <c r="M56" s="76">
        <f>N(INDEX(Krankheitstage!$G56:$DV56,1,(Einstellungen!$C$3-2026)*24+10))</f>
        <v/>
      </c>
      <c r="N56" s="76">
        <f>N(INDEX(Krankheitstage!$G56:$DV56,1,(Einstellungen!$C$3-2026)*24+11))</f>
        <v/>
      </c>
      <c r="O56" s="76">
        <f>N(INDEX(Krankheitstage!$G56:$DV56,1,(Einstellungen!$C$3-2026)*24+12))</f>
        <v/>
      </c>
      <c r="P56" s="76">
        <f>IF($B56="","",SUM(D56:O56))</f>
        <v/>
      </c>
      <c r="Q56" s="76">
        <f>N(INDEX(Krankheitstage!$G56:$DV56,1,(Einstellungen!$C$3-2026)*24+13))</f>
        <v/>
      </c>
      <c r="R56" s="76">
        <f>N(INDEX(Krankheitstage!$G56:$DV56,1,(Einstellungen!$C$3-2026)*24+14))</f>
        <v/>
      </c>
      <c r="S56" s="76">
        <f>N(INDEX(Krankheitstage!$G56:$DV56,1,(Einstellungen!$C$3-2026)*24+15))</f>
        <v/>
      </c>
      <c r="T56" s="76">
        <f>N(INDEX(Krankheitstage!$G56:$DV56,1,(Einstellungen!$C$3-2026)*24+16))</f>
        <v/>
      </c>
      <c r="U56" s="76">
        <f>N(INDEX(Krankheitstage!$G56:$DV56,1,(Einstellungen!$C$3-2026)*24+17))</f>
        <v/>
      </c>
      <c r="V56" s="76">
        <f>N(INDEX(Krankheitstage!$G56:$DV56,1,(Einstellungen!$C$3-2026)*24+18))</f>
        <v/>
      </c>
      <c r="W56" s="76">
        <f>N(INDEX(Krankheitstage!$G56:$DV56,1,(Einstellungen!$C$3-2026)*24+19))</f>
        <v/>
      </c>
      <c r="X56" s="76">
        <f>N(INDEX(Krankheitstage!$G56:$DV56,1,(Einstellungen!$C$3-2026)*24+20))</f>
        <v/>
      </c>
      <c r="Y56" s="76">
        <f>N(INDEX(Krankheitstage!$G56:$DV56,1,(Einstellungen!$C$3-2026)*24+21))</f>
        <v/>
      </c>
      <c r="Z56" s="76">
        <f>N(INDEX(Krankheitstage!$G56:$DV56,1,(Einstellungen!$C$3-2026)*24+22))</f>
        <v/>
      </c>
      <c r="AA56" s="76">
        <f>N(INDEX(Krankheitstage!$G56:$DV56,1,(Einstellungen!$C$3-2026)*24+23))</f>
        <v/>
      </c>
      <c r="AB56" s="76">
        <f>N(INDEX(Krankheitstage!$G56:$DV56,1,(Einstellungen!$C$3-2026)*24+24))</f>
        <v/>
      </c>
      <c r="AC56" s="76">
        <f>IF($B56="","",SUM(Q56:AB56))</f>
        <v/>
      </c>
      <c r="AD56" s="76">
        <f>IF($B56="","",SUM(P56,AC56))</f>
        <v/>
      </c>
      <c r="AE56" s="77">
        <f>IF($B56="","",AD56*N(C56))</f>
        <v/>
      </c>
      <c r="AF56" s="76">
        <f>IF($B56="","",Krankheitstage!E56)</f>
        <v/>
      </c>
      <c r="AG56" s="77">
        <f>IF($B56="","",AF56*N(C56))</f>
        <v/>
      </c>
    </row>
    <row r="57">
      <c r="A57" s="74">
        <f>IF(Mitarbeiter!B57="","",Mitarbeiter!A57)</f>
        <v/>
      </c>
      <c r="B57" s="6">
        <f>IF(Mitarbeiter!B57="","",Mitarbeiter!B57)</f>
        <v/>
      </c>
      <c r="C57" s="75">
        <f>IF(Mitarbeiter!B57="","",Mitarbeiter!F57)</f>
        <v/>
      </c>
      <c r="D57" s="76">
        <f>N(INDEX(Krankheitstage!$G57:$DV57,1,(Einstellungen!$C$3-2026)*24+1))</f>
        <v/>
      </c>
      <c r="E57" s="76">
        <f>N(INDEX(Krankheitstage!$G57:$DV57,1,(Einstellungen!$C$3-2026)*24+2))</f>
        <v/>
      </c>
      <c r="F57" s="76">
        <f>N(INDEX(Krankheitstage!$G57:$DV57,1,(Einstellungen!$C$3-2026)*24+3))</f>
        <v/>
      </c>
      <c r="G57" s="76">
        <f>N(INDEX(Krankheitstage!$G57:$DV57,1,(Einstellungen!$C$3-2026)*24+4))</f>
        <v/>
      </c>
      <c r="H57" s="76">
        <f>N(INDEX(Krankheitstage!$G57:$DV57,1,(Einstellungen!$C$3-2026)*24+5))</f>
        <v/>
      </c>
      <c r="I57" s="76">
        <f>N(INDEX(Krankheitstage!$G57:$DV57,1,(Einstellungen!$C$3-2026)*24+6))</f>
        <v/>
      </c>
      <c r="J57" s="76">
        <f>N(INDEX(Krankheitstage!$G57:$DV57,1,(Einstellungen!$C$3-2026)*24+7))</f>
        <v/>
      </c>
      <c r="K57" s="76">
        <f>N(INDEX(Krankheitstage!$G57:$DV57,1,(Einstellungen!$C$3-2026)*24+8))</f>
        <v/>
      </c>
      <c r="L57" s="76">
        <f>N(INDEX(Krankheitstage!$G57:$DV57,1,(Einstellungen!$C$3-2026)*24+9))</f>
        <v/>
      </c>
      <c r="M57" s="76">
        <f>N(INDEX(Krankheitstage!$G57:$DV57,1,(Einstellungen!$C$3-2026)*24+10))</f>
        <v/>
      </c>
      <c r="N57" s="76">
        <f>N(INDEX(Krankheitstage!$G57:$DV57,1,(Einstellungen!$C$3-2026)*24+11))</f>
        <v/>
      </c>
      <c r="O57" s="76">
        <f>N(INDEX(Krankheitstage!$G57:$DV57,1,(Einstellungen!$C$3-2026)*24+12))</f>
        <v/>
      </c>
      <c r="P57" s="76">
        <f>IF($B57="","",SUM(D57:O57))</f>
        <v/>
      </c>
      <c r="Q57" s="76">
        <f>N(INDEX(Krankheitstage!$G57:$DV57,1,(Einstellungen!$C$3-2026)*24+13))</f>
        <v/>
      </c>
      <c r="R57" s="76">
        <f>N(INDEX(Krankheitstage!$G57:$DV57,1,(Einstellungen!$C$3-2026)*24+14))</f>
        <v/>
      </c>
      <c r="S57" s="76">
        <f>N(INDEX(Krankheitstage!$G57:$DV57,1,(Einstellungen!$C$3-2026)*24+15))</f>
        <v/>
      </c>
      <c r="T57" s="76">
        <f>N(INDEX(Krankheitstage!$G57:$DV57,1,(Einstellungen!$C$3-2026)*24+16))</f>
        <v/>
      </c>
      <c r="U57" s="76">
        <f>N(INDEX(Krankheitstage!$G57:$DV57,1,(Einstellungen!$C$3-2026)*24+17))</f>
        <v/>
      </c>
      <c r="V57" s="76">
        <f>N(INDEX(Krankheitstage!$G57:$DV57,1,(Einstellungen!$C$3-2026)*24+18))</f>
        <v/>
      </c>
      <c r="W57" s="76">
        <f>N(INDEX(Krankheitstage!$G57:$DV57,1,(Einstellungen!$C$3-2026)*24+19))</f>
        <v/>
      </c>
      <c r="X57" s="76">
        <f>N(INDEX(Krankheitstage!$G57:$DV57,1,(Einstellungen!$C$3-2026)*24+20))</f>
        <v/>
      </c>
      <c r="Y57" s="76">
        <f>N(INDEX(Krankheitstage!$G57:$DV57,1,(Einstellungen!$C$3-2026)*24+21))</f>
        <v/>
      </c>
      <c r="Z57" s="76">
        <f>N(INDEX(Krankheitstage!$G57:$DV57,1,(Einstellungen!$C$3-2026)*24+22))</f>
        <v/>
      </c>
      <c r="AA57" s="76">
        <f>N(INDEX(Krankheitstage!$G57:$DV57,1,(Einstellungen!$C$3-2026)*24+23))</f>
        <v/>
      </c>
      <c r="AB57" s="76">
        <f>N(INDEX(Krankheitstage!$G57:$DV57,1,(Einstellungen!$C$3-2026)*24+24))</f>
        <v/>
      </c>
      <c r="AC57" s="76">
        <f>IF($B57="","",SUM(Q57:AB57))</f>
        <v/>
      </c>
      <c r="AD57" s="76">
        <f>IF($B57="","",SUM(P57,AC57))</f>
        <v/>
      </c>
      <c r="AE57" s="77">
        <f>IF($B57="","",AD57*N(C57))</f>
        <v/>
      </c>
      <c r="AF57" s="76">
        <f>IF($B57="","",Krankheitstage!E57)</f>
        <v/>
      </c>
      <c r="AG57" s="77">
        <f>IF($B57="","",AF57*N(C57))</f>
        <v/>
      </c>
    </row>
    <row r="58">
      <c r="A58" s="74">
        <f>IF(Mitarbeiter!B58="","",Mitarbeiter!A58)</f>
        <v/>
      </c>
      <c r="B58" s="6">
        <f>IF(Mitarbeiter!B58="","",Mitarbeiter!B58)</f>
        <v/>
      </c>
      <c r="C58" s="75">
        <f>IF(Mitarbeiter!B58="","",Mitarbeiter!F58)</f>
        <v/>
      </c>
      <c r="D58" s="76">
        <f>N(INDEX(Krankheitstage!$G58:$DV58,1,(Einstellungen!$C$3-2026)*24+1))</f>
        <v/>
      </c>
      <c r="E58" s="76">
        <f>N(INDEX(Krankheitstage!$G58:$DV58,1,(Einstellungen!$C$3-2026)*24+2))</f>
        <v/>
      </c>
      <c r="F58" s="76">
        <f>N(INDEX(Krankheitstage!$G58:$DV58,1,(Einstellungen!$C$3-2026)*24+3))</f>
        <v/>
      </c>
      <c r="G58" s="76">
        <f>N(INDEX(Krankheitstage!$G58:$DV58,1,(Einstellungen!$C$3-2026)*24+4))</f>
        <v/>
      </c>
      <c r="H58" s="76">
        <f>N(INDEX(Krankheitstage!$G58:$DV58,1,(Einstellungen!$C$3-2026)*24+5))</f>
        <v/>
      </c>
      <c r="I58" s="76">
        <f>N(INDEX(Krankheitstage!$G58:$DV58,1,(Einstellungen!$C$3-2026)*24+6))</f>
        <v/>
      </c>
      <c r="J58" s="76">
        <f>N(INDEX(Krankheitstage!$G58:$DV58,1,(Einstellungen!$C$3-2026)*24+7))</f>
        <v/>
      </c>
      <c r="K58" s="76">
        <f>N(INDEX(Krankheitstage!$G58:$DV58,1,(Einstellungen!$C$3-2026)*24+8))</f>
        <v/>
      </c>
      <c r="L58" s="76">
        <f>N(INDEX(Krankheitstage!$G58:$DV58,1,(Einstellungen!$C$3-2026)*24+9))</f>
        <v/>
      </c>
      <c r="M58" s="76">
        <f>N(INDEX(Krankheitstage!$G58:$DV58,1,(Einstellungen!$C$3-2026)*24+10))</f>
        <v/>
      </c>
      <c r="N58" s="76">
        <f>N(INDEX(Krankheitstage!$G58:$DV58,1,(Einstellungen!$C$3-2026)*24+11))</f>
        <v/>
      </c>
      <c r="O58" s="76">
        <f>N(INDEX(Krankheitstage!$G58:$DV58,1,(Einstellungen!$C$3-2026)*24+12))</f>
        <v/>
      </c>
      <c r="P58" s="76">
        <f>IF($B58="","",SUM(D58:O58))</f>
        <v/>
      </c>
      <c r="Q58" s="76">
        <f>N(INDEX(Krankheitstage!$G58:$DV58,1,(Einstellungen!$C$3-2026)*24+13))</f>
        <v/>
      </c>
      <c r="R58" s="76">
        <f>N(INDEX(Krankheitstage!$G58:$DV58,1,(Einstellungen!$C$3-2026)*24+14))</f>
        <v/>
      </c>
      <c r="S58" s="76">
        <f>N(INDEX(Krankheitstage!$G58:$DV58,1,(Einstellungen!$C$3-2026)*24+15))</f>
        <v/>
      </c>
      <c r="T58" s="76">
        <f>N(INDEX(Krankheitstage!$G58:$DV58,1,(Einstellungen!$C$3-2026)*24+16))</f>
        <v/>
      </c>
      <c r="U58" s="76">
        <f>N(INDEX(Krankheitstage!$G58:$DV58,1,(Einstellungen!$C$3-2026)*24+17))</f>
        <v/>
      </c>
      <c r="V58" s="76">
        <f>N(INDEX(Krankheitstage!$G58:$DV58,1,(Einstellungen!$C$3-2026)*24+18))</f>
        <v/>
      </c>
      <c r="W58" s="76">
        <f>N(INDEX(Krankheitstage!$G58:$DV58,1,(Einstellungen!$C$3-2026)*24+19))</f>
        <v/>
      </c>
      <c r="X58" s="76">
        <f>N(INDEX(Krankheitstage!$G58:$DV58,1,(Einstellungen!$C$3-2026)*24+20))</f>
        <v/>
      </c>
      <c r="Y58" s="76">
        <f>N(INDEX(Krankheitstage!$G58:$DV58,1,(Einstellungen!$C$3-2026)*24+21))</f>
        <v/>
      </c>
      <c r="Z58" s="76">
        <f>N(INDEX(Krankheitstage!$G58:$DV58,1,(Einstellungen!$C$3-2026)*24+22))</f>
        <v/>
      </c>
      <c r="AA58" s="76">
        <f>N(INDEX(Krankheitstage!$G58:$DV58,1,(Einstellungen!$C$3-2026)*24+23))</f>
        <v/>
      </c>
      <c r="AB58" s="76">
        <f>N(INDEX(Krankheitstage!$G58:$DV58,1,(Einstellungen!$C$3-2026)*24+24))</f>
        <v/>
      </c>
      <c r="AC58" s="76">
        <f>IF($B58="","",SUM(Q58:AB58))</f>
        <v/>
      </c>
      <c r="AD58" s="76">
        <f>IF($B58="","",SUM(P58,AC58))</f>
        <v/>
      </c>
      <c r="AE58" s="77">
        <f>IF($B58="","",AD58*N(C58))</f>
        <v/>
      </c>
      <c r="AF58" s="76">
        <f>IF($B58="","",Krankheitstage!E58)</f>
        <v/>
      </c>
      <c r="AG58" s="77">
        <f>IF($B58="","",AF58*N(C58))</f>
        <v/>
      </c>
    </row>
    <row r="59">
      <c r="A59" s="74">
        <f>IF(Mitarbeiter!B59="","",Mitarbeiter!A59)</f>
        <v/>
      </c>
      <c r="B59" s="6">
        <f>IF(Mitarbeiter!B59="","",Mitarbeiter!B59)</f>
        <v/>
      </c>
      <c r="C59" s="75">
        <f>IF(Mitarbeiter!B59="","",Mitarbeiter!F59)</f>
        <v/>
      </c>
      <c r="D59" s="76">
        <f>N(INDEX(Krankheitstage!$G59:$DV59,1,(Einstellungen!$C$3-2026)*24+1))</f>
        <v/>
      </c>
      <c r="E59" s="76">
        <f>N(INDEX(Krankheitstage!$G59:$DV59,1,(Einstellungen!$C$3-2026)*24+2))</f>
        <v/>
      </c>
      <c r="F59" s="76">
        <f>N(INDEX(Krankheitstage!$G59:$DV59,1,(Einstellungen!$C$3-2026)*24+3))</f>
        <v/>
      </c>
      <c r="G59" s="76">
        <f>N(INDEX(Krankheitstage!$G59:$DV59,1,(Einstellungen!$C$3-2026)*24+4))</f>
        <v/>
      </c>
      <c r="H59" s="76">
        <f>N(INDEX(Krankheitstage!$G59:$DV59,1,(Einstellungen!$C$3-2026)*24+5))</f>
        <v/>
      </c>
      <c r="I59" s="76">
        <f>N(INDEX(Krankheitstage!$G59:$DV59,1,(Einstellungen!$C$3-2026)*24+6))</f>
        <v/>
      </c>
      <c r="J59" s="76">
        <f>N(INDEX(Krankheitstage!$G59:$DV59,1,(Einstellungen!$C$3-2026)*24+7))</f>
        <v/>
      </c>
      <c r="K59" s="76">
        <f>N(INDEX(Krankheitstage!$G59:$DV59,1,(Einstellungen!$C$3-2026)*24+8))</f>
        <v/>
      </c>
      <c r="L59" s="76">
        <f>N(INDEX(Krankheitstage!$G59:$DV59,1,(Einstellungen!$C$3-2026)*24+9))</f>
        <v/>
      </c>
      <c r="M59" s="76">
        <f>N(INDEX(Krankheitstage!$G59:$DV59,1,(Einstellungen!$C$3-2026)*24+10))</f>
        <v/>
      </c>
      <c r="N59" s="76">
        <f>N(INDEX(Krankheitstage!$G59:$DV59,1,(Einstellungen!$C$3-2026)*24+11))</f>
        <v/>
      </c>
      <c r="O59" s="76">
        <f>N(INDEX(Krankheitstage!$G59:$DV59,1,(Einstellungen!$C$3-2026)*24+12))</f>
        <v/>
      </c>
      <c r="P59" s="76">
        <f>IF($B59="","",SUM(D59:O59))</f>
        <v/>
      </c>
      <c r="Q59" s="76">
        <f>N(INDEX(Krankheitstage!$G59:$DV59,1,(Einstellungen!$C$3-2026)*24+13))</f>
        <v/>
      </c>
      <c r="R59" s="76">
        <f>N(INDEX(Krankheitstage!$G59:$DV59,1,(Einstellungen!$C$3-2026)*24+14))</f>
        <v/>
      </c>
      <c r="S59" s="76">
        <f>N(INDEX(Krankheitstage!$G59:$DV59,1,(Einstellungen!$C$3-2026)*24+15))</f>
        <v/>
      </c>
      <c r="T59" s="76">
        <f>N(INDEX(Krankheitstage!$G59:$DV59,1,(Einstellungen!$C$3-2026)*24+16))</f>
        <v/>
      </c>
      <c r="U59" s="76">
        <f>N(INDEX(Krankheitstage!$G59:$DV59,1,(Einstellungen!$C$3-2026)*24+17))</f>
        <v/>
      </c>
      <c r="V59" s="76">
        <f>N(INDEX(Krankheitstage!$G59:$DV59,1,(Einstellungen!$C$3-2026)*24+18))</f>
        <v/>
      </c>
      <c r="W59" s="76">
        <f>N(INDEX(Krankheitstage!$G59:$DV59,1,(Einstellungen!$C$3-2026)*24+19))</f>
        <v/>
      </c>
      <c r="X59" s="76">
        <f>N(INDEX(Krankheitstage!$G59:$DV59,1,(Einstellungen!$C$3-2026)*24+20))</f>
        <v/>
      </c>
      <c r="Y59" s="76">
        <f>N(INDEX(Krankheitstage!$G59:$DV59,1,(Einstellungen!$C$3-2026)*24+21))</f>
        <v/>
      </c>
      <c r="Z59" s="76">
        <f>N(INDEX(Krankheitstage!$G59:$DV59,1,(Einstellungen!$C$3-2026)*24+22))</f>
        <v/>
      </c>
      <c r="AA59" s="76">
        <f>N(INDEX(Krankheitstage!$G59:$DV59,1,(Einstellungen!$C$3-2026)*24+23))</f>
        <v/>
      </c>
      <c r="AB59" s="76">
        <f>N(INDEX(Krankheitstage!$G59:$DV59,1,(Einstellungen!$C$3-2026)*24+24))</f>
        <v/>
      </c>
      <c r="AC59" s="76">
        <f>IF($B59="","",SUM(Q59:AB59))</f>
        <v/>
      </c>
      <c r="AD59" s="76">
        <f>IF($B59="","",SUM(P59,AC59))</f>
        <v/>
      </c>
      <c r="AE59" s="77">
        <f>IF($B59="","",AD59*N(C59))</f>
        <v/>
      </c>
      <c r="AF59" s="76">
        <f>IF($B59="","",Krankheitstage!E59)</f>
        <v/>
      </c>
      <c r="AG59" s="77">
        <f>IF($B59="","",AF59*N(C59))</f>
        <v/>
      </c>
    </row>
    <row r="60">
      <c r="A60" s="74">
        <f>IF(Mitarbeiter!B60="","",Mitarbeiter!A60)</f>
        <v/>
      </c>
      <c r="B60" s="6">
        <f>IF(Mitarbeiter!B60="","",Mitarbeiter!B60)</f>
        <v/>
      </c>
      <c r="C60" s="75">
        <f>IF(Mitarbeiter!B60="","",Mitarbeiter!F60)</f>
        <v/>
      </c>
      <c r="D60" s="76">
        <f>N(INDEX(Krankheitstage!$G60:$DV60,1,(Einstellungen!$C$3-2026)*24+1))</f>
        <v/>
      </c>
      <c r="E60" s="76">
        <f>N(INDEX(Krankheitstage!$G60:$DV60,1,(Einstellungen!$C$3-2026)*24+2))</f>
        <v/>
      </c>
      <c r="F60" s="76">
        <f>N(INDEX(Krankheitstage!$G60:$DV60,1,(Einstellungen!$C$3-2026)*24+3))</f>
        <v/>
      </c>
      <c r="G60" s="76">
        <f>N(INDEX(Krankheitstage!$G60:$DV60,1,(Einstellungen!$C$3-2026)*24+4))</f>
        <v/>
      </c>
      <c r="H60" s="76">
        <f>N(INDEX(Krankheitstage!$G60:$DV60,1,(Einstellungen!$C$3-2026)*24+5))</f>
        <v/>
      </c>
      <c r="I60" s="76">
        <f>N(INDEX(Krankheitstage!$G60:$DV60,1,(Einstellungen!$C$3-2026)*24+6))</f>
        <v/>
      </c>
      <c r="J60" s="76">
        <f>N(INDEX(Krankheitstage!$G60:$DV60,1,(Einstellungen!$C$3-2026)*24+7))</f>
        <v/>
      </c>
      <c r="K60" s="76">
        <f>N(INDEX(Krankheitstage!$G60:$DV60,1,(Einstellungen!$C$3-2026)*24+8))</f>
        <v/>
      </c>
      <c r="L60" s="76">
        <f>N(INDEX(Krankheitstage!$G60:$DV60,1,(Einstellungen!$C$3-2026)*24+9))</f>
        <v/>
      </c>
      <c r="M60" s="76">
        <f>N(INDEX(Krankheitstage!$G60:$DV60,1,(Einstellungen!$C$3-2026)*24+10))</f>
        <v/>
      </c>
      <c r="N60" s="76">
        <f>N(INDEX(Krankheitstage!$G60:$DV60,1,(Einstellungen!$C$3-2026)*24+11))</f>
        <v/>
      </c>
      <c r="O60" s="76">
        <f>N(INDEX(Krankheitstage!$G60:$DV60,1,(Einstellungen!$C$3-2026)*24+12))</f>
        <v/>
      </c>
      <c r="P60" s="76">
        <f>IF($B60="","",SUM(D60:O60))</f>
        <v/>
      </c>
      <c r="Q60" s="76">
        <f>N(INDEX(Krankheitstage!$G60:$DV60,1,(Einstellungen!$C$3-2026)*24+13))</f>
        <v/>
      </c>
      <c r="R60" s="76">
        <f>N(INDEX(Krankheitstage!$G60:$DV60,1,(Einstellungen!$C$3-2026)*24+14))</f>
        <v/>
      </c>
      <c r="S60" s="76">
        <f>N(INDEX(Krankheitstage!$G60:$DV60,1,(Einstellungen!$C$3-2026)*24+15))</f>
        <v/>
      </c>
      <c r="T60" s="76">
        <f>N(INDEX(Krankheitstage!$G60:$DV60,1,(Einstellungen!$C$3-2026)*24+16))</f>
        <v/>
      </c>
      <c r="U60" s="76">
        <f>N(INDEX(Krankheitstage!$G60:$DV60,1,(Einstellungen!$C$3-2026)*24+17))</f>
        <v/>
      </c>
      <c r="V60" s="76">
        <f>N(INDEX(Krankheitstage!$G60:$DV60,1,(Einstellungen!$C$3-2026)*24+18))</f>
        <v/>
      </c>
      <c r="W60" s="76">
        <f>N(INDEX(Krankheitstage!$G60:$DV60,1,(Einstellungen!$C$3-2026)*24+19))</f>
        <v/>
      </c>
      <c r="X60" s="76">
        <f>N(INDEX(Krankheitstage!$G60:$DV60,1,(Einstellungen!$C$3-2026)*24+20))</f>
        <v/>
      </c>
      <c r="Y60" s="76">
        <f>N(INDEX(Krankheitstage!$G60:$DV60,1,(Einstellungen!$C$3-2026)*24+21))</f>
        <v/>
      </c>
      <c r="Z60" s="76">
        <f>N(INDEX(Krankheitstage!$G60:$DV60,1,(Einstellungen!$C$3-2026)*24+22))</f>
        <v/>
      </c>
      <c r="AA60" s="76">
        <f>N(INDEX(Krankheitstage!$G60:$DV60,1,(Einstellungen!$C$3-2026)*24+23))</f>
        <v/>
      </c>
      <c r="AB60" s="76">
        <f>N(INDEX(Krankheitstage!$G60:$DV60,1,(Einstellungen!$C$3-2026)*24+24))</f>
        <v/>
      </c>
      <c r="AC60" s="76">
        <f>IF($B60="","",SUM(Q60:AB60))</f>
        <v/>
      </c>
      <c r="AD60" s="76">
        <f>IF($B60="","",SUM(P60,AC60))</f>
        <v/>
      </c>
      <c r="AE60" s="77">
        <f>IF($B60="","",AD60*N(C60))</f>
        <v/>
      </c>
      <c r="AF60" s="76">
        <f>IF($B60="","",Krankheitstage!E60)</f>
        <v/>
      </c>
      <c r="AG60" s="77">
        <f>IF($B60="","",AF60*N(C60))</f>
        <v/>
      </c>
    </row>
    <row r="61">
      <c r="A61" s="74">
        <f>IF(Mitarbeiter!B61="","",Mitarbeiter!A61)</f>
        <v/>
      </c>
      <c r="B61" s="6">
        <f>IF(Mitarbeiter!B61="","",Mitarbeiter!B61)</f>
        <v/>
      </c>
      <c r="C61" s="75">
        <f>IF(Mitarbeiter!B61="","",Mitarbeiter!F61)</f>
        <v/>
      </c>
      <c r="D61" s="76">
        <f>N(INDEX(Krankheitstage!$G61:$DV61,1,(Einstellungen!$C$3-2026)*24+1))</f>
        <v/>
      </c>
      <c r="E61" s="76">
        <f>N(INDEX(Krankheitstage!$G61:$DV61,1,(Einstellungen!$C$3-2026)*24+2))</f>
        <v/>
      </c>
      <c r="F61" s="76">
        <f>N(INDEX(Krankheitstage!$G61:$DV61,1,(Einstellungen!$C$3-2026)*24+3))</f>
        <v/>
      </c>
      <c r="G61" s="76">
        <f>N(INDEX(Krankheitstage!$G61:$DV61,1,(Einstellungen!$C$3-2026)*24+4))</f>
        <v/>
      </c>
      <c r="H61" s="76">
        <f>N(INDEX(Krankheitstage!$G61:$DV61,1,(Einstellungen!$C$3-2026)*24+5))</f>
        <v/>
      </c>
      <c r="I61" s="76">
        <f>N(INDEX(Krankheitstage!$G61:$DV61,1,(Einstellungen!$C$3-2026)*24+6))</f>
        <v/>
      </c>
      <c r="J61" s="76">
        <f>N(INDEX(Krankheitstage!$G61:$DV61,1,(Einstellungen!$C$3-2026)*24+7))</f>
        <v/>
      </c>
      <c r="K61" s="76">
        <f>N(INDEX(Krankheitstage!$G61:$DV61,1,(Einstellungen!$C$3-2026)*24+8))</f>
        <v/>
      </c>
      <c r="L61" s="76">
        <f>N(INDEX(Krankheitstage!$G61:$DV61,1,(Einstellungen!$C$3-2026)*24+9))</f>
        <v/>
      </c>
      <c r="M61" s="76">
        <f>N(INDEX(Krankheitstage!$G61:$DV61,1,(Einstellungen!$C$3-2026)*24+10))</f>
        <v/>
      </c>
      <c r="N61" s="76">
        <f>N(INDEX(Krankheitstage!$G61:$DV61,1,(Einstellungen!$C$3-2026)*24+11))</f>
        <v/>
      </c>
      <c r="O61" s="76">
        <f>N(INDEX(Krankheitstage!$G61:$DV61,1,(Einstellungen!$C$3-2026)*24+12))</f>
        <v/>
      </c>
      <c r="P61" s="76">
        <f>IF($B61="","",SUM(D61:O61))</f>
        <v/>
      </c>
      <c r="Q61" s="76">
        <f>N(INDEX(Krankheitstage!$G61:$DV61,1,(Einstellungen!$C$3-2026)*24+13))</f>
        <v/>
      </c>
      <c r="R61" s="76">
        <f>N(INDEX(Krankheitstage!$G61:$DV61,1,(Einstellungen!$C$3-2026)*24+14))</f>
        <v/>
      </c>
      <c r="S61" s="76">
        <f>N(INDEX(Krankheitstage!$G61:$DV61,1,(Einstellungen!$C$3-2026)*24+15))</f>
        <v/>
      </c>
      <c r="T61" s="76">
        <f>N(INDEX(Krankheitstage!$G61:$DV61,1,(Einstellungen!$C$3-2026)*24+16))</f>
        <v/>
      </c>
      <c r="U61" s="76">
        <f>N(INDEX(Krankheitstage!$G61:$DV61,1,(Einstellungen!$C$3-2026)*24+17))</f>
        <v/>
      </c>
      <c r="V61" s="76">
        <f>N(INDEX(Krankheitstage!$G61:$DV61,1,(Einstellungen!$C$3-2026)*24+18))</f>
        <v/>
      </c>
      <c r="W61" s="76">
        <f>N(INDEX(Krankheitstage!$G61:$DV61,1,(Einstellungen!$C$3-2026)*24+19))</f>
        <v/>
      </c>
      <c r="X61" s="76">
        <f>N(INDEX(Krankheitstage!$G61:$DV61,1,(Einstellungen!$C$3-2026)*24+20))</f>
        <v/>
      </c>
      <c r="Y61" s="76">
        <f>N(INDEX(Krankheitstage!$G61:$DV61,1,(Einstellungen!$C$3-2026)*24+21))</f>
        <v/>
      </c>
      <c r="Z61" s="76">
        <f>N(INDEX(Krankheitstage!$G61:$DV61,1,(Einstellungen!$C$3-2026)*24+22))</f>
        <v/>
      </c>
      <c r="AA61" s="76">
        <f>N(INDEX(Krankheitstage!$G61:$DV61,1,(Einstellungen!$C$3-2026)*24+23))</f>
        <v/>
      </c>
      <c r="AB61" s="76">
        <f>N(INDEX(Krankheitstage!$G61:$DV61,1,(Einstellungen!$C$3-2026)*24+24))</f>
        <v/>
      </c>
      <c r="AC61" s="76">
        <f>IF($B61="","",SUM(Q61:AB61))</f>
        <v/>
      </c>
      <c r="AD61" s="76">
        <f>IF($B61="","",SUM(P61,AC61))</f>
        <v/>
      </c>
      <c r="AE61" s="77">
        <f>IF($B61="","",AD61*N(C61))</f>
        <v/>
      </c>
      <c r="AF61" s="76">
        <f>IF($B61="","",Krankheitstage!E61)</f>
        <v/>
      </c>
      <c r="AG61" s="77">
        <f>IF($B61="","",AF61*N(C61))</f>
        <v/>
      </c>
    </row>
    <row r="62">
      <c r="A62" s="74">
        <f>IF(Mitarbeiter!B62="","",Mitarbeiter!A62)</f>
        <v/>
      </c>
      <c r="B62" s="6">
        <f>IF(Mitarbeiter!B62="","",Mitarbeiter!B62)</f>
        <v/>
      </c>
      <c r="C62" s="75">
        <f>IF(Mitarbeiter!B62="","",Mitarbeiter!F62)</f>
        <v/>
      </c>
      <c r="D62" s="76">
        <f>N(INDEX(Krankheitstage!$G62:$DV62,1,(Einstellungen!$C$3-2026)*24+1))</f>
        <v/>
      </c>
      <c r="E62" s="76">
        <f>N(INDEX(Krankheitstage!$G62:$DV62,1,(Einstellungen!$C$3-2026)*24+2))</f>
        <v/>
      </c>
      <c r="F62" s="76">
        <f>N(INDEX(Krankheitstage!$G62:$DV62,1,(Einstellungen!$C$3-2026)*24+3))</f>
        <v/>
      </c>
      <c r="G62" s="76">
        <f>N(INDEX(Krankheitstage!$G62:$DV62,1,(Einstellungen!$C$3-2026)*24+4))</f>
        <v/>
      </c>
      <c r="H62" s="76">
        <f>N(INDEX(Krankheitstage!$G62:$DV62,1,(Einstellungen!$C$3-2026)*24+5))</f>
        <v/>
      </c>
      <c r="I62" s="76">
        <f>N(INDEX(Krankheitstage!$G62:$DV62,1,(Einstellungen!$C$3-2026)*24+6))</f>
        <v/>
      </c>
      <c r="J62" s="76">
        <f>N(INDEX(Krankheitstage!$G62:$DV62,1,(Einstellungen!$C$3-2026)*24+7))</f>
        <v/>
      </c>
      <c r="K62" s="76">
        <f>N(INDEX(Krankheitstage!$G62:$DV62,1,(Einstellungen!$C$3-2026)*24+8))</f>
        <v/>
      </c>
      <c r="L62" s="76">
        <f>N(INDEX(Krankheitstage!$G62:$DV62,1,(Einstellungen!$C$3-2026)*24+9))</f>
        <v/>
      </c>
      <c r="M62" s="76">
        <f>N(INDEX(Krankheitstage!$G62:$DV62,1,(Einstellungen!$C$3-2026)*24+10))</f>
        <v/>
      </c>
      <c r="N62" s="76">
        <f>N(INDEX(Krankheitstage!$G62:$DV62,1,(Einstellungen!$C$3-2026)*24+11))</f>
        <v/>
      </c>
      <c r="O62" s="76">
        <f>N(INDEX(Krankheitstage!$G62:$DV62,1,(Einstellungen!$C$3-2026)*24+12))</f>
        <v/>
      </c>
      <c r="P62" s="76">
        <f>IF($B62="","",SUM(D62:O62))</f>
        <v/>
      </c>
      <c r="Q62" s="76">
        <f>N(INDEX(Krankheitstage!$G62:$DV62,1,(Einstellungen!$C$3-2026)*24+13))</f>
        <v/>
      </c>
      <c r="R62" s="76">
        <f>N(INDEX(Krankheitstage!$G62:$DV62,1,(Einstellungen!$C$3-2026)*24+14))</f>
        <v/>
      </c>
      <c r="S62" s="76">
        <f>N(INDEX(Krankheitstage!$G62:$DV62,1,(Einstellungen!$C$3-2026)*24+15))</f>
        <v/>
      </c>
      <c r="T62" s="76">
        <f>N(INDEX(Krankheitstage!$G62:$DV62,1,(Einstellungen!$C$3-2026)*24+16))</f>
        <v/>
      </c>
      <c r="U62" s="76">
        <f>N(INDEX(Krankheitstage!$G62:$DV62,1,(Einstellungen!$C$3-2026)*24+17))</f>
        <v/>
      </c>
      <c r="V62" s="76">
        <f>N(INDEX(Krankheitstage!$G62:$DV62,1,(Einstellungen!$C$3-2026)*24+18))</f>
        <v/>
      </c>
      <c r="W62" s="76">
        <f>N(INDEX(Krankheitstage!$G62:$DV62,1,(Einstellungen!$C$3-2026)*24+19))</f>
        <v/>
      </c>
      <c r="X62" s="76">
        <f>N(INDEX(Krankheitstage!$G62:$DV62,1,(Einstellungen!$C$3-2026)*24+20))</f>
        <v/>
      </c>
      <c r="Y62" s="76">
        <f>N(INDEX(Krankheitstage!$G62:$DV62,1,(Einstellungen!$C$3-2026)*24+21))</f>
        <v/>
      </c>
      <c r="Z62" s="76">
        <f>N(INDEX(Krankheitstage!$G62:$DV62,1,(Einstellungen!$C$3-2026)*24+22))</f>
        <v/>
      </c>
      <c r="AA62" s="76">
        <f>N(INDEX(Krankheitstage!$G62:$DV62,1,(Einstellungen!$C$3-2026)*24+23))</f>
        <v/>
      </c>
      <c r="AB62" s="76">
        <f>N(INDEX(Krankheitstage!$G62:$DV62,1,(Einstellungen!$C$3-2026)*24+24))</f>
        <v/>
      </c>
      <c r="AC62" s="76">
        <f>IF($B62="","",SUM(Q62:AB62))</f>
        <v/>
      </c>
      <c r="AD62" s="76">
        <f>IF($B62="","",SUM(P62,AC62))</f>
        <v/>
      </c>
      <c r="AE62" s="77">
        <f>IF($B62="","",AD62*N(C62))</f>
        <v/>
      </c>
      <c r="AF62" s="76">
        <f>IF($B62="","",Krankheitstage!E62)</f>
        <v/>
      </c>
      <c r="AG62" s="77">
        <f>IF($B62="","",AF62*N(C62))</f>
        <v/>
      </c>
    </row>
    <row r="63">
      <c r="A63" s="74">
        <f>IF(Mitarbeiter!B63="","",Mitarbeiter!A63)</f>
        <v/>
      </c>
      <c r="B63" s="6">
        <f>IF(Mitarbeiter!B63="","",Mitarbeiter!B63)</f>
        <v/>
      </c>
      <c r="C63" s="75">
        <f>IF(Mitarbeiter!B63="","",Mitarbeiter!F63)</f>
        <v/>
      </c>
      <c r="D63" s="76">
        <f>N(INDEX(Krankheitstage!$G63:$DV63,1,(Einstellungen!$C$3-2026)*24+1))</f>
        <v/>
      </c>
      <c r="E63" s="76">
        <f>N(INDEX(Krankheitstage!$G63:$DV63,1,(Einstellungen!$C$3-2026)*24+2))</f>
        <v/>
      </c>
      <c r="F63" s="76">
        <f>N(INDEX(Krankheitstage!$G63:$DV63,1,(Einstellungen!$C$3-2026)*24+3))</f>
        <v/>
      </c>
      <c r="G63" s="76">
        <f>N(INDEX(Krankheitstage!$G63:$DV63,1,(Einstellungen!$C$3-2026)*24+4))</f>
        <v/>
      </c>
      <c r="H63" s="76">
        <f>N(INDEX(Krankheitstage!$G63:$DV63,1,(Einstellungen!$C$3-2026)*24+5))</f>
        <v/>
      </c>
      <c r="I63" s="76">
        <f>N(INDEX(Krankheitstage!$G63:$DV63,1,(Einstellungen!$C$3-2026)*24+6))</f>
        <v/>
      </c>
      <c r="J63" s="76">
        <f>N(INDEX(Krankheitstage!$G63:$DV63,1,(Einstellungen!$C$3-2026)*24+7))</f>
        <v/>
      </c>
      <c r="K63" s="76">
        <f>N(INDEX(Krankheitstage!$G63:$DV63,1,(Einstellungen!$C$3-2026)*24+8))</f>
        <v/>
      </c>
      <c r="L63" s="76">
        <f>N(INDEX(Krankheitstage!$G63:$DV63,1,(Einstellungen!$C$3-2026)*24+9))</f>
        <v/>
      </c>
      <c r="M63" s="76">
        <f>N(INDEX(Krankheitstage!$G63:$DV63,1,(Einstellungen!$C$3-2026)*24+10))</f>
        <v/>
      </c>
      <c r="N63" s="76">
        <f>N(INDEX(Krankheitstage!$G63:$DV63,1,(Einstellungen!$C$3-2026)*24+11))</f>
        <v/>
      </c>
      <c r="O63" s="76">
        <f>N(INDEX(Krankheitstage!$G63:$DV63,1,(Einstellungen!$C$3-2026)*24+12))</f>
        <v/>
      </c>
      <c r="P63" s="76">
        <f>IF($B63="","",SUM(D63:O63))</f>
        <v/>
      </c>
      <c r="Q63" s="76">
        <f>N(INDEX(Krankheitstage!$G63:$DV63,1,(Einstellungen!$C$3-2026)*24+13))</f>
        <v/>
      </c>
      <c r="R63" s="76">
        <f>N(INDEX(Krankheitstage!$G63:$DV63,1,(Einstellungen!$C$3-2026)*24+14))</f>
        <v/>
      </c>
      <c r="S63" s="76">
        <f>N(INDEX(Krankheitstage!$G63:$DV63,1,(Einstellungen!$C$3-2026)*24+15))</f>
        <v/>
      </c>
      <c r="T63" s="76">
        <f>N(INDEX(Krankheitstage!$G63:$DV63,1,(Einstellungen!$C$3-2026)*24+16))</f>
        <v/>
      </c>
      <c r="U63" s="76">
        <f>N(INDEX(Krankheitstage!$G63:$DV63,1,(Einstellungen!$C$3-2026)*24+17))</f>
        <v/>
      </c>
      <c r="V63" s="76">
        <f>N(INDEX(Krankheitstage!$G63:$DV63,1,(Einstellungen!$C$3-2026)*24+18))</f>
        <v/>
      </c>
      <c r="W63" s="76">
        <f>N(INDEX(Krankheitstage!$G63:$DV63,1,(Einstellungen!$C$3-2026)*24+19))</f>
        <v/>
      </c>
      <c r="X63" s="76">
        <f>N(INDEX(Krankheitstage!$G63:$DV63,1,(Einstellungen!$C$3-2026)*24+20))</f>
        <v/>
      </c>
      <c r="Y63" s="76">
        <f>N(INDEX(Krankheitstage!$G63:$DV63,1,(Einstellungen!$C$3-2026)*24+21))</f>
        <v/>
      </c>
      <c r="Z63" s="76">
        <f>N(INDEX(Krankheitstage!$G63:$DV63,1,(Einstellungen!$C$3-2026)*24+22))</f>
        <v/>
      </c>
      <c r="AA63" s="76">
        <f>N(INDEX(Krankheitstage!$G63:$DV63,1,(Einstellungen!$C$3-2026)*24+23))</f>
        <v/>
      </c>
      <c r="AB63" s="76">
        <f>N(INDEX(Krankheitstage!$G63:$DV63,1,(Einstellungen!$C$3-2026)*24+24))</f>
        <v/>
      </c>
      <c r="AC63" s="76">
        <f>IF($B63="","",SUM(Q63:AB63))</f>
        <v/>
      </c>
      <c r="AD63" s="76">
        <f>IF($B63="","",SUM(P63,AC63))</f>
        <v/>
      </c>
      <c r="AE63" s="77">
        <f>IF($B63="","",AD63*N(C63))</f>
        <v/>
      </c>
      <c r="AF63" s="76">
        <f>IF($B63="","",Krankheitstage!E63)</f>
        <v/>
      </c>
      <c r="AG63" s="77">
        <f>IF($B63="","",AF63*N(C63))</f>
        <v/>
      </c>
    </row>
    <row r="64">
      <c r="A64" s="74">
        <f>IF(Mitarbeiter!B64="","",Mitarbeiter!A64)</f>
        <v/>
      </c>
      <c r="B64" s="6">
        <f>IF(Mitarbeiter!B64="","",Mitarbeiter!B64)</f>
        <v/>
      </c>
      <c r="C64" s="75">
        <f>IF(Mitarbeiter!B64="","",Mitarbeiter!F64)</f>
        <v/>
      </c>
      <c r="D64" s="76">
        <f>N(INDEX(Krankheitstage!$G64:$DV64,1,(Einstellungen!$C$3-2026)*24+1))</f>
        <v/>
      </c>
      <c r="E64" s="76">
        <f>N(INDEX(Krankheitstage!$G64:$DV64,1,(Einstellungen!$C$3-2026)*24+2))</f>
        <v/>
      </c>
      <c r="F64" s="76">
        <f>N(INDEX(Krankheitstage!$G64:$DV64,1,(Einstellungen!$C$3-2026)*24+3))</f>
        <v/>
      </c>
      <c r="G64" s="76">
        <f>N(INDEX(Krankheitstage!$G64:$DV64,1,(Einstellungen!$C$3-2026)*24+4))</f>
        <v/>
      </c>
      <c r="H64" s="76">
        <f>N(INDEX(Krankheitstage!$G64:$DV64,1,(Einstellungen!$C$3-2026)*24+5))</f>
        <v/>
      </c>
      <c r="I64" s="76">
        <f>N(INDEX(Krankheitstage!$G64:$DV64,1,(Einstellungen!$C$3-2026)*24+6))</f>
        <v/>
      </c>
      <c r="J64" s="76">
        <f>N(INDEX(Krankheitstage!$G64:$DV64,1,(Einstellungen!$C$3-2026)*24+7))</f>
        <v/>
      </c>
      <c r="K64" s="76">
        <f>N(INDEX(Krankheitstage!$G64:$DV64,1,(Einstellungen!$C$3-2026)*24+8))</f>
        <v/>
      </c>
      <c r="L64" s="76">
        <f>N(INDEX(Krankheitstage!$G64:$DV64,1,(Einstellungen!$C$3-2026)*24+9))</f>
        <v/>
      </c>
      <c r="M64" s="76">
        <f>N(INDEX(Krankheitstage!$G64:$DV64,1,(Einstellungen!$C$3-2026)*24+10))</f>
        <v/>
      </c>
      <c r="N64" s="76">
        <f>N(INDEX(Krankheitstage!$G64:$DV64,1,(Einstellungen!$C$3-2026)*24+11))</f>
        <v/>
      </c>
      <c r="O64" s="76">
        <f>N(INDEX(Krankheitstage!$G64:$DV64,1,(Einstellungen!$C$3-2026)*24+12))</f>
        <v/>
      </c>
      <c r="P64" s="76">
        <f>IF($B64="","",SUM(D64:O64))</f>
        <v/>
      </c>
      <c r="Q64" s="76">
        <f>N(INDEX(Krankheitstage!$G64:$DV64,1,(Einstellungen!$C$3-2026)*24+13))</f>
        <v/>
      </c>
      <c r="R64" s="76">
        <f>N(INDEX(Krankheitstage!$G64:$DV64,1,(Einstellungen!$C$3-2026)*24+14))</f>
        <v/>
      </c>
      <c r="S64" s="76">
        <f>N(INDEX(Krankheitstage!$G64:$DV64,1,(Einstellungen!$C$3-2026)*24+15))</f>
        <v/>
      </c>
      <c r="T64" s="76">
        <f>N(INDEX(Krankheitstage!$G64:$DV64,1,(Einstellungen!$C$3-2026)*24+16))</f>
        <v/>
      </c>
      <c r="U64" s="76">
        <f>N(INDEX(Krankheitstage!$G64:$DV64,1,(Einstellungen!$C$3-2026)*24+17))</f>
        <v/>
      </c>
      <c r="V64" s="76">
        <f>N(INDEX(Krankheitstage!$G64:$DV64,1,(Einstellungen!$C$3-2026)*24+18))</f>
        <v/>
      </c>
      <c r="W64" s="76">
        <f>N(INDEX(Krankheitstage!$G64:$DV64,1,(Einstellungen!$C$3-2026)*24+19))</f>
        <v/>
      </c>
      <c r="X64" s="76">
        <f>N(INDEX(Krankheitstage!$G64:$DV64,1,(Einstellungen!$C$3-2026)*24+20))</f>
        <v/>
      </c>
      <c r="Y64" s="76">
        <f>N(INDEX(Krankheitstage!$G64:$DV64,1,(Einstellungen!$C$3-2026)*24+21))</f>
        <v/>
      </c>
      <c r="Z64" s="76">
        <f>N(INDEX(Krankheitstage!$G64:$DV64,1,(Einstellungen!$C$3-2026)*24+22))</f>
        <v/>
      </c>
      <c r="AA64" s="76">
        <f>N(INDEX(Krankheitstage!$G64:$DV64,1,(Einstellungen!$C$3-2026)*24+23))</f>
        <v/>
      </c>
      <c r="AB64" s="76">
        <f>N(INDEX(Krankheitstage!$G64:$DV64,1,(Einstellungen!$C$3-2026)*24+24))</f>
        <v/>
      </c>
      <c r="AC64" s="76">
        <f>IF($B64="","",SUM(Q64:AB64))</f>
        <v/>
      </c>
      <c r="AD64" s="76">
        <f>IF($B64="","",SUM(P64,AC64))</f>
        <v/>
      </c>
      <c r="AE64" s="77">
        <f>IF($B64="","",AD64*N(C64))</f>
        <v/>
      </c>
      <c r="AF64" s="76">
        <f>IF($B64="","",Krankheitstage!E64)</f>
        <v/>
      </c>
      <c r="AG64" s="77">
        <f>IF($B64="","",AF64*N(C64))</f>
        <v/>
      </c>
    </row>
    <row r="65">
      <c r="A65" s="74">
        <f>IF(Mitarbeiter!B65="","",Mitarbeiter!A65)</f>
        <v/>
      </c>
      <c r="B65" s="6">
        <f>IF(Mitarbeiter!B65="","",Mitarbeiter!B65)</f>
        <v/>
      </c>
      <c r="C65" s="75">
        <f>IF(Mitarbeiter!B65="","",Mitarbeiter!F65)</f>
        <v/>
      </c>
      <c r="D65" s="76">
        <f>N(INDEX(Krankheitstage!$G65:$DV65,1,(Einstellungen!$C$3-2026)*24+1))</f>
        <v/>
      </c>
      <c r="E65" s="76">
        <f>N(INDEX(Krankheitstage!$G65:$DV65,1,(Einstellungen!$C$3-2026)*24+2))</f>
        <v/>
      </c>
      <c r="F65" s="76">
        <f>N(INDEX(Krankheitstage!$G65:$DV65,1,(Einstellungen!$C$3-2026)*24+3))</f>
        <v/>
      </c>
      <c r="G65" s="76">
        <f>N(INDEX(Krankheitstage!$G65:$DV65,1,(Einstellungen!$C$3-2026)*24+4))</f>
        <v/>
      </c>
      <c r="H65" s="76">
        <f>N(INDEX(Krankheitstage!$G65:$DV65,1,(Einstellungen!$C$3-2026)*24+5))</f>
        <v/>
      </c>
      <c r="I65" s="76">
        <f>N(INDEX(Krankheitstage!$G65:$DV65,1,(Einstellungen!$C$3-2026)*24+6))</f>
        <v/>
      </c>
      <c r="J65" s="76">
        <f>N(INDEX(Krankheitstage!$G65:$DV65,1,(Einstellungen!$C$3-2026)*24+7))</f>
        <v/>
      </c>
      <c r="K65" s="76">
        <f>N(INDEX(Krankheitstage!$G65:$DV65,1,(Einstellungen!$C$3-2026)*24+8))</f>
        <v/>
      </c>
      <c r="L65" s="76">
        <f>N(INDEX(Krankheitstage!$G65:$DV65,1,(Einstellungen!$C$3-2026)*24+9))</f>
        <v/>
      </c>
      <c r="M65" s="76">
        <f>N(INDEX(Krankheitstage!$G65:$DV65,1,(Einstellungen!$C$3-2026)*24+10))</f>
        <v/>
      </c>
      <c r="N65" s="76">
        <f>N(INDEX(Krankheitstage!$G65:$DV65,1,(Einstellungen!$C$3-2026)*24+11))</f>
        <v/>
      </c>
      <c r="O65" s="76">
        <f>N(INDEX(Krankheitstage!$G65:$DV65,1,(Einstellungen!$C$3-2026)*24+12))</f>
        <v/>
      </c>
      <c r="P65" s="76">
        <f>IF($B65="","",SUM(D65:O65))</f>
        <v/>
      </c>
      <c r="Q65" s="76">
        <f>N(INDEX(Krankheitstage!$G65:$DV65,1,(Einstellungen!$C$3-2026)*24+13))</f>
        <v/>
      </c>
      <c r="R65" s="76">
        <f>N(INDEX(Krankheitstage!$G65:$DV65,1,(Einstellungen!$C$3-2026)*24+14))</f>
        <v/>
      </c>
      <c r="S65" s="76">
        <f>N(INDEX(Krankheitstage!$G65:$DV65,1,(Einstellungen!$C$3-2026)*24+15))</f>
        <v/>
      </c>
      <c r="T65" s="76">
        <f>N(INDEX(Krankheitstage!$G65:$DV65,1,(Einstellungen!$C$3-2026)*24+16))</f>
        <v/>
      </c>
      <c r="U65" s="76">
        <f>N(INDEX(Krankheitstage!$G65:$DV65,1,(Einstellungen!$C$3-2026)*24+17))</f>
        <v/>
      </c>
      <c r="V65" s="76">
        <f>N(INDEX(Krankheitstage!$G65:$DV65,1,(Einstellungen!$C$3-2026)*24+18))</f>
        <v/>
      </c>
      <c r="W65" s="76">
        <f>N(INDEX(Krankheitstage!$G65:$DV65,1,(Einstellungen!$C$3-2026)*24+19))</f>
        <v/>
      </c>
      <c r="X65" s="76">
        <f>N(INDEX(Krankheitstage!$G65:$DV65,1,(Einstellungen!$C$3-2026)*24+20))</f>
        <v/>
      </c>
      <c r="Y65" s="76">
        <f>N(INDEX(Krankheitstage!$G65:$DV65,1,(Einstellungen!$C$3-2026)*24+21))</f>
        <v/>
      </c>
      <c r="Z65" s="76">
        <f>N(INDEX(Krankheitstage!$G65:$DV65,1,(Einstellungen!$C$3-2026)*24+22))</f>
        <v/>
      </c>
      <c r="AA65" s="76">
        <f>N(INDEX(Krankheitstage!$G65:$DV65,1,(Einstellungen!$C$3-2026)*24+23))</f>
        <v/>
      </c>
      <c r="AB65" s="76">
        <f>N(INDEX(Krankheitstage!$G65:$DV65,1,(Einstellungen!$C$3-2026)*24+24))</f>
        <v/>
      </c>
      <c r="AC65" s="76">
        <f>IF($B65="","",SUM(Q65:AB65))</f>
        <v/>
      </c>
      <c r="AD65" s="76">
        <f>IF($B65="","",SUM(P65,AC65))</f>
        <v/>
      </c>
      <c r="AE65" s="77">
        <f>IF($B65="","",AD65*N(C65))</f>
        <v/>
      </c>
      <c r="AF65" s="76">
        <f>IF($B65="","",Krankheitstage!E65)</f>
        <v/>
      </c>
      <c r="AG65" s="77">
        <f>IF($B65="","",AF65*N(C65))</f>
        <v/>
      </c>
    </row>
    <row r="66">
      <c r="A66" s="74">
        <f>IF(Mitarbeiter!B66="","",Mitarbeiter!A66)</f>
        <v/>
      </c>
      <c r="B66" s="6">
        <f>IF(Mitarbeiter!B66="","",Mitarbeiter!B66)</f>
        <v/>
      </c>
      <c r="C66" s="75">
        <f>IF(Mitarbeiter!B66="","",Mitarbeiter!F66)</f>
        <v/>
      </c>
      <c r="D66" s="76">
        <f>N(INDEX(Krankheitstage!$G66:$DV66,1,(Einstellungen!$C$3-2026)*24+1))</f>
        <v/>
      </c>
      <c r="E66" s="76">
        <f>N(INDEX(Krankheitstage!$G66:$DV66,1,(Einstellungen!$C$3-2026)*24+2))</f>
        <v/>
      </c>
      <c r="F66" s="76">
        <f>N(INDEX(Krankheitstage!$G66:$DV66,1,(Einstellungen!$C$3-2026)*24+3))</f>
        <v/>
      </c>
      <c r="G66" s="76">
        <f>N(INDEX(Krankheitstage!$G66:$DV66,1,(Einstellungen!$C$3-2026)*24+4))</f>
        <v/>
      </c>
      <c r="H66" s="76">
        <f>N(INDEX(Krankheitstage!$G66:$DV66,1,(Einstellungen!$C$3-2026)*24+5))</f>
        <v/>
      </c>
      <c r="I66" s="76">
        <f>N(INDEX(Krankheitstage!$G66:$DV66,1,(Einstellungen!$C$3-2026)*24+6))</f>
        <v/>
      </c>
      <c r="J66" s="76">
        <f>N(INDEX(Krankheitstage!$G66:$DV66,1,(Einstellungen!$C$3-2026)*24+7))</f>
        <v/>
      </c>
      <c r="K66" s="76">
        <f>N(INDEX(Krankheitstage!$G66:$DV66,1,(Einstellungen!$C$3-2026)*24+8))</f>
        <v/>
      </c>
      <c r="L66" s="76">
        <f>N(INDEX(Krankheitstage!$G66:$DV66,1,(Einstellungen!$C$3-2026)*24+9))</f>
        <v/>
      </c>
      <c r="M66" s="76">
        <f>N(INDEX(Krankheitstage!$G66:$DV66,1,(Einstellungen!$C$3-2026)*24+10))</f>
        <v/>
      </c>
      <c r="N66" s="76">
        <f>N(INDEX(Krankheitstage!$G66:$DV66,1,(Einstellungen!$C$3-2026)*24+11))</f>
        <v/>
      </c>
      <c r="O66" s="76">
        <f>N(INDEX(Krankheitstage!$G66:$DV66,1,(Einstellungen!$C$3-2026)*24+12))</f>
        <v/>
      </c>
      <c r="P66" s="76">
        <f>IF($B66="","",SUM(D66:O66))</f>
        <v/>
      </c>
      <c r="Q66" s="76">
        <f>N(INDEX(Krankheitstage!$G66:$DV66,1,(Einstellungen!$C$3-2026)*24+13))</f>
        <v/>
      </c>
      <c r="R66" s="76">
        <f>N(INDEX(Krankheitstage!$G66:$DV66,1,(Einstellungen!$C$3-2026)*24+14))</f>
        <v/>
      </c>
      <c r="S66" s="76">
        <f>N(INDEX(Krankheitstage!$G66:$DV66,1,(Einstellungen!$C$3-2026)*24+15))</f>
        <v/>
      </c>
      <c r="T66" s="76">
        <f>N(INDEX(Krankheitstage!$G66:$DV66,1,(Einstellungen!$C$3-2026)*24+16))</f>
        <v/>
      </c>
      <c r="U66" s="76">
        <f>N(INDEX(Krankheitstage!$G66:$DV66,1,(Einstellungen!$C$3-2026)*24+17))</f>
        <v/>
      </c>
      <c r="V66" s="76">
        <f>N(INDEX(Krankheitstage!$G66:$DV66,1,(Einstellungen!$C$3-2026)*24+18))</f>
        <v/>
      </c>
      <c r="W66" s="76">
        <f>N(INDEX(Krankheitstage!$G66:$DV66,1,(Einstellungen!$C$3-2026)*24+19))</f>
        <v/>
      </c>
      <c r="X66" s="76">
        <f>N(INDEX(Krankheitstage!$G66:$DV66,1,(Einstellungen!$C$3-2026)*24+20))</f>
        <v/>
      </c>
      <c r="Y66" s="76">
        <f>N(INDEX(Krankheitstage!$G66:$DV66,1,(Einstellungen!$C$3-2026)*24+21))</f>
        <v/>
      </c>
      <c r="Z66" s="76">
        <f>N(INDEX(Krankheitstage!$G66:$DV66,1,(Einstellungen!$C$3-2026)*24+22))</f>
        <v/>
      </c>
      <c r="AA66" s="76">
        <f>N(INDEX(Krankheitstage!$G66:$DV66,1,(Einstellungen!$C$3-2026)*24+23))</f>
        <v/>
      </c>
      <c r="AB66" s="76">
        <f>N(INDEX(Krankheitstage!$G66:$DV66,1,(Einstellungen!$C$3-2026)*24+24))</f>
        <v/>
      </c>
      <c r="AC66" s="76">
        <f>IF($B66="","",SUM(Q66:AB66))</f>
        <v/>
      </c>
      <c r="AD66" s="76">
        <f>IF($B66="","",SUM(P66,AC66))</f>
        <v/>
      </c>
      <c r="AE66" s="77">
        <f>IF($B66="","",AD66*N(C66))</f>
        <v/>
      </c>
      <c r="AF66" s="76">
        <f>IF($B66="","",Krankheitstage!E66)</f>
        <v/>
      </c>
      <c r="AG66" s="77">
        <f>IF($B66="","",AF66*N(C66))</f>
        <v/>
      </c>
    </row>
    <row r="67">
      <c r="A67" s="74">
        <f>IF(Mitarbeiter!B67="","",Mitarbeiter!A67)</f>
        <v/>
      </c>
      <c r="B67" s="6">
        <f>IF(Mitarbeiter!B67="","",Mitarbeiter!B67)</f>
        <v/>
      </c>
      <c r="C67" s="75">
        <f>IF(Mitarbeiter!B67="","",Mitarbeiter!F67)</f>
        <v/>
      </c>
      <c r="D67" s="76">
        <f>N(INDEX(Krankheitstage!$G67:$DV67,1,(Einstellungen!$C$3-2026)*24+1))</f>
        <v/>
      </c>
      <c r="E67" s="76">
        <f>N(INDEX(Krankheitstage!$G67:$DV67,1,(Einstellungen!$C$3-2026)*24+2))</f>
        <v/>
      </c>
      <c r="F67" s="76">
        <f>N(INDEX(Krankheitstage!$G67:$DV67,1,(Einstellungen!$C$3-2026)*24+3))</f>
        <v/>
      </c>
      <c r="G67" s="76">
        <f>N(INDEX(Krankheitstage!$G67:$DV67,1,(Einstellungen!$C$3-2026)*24+4))</f>
        <v/>
      </c>
      <c r="H67" s="76">
        <f>N(INDEX(Krankheitstage!$G67:$DV67,1,(Einstellungen!$C$3-2026)*24+5))</f>
        <v/>
      </c>
      <c r="I67" s="76">
        <f>N(INDEX(Krankheitstage!$G67:$DV67,1,(Einstellungen!$C$3-2026)*24+6))</f>
        <v/>
      </c>
      <c r="J67" s="76">
        <f>N(INDEX(Krankheitstage!$G67:$DV67,1,(Einstellungen!$C$3-2026)*24+7))</f>
        <v/>
      </c>
      <c r="K67" s="76">
        <f>N(INDEX(Krankheitstage!$G67:$DV67,1,(Einstellungen!$C$3-2026)*24+8))</f>
        <v/>
      </c>
      <c r="L67" s="76">
        <f>N(INDEX(Krankheitstage!$G67:$DV67,1,(Einstellungen!$C$3-2026)*24+9))</f>
        <v/>
      </c>
      <c r="M67" s="76">
        <f>N(INDEX(Krankheitstage!$G67:$DV67,1,(Einstellungen!$C$3-2026)*24+10))</f>
        <v/>
      </c>
      <c r="N67" s="76">
        <f>N(INDEX(Krankheitstage!$G67:$DV67,1,(Einstellungen!$C$3-2026)*24+11))</f>
        <v/>
      </c>
      <c r="O67" s="76">
        <f>N(INDEX(Krankheitstage!$G67:$DV67,1,(Einstellungen!$C$3-2026)*24+12))</f>
        <v/>
      </c>
      <c r="P67" s="76">
        <f>IF($B67="","",SUM(D67:O67))</f>
        <v/>
      </c>
      <c r="Q67" s="76">
        <f>N(INDEX(Krankheitstage!$G67:$DV67,1,(Einstellungen!$C$3-2026)*24+13))</f>
        <v/>
      </c>
      <c r="R67" s="76">
        <f>N(INDEX(Krankheitstage!$G67:$DV67,1,(Einstellungen!$C$3-2026)*24+14))</f>
        <v/>
      </c>
      <c r="S67" s="76">
        <f>N(INDEX(Krankheitstage!$G67:$DV67,1,(Einstellungen!$C$3-2026)*24+15))</f>
        <v/>
      </c>
      <c r="T67" s="76">
        <f>N(INDEX(Krankheitstage!$G67:$DV67,1,(Einstellungen!$C$3-2026)*24+16))</f>
        <v/>
      </c>
      <c r="U67" s="76">
        <f>N(INDEX(Krankheitstage!$G67:$DV67,1,(Einstellungen!$C$3-2026)*24+17))</f>
        <v/>
      </c>
      <c r="V67" s="76">
        <f>N(INDEX(Krankheitstage!$G67:$DV67,1,(Einstellungen!$C$3-2026)*24+18))</f>
        <v/>
      </c>
      <c r="W67" s="76">
        <f>N(INDEX(Krankheitstage!$G67:$DV67,1,(Einstellungen!$C$3-2026)*24+19))</f>
        <v/>
      </c>
      <c r="X67" s="76">
        <f>N(INDEX(Krankheitstage!$G67:$DV67,1,(Einstellungen!$C$3-2026)*24+20))</f>
        <v/>
      </c>
      <c r="Y67" s="76">
        <f>N(INDEX(Krankheitstage!$G67:$DV67,1,(Einstellungen!$C$3-2026)*24+21))</f>
        <v/>
      </c>
      <c r="Z67" s="76">
        <f>N(INDEX(Krankheitstage!$G67:$DV67,1,(Einstellungen!$C$3-2026)*24+22))</f>
        <v/>
      </c>
      <c r="AA67" s="76">
        <f>N(INDEX(Krankheitstage!$G67:$DV67,1,(Einstellungen!$C$3-2026)*24+23))</f>
        <v/>
      </c>
      <c r="AB67" s="76">
        <f>N(INDEX(Krankheitstage!$G67:$DV67,1,(Einstellungen!$C$3-2026)*24+24))</f>
        <v/>
      </c>
      <c r="AC67" s="76">
        <f>IF($B67="","",SUM(Q67:AB67))</f>
        <v/>
      </c>
      <c r="AD67" s="76">
        <f>IF($B67="","",SUM(P67,AC67))</f>
        <v/>
      </c>
      <c r="AE67" s="77">
        <f>IF($B67="","",AD67*N(C67))</f>
        <v/>
      </c>
      <c r="AF67" s="76">
        <f>IF($B67="","",Krankheitstage!E67)</f>
        <v/>
      </c>
      <c r="AG67" s="77">
        <f>IF($B67="","",AF67*N(C67))</f>
        <v/>
      </c>
    </row>
    <row r="68">
      <c r="A68" s="74">
        <f>IF(Mitarbeiter!B68="","",Mitarbeiter!A68)</f>
        <v/>
      </c>
      <c r="B68" s="6">
        <f>IF(Mitarbeiter!B68="","",Mitarbeiter!B68)</f>
        <v/>
      </c>
      <c r="C68" s="75">
        <f>IF(Mitarbeiter!B68="","",Mitarbeiter!F68)</f>
        <v/>
      </c>
      <c r="D68" s="76">
        <f>N(INDEX(Krankheitstage!$G68:$DV68,1,(Einstellungen!$C$3-2026)*24+1))</f>
        <v/>
      </c>
      <c r="E68" s="76">
        <f>N(INDEX(Krankheitstage!$G68:$DV68,1,(Einstellungen!$C$3-2026)*24+2))</f>
        <v/>
      </c>
      <c r="F68" s="76">
        <f>N(INDEX(Krankheitstage!$G68:$DV68,1,(Einstellungen!$C$3-2026)*24+3))</f>
        <v/>
      </c>
      <c r="G68" s="76">
        <f>N(INDEX(Krankheitstage!$G68:$DV68,1,(Einstellungen!$C$3-2026)*24+4))</f>
        <v/>
      </c>
      <c r="H68" s="76">
        <f>N(INDEX(Krankheitstage!$G68:$DV68,1,(Einstellungen!$C$3-2026)*24+5))</f>
        <v/>
      </c>
      <c r="I68" s="76">
        <f>N(INDEX(Krankheitstage!$G68:$DV68,1,(Einstellungen!$C$3-2026)*24+6))</f>
        <v/>
      </c>
      <c r="J68" s="76">
        <f>N(INDEX(Krankheitstage!$G68:$DV68,1,(Einstellungen!$C$3-2026)*24+7))</f>
        <v/>
      </c>
      <c r="K68" s="76">
        <f>N(INDEX(Krankheitstage!$G68:$DV68,1,(Einstellungen!$C$3-2026)*24+8))</f>
        <v/>
      </c>
      <c r="L68" s="76">
        <f>N(INDEX(Krankheitstage!$G68:$DV68,1,(Einstellungen!$C$3-2026)*24+9))</f>
        <v/>
      </c>
      <c r="M68" s="76">
        <f>N(INDEX(Krankheitstage!$G68:$DV68,1,(Einstellungen!$C$3-2026)*24+10))</f>
        <v/>
      </c>
      <c r="N68" s="76">
        <f>N(INDEX(Krankheitstage!$G68:$DV68,1,(Einstellungen!$C$3-2026)*24+11))</f>
        <v/>
      </c>
      <c r="O68" s="76">
        <f>N(INDEX(Krankheitstage!$G68:$DV68,1,(Einstellungen!$C$3-2026)*24+12))</f>
        <v/>
      </c>
      <c r="P68" s="76">
        <f>IF($B68="","",SUM(D68:O68))</f>
        <v/>
      </c>
      <c r="Q68" s="76">
        <f>N(INDEX(Krankheitstage!$G68:$DV68,1,(Einstellungen!$C$3-2026)*24+13))</f>
        <v/>
      </c>
      <c r="R68" s="76">
        <f>N(INDEX(Krankheitstage!$G68:$DV68,1,(Einstellungen!$C$3-2026)*24+14))</f>
        <v/>
      </c>
      <c r="S68" s="76">
        <f>N(INDEX(Krankheitstage!$G68:$DV68,1,(Einstellungen!$C$3-2026)*24+15))</f>
        <v/>
      </c>
      <c r="T68" s="76">
        <f>N(INDEX(Krankheitstage!$G68:$DV68,1,(Einstellungen!$C$3-2026)*24+16))</f>
        <v/>
      </c>
      <c r="U68" s="76">
        <f>N(INDEX(Krankheitstage!$G68:$DV68,1,(Einstellungen!$C$3-2026)*24+17))</f>
        <v/>
      </c>
      <c r="V68" s="76">
        <f>N(INDEX(Krankheitstage!$G68:$DV68,1,(Einstellungen!$C$3-2026)*24+18))</f>
        <v/>
      </c>
      <c r="W68" s="76">
        <f>N(INDEX(Krankheitstage!$G68:$DV68,1,(Einstellungen!$C$3-2026)*24+19))</f>
        <v/>
      </c>
      <c r="X68" s="76">
        <f>N(INDEX(Krankheitstage!$G68:$DV68,1,(Einstellungen!$C$3-2026)*24+20))</f>
        <v/>
      </c>
      <c r="Y68" s="76">
        <f>N(INDEX(Krankheitstage!$G68:$DV68,1,(Einstellungen!$C$3-2026)*24+21))</f>
        <v/>
      </c>
      <c r="Z68" s="76">
        <f>N(INDEX(Krankheitstage!$G68:$DV68,1,(Einstellungen!$C$3-2026)*24+22))</f>
        <v/>
      </c>
      <c r="AA68" s="76">
        <f>N(INDEX(Krankheitstage!$G68:$DV68,1,(Einstellungen!$C$3-2026)*24+23))</f>
        <v/>
      </c>
      <c r="AB68" s="76">
        <f>N(INDEX(Krankheitstage!$G68:$DV68,1,(Einstellungen!$C$3-2026)*24+24))</f>
        <v/>
      </c>
      <c r="AC68" s="76">
        <f>IF($B68="","",SUM(Q68:AB68))</f>
        <v/>
      </c>
      <c r="AD68" s="76">
        <f>IF($B68="","",SUM(P68,AC68))</f>
        <v/>
      </c>
      <c r="AE68" s="77">
        <f>IF($B68="","",AD68*N(C68))</f>
        <v/>
      </c>
      <c r="AF68" s="76">
        <f>IF($B68="","",Krankheitstage!E68)</f>
        <v/>
      </c>
      <c r="AG68" s="77">
        <f>IF($B68="","",AF68*N(C68))</f>
        <v/>
      </c>
    </row>
    <row r="69">
      <c r="A69" s="74">
        <f>IF(Mitarbeiter!B69="","",Mitarbeiter!A69)</f>
        <v/>
      </c>
      <c r="B69" s="6">
        <f>IF(Mitarbeiter!B69="","",Mitarbeiter!B69)</f>
        <v/>
      </c>
      <c r="C69" s="75">
        <f>IF(Mitarbeiter!B69="","",Mitarbeiter!F69)</f>
        <v/>
      </c>
      <c r="D69" s="76">
        <f>N(INDEX(Krankheitstage!$G69:$DV69,1,(Einstellungen!$C$3-2026)*24+1))</f>
        <v/>
      </c>
      <c r="E69" s="76">
        <f>N(INDEX(Krankheitstage!$G69:$DV69,1,(Einstellungen!$C$3-2026)*24+2))</f>
        <v/>
      </c>
      <c r="F69" s="76">
        <f>N(INDEX(Krankheitstage!$G69:$DV69,1,(Einstellungen!$C$3-2026)*24+3))</f>
        <v/>
      </c>
      <c r="G69" s="76">
        <f>N(INDEX(Krankheitstage!$G69:$DV69,1,(Einstellungen!$C$3-2026)*24+4))</f>
        <v/>
      </c>
      <c r="H69" s="76">
        <f>N(INDEX(Krankheitstage!$G69:$DV69,1,(Einstellungen!$C$3-2026)*24+5))</f>
        <v/>
      </c>
      <c r="I69" s="76">
        <f>N(INDEX(Krankheitstage!$G69:$DV69,1,(Einstellungen!$C$3-2026)*24+6))</f>
        <v/>
      </c>
      <c r="J69" s="76">
        <f>N(INDEX(Krankheitstage!$G69:$DV69,1,(Einstellungen!$C$3-2026)*24+7))</f>
        <v/>
      </c>
      <c r="K69" s="76">
        <f>N(INDEX(Krankheitstage!$G69:$DV69,1,(Einstellungen!$C$3-2026)*24+8))</f>
        <v/>
      </c>
      <c r="L69" s="76">
        <f>N(INDEX(Krankheitstage!$G69:$DV69,1,(Einstellungen!$C$3-2026)*24+9))</f>
        <v/>
      </c>
      <c r="M69" s="76">
        <f>N(INDEX(Krankheitstage!$G69:$DV69,1,(Einstellungen!$C$3-2026)*24+10))</f>
        <v/>
      </c>
      <c r="N69" s="76">
        <f>N(INDEX(Krankheitstage!$G69:$DV69,1,(Einstellungen!$C$3-2026)*24+11))</f>
        <v/>
      </c>
      <c r="O69" s="76">
        <f>N(INDEX(Krankheitstage!$G69:$DV69,1,(Einstellungen!$C$3-2026)*24+12))</f>
        <v/>
      </c>
      <c r="P69" s="76">
        <f>IF($B69="","",SUM(D69:O69))</f>
        <v/>
      </c>
      <c r="Q69" s="76">
        <f>N(INDEX(Krankheitstage!$G69:$DV69,1,(Einstellungen!$C$3-2026)*24+13))</f>
        <v/>
      </c>
      <c r="R69" s="76">
        <f>N(INDEX(Krankheitstage!$G69:$DV69,1,(Einstellungen!$C$3-2026)*24+14))</f>
        <v/>
      </c>
      <c r="S69" s="76">
        <f>N(INDEX(Krankheitstage!$G69:$DV69,1,(Einstellungen!$C$3-2026)*24+15))</f>
        <v/>
      </c>
      <c r="T69" s="76">
        <f>N(INDEX(Krankheitstage!$G69:$DV69,1,(Einstellungen!$C$3-2026)*24+16))</f>
        <v/>
      </c>
      <c r="U69" s="76">
        <f>N(INDEX(Krankheitstage!$G69:$DV69,1,(Einstellungen!$C$3-2026)*24+17))</f>
        <v/>
      </c>
      <c r="V69" s="76">
        <f>N(INDEX(Krankheitstage!$G69:$DV69,1,(Einstellungen!$C$3-2026)*24+18))</f>
        <v/>
      </c>
      <c r="W69" s="76">
        <f>N(INDEX(Krankheitstage!$G69:$DV69,1,(Einstellungen!$C$3-2026)*24+19))</f>
        <v/>
      </c>
      <c r="X69" s="76">
        <f>N(INDEX(Krankheitstage!$G69:$DV69,1,(Einstellungen!$C$3-2026)*24+20))</f>
        <v/>
      </c>
      <c r="Y69" s="76">
        <f>N(INDEX(Krankheitstage!$G69:$DV69,1,(Einstellungen!$C$3-2026)*24+21))</f>
        <v/>
      </c>
      <c r="Z69" s="76">
        <f>N(INDEX(Krankheitstage!$G69:$DV69,1,(Einstellungen!$C$3-2026)*24+22))</f>
        <v/>
      </c>
      <c r="AA69" s="76">
        <f>N(INDEX(Krankheitstage!$G69:$DV69,1,(Einstellungen!$C$3-2026)*24+23))</f>
        <v/>
      </c>
      <c r="AB69" s="76">
        <f>N(INDEX(Krankheitstage!$G69:$DV69,1,(Einstellungen!$C$3-2026)*24+24))</f>
        <v/>
      </c>
      <c r="AC69" s="76">
        <f>IF($B69="","",SUM(Q69:AB69))</f>
        <v/>
      </c>
      <c r="AD69" s="76">
        <f>IF($B69="","",SUM(P69,AC69))</f>
        <v/>
      </c>
      <c r="AE69" s="77">
        <f>IF($B69="","",AD69*N(C69))</f>
        <v/>
      </c>
      <c r="AF69" s="76">
        <f>IF($B69="","",Krankheitstage!E69)</f>
        <v/>
      </c>
      <c r="AG69" s="77">
        <f>IF($B69="","",AF69*N(C69))</f>
        <v/>
      </c>
    </row>
    <row r="70">
      <c r="A70" s="74">
        <f>IF(Mitarbeiter!B70="","",Mitarbeiter!A70)</f>
        <v/>
      </c>
      <c r="B70" s="6">
        <f>IF(Mitarbeiter!B70="","",Mitarbeiter!B70)</f>
        <v/>
      </c>
      <c r="C70" s="75">
        <f>IF(Mitarbeiter!B70="","",Mitarbeiter!F70)</f>
        <v/>
      </c>
      <c r="D70" s="76">
        <f>N(INDEX(Krankheitstage!$G70:$DV70,1,(Einstellungen!$C$3-2026)*24+1))</f>
        <v/>
      </c>
      <c r="E70" s="76">
        <f>N(INDEX(Krankheitstage!$G70:$DV70,1,(Einstellungen!$C$3-2026)*24+2))</f>
        <v/>
      </c>
      <c r="F70" s="76">
        <f>N(INDEX(Krankheitstage!$G70:$DV70,1,(Einstellungen!$C$3-2026)*24+3))</f>
        <v/>
      </c>
      <c r="G70" s="76">
        <f>N(INDEX(Krankheitstage!$G70:$DV70,1,(Einstellungen!$C$3-2026)*24+4))</f>
        <v/>
      </c>
      <c r="H70" s="76">
        <f>N(INDEX(Krankheitstage!$G70:$DV70,1,(Einstellungen!$C$3-2026)*24+5))</f>
        <v/>
      </c>
      <c r="I70" s="76">
        <f>N(INDEX(Krankheitstage!$G70:$DV70,1,(Einstellungen!$C$3-2026)*24+6))</f>
        <v/>
      </c>
      <c r="J70" s="76">
        <f>N(INDEX(Krankheitstage!$G70:$DV70,1,(Einstellungen!$C$3-2026)*24+7))</f>
        <v/>
      </c>
      <c r="K70" s="76">
        <f>N(INDEX(Krankheitstage!$G70:$DV70,1,(Einstellungen!$C$3-2026)*24+8))</f>
        <v/>
      </c>
      <c r="L70" s="76">
        <f>N(INDEX(Krankheitstage!$G70:$DV70,1,(Einstellungen!$C$3-2026)*24+9))</f>
        <v/>
      </c>
      <c r="M70" s="76">
        <f>N(INDEX(Krankheitstage!$G70:$DV70,1,(Einstellungen!$C$3-2026)*24+10))</f>
        <v/>
      </c>
      <c r="N70" s="76">
        <f>N(INDEX(Krankheitstage!$G70:$DV70,1,(Einstellungen!$C$3-2026)*24+11))</f>
        <v/>
      </c>
      <c r="O70" s="76">
        <f>N(INDEX(Krankheitstage!$G70:$DV70,1,(Einstellungen!$C$3-2026)*24+12))</f>
        <v/>
      </c>
      <c r="P70" s="76">
        <f>IF($B70="","",SUM(D70:O70))</f>
        <v/>
      </c>
      <c r="Q70" s="76">
        <f>N(INDEX(Krankheitstage!$G70:$DV70,1,(Einstellungen!$C$3-2026)*24+13))</f>
        <v/>
      </c>
      <c r="R70" s="76">
        <f>N(INDEX(Krankheitstage!$G70:$DV70,1,(Einstellungen!$C$3-2026)*24+14))</f>
        <v/>
      </c>
      <c r="S70" s="76">
        <f>N(INDEX(Krankheitstage!$G70:$DV70,1,(Einstellungen!$C$3-2026)*24+15))</f>
        <v/>
      </c>
      <c r="T70" s="76">
        <f>N(INDEX(Krankheitstage!$G70:$DV70,1,(Einstellungen!$C$3-2026)*24+16))</f>
        <v/>
      </c>
      <c r="U70" s="76">
        <f>N(INDEX(Krankheitstage!$G70:$DV70,1,(Einstellungen!$C$3-2026)*24+17))</f>
        <v/>
      </c>
      <c r="V70" s="76">
        <f>N(INDEX(Krankheitstage!$G70:$DV70,1,(Einstellungen!$C$3-2026)*24+18))</f>
        <v/>
      </c>
      <c r="W70" s="76">
        <f>N(INDEX(Krankheitstage!$G70:$DV70,1,(Einstellungen!$C$3-2026)*24+19))</f>
        <v/>
      </c>
      <c r="X70" s="76">
        <f>N(INDEX(Krankheitstage!$G70:$DV70,1,(Einstellungen!$C$3-2026)*24+20))</f>
        <v/>
      </c>
      <c r="Y70" s="76">
        <f>N(INDEX(Krankheitstage!$G70:$DV70,1,(Einstellungen!$C$3-2026)*24+21))</f>
        <v/>
      </c>
      <c r="Z70" s="76">
        <f>N(INDEX(Krankheitstage!$G70:$DV70,1,(Einstellungen!$C$3-2026)*24+22))</f>
        <v/>
      </c>
      <c r="AA70" s="76">
        <f>N(INDEX(Krankheitstage!$G70:$DV70,1,(Einstellungen!$C$3-2026)*24+23))</f>
        <v/>
      </c>
      <c r="AB70" s="76">
        <f>N(INDEX(Krankheitstage!$G70:$DV70,1,(Einstellungen!$C$3-2026)*24+24))</f>
        <v/>
      </c>
      <c r="AC70" s="76">
        <f>IF($B70="","",SUM(Q70:AB70))</f>
        <v/>
      </c>
      <c r="AD70" s="76">
        <f>IF($B70="","",SUM(P70,AC70))</f>
        <v/>
      </c>
      <c r="AE70" s="77">
        <f>IF($B70="","",AD70*N(C70))</f>
        <v/>
      </c>
      <c r="AF70" s="76">
        <f>IF($B70="","",Krankheitstage!E70)</f>
        <v/>
      </c>
      <c r="AG70" s="77">
        <f>IF($B70="","",AF70*N(C70))</f>
        <v/>
      </c>
    </row>
    <row r="71">
      <c r="A71" s="74">
        <f>IF(Mitarbeiter!B71="","",Mitarbeiter!A71)</f>
        <v/>
      </c>
      <c r="B71" s="6">
        <f>IF(Mitarbeiter!B71="","",Mitarbeiter!B71)</f>
        <v/>
      </c>
      <c r="C71" s="75">
        <f>IF(Mitarbeiter!B71="","",Mitarbeiter!F71)</f>
        <v/>
      </c>
      <c r="D71" s="76">
        <f>N(INDEX(Krankheitstage!$G71:$DV71,1,(Einstellungen!$C$3-2026)*24+1))</f>
        <v/>
      </c>
      <c r="E71" s="76">
        <f>N(INDEX(Krankheitstage!$G71:$DV71,1,(Einstellungen!$C$3-2026)*24+2))</f>
        <v/>
      </c>
      <c r="F71" s="76">
        <f>N(INDEX(Krankheitstage!$G71:$DV71,1,(Einstellungen!$C$3-2026)*24+3))</f>
        <v/>
      </c>
      <c r="G71" s="76">
        <f>N(INDEX(Krankheitstage!$G71:$DV71,1,(Einstellungen!$C$3-2026)*24+4))</f>
        <v/>
      </c>
      <c r="H71" s="76">
        <f>N(INDEX(Krankheitstage!$G71:$DV71,1,(Einstellungen!$C$3-2026)*24+5))</f>
        <v/>
      </c>
      <c r="I71" s="76">
        <f>N(INDEX(Krankheitstage!$G71:$DV71,1,(Einstellungen!$C$3-2026)*24+6))</f>
        <v/>
      </c>
      <c r="J71" s="76">
        <f>N(INDEX(Krankheitstage!$G71:$DV71,1,(Einstellungen!$C$3-2026)*24+7))</f>
        <v/>
      </c>
      <c r="K71" s="76">
        <f>N(INDEX(Krankheitstage!$G71:$DV71,1,(Einstellungen!$C$3-2026)*24+8))</f>
        <v/>
      </c>
      <c r="L71" s="76">
        <f>N(INDEX(Krankheitstage!$G71:$DV71,1,(Einstellungen!$C$3-2026)*24+9))</f>
        <v/>
      </c>
      <c r="M71" s="76">
        <f>N(INDEX(Krankheitstage!$G71:$DV71,1,(Einstellungen!$C$3-2026)*24+10))</f>
        <v/>
      </c>
      <c r="N71" s="76">
        <f>N(INDEX(Krankheitstage!$G71:$DV71,1,(Einstellungen!$C$3-2026)*24+11))</f>
        <v/>
      </c>
      <c r="O71" s="76">
        <f>N(INDEX(Krankheitstage!$G71:$DV71,1,(Einstellungen!$C$3-2026)*24+12))</f>
        <v/>
      </c>
      <c r="P71" s="76">
        <f>IF($B71="","",SUM(D71:O71))</f>
        <v/>
      </c>
      <c r="Q71" s="76">
        <f>N(INDEX(Krankheitstage!$G71:$DV71,1,(Einstellungen!$C$3-2026)*24+13))</f>
        <v/>
      </c>
      <c r="R71" s="76">
        <f>N(INDEX(Krankheitstage!$G71:$DV71,1,(Einstellungen!$C$3-2026)*24+14))</f>
        <v/>
      </c>
      <c r="S71" s="76">
        <f>N(INDEX(Krankheitstage!$G71:$DV71,1,(Einstellungen!$C$3-2026)*24+15))</f>
        <v/>
      </c>
      <c r="T71" s="76">
        <f>N(INDEX(Krankheitstage!$G71:$DV71,1,(Einstellungen!$C$3-2026)*24+16))</f>
        <v/>
      </c>
      <c r="U71" s="76">
        <f>N(INDEX(Krankheitstage!$G71:$DV71,1,(Einstellungen!$C$3-2026)*24+17))</f>
        <v/>
      </c>
      <c r="V71" s="76">
        <f>N(INDEX(Krankheitstage!$G71:$DV71,1,(Einstellungen!$C$3-2026)*24+18))</f>
        <v/>
      </c>
      <c r="W71" s="76">
        <f>N(INDEX(Krankheitstage!$G71:$DV71,1,(Einstellungen!$C$3-2026)*24+19))</f>
        <v/>
      </c>
      <c r="X71" s="76">
        <f>N(INDEX(Krankheitstage!$G71:$DV71,1,(Einstellungen!$C$3-2026)*24+20))</f>
        <v/>
      </c>
      <c r="Y71" s="76">
        <f>N(INDEX(Krankheitstage!$G71:$DV71,1,(Einstellungen!$C$3-2026)*24+21))</f>
        <v/>
      </c>
      <c r="Z71" s="76">
        <f>N(INDEX(Krankheitstage!$G71:$DV71,1,(Einstellungen!$C$3-2026)*24+22))</f>
        <v/>
      </c>
      <c r="AA71" s="76">
        <f>N(INDEX(Krankheitstage!$G71:$DV71,1,(Einstellungen!$C$3-2026)*24+23))</f>
        <v/>
      </c>
      <c r="AB71" s="76">
        <f>N(INDEX(Krankheitstage!$G71:$DV71,1,(Einstellungen!$C$3-2026)*24+24))</f>
        <v/>
      </c>
      <c r="AC71" s="76">
        <f>IF($B71="","",SUM(Q71:AB71))</f>
        <v/>
      </c>
      <c r="AD71" s="76">
        <f>IF($B71="","",SUM(P71,AC71))</f>
        <v/>
      </c>
      <c r="AE71" s="77">
        <f>IF($B71="","",AD71*N(C71))</f>
        <v/>
      </c>
      <c r="AF71" s="76">
        <f>IF($B71="","",Krankheitstage!E71)</f>
        <v/>
      </c>
      <c r="AG71" s="77">
        <f>IF($B71="","",AF71*N(C71))</f>
        <v/>
      </c>
    </row>
    <row r="72">
      <c r="A72" s="74">
        <f>IF(Mitarbeiter!B72="","",Mitarbeiter!A72)</f>
        <v/>
      </c>
      <c r="B72" s="6">
        <f>IF(Mitarbeiter!B72="","",Mitarbeiter!B72)</f>
        <v/>
      </c>
      <c r="C72" s="75">
        <f>IF(Mitarbeiter!B72="","",Mitarbeiter!F72)</f>
        <v/>
      </c>
      <c r="D72" s="76">
        <f>N(INDEX(Krankheitstage!$G72:$DV72,1,(Einstellungen!$C$3-2026)*24+1))</f>
        <v/>
      </c>
      <c r="E72" s="76">
        <f>N(INDEX(Krankheitstage!$G72:$DV72,1,(Einstellungen!$C$3-2026)*24+2))</f>
        <v/>
      </c>
      <c r="F72" s="76">
        <f>N(INDEX(Krankheitstage!$G72:$DV72,1,(Einstellungen!$C$3-2026)*24+3))</f>
        <v/>
      </c>
      <c r="G72" s="76">
        <f>N(INDEX(Krankheitstage!$G72:$DV72,1,(Einstellungen!$C$3-2026)*24+4))</f>
        <v/>
      </c>
      <c r="H72" s="76">
        <f>N(INDEX(Krankheitstage!$G72:$DV72,1,(Einstellungen!$C$3-2026)*24+5))</f>
        <v/>
      </c>
      <c r="I72" s="76">
        <f>N(INDEX(Krankheitstage!$G72:$DV72,1,(Einstellungen!$C$3-2026)*24+6))</f>
        <v/>
      </c>
      <c r="J72" s="76">
        <f>N(INDEX(Krankheitstage!$G72:$DV72,1,(Einstellungen!$C$3-2026)*24+7))</f>
        <v/>
      </c>
      <c r="K72" s="76">
        <f>N(INDEX(Krankheitstage!$G72:$DV72,1,(Einstellungen!$C$3-2026)*24+8))</f>
        <v/>
      </c>
      <c r="L72" s="76">
        <f>N(INDEX(Krankheitstage!$G72:$DV72,1,(Einstellungen!$C$3-2026)*24+9))</f>
        <v/>
      </c>
      <c r="M72" s="76">
        <f>N(INDEX(Krankheitstage!$G72:$DV72,1,(Einstellungen!$C$3-2026)*24+10))</f>
        <v/>
      </c>
      <c r="N72" s="76">
        <f>N(INDEX(Krankheitstage!$G72:$DV72,1,(Einstellungen!$C$3-2026)*24+11))</f>
        <v/>
      </c>
      <c r="O72" s="76">
        <f>N(INDEX(Krankheitstage!$G72:$DV72,1,(Einstellungen!$C$3-2026)*24+12))</f>
        <v/>
      </c>
      <c r="P72" s="76">
        <f>IF($B72="","",SUM(D72:O72))</f>
        <v/>
      </c>
      <c r="Q72" s="76">
        <f>N(INDEX(Krankheitstage!$G72:$DV72,1,(Einstellungen!$C$3-2026)*24+13))</f>
        <v/>
      </c>
      <c r="R72" s="76">
        <f>N(INDEX(Krankheitstage!$G72:$DV72,1,(Einstellungen!$C$3-2026)*24+14))</f>
        <v/>
      </c>
      <c r="S72" s="76">
        <f>N(INDEX(Krankheitstage!$G72:$DV72,1,(Einstellungen!$C$3-2026)*24+15))</f>
        <v/>
      </c>
      <c r="T72" s="76">
        <f>N(INDEX(Krankheitstage!$G72:$DV72,1,(Einstellungen!$C$3-2026)*24+16))</f>
        <v/>
      </c>
      <c r="U72" s="76">
        <f>N(INDEX(Krankheitstage!$G72:$DV72,1,(Einstellungen!$C$3-2026)*24+17))</f>
        <v/>
      </c>
      <c r="V72" s="76">
        <f>N(INDEX(Krankheitstage!$G72:$DV72,1,(Einstellungen!$C$3-2026)*24+18))</f>
        <v/>
      </c>
      <c r="W72" s="76">
        <f>N(INDEX(Krankheitstage!$G72:$DV72,1,(Einstellungen!$C$3-2026)*24+19))</f>
        <v/>
      </c>
      <c r="X72" s="76">
        <f>N(INDEX(Krankheitstage!$G72:$DV72,1,(Einstellungen!$C$3-2026)*24+20))</f>
        <v/>
      </c>
      <c r="Y72" s="76">
        <f>N(INDEX(Krankheitstage!$G72:$DV72,1,(Einstellungen!$C$3-2026)*24+21))</f>
        <v/>
      </c>
      <c r="Z72" s="76">
        <f>N(INDEX(Krankheitstage!$G72:$DV72,1,(Einstellungen!$C$3-2026)*24+22))</f>
        <v/>
      </c>
      <c r="AA72" s="76">
        <f>N(INDEX(Krankheitstage!$G72:$DV72,1,(Einstellungen!$C$3-2026)*24+23))</f>
        <v/>
      </c>
      <c r="AB72" s="76">
        <f>N(INDEX(Krankheitstage!$G72:$DV72,1,(Einstellungen!$C$3-2026)*24+24))</f>
        <v/>
      </c>
      <c r="AC72" s="76">
        <f>IF($B72="","",SUM(Q72:AB72))</f>
        <v/>
      </c>
      <c r="AD72" s="76">
        <f>IF($B72="","",SUM(P72,AC72))</f>
        <v/>
      </c>
      <c r="AE72" s="77">
        <f>IF($B72="","",AD72*N(C72))</f>
        <v/>
      </c>
      <c r="AF72" s="76">
        <f>IF($B72="","",Krankheitstage!E72)</f>
        <v/>
      </c>
      <c r="AG72" s="77">
        <f>IF($B72="","",AF72*N(C72))</f>
        <v/>
      </c>
    </row>
    <row r="73">
      <c r="A73" s="74">
        <f>IF(Mitarbeiter!B73="","",Mitarbeiter!A73)</f>
        <v/>
      </c>
      <c r="B73" s="6">
        <f>IF(Mitarbeiter!B73="","",Mitarbeiter!B73)</f>
        <v/>
      </c>
      <c r="C73" s="75">
        <f>IF(Mitarbeiter!B73="","",Mitarbeiter!F73)</f>
        <v/>
      </c>
      <c r="D73" s="76">
        <f>N(INDEX(Krankheitstage!$G73:$DV73,1,(Einstellungen!$C$3-2026)*24+1))</f>
        <v/>
      </c>
      <c r="E73" s="76">
        <f>N(INDEX(Krankheitstage!$G73:$DV73,1,(Einstellungen!$C$3-2026)*24+2))</f>
        <v/>
      </c>
      <c r="F73" s="76">
        <f>N(INDEX(Krankheitstage!$G73:$DV73,1,(Einstellungen!$C$3-2026)*24+3))</f>
        <v/>
      </c>
      <c r="G73" s="76">
        <f>N(INDEX(Krankheitstage!$G73:$DV73,1,(Einstellungen!$C$3-2026)*24+4))</f>
        <v/>
      </c>
      <c r="H73" s="76">
        <f>N(INDEX(Krankheitstage!$G73:$DV73,1,(Einstellungen!$C$3-2026)*24+5))</f>
        <v/>
      </c>
      <c r="I73" s="76">
        <f>N(INDEX(Krankheitstage!$G73:$DV73,1,(Einstellungen!$C$3-2026)*24+6))</f>
        <v/>
      </c>
      <c r="J73" s="76">
        <f>N(INDEX(Krankheitstage!$G73:$DV73,1,(Einstellungen!$C$3-2026)*24+7))</f>
        <v/>
      </c>
      <c r="K73" s="76">
        <f>N(INDEX(Krankheitstage!$G73:$DV73,1,(Einstellungen!$C$3-2026)*24+8))</f>
        <v/>
      </c>
      <c r="L73" s="76">
        <f>N(INDEX(Krankheitstage!$G73:$DV73,1,(Einstellungen!$C$3-2026)*24+9))</f>
        <v/>
      </c>
      <c r="M73" s="76">
        <f>N(INDEX(Krankheitstage!$G73:$DV73,1,(Einstellungen!$C$3-2026)*24+10))</f>
        <v/>
      </c>
      <c r="N73" s="76">
        <f>N(INDEX(Krankheitstage!$G73:$DV73,1,(Einstellungen!$C$3-2026)*24+11))</f>
        <v/>
      </c>
      <c r="O73" s="76">
        <f>N(INDEX(Krankheitstage!$G73:$DV73,1,(Einstellungen!$C$3-2026)*24+12))</f>
        <v/>
      </c>
      <c r="P73" s="76">
        <f>IF($B73="","",SUM(D73:O73))</f>
        <v/>
      </c>
      <c r="Q73" s="76">
        <f>N(INDEX(Krankheitstage!$G73:$DV73,1,(Einstellungen!$C$3-2026)*24+13))</f>
        <v/>
      </c>
      <c r="R73" s="76">
        <f>N(INDEX(Krankheitstage!$G73:$DV73,1,(Einstellungen!$C$3-2026)*24+14))</f>
        <v/>
      </c>
      <c r="S73" s="76">
        <f>N(INDEX(Krankheitstage!$G73:$DV73,1,(Einstellungen!$C$3-2026)*24+15))</f>
        <v/>
      </c>
      <c r="T73" s="76">
        <f>N(INDEX(Krankheitstage!$G73:$DV73,1,(Einstellungen!$C$3-2026)*24+16))</f>
        <v/>
      </c>
      <c r="U73" s="76">
        <f>N(INDEX(Krankheitstage!$G73:$DV73,1,(Einstellungen!$C$3-2026)*24+17))</f>
        <v/>
      </c>
      <c r="V73" s="76">
        <f>N(INDEX(Krankheitstage!$G73:$DV73,1,(Einstellungen!$C$3-2026)*24+18))</f>
        <v/>
      </c>
      <c r="W73" s="76">
        <f>N(INDEX(Krankheitstage!$G73:$DV73,1,(Einstellungen!$C$3-2026)*24+19))</f>
        <v/>
      </c>
      <c r="X73" s="76">
        <f>N(INDEX(Krankheitstage!$G73:$DV73,1,(Einstellungen!$C$3-2026)*24+20))</f>
        <v/>
      </c>
      <c r="Y73" s="76">
        <f>N(INDEX(Krankheitstage!$G73:$DV73,1,(Einstellungen!$C$3-2026)*24+21))</f>
        <v/>
      </c>
      <c r="Z73" s="76">
        <f>N(INDEX(Krankheitstage!$G73:$DV73,1,(Einstellungen!$C$3-2026)*24+22))</f>
        <v/>
      </c>
      <c r="AA73" s="76">
        <f>N(INDEX(Krankheitstage!$G73:$DV73,1,(Einstellungen!$C$3-2026)*24+23))</f>
        <v/>
      </c>
      <c r="AB73" s="76">
        <f>N(INDEX(Krankheitstage!$G73:$DV73,1,(Einstellungen!$C$3-2026)*24+24))</f>
        <v/>
      </c>
      <c r="AC73" s="76">
        <f>IF($B73="","",SUM(Q73:AB73))</f>
        <v/>
      </c>
      <c r="AD73" s="76">
        <f>IF($B73="","",SUM(P73,AC73))</f>
        <v/>
      </c>
      <c r="AE73" s="77">
        <f>IF($B73="","",AD73*N(C73))</f>
        <v/>
      </c>
      <c r="AF73" s="76">
        <f>IF($B73="","",Krankheitstage!E73)</f>
        <v/>
      </c>
      <c r="AG73" s="77">
        <f>IF($B73="","",AF73*N(C73))</f>
        <v/>
      </c>
    </row>
    <row r="74">
      <c r="A74" s="74">
        <f>IF(Mitarbeiter!B74="","",Mitarbeiter!A74)</f>
        <v/>
      </c>
      <c r="B74" s="6">
        <f>IF(Mitarbeiter!B74="","",Mitarbeiter!B74)</f>
        <v/>
      </c>
      <c r="C74" s="75">
        <f>IF(Mitarbeiter!B74="","",Mitarbeiter!F74)</f>
        <v/>
      </c>
      <c r="D74" s="76">
        <f>N(INDEX(Krankheitstage!$G74:$DV74,1,(Einstellungen!$C$3-2026)*24+1))</f>
        <v/>
      </c>
      <c r="E74" s="76">
        <f>N(INDEX(Krankheitstage!$G74:$DV74,1,(Einstellungen!$C$3-2026)*24+2))</f>
        <v/>
      </c>
      <c r="F74" s="76">
        <f>N(INDEX(Krankheitstage!$G74:$DV74,1,(Einstellungen!$C$3-2026)*24+3))</f>
        <v/>
      </c>
      <c r="G74" s="76">
        <f>N(INDEX(Krankheitstage!$G74:$DV74,1,(Einstellungen!$C$3-2026)*24+4))</f>
        <v/>
      </c>
      <c r="H74" s="76">
        <f>N(INDEX(Krankheitstage!$G74:$DV74,1,(Einstellungen!$C$3-2026)*24+5))</f>
        <v/>
      </c>
      <c r="I74" s="76">
        <f>N(INDEX(Krankheitstage!$G74:$DV74,1,(Einstellungen!$C$3-2026)*24+6))</f>
        <v/>
      </c>
      <c r="J74" s="76">
        <f>N(INDEX(Krankheitstage!$G74:$DV74,1,(Einstellungen!$C$3-2026)*24+7))</f>
        <v/>
      </c>
      <c r="K74" s="76">
        <f>N(INDEX(Krankheitstage!$G74:$DV74,1,(Einstellungen!$C$3-2026)*24+8))</f>
        <v/>
      </c>
      <c r="L74" s="76">
        <f>N(INDEX(Krankheitstage!$G74:$DV74,1,(Einstellungen!$C$3-2026)*24+9))</f>
        <v/>
      </c>
      <c r="M74" s="76">
        <f>N(INDEX(Krankheitstage!$G74:$DV74,1,(Einstellungen!$C$3-2026)*24+10))</f>
        <v/>
      </c>
      <c r="N74" s="76">
        <f>N(INDEX(Krankheitstage!$G74:$DV74,1,(Einstellungen!$C$3-2026)*24+11))</f>
        <v/>
      </c>
      <c r="O74" s="76">
        <f>N(INDEX(Krankheitstage!$G74:$DV74,1,(Einstellungen!$C$3-2026)*24+12))</f>
        <v/>
      </c>
      <c r="P74" s="76">
        <f>IF($B74="","",SUM(D74:O74))</f>
        <v/>
      </c>
      <c r="Q74" s="76">
        <f>N(INDEX(Krankheitstage!$G74:$DV74,1,(Einstellungen!$C$3-2026)*24+13))</f>
        <v/>
      </c>
      <c r="R74" s="76">
        <f>N(INDEX(Krankheitstage!$G74:$DV74,1,(Einstellungen!$C$3-2026)*24+14))</f>
        <v/>
      </c>
      <c r="S74" s="76">
        <f>N(INDEX(Krankheitstage!$G74:$DV74,1,(Einstellungen!$C$3-2026)*24+15))</f>
        <v/>
      </c>
      <c r="T74" s="76">
        <f>N(INDEX(Krankheitstage!$G74:$DV74,1,(Einstellungen!$C$3-2026)*24+16))</f>
        <v/>
      </c>
      <c r="U74" s="76">
        <f>N(INDEX(Krankheitstage!$G74:$DV74,1,(Einstellungen!$C$3-2026)*24+17))</f>
        <v/>
      </c>
      <c r="V74" s="76">
        <f>N(INDEX(Krankheitstage!$G74:$DV74,1,(Einstellungen!$C$3-2026)*24+18))</f>
        <v/>
      </c>
      <c r="W74" s="76">
        <f>N(INDEX(Krankheitstage!$G74:$DV74,1,(Einstellungen!$C$3-2026)*24+19))</f>
        <v/>
      </c>
      <c r="X74" s="76">
        <f>N(INDEX(Krankheitstage!$G74:$DV74,1,(Einstellungen!$C$3-2026)*24+20))</f>
        <v/>
      </c>
      <c r="Y74" s="76">
        <f>N(INDEX(Krankheitstage!$G74:$DV74,1,(Einstellungen!$C$3-2026)*24+21))</f>
        <v/>
      </c>
      <c r="Z74" s="76">
        <f>N(INDEX(Krankheitstage!$G74:$DV74,1,(Einstellungen!$C$3-2026)*24+22))</f>
        <v/>
      </c>
      <c r="AA74" s="76">
        <f>N(INDEX(Krankheitstage!$G74:$DV74,1,(Einstellungen!$C$3-2026)*24+23))</f>
        <v/>
      </c>
      <c r="AB74" s="76">
        <f>N(INDEX(Krankheitstage!$G74:$DV74,1,(Einstellungen!$C$3-2026)*24+24))</f>
        <v/>
      </c>
      <c r="AC74" s="76">
        <f>IF($B74="","",SUM(Q74:AB74))</f>
        <v/>
      </c>
      <c r="AD74" s="76">
        <f>IF($B74="","",SUM(P74,AC74))</f>
        <v/>
      </c>
      <c r="AE74" s="77">
        <f>IF($B74="","",AD74*N(C74))</f>
        <v/>
      </c>
      <c r="AF74" s="76">
        <f>IF($B74="","",Krankheitstage!E74)</f>
        <v/>
      </c>
      <c r="AG74" s="77">
        <f>IF($B74="","",AF74*N(C74))</f>
        <v/>
      </c>
    </row>
    <row r="75">
      <c r="A75" s="74">
        <f>IF(Mitarbeiter!B75="","",Mitarbeiter!A75)</f>
        <v/>
      </c>
      <c r="B75" s="6">
        <f>IF(Mitarbeiter!B75="","",Mitarbeiter!B75)</f>
        <v/>
      </c>
      <c r="C75" s="75">
        <f>IF(Mitarbeiter!B75="","",Mitarbeiter!F75)</f>
        <v/>
      </c>
      <c r="D75" s="76">
        <f>N(INDEX(Krankheitstage!$G75:$DV75,1,(Einstellungen!$C$3-2026)*24+1))</f>
        <v/>
      </c>
      <c r="E75" s="76">
        <f>N(INDEX(Krankheitstage!$G75:$DV75,1,(Einstellungen!$C$3-2026)*24+2))</f>
        <v/>
      </c>
      <c r="F75" s="76">
        <f>N(INDEX(Krankheitstage!$G75:$DV75,1,(Einstellungen!$C$3-2026)*24+3))</f>
        <v/>
      </c>
      <c r="G75" s="76">
        <f>N(INDEX(Krankheitstage!$G75:$DV75,1,(Einstellungen!$C$3-2026)*24+4))</f>
        <v/>
      </c>
      <c r="H75" s="76">
        <f>N(INDEX(Krankheitstage!$G75:$DV75,1,(Einstellungen!$C$3-2026)*24+5))</f>
        <v/>
      </c>
      <c r="I75" s="76">
        <f>N(INDEX(Krankheitstage!$G75:$DV75,1,(Einstellungen!$C$3-2026)*24+6))</f>
        <v/>
      </c>
      <c r="J75" s="76">
        <f>N(INDEX(Krankheitstage!$G75:$DV75,1,(Einstellungen!$C$3-2026)*24+7))</f>
        <v/>
      </c>
      <c r="K75" s="76">
        <f>N(INDEX(Krankheitstage!$G75:$DV75,1,(Einstellungen!$C$3-2026)*24+8))</f>
        <v/>
      </c>
      <c r="L75" s="76">
        <f>N(INDEX(Krankheitstage!$G75:$DV75,1,(Einstellungen!$C$3-2026)*24+9))</f>
        <v/>
      </c>
      <c r="M75" s="76">
        <f>N(INDEX(Krankheitstage!$G75:$DV75,1,(Einstellungen!$C$3-2026)*24+10))</f>
        <v/>
      </c>
      <c r="N75" s="76">
        <f>N(INDEX(Krankheitstage!$G75:$DV75,1,(Einstellungen!$C$3-2026)*24+11))</f>
        <v/>
      </c>
      <c r="O75" s="76">
        <f>N(INDEX(Krankheitstage!$G75:$DV75,1,(Einstellungen!$C$3-2026)*24+12))</f>
        <v/>
      </c>
      <c r="P75" s="76">
        <f>IF($B75="","",SUM(D75:O75))</f>
        <v/>
      </c>
      <c r="Q75" s="76">
        <f>N(INDEX(Krankheitstage!$G75:$DV75,1,(Einstellungen!$C$3-2026)*24+13))</f>
        <v/>
      </c>
      <c r="R75" s="76">
        <f>N(INDEX(Krankheitstage!$G75:$DV75,1,(Einstellungen!$C$3-2026)*24+14))</f>
        <v/>
      </c>
      <c r="S75" s="76">
        <f>N(INDEX(Krankheitstage!$G75:$DV75,1,(Einstellungen!$C$3-2026)*24+15))</f>
        <v/>
      </c>
      <c r="T75" s="76">
        <f>N(INDEX(Krankheitstage!$G75:$DV75,1,(Einstellungen!$C$3-2026)*24+16))</f>
        <v/>
      </c>
      <c r="U75" s="76">
        <f>N(INDEX(Krankheitstage!$G75:$DV75,1,(Einstellungen!$C$3-2026)*24+17))</f>
        <v/>
      </c>
      <c r="V75" s="76">
        <f>N(INDEX(Krankheitstage!$G75:$DV75,1,(Einstellungen!$C$3-2026)*24+18))</f>
        <v/>
      </c>
      <c r="W75" s="76">
        <f>N(INDEX(Krankheitstage!$G75:$DV75,1,(Einstellungen!$C$3-2026)*24+19))</f>
        <v/>
      </c>
      <c r="X75" s="76">
        <f>N(INDEX(Krankheitstage!$G75:$DV75,1,(Einstellungen!$C$3-2026)*24+20))</f>
        <v/>
      </c>
      <c r="Y75" s="76">
        <f>N(INDEX(Krankheitstage!$G75:$DV75,1,(Einstellungen!$C$3-2026)*24+21))</f>
        <v/>
      </c>
      <c r="Z75" s="76">
        <f>N(INDEX(Krankheitstage!$G75:$DV75,1,(Einstellungen!$C$3-2026)*24+22))</f>
        <v/>
      </c>
      <c r="AA75" s="76">
        <f>N(INDEX(Krankheitstage!$G75:$DV75,1,(Einstellungen!$C$3-2026)*24+23))</f>
        <v/>
      </c>
      <c r="AB75" s="76">
        <f>N(INDEX(Krankheitstage!$G75:$DV75,1,(Einstellungen!$C$3-2026)*24+24))</f>
        <v/>
      </c>
      <c r="AC75" s="76">
        <f>IF($B75="","",SUM(Q75:AB75))</f>
        <v/>
      </c>
      <c r="AD75" s="76">
        <f>IF($B75="","",SUM(P75,AC75))</f>
        <v/>
      </c>
      <c r="AE75" s="77">
        <f>IF($B75="","",AD75*N(C75))</f>
        <v/>
      </c>
      <c r="AF75" s="76">
        <f>IF($B75="","",Krankheitstage!E75)</f>
        <v/>
      </c>
      <c r="AG75" s="77">
        <f>IF($B75="","",AF75*N(C75))</f>
        <v/>
      </c>
    </row>
    <row r="76">
      <c r="A76" s="74">
        <f>IF(Mitarbeiter!B76="","",Mitarbeiter!A76)</f>
        <v/>
      </c>
      <c r="B76" s="6">
        <f>IF(Mitarbeiter!B76="","",Mitarbeiter!B76)</f>
        <v/>
      </c>
      <c r="C76" s="75">
        <f>IF(Mitarbeiter!B76="","",Mitarbeiter!F76)</f>
        <v/>
      </c>
      <c r="D76" s="76">
        <f>N(INDEX(Krankheitstage!$G76:$DV76,1,(Einstellungen!$C$3-2026)*24+1))</f>
        <v/>
      </c>
      <c r="E76" s="76">
        <f>N(INDEX(Krankheitstage!$G76:$DV76,1,(Einstellungen!$C$3-2026)*24+2))</f>
        <v/>
      </c>
      <c r="F76" s="76">
        <f>N(INDEX(Krankheitstage!$G76:$DV76,1,(Einstellungen!$C$3-2026)*24+3))</f>
        <v/>
      </c>
      <c r="G76" s="76">
        <f>N(INDEX(Krankheitstage!$G76:$DV76,1,(Einstellungen!$C$3-2026)*24+4))</f>
        <v/>
      </c>
      <c r="H76" s="76">
        <f>N(INDEX(Krankheitstage!$G76:$DV76,1,(Einstellungen!$C$3-2026)*24+5))</f>
        <v/>
      </c>
      <c r="I76" s="76">
        <f>N(INDEX(Krankheitstage!$G76:$DV76,1,(Einstellungen!$C$3-2026)*24+6))</f>
        <v/>
      </c>
      <c r="J76" s="76">
        <f>N(INDEX(Krankheitstage!$G76:$DV76,1,(Einstellungen!$C$3-2026)*24+7))</f>
        <v/>
      </c>
      <c r="K76" s="76">
        <f>N(INDEX(Krankheitstage!$G76:$DV76,1,(Einstellungen!$C$3-2026)*24+8))</f>
        <v/>
      </c>
      <c r="L76" s="76">
        <f>N(INDEX(Krankheitstage!$G76:$DV76,1,(Einstellungen!$C$3-2026)*24+9))</f>
        <v/>
      </c>
      <c r="M76" s="76">
        <f>N(INDEX(Krankheitstage!$G76:$DV76,1,(Einstellungen!$C$3-2026)*24+10))</f>
        <v/>
      </c>
      <c r="N76" s="76">
        <f>N(INDEX(Krankheitstage!$G76:$DV76,1,(Einstellungen!$C$3-2026)*24+11))</f>
        <v/>
      </c>
      <c r="O76" s="76">
        <f>N(INDEX(Krankheitstage!$G76:$DV76,1,(Einstellungen!$C$3-2026)*24+12))</f>
        <v/>
      </c>
      <c r="P76" s="76">
        <f>IF($B76="","",SUM(D76:O76))</f>
        <v/>
      </c>
      <c r="Q76" s="76">
        <f>N(INDEX(Krankheitstage!$G76:$DV76,1,(Einstellungen!$C$3-2026)*24+13))</f>
        <v/>
      </c>
      <c r="R76" s="76">
        <f>N(INDEX(Krankheitstage!$G76:$DV76,1,(Einstellungen!$C$3-2026)*24+14))</f>
        <v/>
      </c>
      <c r="S76" s="76">
        <f>N(INDEX(Krankheitstage!$G76:$DV76,1,(Einstellungen!$C$3-2026)*24+15))</f>
        <v/>
      </c>
      <c r="T76" s="76">
        <f>N(INDEX(Krankheitstage!$G76:$DV76,1,(Einstellungen!$C$3-2026)*24+16))</f>
        <v/>
      </c>
      <c r="U76" s="76">
        <f>N(INDEX(Krankheitstage!$G76:$DV76,1,(Einstellungen!$C$3-2026)*24+17))</f>
        <v/>
      </c>
      <c r="V76" s="76">
        <f>N(INDEX(Krankheitstage!$G76:$DV76,1,(Einstellungen!$C$3-2026)*24+18))</f>
        <v/>
      </c>
      <c r="W76" s="76">
        <f>N(INDEX(Krankheitstage!$G76:$DV76,1,(Einstellungen!$C$3-2026)*24+19))</f>
        <v/>
      </c>
      <c r="X76" s="76">
        <f>N(INDEX(Krankheitstage!$G76:$DV76,1,(Einstellungen!$C$3-2026)*24+20))</f>
        <v/>
      </c>
      <c r="Y76" s="76">
        <f>N(INDEX(Krankheitstage!$G76:$DV76,1,(Einstellungen!$C$3-2026)*24+21))</f>
        <v/>
      </c>
      <c r="Z76" s="76">
        <f>N(INDEX(Krankheitstage!$G76:$DV76,1,(Einstellungen!$C$3-2026)*24+22))</f>
        <v/>
      </c>
      <c r="AA76" s="76">
        <f>N(INDEX(Krankheitstage!$G76:$DV76,1,(Einstellungen!$C$3-2026)*24+23))</f>
        <v/>
      </c>
      <c r="AB76" s="76">
        <f>N(INDEX(Krankheitstage!$G76:$DV76,1,(Einstellungen!$C$3-2026)*24+24))</f>
        <v/>
      </c>
      <c r="AC76" s="76">
        <f>IF($B76="","",SUM(Q76:AB76))</f>
        <v/>
      </c>
      <c r="AD76" s="76">
        <f>IF($B76="","",SUM(P76,AC76))</f>
        <v/>
      </c>
      <c r="AE76" s="77">
        <f>IF($B76="","",AD76*N(C76))</f>
        <v/>
      </c>
      <c r="AF76" s="76">
        <f>IF($B76="","",Krankheitstage!E76)</f>
        <v/>
      </c>
      <c r="AG76" s="77">
        <f>IF($B76="","",AF76*N(C76))</f>
        <v/>
      </c>
    </row>
    <row r="77">
      <c r="A77" s="74">
        <f>IF(Mitarbeiter!B77="","",Mitarbeiter!A77)</f>
        <v/>
      </c>
      <c r="B77" s="6">
        <f>IF(Mitarbeiter!B77="","",Mitarbeiter!B77)</f>
        <v/>
      </c>
      <c r="C77" s="75">
        <f>IF(Mitarbeiter!B77="","",Mitarbeiter!F77)</f>
        <v/>
      </c>
      <c r="D77" s="76">
        <f>N(INDEX(Krankheitstage!$G77:$DV77,1,(Einstellungen!$C$3-2026)*24+1))</f>
        <v/>
      </c>
      <c r="E77" s="76">
        <f>N(INDEX(Krankheitstage!$G77:$DV77,1,(Einstellungen!$C$3-2026)*24+2))</f>
        <v/>
      </c>
      <c r="F77" s="76">
        <f>N(INDEX(Krankheitstage!$G77:$DV77,1,(Einstellungen!$C$3-2026)*24+3))</f>
        <v/>
      </c>
      <c r="G77" s="76">
        <f>N(INDEX(Krankheitstage!$G77:$DV77,1,(Einstellungen!$C$3-2026)*24+4))</f>
        <v/>
      </c>
      <c r="H77" s="76">
        <f>N(INDEX(Krankheitstage!$G77:$DV77,1,(Einstellungen!$C$3-2026)*24+5))</f>
        <v/>
      </c>
      <c r="I77" s="76">
        <f>N(INDEX(Krankheitstage!$G77:$DV77,1,(Einstellungen!$C$3-2026)*24+6))</f>
        <v/>
      </c>
      <c r="J77" s="76">
        <f>N(INDEX(Krankheitstage!$G77:$DV77,1,(Einstellungen!$C$3-2026)*24+7))</f>
        <v/>
      </c>
      <c r="K77" s="76">
        <f>N(INDEX(Krankheitstage!$G77:$DV77,1,(Einstellungen!$C$3-2026)*24+8))</f>
        <v/>
      </c>
      <c r="L77" s="76">
        <f>N(INDEX(Krankheitstage!$G77:$DV77,1,(Einstellungen!$C$3-2026)*24+9))</f>
        <v/>
      </c>
      <c r="M77" s="76">
        <f>N(INDEX(Krankheitstage!$G77:$DV77,1,(Einstellungen!$C$3-2026)*24+10))</f>
        <v/>
      </c>
      <c r="N77" s="76">
        <f>N(INDEX(Krankheitstage!$G77:$DV77,1,(Einstellungen!$C$3-2026)*24+11))</f>
        <v/>
      </c>
      <c r="O77" s="76">
        <f>N(INDEX(Krankheitstage!$G77:$DV77,1,(Einstellungen!$C$3-2026)*24+12))</f>
        <v/>
      </c>
      <c r="P77" s="76">
        <f>IF($B77="","",SUM(D77:O77))</f>
        <v/>
      </c>
      <c r="Q77" s="76">
        <f>N(INDEX(Krankheitstage!$G77:$DV77,1,(Einstellungen!$C$3-2026)*24+13))</f>
        <v/>
      </c>
      <c r="R77" s="76">
        <f>N(INDEX(Krankheitstage!$G77:$DV77,1,(Einstellungen!$C$3-2026)*24+14))</f>
        <v/>
      </c>
      <c r="S77" s="76">
        <f>N(INDEX(Krankheitstage!$G77:$DV77,1,(Einstellungen!$C$3-2026)*24+15))</f>
        <v/>
      </c>
      <c r="T77" s="76">
        <f>N(INDEX(Krankheitstage!$G77:$DV77,1,(Einstellungen!$C$3-2026)*24+16))</f>
        <v/>
      </c>
      <c r="U77" s="76">
        <f>N(INDEX(Krankheitstage!$G77:$DV77,1,(Einstellungen!$C$3-2026)*24+17))</f>
        <v/>
      </c>
      <c r="V77" s="76">
        <f>N(INDEX(Krankheitstage!$G77:$DV77,1,(Einstellungen!$C$3-2026)*24+18))</f>
        <v/>
      </c>
      <c r="W77" s="76">
        <f>N(INDEX(Krankheitstage!$G77:$DV77,1,(Einstellungen!$C$3-2026)*24+19))</f>
        <v/>
      </c>
      <c r="X77" s="76">
        <f>N(INDEX(Krankheitstage!$G77:$DV77,1,(Einstellungen!$C$3-2026)*24+20))</f>
        <v/>
      </c>
      <c r="Y77" s="76">
        <f>N(INDEX(Krankheitstage!$G77:$DV77,1,(Einstellungen!$C$3-2026)*24+21))</f>
        <v/>
      </c>
      <c r="Z77" s="76">
        <f>N(INDEX(Krankheitstage!$G77:$DV77,1,(Einstellungen!$C$3-2026)*24+22))</f>
        <v/>
      </c>
      <c r="AA77" s="76">
        <f>N(INDEX(Krankheitstage!$G77:$DV77,1,(Einstellungen!$C$3-2026)*24+23))</f>
        <v/>
      </c>
      <c r="AB77" s="76">
        <f>N(INDEX(Krankheitstage!$G77:$DV77,1,(Einstellungen!$C$3-2026)*24+24))</f>
        <v/>
      </c>
      <c r="AC77" s="76">
        <f>IF($B77="","",SUM(Q77:AB77))</f>
        <v/>
      </c>
      <c r="AD77" s="76">
        <f>IF($B77="","",SUM(P77,AC77))</f>
        <v/>
      </c>
      <c r="AE77" s="77">
        <f>IF($B77="","",AD77*N(C77))</f>
        <v/>
      </c>
      <c r="AF77" s="76">
        <f>IF($B77="","",Krankheitstage!E77)</f>
        <v/>
      </c>
      <c r="AG77" s="77">
        <f>IF($B77="","",AF77*N(C77))</f>
        <v/>
      </c>
    </row>
    <row r="78">
      <c r="A78" s="74">
        <f>IF(Mitarbeiter!B78="","",Mitarbeiter!A78)</f>
        <v/>
      </c>
      <c r="B78" s="6">
        <f>IF(Mitarbeiter!B78="","",Mitarbeiter!B78)</f>
        <v/>
      </c>
      <c r="C78" s="75">
        <f>IF(Mitarbeiter!B78="","",Mitarbeiter!F78)</f>
        <v/>
      </c>
      <c r="D78" s="76">
        <f>N(INDEX(Krankheitstage!$G78:$DV78,1,(Einstellungen!$C$3-2026)*24+1))</f>
        <v/>
      </c>
      <c r="E78" s="76">
        <f>N(INDEX(Krankheitstage!$G78:$DV78,1,(Einstellungen!$C$3-2026)*24+2))</f>
        <v/>
      </c>
      <c r="F78" s="76">
        <f>N(INDEX(Krankheitstage!$G78:$DV78,1,(Einstellungen!$C$3-2026)*24+3))</f>
        <v/>
      </c>
      <c r="G78" s="76">
        <f>N(INDEX(Krankheitstage!$G78:$DV78,1,(Einstellungen!$C$3-2026)*24+4))</f>
        <v/>
      </c>
      <c r="H78" s="76">
        <f>N(INDEX(Krankheitstage!$G78:$DV78,1,(Einstellungen!$C$3-2026)*24+5))</f>
        <v/>
      </c>
      <c r="I78" s="76">
        <f>N(INDEX(Krankheitstage!$G78:$DV78,1,(Einstellungen!$C$3-2026)*24+6))</f>
        <v/>
      </c>
      <c r="J78" s="76">
        <f>N(INDEX(Krankheitstage!$G78:$DV78,1,(Einstellungen!$C$3-2026)*24+7))</f>
        <v/>
      </c>
      <c r="K78" s="76">
        <f>N(INDEX(Krankheitstage!$G78:$DV78,1,(Einstellungen!$C$3-2026)*24+8))</f>
        <v/>
      </c>
      <c r="L78" s="76">
        <f>N(INDEX(Krankheitstage!$G78:$DV78,1,(Einstellungen!$C$3-2026)*24+9))</f>
        <v/>
      </c>
      <c r="M78" s="76">
        <f>N(INDEX(Krankheitstage!$G78:$DV78,1,(Einstellungen!$C$3-2026)*24+10))</f>
        <v/>
      </c>
      <c r="N78" s="76">
        <f>N(INDEX(Krankheitstage!$G78:$DV78,1,(Einstellungen!$C$3-2026)*24+11))</f>
        <v/>
      </c>
      <c r="O78" s="76">
        <f>N(INDEX(Krankheitstage!$G78:$DV78,1,(Einstellungen!$C$3-2026)*24+12))</f>
        <v/>
      </c>
      <c r="P78" s="76">
        <f>IF($B78="","",SUM(D78:O78))</f>
        <v/>
      </c>
      <c r="Q78" s="76">
        <f>N(INDEX(Krankheitstage!$G78:$DV78,1,(Einstellungen!$C$3-2026)*24+13))</f>
        <v/>
      </c>
      <c r="R78" s="76">
        <f>N(INDEX(Krankheitstage!$G78:$DV78,1,(Einstellungen!$C$3-2026)*24+14))</f>
        <v/>
      </c>
      <c r="S78" s="76">
        <f>N(INDEX(Krankheitstage!$G78:$DV78,1,(Einstellungen!$C$3-2026)*24+15))</f>
        <v/>
      </c>
      <c r="T78" s="76">
        <f>N(INDEX(Krankheitstage!$G78:$DV78,1,(Einstellungen!$C$3-2026)*24+16))</f>
        <v/>
      </c>
      <c r="U78" s="76">
        <f>N(INDEX(Krankheitstage!$G78:$DV78,1,(Einstellungen!$C$3-2026)*24+17))</f>
        <v/>
      </c>
      <c r="V78" s="76">
        <f>N(INDEX(Krankheitstage!$G78:$DV78,1,(Einstellungen!$C$3-2026)*24+18))</f>
        <v/>
      </c>
      <c r="W78" s="76">
        <f>N(INDEX(Krankheitstage!$G78:$DV78,1,(Einstellungen!$C$3-2026)*24+19))</f>
        <v/>
      </c>
      <c r="X78" s="76">
        <f>N(INDEX(Krankheitstage!$G78:$DV78,1,(Einstellungen!$C$3-2026)*24+20))</f>
        <v/>
      </c>
      <c r="Y78" s="76">
        <f>N(INDEX(Krankheitstage!$G78:$DV78,1,(Einstellungen!$C$3-2026)*24+21))</f>
        <v/>
      </c>
      <c r="Z78" s="76">
        <f>N(INDEX(Krankheitstage!$G78:$DV78,1,(Einstellungen!$C$3-2026)*24+22))</f>
        <v/>
      </c>
      <c r="AA78" s="76">
        <f>N(INDEX(Krankheitstage!$G78:$DV78,1,(Einstellungen!$C$3-2026)*24+23))</f>
        <v/>
      </c>
      <c r="AB78" s="76">
        <f>N(INDEX(Krankheitstage!$G78:$DV78,1,(Einstellungen!$C$3-2026)*24+24))</f>
        <v/>
      </c>
      <c r="AC78" s="76">
        <f>IF($B78="","",SUM(Q78:AB78))</f>
        <v/>
      </c>
      <c r="AD78" s="76">
        <f>IF($B78="","",SUM(P78,AC78))</f>
        <v/>
      </c>
      <c r="AE78" s="77">
        <f>IF($B78="","",AD78*N(C78))</f>
        <v/>
      </c>
      <c r="AF78" s="76">
        <f>IF($B78="","",Krankheitstage!E78)</f>
        <v/>
      </c>
      <c r="AG78" s="77">
        <f>IF($B78="","",AF78*N(C78))</f>
        <v/>
      </c>
    </row>
    <row r="79">
      <c r="A79" s="74">
        <f>IF(Mitarbeiter!B79="","",Mitarbeiter!A79)</f>
        <v/>
      </c>
      <c r="B79" s="6">
        <f>IF(Mitarbeiter!B79="","",Mitarbeiter!B79)</f>
        <v/>
      </c>
      <c r="C79" s="75">
        <f>IF(Mitarbeiter!B79="","",Mitarbeiter!F79)</f>
        <v/>
      </c>
      <c r="D79" s="76">
        <f>N(INDEX(Krankheitstage!$G79:$DV79,1,(Einstellungen!$C$3-2026)*24+1))</f>
        <v/>
      </c>
      <c r="E79" s="76">
        <f>N(INDEX(Krankheitstage!$G79:$DV79,1,(Einstellungen!$C$3-2026)*24+2))</f>
        <v/>
      </c>
      <c r="F79" s="76">
        <f>N(INDEX(Krankheitstage!$G79:$DV79,1,(Einstellungen!$C$3-2026)*24+3))</f>
        <v/>
      </c>
      <c r="G79" s="76">
        <f>N(INDEX(Krankheitstage!$G79:$DV79,1,(Einstellungen!$C$3-2026)*24+4))</f>
        <v/>
      </c>
      <c r="H79" s="76">
        <f>N(INDEX(Krankheitstage!$G79:$DV79,1,(Einstellungen!$C$3-2026)*24+5))</f>
        <v/>
      </c>
      <c r="I79" s="76">
        <f>N(INDEX(Krankheitstage!$G79:$DV79,1,(Einstellungen!$C$3-2026)*24+6))</f>
        <v/>
      </c>
      <c r="J79" s="76">
        <f>N(INDEX(Krankheitstage!$G79:$DV79,1,(Einstellungen!$C$3-2026)*24+7))</f>
        <v/>
      </c>
      <c r="K79" s="76">
        <f>N(INDEX(Krankheitstage!$G79:$DV79,1,(Einstellungen!$C$3-2026)*24+8))</f>
        <v/>
      </c>
      <c r="L79" s="76">
        <f>N(INDEX(Krankheitstage!$G79:$DV79,1,(Einstellungen!$C$3-2026)*24+9))</f>
        <v/>
      </c>
      <c r="M79" s="76">
        <f>N(INDEX(Krankheitstage!$G79:$DV79,1,(Einstellungen!$C$3-2026)*24+10))</f>
        <v/>
      </c>
      <c r="N79" s="76">
        <f>N(INDEX(Krankheitstage!$G79:$DV79,1,(Einstellungen!$C$3-2026)*24+11))</f>
        <v/>
      </c>
      <c r="O79" s="76">
        <f>N(INDEX(Krankheitstage!$G79:$DV79,1,(Einstellungen!$C$3-2026)*24+12))</f>
        <v/>
      </c>
      <c r="P79" s="76">
        <f>IF($B79="","",SUM(D79:O79))</f>
        <v/>
      </c>
      <c r="Q79" s="76">
        <f>N(INDEX(Krankheitstage!$G79:$DV79,1,(Einstellungen!$C$3-2026)*24+13))</f>
        <v/>
      </c>
      <c r="R79" s="76">
        <f>N(INDEX(Krankheitstage!$G79:$DV79,1,(Einstellungen!$C$3-2026)*24+14))</f>
        <v/>
      </c>
      <c r="S79" s="76">
        <f>N(INDEX(Krankheitstage!$G79:$DV79,1,(Einstellungen!$C$3-2026)*24+15))</f>
        <v/>
      </c>
      <c r="T79" s="76">
        <f>N(INDEX(Krankheitstage!$G79:$DV79,1,(Einstellungen!$C$3-2026)*24+16))</f>
        <v/>
      </c>
      <c r="U79" s="76">
        <f>N(INDEX(Krankheitstage!$G79:$DV79,1,(Einstellungen!$C$3-2026)*24+17))</f>
        <v/>
      </c>
      <c r="V79" s="76">
        <f>N(INDEX(Krankheitstage!$G79:$DV79,1,(Einstellungen!$C$3-2026)*24+18))</f>
        <v/>
      </c>
      <c r="W79" s="76">
        <f>N(INDEX(Krankheitstage!$G79:$DV79,1,(Einstellungen!$C$3-2026)*24+19))</f>
        <v/>
      </c>
      <c r="X79" s="76">
        <f>N(INDEX(Krankheitstage!$G79:$DV79,1,(Einstellungen!$C$3-2026)*24+20))</f>
        <v/>
      </c>
      <c r="Y79" s="76">
        <f>N(INDEX(Krankheitstage!$G79:$DV79,1,(Einstellungen!$C$3-2026)*24+21))</f>
        <v/>
      </c>
      <c r="Z79" s="76">
        <f>N(INDEX(Krankheitstage!$G79:$DV79,1,(Einstellungen!$C$3-2026)*24+22))</f>
        <v/>
      </c>
      <c r="AA79" s="76">
        <f>N(INDEX(Krankheitstage!$G79:$DV79,1,(Einstellungen!$C$3-2026)*24+23))</f>
        <v/>
      </c>
      <c r="AB79" s="76">
        <f>N(INDEX(Krankheitstage!$G79:$DV79,1,(Einstellungen!$C$3-2026)*24+24))</f>
        <v/>
      </c>
      <c r="AC79" s="76">
        <f>IF($B79="","",SUM(Q79:AB79))</f>
        <v/>
      </c>
      <c r="AD79" s="76">
        <f>IF($B79="","",SUM(P79,AC79))</f>
        <v/>
      </c>
      <c r="AE79" s="77">
        <f>IF($B79="","",AD79*N(C79))</f>
        <v/>
      </c>
      <c r="AF79" s="76">
        <f>IF($B79="","",Krankheitstage!E79)</f>
        <v/>
      </c>
      <c r="AG79" s="77">
        <f>IF($B79="","",AF79*N(C79))</f>
        <v/>
      </c>
    </row>
    <row r="80">
      <c r="A80" s="74">
        <f>IF(Mitarbeiter!B80="","",Mitarbeiter!A80)</f>
        <v/>
      </c>
      <c r="B80" s="6">
        <f>IF(Mitarbeiter!B80="","",Mitarbeiter!B80)</f>
        <v/>
      </c>
      <c r="C80" s="75">
        <f>IF(Mitarbeiter!B80="","",Mitarbeiter!F80)</f>
        <v/>
      </c>
      <c r="D80" s="76">
        <f>N(INDEX(Krankheitstage!$G80:$DV80,1,(Einstellungen!$C$3-2026)*24+1))</f>
        <v/>
      </c>
      <c r="E80" s="76">
        <f>N(INDEX(Krankheitstage!$G80:$DV80,1,(Einstellungen!$C$3-2026)*24+2))</f>
        <v/>
      </c>
      <c r="F80" s="76">
        <f>N(INDEX(Krankheitstage!$G80:$DV80,1,(Einstellungen!$C$3-2026)*24+3))</f>
        <v/>
      </c>
      <c r="G80" s="76">
        <f>N(INDEX(Krankheitstage!$G80:$DV80,1,(Einstellungen!$C$3-2026)*24+4))</f>
        <v/>
      </c>
      <c r="H80" s="76">
        <f>N(INDEX(Krankheitstage!$G80:$DV80,1,(Einstellungen!$C$3-2026)*24+5))</f>
        <v/>
      </c>
      <c r="I80" s="76">
        <f>N(INDEX(Krankheitstage!$G80:$DV80,1,(Einstellungen!$C$3-2026)*24+6))</f>
        <v/>
      </c>
      <c r="J80" s="76">
        <f>N(INDEX(Krankheitstage!$G80:$DV80,1,(Einstellungen!$C$3-2026)*24+7))</f>
        <v/>
      </c>
      <c r="K80" s="76">
        <f>N(INDEX(Krankheitstage!$G80:$DV80,1,(Einstellungen!$C$3-2026)*24+8))</f>
        <v/>
      </c>
      <c r="L80" s="76">
        <f>N(INDEX(Krankheitstage!$G80:$DV80,1,(Einstellungen!$C$3-2026)*24+9))</f>
        <v/>
      </c>
      <c r="M80" s="76">
        <f>N(INDEX(Krankheitstage!$G80:$DV80,1,(Einstellungen!$C$3-2026)*24+10))</f>
        <v/>
      </c>
      <c r="N80" s="76">
        <f>N(INDEX(Krankheitstage!$G80:$DV80,1,(Einstellungen!$C$3-2026)*24+11))</f>
        <v/>
      </c>
      <c r="O80" s="76">
        <f>N(INDEX(Krankheitstage!$G80:$DV80,1,(Einstellungen!$C$3-2026)*24+12))</f>
        <v/>
      </c>
      <c r="P80" s="76">
        <f>IF($B80="","",SUM(D80:O80))</f>
        <v/>
      </c>
      <c r="Q80" s="76">
        <f>N(INDEX(Krankheitstage!$G80:$DV80,1,(Einstellungen!$C$3-2026)*24+13))</f>
        <v/>
      </c>
      <c r="R80" s="76">
        <f>N(INDEX(Krankheitstage!$G80:$DV80,1,(Einstellungen!$C$3-2026)*24+14))</f>
        <v/>
      </c>
      <c r="S80" s="76">
        <f>N(INDEX(Krankheitstage!$G80:$DV80,1,(Einstellungen!$C$3-2026)*24+15))</f>
        <v/>
      </c>
      <c r="T80" s="76">
        <f>N(INDEX(Krankheitstage!$G80:$DV80,1,(Einstellungen!$C$3-2026)*24+16))</f>
        <v/>
      </c>
      <c r="U80" s="76">
        <f>N(INDEX(Krankheitstage!$G80:$DV80,1,(Einstellungen!$C$3-2026)*24+17))</f>
        <v/>
      </c>
      <c r="V80" s="76">
        <f>N(INDEX(Krankheitstage!$G80:$DV80,1,(Einstellungen!$C$3-2026)*24+18))</f>
        <v/>
      </c>
      <c r="W80" s="76">
        <f>N(INDEX(Krankheitstage!$G80:$DV80,1,(Einstellungen!$C$3-2026)*24+19))</f>
        <v/>
      </c>
      <c r="X80" s="76">
        <f>N(INDEX(Krankheitstage!$G80:$DV80,1,(Einstellungen!$C$3-2026)*24+20))</f>
        <v/>
      </c>
      <c r="Y80" s="76">
        <f>N(INDEX(Krankheitstage!$G80:$DV80,1,(Einstellungen!$C$3-2026)*24+21))</f>
        <v/>
      </c>
      <c r="Z80" s="76">
        <f>N(INDEX(Krankheitstage!$G80:$DV80,1,(Einstellungen!$C$3-2026)*24+22))</f>
        <v/>
      </c>
      <c r="AA80" s="76">
        <f>N(INDEX(Krankheitstage!$G80:$DV80,1,(Einstellungen!$C$3-2026)*24+23))</f>
        <v/>
      </c>
      <c r="AB80" s="76">
        <f>N(INDEX(Krankheitstage!$G80:$DV80,1,(Einstellungen!$C$3-2026)*24+24))</f>
        <v/>
      </c>
      <c r="AC80" s="76">
        <f>IF($B80="","",SUM(Q80:AB80))</f>
        <v/>
      </c>
      <c r="AD80" s="76">
        <f>IF($B80="","",SUM(P80,AC80))</f>
        <v/>
      </c>
      <c r="AE80" s="77">
        <f>IF($B80="","",AD80*N(C80))</f>
        <v/>
      </c>
      <c r="AF80" s="76">
        <f>IF($B80="","",Krankheitstage!E80)</f>
        <v/>
      </c>
      <c r="AG80" s="77">
        <f>IF($B80="","",AF80*N(C80))</f>
        <v/>
      </c>
    </row>
    <row r="81">
      <c r="A81" s="74">
        <f>IF(Mitarbeiter!B81="","",Mitarbeiter!A81)</f>
        <v/>
      </c>
      <c r="B81" s="6">
        <f>IF(Mitarbeiter!B81="","",Mitarbeiter!B81)</f>
        <v/>
      </c>
      <c r="C81" s="75">
        <f>IF(Mitarbeiter!B81="","",Mitarbeiter!F81)</f>
        <v/>
      </c>
      <c r="D81" s="76">
        <f>N(INDEX(Krankheitstage!$G81:$DV81,1,(Einstellungen!$C$3-2026)*24+1))</f>
        <v/>
      </c>
      <c r="E81" s="76">
        <f>N(INDEX(Krankheitstage!$G81:$DV81,1,(Einstellungen!$C$3-2026)*24+2))</f>
        <v/>
      </c>
      <c r="F81" s="76">
        <f>N(INDEX(Krankheitstage!$G81:$DV81,1,(Einstellungen!$C$3-2026)*24+3))</f>
        <v/>
      </c>
      <c r="G81" s="76">
        <f>N(INDEX(Krankheitstage!$G81:$DV81,1,(Einstellungen!$C$3-2026)*24+4))</f>
        <v/>
      </c>
      <c r="H81" s="76">
        <f>N(INDEX(Krankheitstage!$G81:$DV81,1,(Einstellungen!$C$3-2026)*24+5))</f>
        <v/>
      </c>
      <c r="I81" s="76">
        <f>N(INDEX(Krankheitstage!$G81:$DV81,1,(Einstellungen!$C$3-2026)*24+6))</f>
        <v/>
      </c>
      <c r="J81" s="76">
        <f>N(INDEX(Krankheitstage!$G81:$DV81,1,(Einstellungen!$C$3-2026)*24+7))</f>
        <v/>
      </c>
      <c r="K81" s="76">
        <f>N(INDEX(Krankheitstage!$G81:$DV81,1,(Einstellungen!$C$3-2026)*24+8))</f>
        <v/>
      </c>
      <c r="L81" s="76">
        <f>N(INDEX(Krankheitstage!$G81:$DV81,1,(Einstellungen!$C$3-2026)*24+9))</f>
        <v/>
      </c>
      <c r="M81" s="76">
        <f>N(INDEX(Krankheitstage!$G81:$DV81,1,(Einstellungen!$C$3-2026)*24+10))</f>
        <v/>
      </c>
      <c r="N81" s="76">
        <f>N(INDEX(Krankheitstage!$G81:$DV81,1,(Einstellungen!$C$3-2026)*24+11))</f>
        <v/>
      </c>
      <c r="O81" s="76">
        <f>N(INDEX(Krankheitstage!$G81:$DV81,1,(Einstellungen!$C$3-2026)*24+12))</f>
        <v/>
      </c>
      <c r="P81" s="76">
        <f>IF($B81="","",SUM(D81:O81))</f>
        <v/>
      </c>
      <c r="Q81" s="76">
        <f>N(INDEX(Krankheitstage!$G81:$DV81,1,(Einstellungen!$C$3-2026)*24+13))</f>
        <v/>
      </c>
      <c r="R81" s="76">
        <f>N(INDEX(Krankheitstage!$G81:$DV81,1,(Einstellungen!$C$3-2026)*24+14))</f>
        <v/>
      </c>
      <c r="S81" s="76">
        <f>N(INDEX(Krankheitstage!$G81:$DV81,1,(Einstellungen!$C$3-2026)*24+15))</f>
        <v/>
      </c>
      <c r="T81" s="76">
        <f>N(INDEX(Krankheitstage!$G81:$DV81,1,(Einstellungen!$C$3-2026)*24+16))</f>
        <v/>
      </c>
      <c r="U81" s="76">
        <f>N(INDEX(Krankheitstage!$G81:$DV81,1,(Einstellungen!$C$3-2026)*24+17))</f>
        <v/>
      </c>
      <c r="V81" s="76">
        <f>N(INDEX(Krankheitstage!$G81:$DV81,1,(Einstellungen!$C$3-2026)*24+18))</f>
        <v/>
      </c>
      <c r="W81" s="76">
        <f>N(INDEX(Krankheitstage!$G81:$DV81,1,(Einstellungen!$C$3-2026)*24+19))</f>
        <v/>
      </c>
      <c r="X81" s="76">
        <f>N(INDEX(Krankheitstage!$G81:$DV81,1,(Einstellungen!$C$3-2026)*24+20))</f>
        <v/>
      </c>
      <c r="Y81" s="76">
        <f>N(INDEX(Krankheitstage!$G81:$DV81,1,(Einstellungen!$C$3-2026)*24+21))</f>
        <v/>
      </c>
      <c r="Z81" s="76">
        <f>N(INDEX(Krankheitstage!$G81:$DV81,1,(Einstellungen!$C$3-2026)*24+22))</f>
        <v/>
      </c>
      <c r="AA81" s="76">
        <f>N(INDEX(Krankheitstage!$G81:$DV81,1,(Einstellungen!$C$3-2026)*24+23))</f>
        <v/>
      </c>
      <c r="AB81" s="76">
        <f>N(INDEX(Krankheitstage!$G81:$DV81,1,(Einstellungen!$C$3-2026)*24+24))</f>
        <v/>
      </c>
      <c r="AC81" s="76">
        <f>IF($B81="","",SUM(Q81:AB81))</f>
        <v/>
      </c>
      <c r="AD81" s="76">
        <f>IF($B81="","",SUM(P81,AC81))</f>
        <v/>
      </c>
      <c r="AE81" s="77">
        <f>IF($B81="","",AD81*N(C81))</f>
        <v/>
      </c>
      <c r="AF81" s="76">
        <f>IF($B81="","",Krankheitstage!E81)</f>
        <v/>
      </c>
      <c r="AG81" s="77">
        <f>IF($B81="","",AF81*N(C81))</f>
        <v/>
      </c>
    </row>
    <row r="82">
      <c r="A82" s="74">
        <f>IF(Mitarbeiter!B82="","",Mitarbeiter!A82)</f>
        <v/>
      </c>
      <c r="B82" s="6">
        <f>IF(Mitarbeiter!B82="","",Mitarbeiter!B82)</f>
        <v/>
      </c>
      <c r="C82" s="75">
        <f>IF(Mitarbeiter!B82="","",Mitarbeiter!F82)</f>
        <v/>
      </c>
      <c r="D82" s="76">
        <f>N(INDEX(Krankheitstage!$G82:$DV82,1,(Einstellungen!$C$3-2026)*24+1))</f>
        <v/>
      </c>
      <c r="E82" s="76">
        <f>N(INDEX(Krankheitstage!$G82:$DV82,1,(Einstellungen!$C$3-2026)*24+2))</f>
        <v/>
      </c>
      <c r="F82" s="76">
        <f>N(INDEX(Krankheitstage!$G82:$DV82,1,(Einstellungen!$C$3-2026)*24+3))</f>
        <v/>
      </c>
      <c r="G82" s="76">
        <f>N(INDEX(Krankheitstage!$G82:$DV82,1,(Einstellungen!$C$3-2026)*24+4))</f>
        <v/>
      </c>
      <c r="H82" s="76">
        <f>N(INDEX(Krankheitstage!$G82:$DV82,1,(Einstellungen!$C$3-2026)*24+5))</f>
        <v/>
      </c>
      <c r="I82" s="76">
        <f>N(INDEX(Krankheitstage!$G82:$DV82,1,(Einstellungen!$C$3-2026)*24+6))</f>
        <v/>
      </c>
      <c r="J82" s="76">
        <f>N(INDEX(Krankheitstage!$G82:$DV82,1,(Einstellungen!$C$3-2026)*24+7))</f>
        <v/>
      </c>
      <c r="K82" s="76">
        <f>N(INDEX(Krankheitstage!$G82:$DV82,1,(Einstellungen!$C$3-2026)*24+8))</f>
        <v/>
      </c>
      <c r="L82" s="76">
        <f>N(INDEX(Krankheitstage!$G82:$DV82,1,(Einstellungen!$C$3-2026)*24+9))</f>
        <v/>
      </c>
      <c r="M82" s="76">
        <f>N(INDEX(Krankheitstage!$G82:$DV82,1,(Einstellungen!$C$3-2026)*24+10))</f>
        <v/>
      </c>
      <c r="N82" s="76">
        <f>N(INDEX(Krankheitstage!$G82:$DV82,1,(Einstellungen!$C$3-2026)*24+11))</f>
        <v/>
      </c>
      <c r="O82" s="76">
        <f>N(INDEX(Krankheitstage!$G82:$DV82,1,(Einstellungen!$C$3-2026)*24+12))</f>
        <v/>
      </c>
      <c r="P82" s="76">
        <f>IF($B82="","",SUM(D82:O82))</f>
        <v/>
      </c>
      <c r="Q82" s="76">
        <f>N(INDEX(Krankheitstage!$G82:$DV82,1,(Einstellungen!$C$3-2026)*24+13))</f>
        <v/>
      </c>
      <c r="R82" s="76">
        <f>N(INDEX(Krankheitstage!$G82:$DV82,1,(Einstellungen!$C$3-2026)*24+14))</f>
        <v/>
      </c>
      <c r="S82" s="76">
        <f>N(INDEX(Krankheitstage!$G82:$DV82,1,(Einstellungen!$C$3-2026)*24+15))</f>
        <v/>
      </c>
      <c r="T82" s="76">
        <f>N(INDEX(Krankheitstage!$G82:$DV82,1,(Einstellungen!$C$3-2026)*24+16))</f>
        <v/>
      </c>
      <c r="U82" s="76">
        <f>N(INDEX(Krankheitstage!$G82:$DV82,1,(Einstellungen!$C$3-2026)*24+17))</f>
        <v/>
      </c>
      <c r="V82" s="76">
        <f>N(INDEX(Krankheitstage!$G82:$DV82,1,(Einstellungen!$C$3-2026)*24+18))</f>
        <v/>
      </c>
      <c r="W82" s="76">
        <f>N(INDEX(Krankheitstage!$G82:$DV82,1,(Einstellungen!$C$3-2026)*24+19))</f>
        <v/>
      </c>
      <c r="X82" s="76">
        <f>N(INDEX(Krankheitstage!$G82:$DV82,1,(Einstellungen!$C$3-2026)*24+20))</f>
        <v/>
      </c>
      <c r="Y82" s="76">
        <f>N(INDEX(Krankheitstage!$G82:$DV82,1,(Einstellungen!$C$3-2026)*24+21))</f>
        <v/>
      </c>
      <c r="Z82" s="76">
        <f>N(INDEX(Krankheitstage!$G82:$DV82,1,(Einstellungen!$C$3-2026)*24+22))</f>
        <v/>
      </c>
      <c r="AA82" s="76">
        <f>N(INDEX(Krankheitstage!$G82:$DV82,1,(Einstellungen!$C$3-2026)*24+23))</f>
        <v/>
      </c>
      <c r="AB82" s="76">
        <f>N(INDEX(Krankheitstage!$G82:$DV82,1,(Einstellungen!$C$3-2026)*24+24))</f>
        <v/>
      </c>
      <c r="AC82" s="76">
        <f>IF($B82="","",SUM(Q82:AB82))</f>
        <v/>
      </c>
      <c r="AD82" s="76">
        <f>IF($B82="","",SUM(P82,AC82))</f>
        <v/>
      </c>
      <c r="AE82" s="77">
        <f>IF($B82="","",AD82*N(C82))</f>
        <v/>
      </c>
      <c r="AF82" s="76">
        <f>IF($B82="","",Krankheitstage!E82)</f>
        <v/>
      </c>
      <c r="AG82" s="77">
        <f>IF($B82="","",AF82*N(C82))</f>
        <v/>
      </c>
    </row>
    <row r="83">
      <c r="A83" s="74">
        <f>IF(Mitarbeiter!B83="","",Mitarbeiter!A83)</f>
        <v/>
      </c>
      <c r="B83" s="6">
        <f>IF(Mitarbeiter!B83="","",Mitarbeiter!B83)</f>
        <v/>
      </c>
      <c r="C83" s="75">
        <f>IF(Mitarbeiter!B83="","",Mitarbeiter!F83)</f>
        <v/>
      </c>
      <c r="D83" s="76">
        <f>N(INDEX(Krankheitstage!$G83:$DV83,1,(Einstellungen!$C$3-2026)*24+1))</f>
        <v/>
      </c>
      <c r="E83" s="76">
        <f>N(INDEX(Krankheitstage!$G83:$DV83,1,(Einstellungen!$C$3-2026)*24+2))</f>
        <v/>
      </c>
      <c r="F83" s="76">
        <f>N(INDEX(Krankheitstage!$G83:$DV83,1,(Einstellungen!$C$3-2026)*24+3))</f>
        <v/>
      </c>
      <c r="G83" s="76">
        <f>N(INDEX(Krankheitstage!$G83:$DV83,1,(Einstellungen!$C$3-2026)*24+4))</f>
        <v/>
      </c>
      <c r="H83" s="76">
        <f>N(INDEX(Krankheitstage!$G83:$DV83,1,(Einstellungen!$C$3-2026)*24+5))</f>
        <v/>
      </c>
      <c r="I83" s="76">
        <f>N(INDEX(Krankheitstage!$G83:$DV83,1,(Einstellungen!$C$3-2026)*24+6))</f>
        <v/>
      </c>
      <c r="J83" s="76">
        <f>N(INDEX(Krankheitstage!$G83:$DV83,1,(Einstellungen!$C$3-2026)*24+7))</f>
        <v/>
      </c>
      <c r="K83" s="76">
        <f>N(INDEX(Krankheitstage!$G83:$DV83,1,(Einstellungen!$C$3-2026)*24+8))</f>
        <v/>
      </c>
      <c r="L83" s="76">
        <f>N(INDEX(Krankheitstage!$G83:$DV83,1,(Einstellungen!$C$3-2026)*24+9))</f>
        <v/>
      </c>
      <c r="M83" s="76">
        <f>N(INDEX(Krankheitstage!$G83:$DV83,1,(Einstellungen!$C$3-2026)*24+10))</f>
        <v/>
      </c>
      <c r="N83" s="76">
        <f>N(INDEX(Krankheitstage!$G83:$DV83,1,(Einstellungen!$C$3-2026)*24+11))</f>
        <v/>
      </c>
      <c r="O83" s="76">
        <f>N(INDEX(Krankheitstage!$G83:$DV83,1,(Einstellungen!$C$3-2026)*24+12))</f>
        <v/>
      </c>
      <c r="P83" s="76">
        <f>IF($B83="","",SUM(D83:O83))</f>
        <v/>
      </c>
      <c r="Q83" s="76">
        <f>N(INDEX(Krankheitstage!$G83:$DV83,1,(Einstellungen!$C$3-2026)*24+13))</f>
        <v/>
      </c>
      <c r="R83" s="76">
        <f>N(INDEX(Krankheitstage!$G83:$DV83,1,(Einstellungen!$C$3-2026)*24+14))</f>
        <v/>
      </c>
      <c r="S83" s="76">
        <f>N(INDEX(Krankheitstage!$G83:$DV83,1,(Einstellungen!$C$3-2026)*24+15))</f>
        <v/>
      </c>
      <c r="T83" s="76">
        <f>N(INDEX(Krankheitstage!$G83:$DV83,1,(Einstellungen!$C$3-2026)*24+16))</f>
        <v/>
      </c>
      <c r="U83" s="76">
        <f>N(INDEX(Krankheitstage!$G83:$DV83,1,(Einstellungen!$C$3-2026)*24+17))</f>
        <v/>
      </c>
      <c r="V83" s="76">
        <f>N(INDEX(Krankheitstage!$G83:$DV83,1,(Einstellungen!$C$3-2026)*24+18))</f>
        <v/>
      </c>
      <c r="W83" s="76">
        <f>N(INDEX(Krankheitstage!$G83:$DV83,1,(Einstellungen!$C$3-2026)*24+19))</f>
        <v/>
      </c>
      <c r="X83" s="76">
        <f>N(INDEX(Krankheitstage!$G83:$DV83,1,(Einstellungen!$C$3-2026)*24+20))</f>
        <v/>
      </c>
      <c r="Y83" s="76">
        <f>N(INDEX(Krankheitstage!$G83:$DV83,1,(Einstellungen!$C$3-2026)*24+21))</f>
        <v/>
      </c>
      <c r="Z83" s="76">
        <f>N(INDEX(Krankheitstage!$G83:$DV83,1,(Einstellungen!$C$3-2026)*24+22))</f>
        <v/>
      </c>
      <c r="AA83" s="76">
        <f>N(INDEX(Krankheitstage!$G83:$DV83,1,(Einstellungen!$C$3-2026)*24+23))</f>
        <v/>
      </c>
      <c r="AB83" s="76">
        <f>N(INDEX(Krankheitstage!$G83:$DV83,1,(Einstellungen!$C$3-2026)*24+24))</f>
        <v/>
      </c>
      <c r="AC83" s="76">
        <f>IF($B83="","",SUM(Q83:AB83))</f>
        <v/>
      </c>
      <c r="AD83" s="76">
        <f>IF($B83="","",SUM(P83,AC83))</f>
        <v/>
      </c>
      <c r="AE83" s="77">
        <f>IF($B83="","",AD83*N(C83))</f>
        <v/>
      </c>
      <c r="AF83" s="76">
        <f>IF($B83="","",Krankheitstage!E83)</f>
        <v/>
      </c>
      <c r="AG83" s="77">
        <f>IF($B83="","",AF83*N(C83))</f>
        <v/>
      </c>
    </row>
    <row r="84">
      <c r="A84" s="74">
        <f>IF(Mitarbeiter!B84="","",Mitarbeiter!A84)</f>
        <v/>
      </c>
      <c r="B84" s="6">
        <f>IF(Mitarbeiter!B84="","",Mitarbeiter!B84)</f>
        <v/>
      </c>
      <c r="C84" s="75">
        <f>IF(Mitarbeiter!B84="","",Mitarbeiter!F84)</f>
        <v/>
      </c>
      <c r="D84" s="76">
        <f>N(INDEX(Krankheitstage!$G84:$DV84,1,(Einstellungen!$C$3-2026)*24+1))</f>
        <v/>
      </c>
      <c r="E84" s="76">
        <f>N(INDEX(Krankheitstage!$G84:$DV84,1,(Einstellungen!$C$3-2026)*24+2))</f>
        <v/>
      </c>
      <c r="F84" s="76">
        <f>N(INDEX(Krankheitstage!$G84:$DV84,1,(Einstellungen!$C$3-2026)*24+3))</f>
        <v/>
      </c>
      <c r="G84" s="76">
        <f>N(INDEX(Krankheitstage!$G84:$DV84,1,(Einstellungen!$C$3-2026)*24+4))</f>
        <v/>
      </c>
      <c r="H84" s="76">
        <f>N(INDEX(Krankheitstage!$G84:$DV84,1,(Einstellungen!$C$3-2026)*24+5))</f>
        <v/>
      </c>
      <c r="I84" s="76">
        <f>N(INDEX(Krankheitstage!$G84:$DV84,1,(Einstellungen!$C$3-2026)*24+6))</f>
        <v/>
      </c>
      <c r="J84" s="76">
        <f>N(INDEX(Krankheitstage!$G84:$DV84,1,(Einstellungen!$C$3-2026)*24+7))</f>
        <v/>
      </c>
      <c r="K84" s="76">
        <f>N(INDEX(Krankheitstage!$G84:$DV84,1,(Einstellungen!$C$3-2026)*24+8))</f>
        <v/>
      </c>
      <c r="L84" s="76">
        <f>N(INDEX(Krankheitstage!$G84:$DV84,1,(Einstellungen!$C$3-2026)*24+9))</f>
        <v/>
      </c>
      <c r="M84" s="76">
        <f>N(INDEX(Krankheitstage!$G84:$DV84,1,(Einstellungen!$C$3-2026)*24+10))</f>
        <v/>
      </c>
      <c r="N84" s="76">
        <f>N(INDEX(Krankheitstage!$G84:$DV84,1,(Einstellungen!$C$3-2026)*24+11))</f>
        <v/>
      </c>
      <c r="O84" s="76">
        <f>N(INDEX(Krankheitstage!$G84:$DV84,1,(Einstellungen!$C$3-2026)*24+12))</f>
        <v/>
      </c>
      <c r="P84" s="76">
        <f>IF($B84="","",SUM(D84:O84))</f>
        <v/>
      </c>
      <c r="Q84" s="76">
        <f>N(INDEX(Krankheitstage!$G84:$DV84,1,(Einstellungen!$C$3-2026)*24+13))</f>
        <v/>
      </c>
      <c r="R84" s="76">
        <f>N(INDEX(Krankheitstage!$G84:$DV84,1,(Einstellungen!$C$3-2026)*24+14))</f>
        <v/>
      </c>
      <c r="S84" s="76">
        <f>N(INDEX(Krankheitstage!$G84:$DV84,1,(Einstellungen!$C$3-2026)*24+15))</f>
        <v/>
      </c>
      <c r="T84" s="76">
        <f>N(INDEX(Krankheitstage!$G84:$DV84,1,(Einstellungen!$C$3-2026)*24+16))</f>
        <v/>
      </c>
      <c r="U84" s="76">
        <f>N(INDEX(Krankheitstage!$G84:$DV84,1,(Einstellungen!$C$3-2026)*24+17))</f>
        <v/>
      </c>
      <c r="V84" s="76">
        <f>N(INDEX(Krankheitstage!$G84:$DV84,1,(Einstellungen!$C$3-2026)*24+18))</f>
        <v/>
      </c>
      <c r="W84" s="76">
        <f>N(INDEX(Krankheitstage!$G84:$DV84,1,(Einstellungen!$C$3-2026)*24+19))</f>
        <v/>
      </c>
      <c r="X84" s="76">
        <f>N(INDEX(Krankheitstage!$G84:$DV84,1,(Einstellungen!$C$3-2026)*24+20))</f>
        <v/>
      </c>
      <c r="Y84" s="76">
        <f>N(INDEX(Krankheitstage!$G84:$DV84,1,(Einstellungen!$C$3-2026)*24+21))</f>
        <v/>
      </c>
      <c r="Z84" s="76">
        <f>N(INDEX(Krankheitstage!$G84:$DV84,1,(Einstellungen!$C$3-2026)*24+22))</f>
        <v/>
      </c>
      <c r="AA84" s="76">
        <f>N(INDEX(Krankheitstage!$G84:$DV84,1,(Einstellungen!$C$3-2026)*24+23))</f>
        <v/>
      </c>
      <c r="AB84" s="76">
        <f>N(INDEX(Krankheitstage!$G84:$DV84,1,(Einstellungen!$C$3-2026)*24+24))</f>
        <v/>
      </c>
      <c r="AC84" s="76">
        <f>IF($B84="","",SUM(Q84:AB84))</f>
        <v/>
      </c>
      <c r="AD84" s="76">
        <f>IF($B84="","",SUM(P84,AC84))</f>
        <v/>
      </c>
      <c r="AE84" s="77">
        <f>IF($B84="","",AD84*N(C84))</f>
        <v/>
      </c>
      <c r="AF84" s="76">
        <f>IF($B84="","",Krankheitstage!E84)</f>
        <v/>
      </c>
      <c r="AG84" s="77">
        <f>IF($B84="","",AF84*N(C84))</f>
        <v/>
      </c>
    </row>
    <row r="85">
      <c r="A85" s="74">
        <f>IF(Mitarbeiter!B85="","",Mitarbeiter!A85)</f>
        <v/>
      </c>
      <c r="B85" s="6">
        <f>IF(Mitarbeiter!B85="","",Mitarbeiter!B85)</f>
        <v/>
      </c>
      <c r="C85" s="75">
        <f>IF(Mitarbeiter!B85="","",Mitarbeiter!F85)</f>
        <v/>
      </c>
      <c r="D85" s="76">
        <f>N(INDEX(Krankheitstage!$G85:$DV85,1,(Einstellungen!$C$3-2026)*24+1))</f>
        <v/>
      </c>
      <c r="E85" s="76">
        <f>N(INDEX(Krankheitstage!$G85:$DV85,1,(Einstellungen!$C$3-2026)*24+2))</f>
        <v/>
      </c>
      <c r="F85" s="76">
        <f>N(INDEX(Krankheitstage!$G85:$DV85,1,(Einstellungen!$C$3-2026)*24+3))</f>
        <v/>
      </c>
      <c r="G85" s="76">
        <f>N(INDEX(Krankheitstage!$G85:$DV85,1,(Einstellungen!$C$3-2026)*24+4))</f>
        <v/>
      </c>
      <c r="H85" s="76">
        <f>N(INDEX(Krankheitstage!$G85:$DV85,1,(Einstellungen!$C$3-2026)*24+5))</f>
        <v/>
      </c>
      <c r="I85" s="76">
        <f>N(INDEX(Krankheitstage!$G85:$DV85,1,(Einstellungen!$C$3-2026)*24+6))</f>
        <v/>
      </c>
      <c r="J85" s="76">
        <f>N(INDEX(Krankheitstage!$G85:$DV85,1,(Einstellungen!$C$3-2026)*24+7))</f>
        <v/>
      </c>
      <c r="K85" s="76">
        <f>N(INDEX(Krankheitstage!$G85:$DV85,1,(Einstellungen!$C$3-2026)*24+8))</f>
        <v/>
      </c>
      <c r="L85" s="76">
        <f>N(INDEX(Krankheitstage!$G85:$DV85,1,(Einstellungen!$C$3-2026)*24+9))</f>
        <v/>
      </c>
      <c r="M85" s="76">
        <f>N(INDEX(Krankheitstage!$G85:$DV85,1,(Einstellungen!$C$3-2026)*24+10))</f>
        <v/>
      </c>
      <c r="N85" s="76">
        <f>N(INDEX(Krankheitstage!$G85:$DV85,1,(Einstellungen!$C$3-2026)*24+11))</f>
        <v/>
      </c>
      <c r="O85" s="76">
        <f>N(INDEX(Krankheitstage!$G85:$DV85,1,(Einstellungen!$C$3-2026)*24+12))</f>
        <v/>
      </c>
      <c r="P85" s="76">
        <f>IF($B85="","",SUM(D85:O85))</f>
        <v/>
      </c>
      <c r="Q85" s="76">
        <f>N(INDEX(Krankheitstage!$G85:$DV85,1,(Einstellungen!$C$3-2026)*24+13))</f>
        <v/>
      </c>
      <c r="R85" s="76">
        <f>N(INDEX(Krankheitstage!$G85:$DV85,1,(Einstellungen!$C$3-2026)*24+14))</f>
        <v/>
      </c>
      <c r="S85" s="76">
        <f>N(INDEX(Krankheitstage!$G85:$DV85,1,(Einstellungen!$C$3-2026)*24+15))</f>
        <v/>
      </c>
      <c r="T85" s="76">
        <f>N(INDEX(Krankheitstage!$G85:$DV85,1,(Einstellungen!$C$3-2026)*24+16))</f>
        <v/>
      </c>
      <c r="U85" s="76">
        <f>N(INDEX(Krankheitstage!$G85:$DV85,1,(Einstellungen!$C$3-2026)*24+17))</f>
        <v/>
      </c>
      <c r="V85" s="76">
        <f>N(INDEX(Krankheitstage!$G85:$DV85,1,(Einstellungen!$C$3-2026)*24+18))</f>
        <v/>
      </c>
      <c r="W85" s="76">
        <f>N(INDEX(Krankheitstage!$G85:$DV85,1,(Einstellungen!$C$3-2026)*24+19))</f>
        <v/>
      </c>
      <c r="X85" s="76">
        <f>N(INDEX(Krankheitstage!$G85:$DV85,1,(Einstellungen!$C$3-2026)*24+20))</f>
        <v/>
      </c>
      <c r="Y85" s="76">
        <f>N(INDEX(Krankheitstage!$G85:$DV85,1,(Einstellungen!$C$3-2026)*24+21))</f>
        <v/>
      </c>
      <c r="Z85" s="76">
        <f>N(INDEX(Krankheitstage!$G85:$DV85,1,(Einstellungen!$C$3-2026)*24+22))</f>
        <v/>
      </c>
      <c r="AA85" s="76">
        <f>N(INDEX(Krankheitstage!$G85:$DV85,1,(Einstellungen!$C$3-2026)*24+23))</f>
        <v/>
      </c>
      <c r="AB85" s="76">
        <f>N(INDEX(Krankheitstage!$G85:$DV85,1,(Einstellungen!$C$3-2026)*24+24))</f>
        <v/>
      </c>
      <c r="AC85" s="76">
        <f>IF($B85="","",SUM(Q85:AB85))</f>
        <v/>
      </c>
      <c r="AD85" s="76">
        <f>IF($B85="","",SUM(P85,AC85))</f>
        <v/>
      </c>
      <c r="AE85" s="77">
        <f>IF($B85="","",AD85*N(C85))</f>
        <v/>
      </c>
      <c r="AF85" s="76">
        <f>IF($B85="","",Krankheitstage!E85)</f>
        <v/>
      </c>
      <c r="AG85" s="77">
        <f>IF($B85="","",AF85*N(C85))</f>
        <v/>
      </c>
    </row>
    <row r="86">
      <c r="A86" s="74">
        <f>IF(Mitarbeiter!B86="","",Mitarbeiter!A86)</f>
        <v/>
      </c>
      <c r="B86" s="6">
        <f>IF(Mitarbeiter!B86="","",Mitarbeiter!B86)</f>
        <v/>
      </c>
      <c r="C86" s="75">
        <f>IF(Mitarbeiter!B86="","",Mitarbeiter!F86)</f>
        <v/>
      </c>
      <c r="D86" s="76">
        <f>N(INDEX(Krankheitstage!$G86:$DV86,1,(Einstellungen!$C$3-2026)*24+1))</f>
        <v/>
      </c>
      <c r="E86" s="76">
        <f>N(INDEX(Krankheitstage!$G86:$DV86,1,(Einstellungen!$C$3-2026)*24+2))</f>
        <v/>
      </c>
      <c r="F86" s="76">
        <f>N(INDEX(Krankheitstage!$G86:$DV86,1,(Einstellungen!$C$3-2026)*24+3))</f>
        <v/>
      </c>
      <c r="G86" s="76">
        <f>N(INDEX(Krankheitstage!$G86:$DV86,1,(Einstellungen!$C$3-2026)*24+4))</f>
        <v/>
      </c>
      <c r="H86" s="76">
        <f>N(INDEX(Krankheitstage!$G86:$DV86,1,(Einstellungen!$C$3-2026)*24+5))</f>
        <v/>
      </c>
      <c r="I86" s="76">
        <f>N(INDEX(Krankheitstage!$G86:$DV86,1,(Einstellungen!$C$3-2026)*24+6))</f>
        <v/>
      </c>
      <c r="J86" s="76">
        <f>N(INDEX(Krankheitstage!$G86:$DV86,1,(Einstellungen!$C$3-2026)*24+7))</f>
        <v/>
      </c>
      <c r="K86" s="76">
        <f>N(INDEX(Krankheitstage!$G86:$DV86,1,(Einstellungen!$C$3-2026)*24+8))</f>
        <v/>
      </c>
      <c r="L86" s="76">
        <f>N(INDEX(Krankheitstage!$G86:$DV86,1,(Einstellungen!$C$3-2026)*24+9))</f>
        <v/>
      </c>
      <c r="M86" s="76">
        <f>N(INDEX(Krankheitstage!$G86:$DV86,1,(Einstellungen!$C$3-2026)*24+10))</f>
        <v/>
      </c>
      <c r="N86" s="76">
        <f>N(INDEX(Krankheitstage!$G86:$DV86,1,(Einstellungen!$C$3-2026)*24+11))</f>
        <v/>
      </c>
      <c r="O86" s="76">
        <f>N(INDEX(Krankheitstage!$G86:$DV86,1,(Einstellungen!$C$3-2026)*24+12))</f>
        <v/>
      </c>
      <c r="P86" s="76">
        <f>IF($B86="","",SUM(D86:O86))</f>
        <v/>
      </c>
      <c r="Q86" s="76">
        <f>N(INDEX(Krankheitstage!$G86:$DV86,1,(Einstellungen!$C$3-2026)*24+13))</f>
        <v/>
      </c>
      <c r="R86" s="76">
        <f>N(INDEX(Krankheitstage!$G86:$DV86,1,(Einstellungen!$C$3-2026)*24+14))</f>
        <v/>
      </c>
      <c r="S86" s="76">
        <f>N(INDEX(Krankheitstage!$G86:$DV86,1,(Einstellungen!$C$3-2026)*24+15))</f>
        <v/>
      </c>
      <c r="T86" s="76">
        <f>N(INDEX(Krankheitstage!$G86:$DV86,1,(Einstellungen!$C$3-2026)*24+16))</f>
        <v/>
      </c>
      <c r="U86" s="76">
        <f>N(INDEX(Krankheitstage!$G86:$DV86,1,(Einstellungen!$C$3-2026)*24+17))</f>
        <v/>
      </c>
      <c r="V86" s="76">
        <f>N(INDEX(Krankheitstage!$G86:$DV86,1,(Einstellungen!$C$3-2026)*24+18))</f>
        <v/>
      </c>
      <c r="W86" s="76">
        <f>N(INDEX(Krankheitstage!$G86:$DV86,1,(Einstellungen!$C$3-2026)*24+19))</f>
        <v/>
      </c>
      <c r="X86" s="76">
        <f>N(INDEX(Krankheitstage!$G86:$DV86,1,(Einstellungen!$C$3-2026)*24+20))</f>
        <v/>
      </c>
      <c r="Y86" s="76">
        <f>N(INDEX(Krankheitstage!$G86:$DV86,1,(Einstellungen!$C$3-2026)*24+21))</f>
        <v/>
      </c>
      <c r="Z86" s="76">
        <f>N(INDEX(Krankheitstage!$G86:$DV86,1,(Einstellungen!$C$3-2026)*24+22))</f>
        <v/>
      </c>
      <c r="AA86" s="76">
        <f>N(INDEX(Krankheitstage!$G86:$DV86,1,(Einstellungen!$C$3-2026)*24+23))</f>
        <v/>
      </c>
      <c r="AB86" s="76">
        <f>N(INDEX(Krankheitstage!$G86:$DV86,1,(Einstellungen!$C$3-2026)*24+24))</f>
        <v/>
      </c>
      <c r="AC86" s="76">
        <f>IF($B86="","",SUM(Q86:AB86))</f>
        <v/>
      </c>
      <c r="AD86" s="76">
        <f>IF($B86="","",SUM(P86,AC86))</f>
        <v/>
      </c>
      <c r="AE86" s="77">
        <f>IF($B86="","",AD86*N(C86))</f>
        <v/>
      </c>
      <c r="AF86" s="76">
        <f>IF($B86="","",Krankheitstage!E86)</f>
        <v/>
      </c>
      <c r="AG86" s="77">
        <f>IF($B86="","",AF86*N(C86))</f>
        <v/>
      </c>
    </row>
    <row r="87">
      <c r="A87" s="74">
        <f>IF(Mitarbeiter!B87="","",Mitarbeiter!A87)</f>
        <v/>
      </c>
      <c r="B87" s="6">
        <f>IF(Mitarbeiter!B87="","",Mitarbeiter!B87)</f>
        <v/>
      </c>
      <c r="C87" s="75">
        <f>IF(Mitarbeiter!B87="","",Mitarbeiter!F87)</f>
        <v/>
      </c>
      <c r="D87" s="76">
        <f>N(INDEX(Krankheitstage!$G87:$DV87,1,(Einstellungen!$C$3-2026)*24+1))</f>
        <v/>
      </c>
      <c r="E87" s="76">
        <f>N(INDEX(Krankheitstage!$G87:$DV87,1,(Einstellungen!$C$3-2026)*24+2))</f>
        <v/>
      </c>
      <c r="F87" s="76">
        <f>N(INDEX(Krankheitstage!$G87:$DV87,1,(Einstellungen!$C$3-2026)*24+3))</f>
        <v/>
      </c>
      <c r="G87" s="76">
        <f>N(INDEX(Krankheitstage!$G87:$DV87,1,(Einstellungen!$C$3-2026)*24+4))</f>
        <v/>
      </c>
      <c r="H87" s="76">
        <f>N(INDEX(Krankheitstage!$G87:$DV87,1,(Einstellungen!$C$3-2026)*24+5))</f>
        <v/>
      </c>
      <c r="I87" s="76">
        <f>N(INDEX(Krankheitstage!$G87:$DV87,1,(Einstellungen!$C$3-2026)*24+6))</f>
        <v/>
      </c>
      <c r="J87" s="76">
        <f>N(INDEX(Krankheitstage!$G87:$DV87,1,(Einstellungen!$C$3-2026)*24+7))</f>
        <v/>
      </c>
      <c r="K87" s="76">
        <f>N(INDEX(Krankheitstage!$G87:$DV87,1,(Einstellungen!$C$3-2026)*24+8))</f>
        <v/>
      </c>
      <c r="L87" s="76">
        <f>N(INDEX(Krankheitstage!$G87:$DV87,1,(Einstellungen!$C$3-2026)*24+9))</f>
        <v/>
      </c>
      <c r="M87" s="76">
        <f>N(INDEX(Krankheitstage!$G87:$DV87,1,(Einstellungen!$C$3-2026)*24+10))</f>
        <v/>
      </c>
      <c r="N87" s="76">
        <f>N(INDEX(Krankheitstage!$G87:$DV87,1,(Einstellungen!$C$3-2026)*24+11))</f>
        <v/>
      </c>
      <c r="O87" s="76">
        <f>N(INDEX(Krankheitstage!$G87:$DV87,1,(Einstellungen!$C$3-2026)*24+12))</f>
        <v/>
      </c>
      <c r="P87" s="76">
        <f>IF($B87="","",SUM(D87:O87))</f>
        <v/>
      </c>
      <c r="Q87" s="76">
        <f>N(INDEX(Krankheitstage!$G87:$DV87,1,(Einstellungen!$C$3-2026)*24+13))</f>
        <v/>
      </c>
      <c r="R87" s="76">
        <f>N(INDEX(Krankheitstage!$G87:$DV87,1,(Einstellungen!$C$3-2026)*24+14))</f>
        <v/>
      </c>
      <c r="S87" s="76">
        <f>N(INDEX(Krankheitstage!$G87:$DV87,1,(Einstellungen!$C$3-2026)*24+15))</f>
        <v/>
      </c>
      <c r="T87" s="76">
        <f>N(INDEX(Krankheitstage!$G87:$DV87,1,(Einstellungen!$C$3-2026)*24+16))</f>
        <v/>
      </c>
      <c r="U87" s="76">
        <f>N(INDEX(Krankheitstage!$G87:$DV87,1,(Einstellungen!$C$3-2026)*24+17))</f>
        <v/>
      </c>
      <c r="V87" s="76">
        <f>N(INDEX(Krankheitstage!$G87:$DV87,1,(Einstellungen!$C$3-2026)*24+18))</f>
        <v/>
      </c>
      <c r="W87" s="76">
        <f>N(INDEX(Krankheitstage!$G87:$DV87,1,(Einstellungen!$C$3-2026)*24+19))</f>
        <v/>
      </c>
      <c r="X87" s="76">
        <f>N(INDEX(Krankheitstage!$G87:$DV87,1,(Einstellungen!$C$3-2026)*24+20))</f>
        <v/>
      </c>
      <c r="Y87" s="76">
        <f>N(INDEX(Krankheitstage!$G87:$DV87,1,(Einstellungen!$C$3-2026)*24+21))</f>
        <v/>
      </c>
      <c r="Z87" s="76">
        <f>N(INDEX(Krankheitstage!$G87:$DV87,1,(Einstellungen!$C$3-2026)*24+22))</f>
        <v/>
      </c>
      <c r="AA87" s="76">
        <f>N(INDEX(Krankheitstage!$G87:$DV87,1,(Einstellungen!$C$3-2026)*24+23))</f>
        <v/>
      </c>
      <c r="AB87" s="76">
        <f>N(INDEX(Krankheitstage!$G87:$DV87,1,(Einstellungen!$C$3-2026)*24+24))</f>
        <v/>
      </c>
      <c r="AC87" s="76">
        <f>IF($B87="","",SUM(Q87:AB87))</f>
        <v/>
      </c>
      <c r="AD87" s="76">
        <f>IF($B87="","",SUM(P87,AC87))</f>
        <v/>
      </c>
      <c r="AE87" s="77">
        <f>IF($B87="","",AD87*N(C87))</f>
        <v/>
      </c>
      <c r="AF87" s="76">
        <f>IF($B87="","",Krankheitstage!E87)</f>
        <v/>
      </c>
      <c r="AG87" s="77">
        <f>IF($B87="","",AF87*N(C87))</f>
        <v/>
      </c>
    </row>
    <row r="88">
      <c r="A88" s="74">
        <f>IF(Mitarbeiter!B88="","",Mitarbeiter!A88)</f>
        <v/>
      </c>
      <c r="B88" s="6">
        <f>IF(Mitarbeiter!B88="","",Mitarbeiter!B88)</f>
        <v/>
      </c>
      <c r="C88" s="75">
        <f>IF(Mitarbeiter!B88="","",Mitarbeiter!F88)</f>
        <v/>
      </c>
      <c r="D88" s="76">
        <f>N(INDEX(Krankheitstage!$G88:$DV88,1,(Einstellungen!$C$3-2026)*24+1))</f>
        <v/>
      </c>
      <c r="E88" s="76">
        <f>N(INDEX(Krankheitstage!$G88:$DV88,1,(Einstellungen!$C$3-2026)*24+2))</f>
        <v/>
      </c>
      <c r="F88" s="76">
        <f>N(INDEX(Krankheitstage!$G88:$DV88,1,(Einstellungen!$C$3-2026)*24+3))</f>
        <v/>
      </c>
      <c r="G88" s="76">
        <f>N(INDEX(Krankheitstage!$G88:$DV88,1,(Einstellungen!$C$3-2026)*24+4))</f>
        <v/>
      </c>
      <c r="H88" s="76">
        <f>N(INDEX(Krankheitstage!$G88:$DV88,1,(Einstellungen!$C$3-2026)*24+5))</f>
        <v/>
      </c>
      <c r="I88" s="76">
        <f>N(INDEX(Krankheitstage!$G88:$DV88,1,(Einstellungen!$C$3-2026)*24+6))</f>
        <v/>
      </c>
      <c r="J88" s="76">
        <f>N(INDEX(Krankheitstage!$G88:$DV88,1,(Einstellungen!$C$3-2026)*24+7))</f>
        <v/>
      </c>
      <c r="K88" s="76">
        <f>N(INDEX(Krankheitstage!$G88:$DV88,1,(Einstellungen!$C$3-2026)*24+8))</f>
        <v/>
      </c>
      <c r="L88" s="76">
        <f>N(INDEX(Krankheitstage!$G88:$DV88,1,(Einstellungen!$C$3-2026)*24+9))</f>
        <v/>
      </c>
      <c r="M88" s="76">
        <f>N(INDEX(Krankheitstage!$G88:$DV88,1,(Einstellungen!$C$3-2026)*24+10))</f>
        <v/>
      </c>
      <c r="N88" s="76">
        <f>N(INDEX(Krankheitstage!$G88:$DV88,1,(Einstellungen!$C$3-2026)*24+11))</f>
        <v/>
      </c>
      <c r="O88" s="76">
        <f>N(INDEX(Krankheitstage!$G88:$DV88,1,(Einstellungen!$C$3-2026)*24+12))</f>
        <v/>
      </c>
      <c r="P88" s="76">
        <f>IF($B88="","",SUM(D88:O88))</f>
        <v/>
      </c>
      <c r="Q88" s="76">
        <f>N(INDEX(Krankheitstage!$G88:$DV88,1,(Einstellungen!$C$3-2026)*24+13))</f>
        <v/>
      </c>
      <c r="R88" s="76">
        <f>N(INDEX(Krankheitstage!$G88:$DV88,1,(Einstellungen!$C$3-2026)*24+14))</f>
        <v/>
      </c>
      <c r="S88" s="76">
        <f>N(INDEX(Krankheitstage!$G88:$DV88,1,(Einstellungen!$C$3-2026)*24+15))</f>
        <v/>
      </c>
      <c r="T88" s="76">
        <f>N(INDEX(Krankheitstage!$G88:$DV88,1,(Einstellungen!$C$3-2026)*24+16))</f>
        <v/>
      </c>
      <c r="U88" s="76">
        <f>N(INDEX(Krankheitstage!$G88:$DV88,1,(Einstellungen!$C$3-2026)*24+17))</f>
        <v/>
      </c>
      <c r="V88" s="76">
        <f>N(INDEX(Krankheitstage!$G88:$DV88,1,(Einstellungen!$C$3-2026)*24+18))</f>
        <v/>
      </c>
      <c r="W88" s="76">
        <f>N(INDEX(Krankheitstage!$G88:$DV88,1,(Einstellungen!$C$3-2026)*24+19))</f>
        <v/>
      </c>
      <c r="X88" s="76">
        <f>N(INDEX(Krankheitstage!$G88:$DV88,1,(Einstellungen!$C$3-2026)*24+20))</f>
        <v/>
      </c>
      <c r="Y88" s="76">
        <f>N(INDEX(Krankheitstage!$G88:$DV88,1,(Einstellungen!$C$3-2026)*24+21))</f>
        <v/>
      </c>
      <c r="Z88" s="76">
        <f>N(INDEX(Krankheitstage!$G88:$DV88,1,(Einstellungen!$C$3-2026)*24+22))</f>
        <v/>
      </c>
      <c r="AA88" s="76">
        <f>N(INDEX(Krankheitstage!$G88:$DV88,1,(Einstellungen!$C$3-2026)*24+23))</f>
        <v/>
      </c>
      <c r="AB88" s="76">
        <f>N(INDEX(Krankheitstage!$G88:$DV88,1,(Einstellungen!$C$3-2026)*24+24))</f>
        <v/>
      </c>
      <c r="AC88" s="76">
        <f>IF($B88="","",SUM(Q88:AB88))</f>
        <v/>
      </c>
      <c r="AD88" s="76">
        <f>IF($B88="","",SUM(P88,AC88))</f>
        <v/>
      </c>
      <c r="AE88" s="77">
        <f>IF($B88="","",AD88*N(C88))</f>
        <v/>
      </c>
      <c r="AF88" s="76">
        <f>IF($B88="","",Krankheitstage!E88)</f>
        <v/>
      </c>
      <c r="AG88" s="77">
        <f>IF($B88="","",AF88*N(C88))</f>
        <v/>
      </c>
    </row>
    <row r="89">
      <c r="A89" s="74">
        <f>IF(Mitarbeiter!B89="","",Mitarbeiter!A89)</f>
        <v/>
      </c>
      <c r="B89" s="6">
        <f>IF(Mitarbeiter!B89="","",Mitarbeiter!B89)</f>
        <v/>
      </c>
      <c r="C89" s="75">
        <f>IF(Mitarbeiter!B89="","",Mitarbeiter!F89)</f>
        <v/>
      </c>
      <c r="D89" s="76">
        <f>N(INDEX(Krankheitstage!$G89:$DV89,1,(Einstellungen!$C$3-2026)*24+1))</f>
        <v/>
      </c>
      <c r="E89" s="76">
        <f>N(INDEX(Krankheitstage!$G89:$DV89,1,(Einstellungen!$C$3-2026)*24+2))</f>
        <v/>
      </c>
      <c r="F89" s="76">
        <f>N(INDEX(Krankheitstage!$G89:$DV89,1,(Einstellungen!$C$3-2026)*24+3))</f>
        <v/>
      </c>
      <c r="G89" s="76">
        <f>N(INDEX(Krankheitstage!$G89:$DV89,1,(Einstellungen!$C$3-2026)*24+4))</f>
        <v/>
      </c>
      <c r="H89" s="76">
        <f>N(INDEX(Krankheitstage!$G89:$DV89,1,(Einstellungen!$C$3-2026)*24+5))</f>
        <v/>
      </c>
      <c r="I89" s="76">
        <f>N(INDEX(Krankheitstage!$G89:$DV89,1,(Einstellungen!$C$3-2026)*24+6))</f>
        <v/>
      </c>
      <c r="J89" s="76">
        <f>N(INDEX(Krankheitstage!$G89:$DV89,1,(Einstellungen!$C$3-2026)*24+7))</f>
        <v/>
      </c>
      <c r="K89" s="76">
        <f>N(INDEX(Krankheitstage!$G89:$DV89,1,(Einstellungen!$C$3-2026)*24+8))</f>
        <v/>
      </c>
      <c r="L89" s="76">
        <f>N(INDEX(Krankheitstage!$G89:$DV89,1,(Einstellungen!$C$3-2026)*24+9))</f>
        <v/>
      </c>
      <c r="M89" s="76">
        <f>N(INDEX(Krankheitstage!$G89:$DV89,1,(Einstellungen!$C$3-2026)*24+10))</f>
        <v/>
      </c>
      <c r="N89" s="76">
        <f>N(INDEX(Krankheitstage!$G89:$DV89,1,(Einstellungen!$C$3-2026)*24+11))</f>
        <v/>
      </c>
      <c r="O89" s="76">
        <f>N(INDEX(Krankheitstage!$G89:$DV89,1,(Einstellungen!$C$3-2026)*24+12))</f>
        <v/>
      </c>
      <c r="P89" s="76">
        <f>IF($B89="","",SUM(D89:O89))</f>
        <v/>
      </c>
      <c r="Q89" s="76">
        <f>N(INDEX(Krankheitstage!$G89:$DV89,1,(Einstellungen!$C$3-2026)*24+13))</f>
        <v/>
      </c>
      <c r="R89" s="76">
        <f>N(INDEX(Krankheitstage!$G89:$DV89,1,(Einstellungen!$C$3-2026)*24+14))</f>
        <v/>
      </c>
      <c r="S89" s="76">
        <f>N(INDEX(Krankheitstage!$G89:$DV89,1,(Einstellungen!$C$3-2026)*24+15))</f>
        <v/>
      </c>
      <c r="T89" s="76">
        <f>N(INDEX(Krankheitstage!$G89:$DV89,1,(Einstellungen!$C$3-2026)*24+16))</f>
        <v/>
      </c>
      <c r="U89" s="76">
        <f>N(INDEX(Krankheitstage!$G89:$DV89,1,(Einstellungen!$C$3-2026)*24+17))</f>
        <v/>
      </c>
      <c r="V89" s="76">
        <f>N(INDEX(Krankheitstage!$G89:$DV89,1,(Einstellungen!$C$3-2026)*24+18))</f>
        <v/>
      </c>
      <c r="W89" s="76">
        <f>N(INDEX(Krankheitstage!$G89:$DV89,1,(Einstellungen!$C$3-2026)*24+19))</f>
        <v/>
      </c>
      <c r="X89" s="76">
        <f>N(INDEX(Krankheitstage!$G89:$DV89,1,(Einstellungen!$C$3-2026)*24+20))</f>
        <v/>
      </c>
      <c r="Y89" s="76">
        <f>N(INDEX(Krankheitstage!$G89:$DV89,1,(Einstellungen!$C$3-2026)*24+21))</f>
        <v/>
      </c>
      <c r="Z89" s="76">
        <f>N(INDEX(Krankheitstage!$G89:$DV89,1,(Einstellungen!$C$3-2026)*24+22))</f>
        <v/>
      </c>
      <c r="AA89" s="76">
        <f>N(INDEX(Krankheitstage!$G89:$DV89,1,(Einstellungen!$C$3-2026)*24+23))</f>
        <v/>
      </c>
      <c r="AB89" s="76">
        <f>N(INDEX(Krankheitstage!$G89:$DV89,1,(Einstellungen!$C$3-2026)*24+24))</f>
        <v/>
      </c>
      <c r="AC89" s="76">
        <f>IF($B89="","",SUM(Q89:AB89))</f>
        <v/>
      </c>
      <c r="AD89" s="76">
        <f>IF($B89="","",SUM(P89,AC89))</f>
        <v/>
      </c>
      <c r="AE89" s="77">
        <f>IF($B89="","",AD89*N(C89))</f>
        <v/>
      </c>
      <c r="AF89" s="76">
        <f>IF($B89="","",Krankheitstage!E89)</f>
        <v/>
      </c>
      <c r="AG89" s="77">
        <f>IF($B89="","",AF89*N(C89))</f>
        <v/>
      </c>
    </row>
    <row r="90">
      <c r="A90" s="74">
        <f>IF(Mitarbeiter!B90="","",Mitarbeiter!A90)</f>
        <v/>
      </c>
      <c r="B90" s="6">
        <f>IF(Mitarbeiter!B90="","",Mitarbeiter!B90)</f>
        <v/>
      </c>
      <c r="C90" s="75">
        <f>IF(Mitarbeiter!B90="","",Mitarbeiter!F90)</f>
        <v/>
      </c>
      <c r="D90" s="76">
        <f>N(INDEX(Krankheitstage!$G90:$DV90,1,(Einstellungen!$C$3-2026)*24+1))</f>
        <v/>
      </c>
      <c r="E90" s="76">
        <f>N(INDEX(Krankheitstage!$G90:$DV90,1,(Einstellungen!$C$3-2026)*24+2))</f>
        <v/>
      </c>
      <c r="F90" s="76">
        <f>N(INDEX(Krankheitstage!$G90:$DV90,1,(Einstellungen!$C$3-2026)*24+3))</f>
        <v/>
      </c>
      <c r="G90" s="76">
        <f>N(INDEX(Krankheitstage!$G90:$DV90,1,(Einstellungen!$C$3-2026)*24+4))</f>
        <v/>
      </c>
      <c r="H90" s="76">
        <f>N(INDEX(Krankheitstage!$G90:$DV90,1,(Einstellungen!$C$3-2026)*24+5))</f>
        <v/>
      </c>
      <c r="I90" s="76">
        <f>N(INDEX(Krankheitstage!$G90:$DV90,1,(Einstellungen!$C$3-2026)*24+6))</f>
        <v/>
      </c>
      <c r="J90" s="76">
        <f>N(INDEX(Krankheitstage!$G90:$DV90,1,(Einstellungen!$C$3-2026)*24+7))</f>
        <v/>
      </c>
      <c r="K90" s="76">
        <f>N(INDEX(Krankheitstage!$G90:$DV90,1,(Einstellungen!$C$3-2026)*24+8))</f>
        <v/>
      </c>
      <c r="L90" s="76">
        <f>N(INDEX(Krankheitstage!$G90:$DV90,1,(Einstellungen!$C$3-2026)*24+9))</f>
        <v/>
      </c>
      <c r="M90" s="76">
        <f>N(INDEX(Krankheitstage!$G90:$DV90,1,(Einstellungen!$C$3-2026)*24+10))</f>
        <v/>
      </c>
      <c r="N90" s="76">
        <f>N(INDEX(Krankheitstage!$G90:$DV90,1,(Einstellungen!$C$3-2026)*24+11))</f>
        <v/>
      </c>
      <c r="O90" s="76">
        <f>N(INDEX(Krankheitstage!$G90:$DV90,1,(Einstellungen!$C$3-2026)*24+12))</f>
        <v/>
      </c>
      <c r="P90" s="76">
        <f>IF($B90="","",SUM(D90:O90))</f>
        <v/>
      </c>
      <c r="Q90" s="76">
        <f>N(INDEX(Krankheitstage!$G90:$DV90,1,(Einstellungen!$C$3-2026)*24+13))</f>
        <v/>
      </c>
      <c r="R90" s="76">
        <f>N(INDEX(Krankheitstage!$G90:$DV90,1,(Einstellungen!$C$3-2026)*24+14))</f>
        <v/>
      </c>
      <c r="S90" s="76">
        <f>N(INDEX(Krankheitstage!$G90:$DV90,1,(Einstellungen!$C$3-2026)*24+15))</f>
        <v/>
      </c>
      <c r="T90" s="76">
        <f>N(INDEX(Krankheitstage!$G90:$DV90,1,(Einstellungen!$C$3-2026)*24+16))</f>
        <v/>
      </c>
      <c r="U90" s="76">
        <f>N(INDEX(Krankheitstage!$G90:$DV90,1,(Einstellungen!$C$3-2026)*24+17))</f>
        <v/>
      </c>
      <c r="V90" s="76">
        <f>N(INDEX(Krankheitstage!$G90:$DV90,1,(Einstellungen!$C$3-2026)*24+18))</f>
        <v/>
      </c>
      <c r="W90" s="76">
        <f>N(INDEX(Krankheitstage!$G90:$DV90,1,(Einstellungen!$C$3-2026)*24+19))</f>
        <v/>
      </c>
      <c r="X90" s="76">
        <f>N(INDEX(Krankheitstage!$G90:$DV90,1,(Einstellungen!$C$3-2026)*24+20))</f>
        <v/>
      </c>
      <c r="Y90" s="76">
        <f>N(INDEX(Krankheitstage!$G90:$DV90,1,(Einstellungen!$C$3-2026)*24+21))</f>
        <v/>
      </c>
      <c r="Z90" s="76">
        <f>N(INDEX(Krankheitstage!$G90:$DV90,1,(Einstellungen!$C$3-2026)*24+22))</f>
        <v/>
      </c>
      <c r="AA90" s="76">
        <f>N(INDEX(Krankheitstage!$G90:$DV90,1,(Einstellungen!$C$3-2026)*24+23))</f>
        <v/>
      </c>
      <c r="AB90" s="76">
        <f>N(INDEX(Krankheitstage!$G90:$DV90,1,(Einstellungen!$C$3-2026)*24+24))</f>
        <v/>
      </c>
      <c r="AC90" s="76">
        <f>IF($B90="","",SUM(Q90:AB90))</f>
        <v/>
      </c>
      <c r="AD90" s="76">
        <f>IF($B90="","",SUM(P90,AC90))</f>
        <v/>
      </c>
      <c r="AE90" s="77">
        <f>IF($B90="","",AD90*N(C90))</f>
        <v/>
      </c>
      <c r="AF90" s="76">
        <f>IF($B90="","",Krankheitstage!E90)</f>
        <v/>
      </c>
      <c r="AG90" s="77">
        <f>IF($B90="","",AF90*N(C90))</f>
        <v/>
      </c>
    </row>
    <row r="91">
      <c r="A91" s="74">
        <f>IF(Mitarbeiter!B91="","",Mitarbeiter!A91)</f>
        <v/>
      </c>
      <c r="B91" s="6">
        <f>IF(Mitarbeiter!B91="","",Mitarbeiter!B91)</f>
        <v/>
      </c>
      <c r="C91" s="75">
        <f>IF(Mitarbeiter!B91="","",Mitarbeiter!F91)</f>
        <v/>
      </c>
      <c r="D91" s="76">
        <f>N(INDEX(Krankheitstage!$G91:$DV91,1,(Einstellungen!$C$3-2026)*24+1))</f>
        <v/>
      </c>
      <c r="E91" s="76">
        <f>N(INDEX(Krankheitstage!$G91:$DV91,1,(Einstellungen!$C$3-2026)*24+2))</f>
        <v/>
      </c>
      <c r="F91" s="76">
        <f>N(INDEX(Krankheitstage!$G91:$DV91,1,(Einstellungen!$C$3-2026)*24+3))</f>
        <v/>
      </c>
      <c r="G91" s="76">
        <f>N(INDEX(Krankheitstage!$G91:$DV91,1,(Einstellungen!$C$3-2026)*24+4))</f>
        <v/>
      </c>
      <c r="H91" s="76">
        <f>N(INDEX(Krankheitstage!$G91:$DV91,1,(Einstellungen!$C$3-2026)*24+5))</f>
        <v/>
      </c>
      <c r="I91" s="76">
        <f>N(INDEX(Krankheitstage!$G91:$DV91,1,(Einstellungen!$C$3-2026)*24+6))</f>
        <v/>
      </c>
      <c r="J91" s="76">
        <f>N(INDEX(Krankheitstage!$G91:$DV91,1,(Einstellungen!$C$3-2026)*24+7))</f>
        <v/>
      </c>
      <c r="K91" s="76">
        <f>N(INDEX(Krankheitstage!$G91:$DV91,1,(Einstellungen!$C$3-2026)*24+8))</f>
        <v/>
      </c>
      <c r="L91" s="76">
        <f>N(INDEX(Krankheitstage!$G91:$DV91,1,(Einstellungen!$C$3-2026)*24+9))</f>
        <v/>
      </c>
      <c r="M91" s="76">
        <f>N(INDEX(Krankheitstage!$G91:$DV91,1,(Einstellungen!$C$3-2026)*24+10))</f>
        <v/>
      </c>
      <c r="N91" s="76">
        <f>N(INDEX(Krankheitstage!$G91:$DV91,1,(Einstellungen!$C$3-2026)*24+11))</f>
        <v/>
      </c>
      <c r="O91" s="76">
        <f>N(INDEX(Krankheitstage!$G91:$DV91,1,(Einstellungen!$C$3-2026)*24+12))</f>
        <v/>
      </c>
      <c r="P91" s="76">
        <f>IF($B91="","",SUM(D91:O91))</f>
        <v/>
      </c>
      <c r="Q91" s="76">
        <f>N(INDEX(Krankheitstage!$G91:$DV91,1,(Einstellungen!$C$3-2026)*24+13))</f>
        <v/>
      </c>
      <c r="R91" s="76">
        <f>N(INDEX(Krankheitstage!$G91:$DV91,1,(Einstellungen!$C$3-2026)*24+14))</f>
        <v/>
      </c>
      <c r="S91" s="76">
        <f>N(INDEX(Krankheitstage!$G91:$DV91,1,(Einstellungen!$C$3-2026)*24+15))</f>
        <v/>
      </c>
      <c r="T91" s="76">
        <f>N(INDEX(Krankheitstage!$G91:$DV91,1,(Einstellungen!$C$3-2026)*24+16))</f>
        <v/>
      </c>
      <c r="U91" s="76">
        <f>N(INDEX(Krankheitstage!$G91:$DV91,1,(Einstellungen!$C$3-2026)*24+17))</f>
        <v/>
      </c>
      <c r="V91" s="76">
        <f>N(INDEX(Krankheitstage!$G91:$DV91,1,(Einstellungen!$C$3-2026)*24+18))</f>
        <v/>
      </c>
      <c r="W91" s="76">
        <f>N(INDEX(Krankheitstage!$G91:$DV91,1,(Einstellungen!$C$3-2026)*24+19))</f>
        <v/>
      </c>
      <c r="X91" s="76">
        <f>N(INDEX(Krankheitstage!$G91:$DV91,1,(Einstellungen!$C$3-2026)*24+20))</f>
        <v/>
      </c>
      <c r="Y91" s="76">
        <f>N(INDEX(Krankheitstage!$G91:$DV91,1,(Einstellungen!$C$3-2026)*24+21))</f>
        <v/>
      </c>
      <c r="Z91" s="76">
        <f>N(INDEX(Krankheitstage!$G91:$DV91,1,(Einstellungen!$C$3-2026)*24+22))</f>
        <v/>
      </c>
      <c r="AA91" s="76">
        <f>N(INDEX(Krankheitstage!$G91:$DV91,1,(Einstellungen!$C$3-2026)*24+23))</f>
        <v/>
      </c>
      <c r="AB91" s="76">
        <f>N(INDEX(Krankheitstage!$G91:$DV91,1,(Einstellungen!$C$3-2026)*24+24))</f>
        <v/>
      </c>
      <c r="AC91" s="76">
        <f>IF($B91="","",SUM(Q91:AB91))</f>
        <v/>
      </c>
      <c r="AD91" s="76">
        <f>IF($B91="","",SUM(P91,AC91))</f>
        <v/>
      </c>
      <c r="AE91" s="77">
        <f>IF($B91="","",AD91*N(C91))</f>
        <v/>
      </c>
      <c r="AF91" s="76">
        <f>IF($B91="","",Krankheitstage!E91)</f>
        <v/>
      </c>
      <c r="AG91" s="77">
        <f>IF($B91="","",AF91*N(C91))</f>
        <v/>
      </c>
    </row>
    <row r="92">
      <c r="A92" s="74">
        <f>IF(Mitarbeiter!B92="","",Mitarbeiter!A92)</f>
        <v/>
      </c>
      <c r="B92" s="6">
        <f>IF(Mitarbeiter!B92="","",Mitarbeiter!B92)</f>
        <v/>
      </c>
      <c r="C92" s="75">
        <f>IF(Mitarbeiter!B92="","",Mitarbeiter!F92)</f>
        <v/>
      </c>
      <c r="D92" s="76">
        <f>N(INDEX(Krankheitstage!$G92:$DV92,1,(Einstellungen!$C$3-2026)*24+1))</f>
        <v/>
      </c>
      <c r="E92" s="76">
        <f>N(INDEX(Krankheitstage!$G92:$DV92,1,(Einstellungen!$C$3-2026)*24+2))</f>
        <v/>
      </c>
      <c r="F92" s="76">
        <f>N(INDEX(Krankheitstage!$G92:$DV92,1,(Einstellungen!$C$3-2026)*24+3))</f>
        <v/>
      </c>
      <c r="G92" s="76">
        <f>N(INDEX(Krankheitstage!$G92:$DV92,1,(Einstellungen!$C$3-2026)*24+4))</f>
        <v/>
      </c>
      <c r="H92" s="76">
        <f>N(INDEX(Krankheitstage!$G92:$DV92,1,(Einstellungen!$C$3-2026)*24+5))</f>
        <v/>
      </c>
      <c r="I92" s="76">
        <f>N(INDEX(Krankheitstage!$G92:$DV92,1,(Einstellungen!$C$3-2026)*24+6))</f>
        <v/>
      </c>
      <c r="J92" s="76">
        <f>N(INDEX(Krankheitstage!$G92:$DV92,1,(Einstellungen!$C$3-2026)*24+7))</f>
        <v/>
      </c>
      <c r="K92" s="76">
        <f>N(INDEX(Krankheitstage!$G92:$DV92,1,(Einstellungen!$C$3-2026)*24+8))</f>
        <v/>
      </c>
      <c r="L92" s="76">
        <f>N(INDEX(Krankheitstage!$G92:$DV92,1,(Einstellungen!$C$3-2026)*24+9))</f>
        <v/>
      </c>
      <c r="M92" s="76">
        <f>N(INDEX(Krankheitstage!$G92:$DV92,1,(Einstellungen!$C$3-2026)*24+10))</f>
        <v/>
      </c>
      <c r="N92" s="76">
        <f>N(INDEX(Krankheitstage!$G92:$DV92,1,(Einstellungen!$C$3-2026)*24+11))</f>
        <v/>
      </c>
      <c r="O92" s="76">
        <f>N(INDEX(Krankheitstage!$G92:$DV92,1,(Einstellungen!$C$3-2026)*24+12))</f>
        <v/>
      </c>
      <c r="P92" s="76">
        <f>IF($B92="","",SUM(D92:O92))</f>
        <v/>
      </c>
      <c r="Q92" s="76">
        <f>N(INDEX(Krankheitstage!$G92:$DV92,1,(Einstellungen!$C$3-2026)*24+13))</f>
        <v/>
      </c>
      <c r="R92" s="76">
        <f>N(INDEX(Krankheitstage!$G92:$DV92,1,(Einstellungen!$C$3-2026)*24+14))</f>
        <v/>
      </c>
      <c r="S92" s="76">
        <f>N(INDEX(Krankheitstage!$G92:$DV92,1,(Einstellungen!$C$3-2026)*24+15))</f>
        <v/>
      </c>
      <c r="T92" s="76">
        <f>N(INDEX(Krankheitstage!$G92:$DV92,1,(Einstellungen!$C$3-2026)*24+16))</f>
        <v/>
      </c>
      <c r="U92" s="76">
        <f>N(INDEX(Krankheitstage!$G92:$DV92,1,(Einstellungen!$C$3-2026)*24+17))</f>
        <v/>
      </c>
      <c r="V92" s="76">
        <f>N(INDEX(Krankheitstage!$G92:$DV92,1,(Einstellungen!$C$3-2026)*24+18))</f>
        <v/>
      </c>
      <c r="W92" s="76">
        <f>N(INDEX(Krankheitstage!$G92:$DV92,1,(Einstellungen!$C$3-2026)*24+19))</f>
        <v/>
      </c>
      <c r="X92" s="76">
        <f>N(INDEX(Krankheitstage!$G92:$DV92,1,(Einstellungen!$C$3-2026)*24+20))</f>
        <v/>
      </c>
      <c r="Y92" s="76">
        <f>N(INDEX(Krankheitstage!$G92:$DV92,1,(Einstellungen!$C$3-2026)*24+21))</f>
        <v/>
      </c>
      <c r="Z92" s="76">
        <f>N(INDEX(Krankheitstage!$G92:$DV92,1,(Einstellungen!$C$3-2026)*24+22))</f>
        <v/>
      </c>
      <c r="AA92" s="76">
        <f>N(INDEX(Krankheitstage!$G92:$DV92,1,(Einstellungen!$C$3-2026)*24+23))</f>
        <v/>
      </c>
      <c r="AB92" s="76">
        <f>N(INDEX(Krankheitstage!$G92:$DV92,1,(Einstellungen!$C$3-2026)*24+24))</f>
        <v/>
      </c>
      <c r="AC92" s="76">
        <f>IF($B92="","",SUM(Q92:AB92))</f>
        <v/>
      </c>
      <c r="AD92" s="76">
        <f>IF($B92="","",SUM(P92,AC92))</f>
        <v/>
      </c>
      <c r="AE92" s="77">
        <f>IF($B92="","",AD92*N(C92))</f>
        <v/>
      </c>
      <c r="AF92" s="76">
        <f>IF($B92="","",Krankheitstage!E92)</f>
        <v/>
      </c>
      <c r="AG92" s="77">
        <f>IF($B92="","",AF92*N(C92))</f>
        <v/>
      </c>
    </row>
    <row r="93">
      <c r="A93" s="74">
        <f>IF(Mitarbeiter!B93="","",Mitarbeiter!A93)</f>
        <v/>
      </c>
      <c r="B93" s="6">
        <f>IF(Mitarbeiter!B93="","",Mitarbeiter!B93)</f>
        <v/>
      </c>
      <c r="C93" s="75">
        <f>IF(Mitarbeiter!B93="","",Mitarbeiter!F93)</f>
        <v/>
      </c>
      <c r="D93" s="76">
        <f>N(INDEX(Krankheitstage!$G93:$DV93,1,(Einstellungen!$C$3-2026)*24+1))</f>
        <v/>
      </c>
      <c r="E93" s="76">
        <f>N(INDEX(Krankheitstage!$G93:$DV93,1,(Einstellungen!$C$3-2026)*24+2))</f>
        <v/>
      </c>
      <c r="F93" s="76">
        <f>N(INDEX(Krankheitstage!$G93:$DV93,1,(Einstellungen!$C$3-2026)*24+3))</f>
        <v/>
      </c>
      <c r="G93" s="76">
        <f>N(INDEX(Krankheitstage!$G93:$DV93,1,(Einstellungen!$C$3-2026)*24+4))</f>
        <v/>
      </c>
      <c r="H93" s="76">
        <f>N(INDEX(Krankheitstage!$G93:$DV93,1,(Einstellungen!$C$3-2026)*24+5))</f>
        <v/>
      </c>
      <c r="I93" s="76">
        <f>N(INDEX(Krankheitstage!$G93:$DV93,1,(Einstellungen!$C$3-2026)*24+6))</f>
        <v/>
      </c>
      <c r="J93" s="76">
        <f>N(INDEX(Krankheitstage!$G93:$DV93,1,(Einstellungen!$C$3-2026)*24+7))</f>
        <v/>
      </c>
      <c r="K93" s="76">
        <f>N(INDEX(Krankheitstage!$G93:$DV93,1,(Einstellungen!$C$3-2026)*24+8))</f>
        <v/>
      </c>
      <c r="L93" s="76">
        <f>N(INDEX(Krankheitstage!$G93:$DV93,1,(Einstellungen!$C$3-2026)*24+9))</f>
        <v/>
      </c>
      <c r="M93" s="76">
        <f>N(INDEX(Krankheitstage!$G93:$DV93,1,(Einstellungen!$C$3-2026)*24+10))</f>
        <v/>
      </c>
      <c r="N93" s="76">
        <f>N(INDEX(Krankheitstage!$G93:$DV93,1,(Einstellungen!$C$3-2026)*24+11))</f>
        <v/>
      </c>
      <c r="O93" s="76">
        <f>N(INDEX(Krankheitstage!$G93:$DV93,1,(Einstellungen!$C$3-2026)*24+12))</f>
        <v/>
      </c>
      <c r="P93" s="76">
        <f>IF($B93="","",SUM(D93:O93))</f>
        <v/>
      </c>
      <c r="Q93" s="76">
        <f>N(INDEX(Krankheitstage!$G93:$DV93,1,(Einstellungen!$C$3-2026)*24+13))</f>
        <v/>
      </c>
      <c r="R93" s="76">
        <f>N(INDEX(Krankheitstage!$G93:$DV93,1,(Einstellungen!$C$3-2026)*24+14))</f>
        <v/>
      </c>
      <c r="S93" s="76">
        <f>N(INDEX(Krankheitstage!$G93:$DV93,1,(Einstellungen!$C$3-2026)*24+15))</f>
        <v/>
      </c>
      <c r="T93" s="76">
        <f>N(INDEX(Krankheitstage!$G93:$DV93,1,(Einstellungen!$C$3-2026)*24+16))</f>
        <v/>
      </c>
      <c r="U93" s="76">
        <f>N(INDEX(Krankheitstage!$G93:$DV93,1,(Einstellungen!$C$3-2026)*24+17))</f>
        <v/>
      </c>
      <c r="V93" s="76">
        <f>N(INDEX(Krankheitstage!$G93:$DV93,1,(Einstellungen!$C$3-2026)*24+18))</f>
        <v/>
      </c>
      <c r="W93" s="76">
        <f>N(INDEX(Krankheitstage!$G93:$DV93,1,(Einstellungen!$C$3-2026)*24+19))</f>
        <v/>
      </c>
      <c r="X93" s="76">
        <f>N(INDEX(Krankheitstage!$G93:$DV93,1,(Einstellungen!$C$3-2026)*24+20))</f>
        <v/>
      </c>
      <c r="Y93" s="76">
        <f>N(INDEX(Krankheitstage!$G93:$DV93,1,(Einstellungen!$C$3-2026)*24+21))</f>
        <v/>
      </c>
      <c r="Z93" s="76">
        <f>N(INDEX(Krankheitstage!$G93:$DV93,1,(Einstellungen!$C$3-2026)*24+22))</f>
        <v/>
      </c>
      <c r="AA93" s="76">
        <f>N(INDEX(Krankheitstage!$G93:$DV93,1,(Einstellungen!$C$3-2026)*24+23))</f>
        <v/>
      </c>
      <c r="AB93" s="76">
        <f>N(INDEX(Krankheitstage!$G93:$DV93,1,(Einstellungen!$C$3-2026)*24+24))</f>
        <v/>
      </c>
      <c r="AC93" s="76">
        <f>IF($B93="","",SUM(Q93:AB93))</f>
        <v/>
      </c>
      <c r="AD93" s="76">
        <f>IF($B93="","",SUM(P93,AC93))</f>
        <v/>
      </c>
      <c r="AE93" s="77">
        <f>IF($B93="","",AD93*N(C93))</f>
        <v/>
      </c>
      <c r="AF93" s="76">
        <f>IF($B93="","",Krankheitstage!E93)</f>
        <v/>
      </c>
      <c r="AG93" s="77">
        <f>IF($B93="","",AF93*N(C93))</f>
        <v/>
      </c>
    </row>
    <row r="94">
      <c r="A94" s="74">
        <f>IF(Mitarbeiter!B94="","",Mitarbeiter!A94)</f>
        <v/>
      </c>
      <c r="B94" s="6">
        <f>IF(Mitarbeiter!B94="","",Mitarbeiter!B94)</f>
        <v/>
      </c>
      <c r="C94" s="75">
        <f>IF(Mitarbeiter!B94="","",Mitarbeiter!F94)</f>
        <v/>
      </c>
      <c r="D94" s="76">
        <f>N(INDEX(Krankheitstage!$G94:$DV94,1,(Einstellungen!$C$3-2026)*24+1))</f>
        <v/>
      </c>
      <c r="E94" s="76">
        <f>N(INDEX(Krankheitstage!$G94:$DV94,1,(Einstellungen!$C$3-2026)*24+2))</f>
        <v/>
      </c>
      <c r="F94" s="76">
        <f>N(INDEX(Krankheitstage!$G94:$DV94,1,(Einstellungen!$C$3-2026)*24+3))</f>
        <v/>
      </c>
      <c r="G94" s="76">
        <f>N(INDEX(Krankheitstage!$G94:$DV94,1,(Einstellungen!$C$3-2026)*24+4))</f>
        <v/>
      </c>
      <c r="H94" s="76">
        <f>N(INDEX(Krankheitstage!$G94:$DV94,1,(Einstellungen!$C$3-2026)*24+5))</f>
        <v/>
      </c>
      <c r="I94" s="76">
        <f>N(INDEX(Krankheitstage!$G94:$DV94,1,(Einstellungen!$C$3-2026)*24+6))</f>
        <v/>
      </c>
      <c r="J94" s="76">
        <f>N(INDEX(Krankheitstage!$G94:$DV94,1,(Einstellungen!$C$3-2026)*24+7))</f>
        <v/>
      </c>
      <c r="K94" s="76">
        <f>N(INDEX(Krankheitstage!$G94:$DV94,1,(Einstellungen!$C$3-2026)*24+8))</f>
        <v/>
      </c>
      <c r="L94" s="76">
        <f>N(INDEX(Krankheitstage!$G94:$DV94,1,(Einstellungen!$C$3-2026)*24+9))</f>
        <v/>
      </c>
      <c r="M94" s="76">
        <f>N(INDEX(Krankheitstage!$G94:$DV94,1,(Einstellungen!$C$3-2026)*24+10))</f>
        <v/>
      </c>
      <c r="N94" s="76">
        <f>N(INDEX(Krankheitstage!$G94:$DV94,1,(Einstellungen!$C$3-2026)*24+11))</f>
        <v/>
      </c>
      <c r="O94" s="76">
        <f>N(INDEX(Krankheitstage!$G94:$DV94,1,(Einstellungen!$C$3-2026)*24+12))</f>
        <v/>
      </c>
      <c r="P94" s="76">
        <f>IF($B94="","",SUM(D94:O94))</f>
        <v/>
      </c>
      <c r="Q94" s="76">
        <f>N(INDEX(Krankheitstage!$G94:$DV94,1,(Einstellungen!$C$3-2026)*24+13))</f>
        <v/>
      </c>
      <c r="R94" s="76">
        <f>N(INDEX(Krankheitstage!$G94:$DV94,1,(Einstellungen!$C$3-2026)*24+14))</f>
        <v/>
      </c>
      <c r="S94" s="76">
        <f>N(INDEX(Krankheitstage!$G94:$DV94,1,(Einstellungen!$C$3-2026)*24+15))</f>
        <v/>
      </c>
      <c r="T94" s="76">
        <f>N(INDEX(Krankheitstage!$G94:$DV94,1,(Einstellungen!$C$3-2026)*24+16))</f>
        <v/>
      </c>
      <c r="U94" s="76">
        <f>N(INDEX(Krankheitstage!$G94:$DV94,1,(Einstellungen!$C$3-2026)*24+17))</f>
        <v/>
      </c>
      <c r="V94" s="76">
        <f>N(INDEX(Krankheitstage!$G94:$DV94,1,(Einstellungen!$C$3-2026)*24+18))</f>
        <v/>
      </c>
      <c r="W94" s="76">
        <f>N(INDEX(Krankheitstage!$G94:$DV94,1,(Einstellungen!$C$3-2026)*24+19))</f>
        <v/>
      </c>
      <c r="X94" s="76">
        <f>N(INDEX(Krankheitstage!$G94:$DV94,1,(Einstellungen!$C$3-2026)*24+20))</f>
        <v/>
      </c>
      <c r="Y94" s="76">
        <f>N(INDEX(Krankheitstage!$G94:$DV94,1,(Einstellungen!$C$3-2026)*24+21))</f>
        <v/>
      </c>
      <c r="Z94" s="76">
        <f>N(INDEX(Krankheitstage!$G94:$DV94,1,(Einstellungen!$C$3-2026)*24+22))</f>
        <v/>
      </c>
      <c r="AA94" s="76">
        <f>N(INDEX(Krankheitstage!$G94:$DV94,1,(Einstellungen!$C$3-2026)*24+23))</f>
        <v/>
      </c>
      <c r="AB94" s="76">
        <f>N(INDEX(Krankheitstage!$G94:$DV94,1,(Einstellungen!$C$3-2026)*24+24))</f>
        <v/>
      </c>
      <c r="AC94" s="76">
        <f>IF($B94="","",SUM(Q94:AB94))</f>
        <v/>
      </c>
      <c r="AD94" s="76">
        <f>IF($B94="","",SUM(P94,AC94))</f>
        <v/>
      </c>
      <c r="AE94" s="77">
        <f>IF($B94="","",AD94*N(C94))</f>
        <v/>
      </c>
      <c r="AF94" s="76">
        <f>IF($B94="","",Krankheitstage!E94)</f>
        <v/>
      </c>
      <c r="AG94" s="77">
        <f>IF($B94="","",AF94*N(C94))</f>
        <v/>
      </c>
    </row>
    <row r="95">
      <c r="A95" s="74">
        <f>IF(Mitarbeiter!B95="","",Mitarbeiter!A95)</f>
        <v/>
      </c>
      <c r="B95" s="6">
        <f>IF(Mitarbeiter!B95="","",Mitarbeiter!B95)</f>
        <v/>
      </c>
      <c r="C95" s="75">
        <f>IF(Mitarbeiter!B95="","",Mitarbeiter!F95)</f>
        <v/>
      </c>
      <c r="D95" s="76">
        <f>N(INDEX(Krankheitstage!$G95:$DV95,1,(Einstellungen!$C$3-2026)*24+1))</f>
        <v/>
      </c>
      <c r="E95" s="76">
        <f>N(INDEX(Krankheitstage!$G95:$DV95,1,(Einstellungen!$C$3-2026)*24+2))</f>
        <v/>
      </c>
      <c r="F95" s="76">
        <f>N(INDEX(Krankheitstage!$G95:$DV95,1,(Einstellungen!$C$3-2026)*24+3))</f>
        <v/>
      </c>
      <c r="G95" s="76">
        <f>N(INDEX(Krankheitstage!$G95:$DV95,1,(Einstellungen!$C$3-2026)*24+4))</f>
        <v/>
      </c>
      <c r="H95" s="76">
        <f>N(INDEX(Krankheitstage!$G95:$DV95,1,(Einstellungen!$C$3-2026)*24+5))</f>
        <v/>
      </c>
      <c r="I95" s="76">
        <f>N(INDEX(Krankheitstage!$G95:$DV95,1,(Einstellungen!$C$3-2026)*24+6))</f>
        <v/>
      </c>
      <c r="J95" s="76">
        <f>N(INDEX(Krankheitstage!$G95:$DV95,1,(Einstellungen!$C$3-2026)*24+7))</f>
        <v/>
      </c>
      <c r="K95" s="76">
        <f>N(INDEX(Krankheitstage!$G95:$DV95,1,(Einstellungen!$C$3-2026)*24+8))</f>
        <v/>
      </c>
      <c r="L95" s="76">
        <f>N(INDEX(Krankheitstage!$G95:$DV95,1,(Einstellungen!$C$3-2026)*24+9))</f>
        <v/>
      </c>
      <c r="M95" s="76">
        <f>N(INDEX(Krankheitstage!$G95:$DV95,1,(Einstellungen!$C$3-2026)*24+10))</f>
        <v/>
      </c>
      <c r="N95" s="76">
        <f>N(INDEX(Krankheitstage!$G95:$DV95,1,(Einstellungen!$C$3-2026)*24+11))</f>
        <v/>
      </c>
      <c r="O95" s="76">
        <f>N(INDEX(Krankheitstage!$G95:$DV95,1,(Einstellungen!$C$3-2026)*24+12))</f>
        <v/>
      </c>
      <c r="P95" s="76">
        <f>IF($B95="","",SUM(D95:O95))</f>
        <v/>
      </c>
      <c r="Q95" s="76">
        <f>N(INDEX(Krankheitstage!$G95:$DV95,1,(Einstellungen!$C$3-2026)*24+13))</f>
        <v/>
      </c>
      <c r="R95" s="76">
        <f>N(INDEX(Krankheitstage!$G95:$DV95,1,(Einstellungen!$C$3-2026)*24+14))</f>
        <v/>
      </c>
      <c r="S95" s="76">
        <f>N(INDEX(Krankheitstage!$G95:$DV95,1,(Einstellungen!$C$3-2026)*24+15))</f>
        <v/>
      </c>
      <c r="T95" s="76">
        <f>N(INDEX(Krankheitstage!$G95:$DV95,1,(Einstellungen!$C$3-2026)*24+16))</f>
        <v/>
      </c>
      <c r="U95" s="76">
        <f>N(INDEX(Krankheitstage!$G95:$DV95,1,(Einstellungen!$C$3-2026)*24+17))</f>
        <v/>
      </c>
      <c r="V95" s="76">
        <f>N(INDEX(Krankheitstage!$G95:$DV95,1,(Einstellungen!$C$3-2026)*24+18))</f>
        <v/>
      </c>
      <c r="W95" s="76">
        <f>N(INDEX(Krankheitstage!$G95:$DV95,1,(Einstellungen!$C$3-2026)*24+19))</f>
        <v/>
      </c>
      <c r="X95" s="76">
        <f>N(INDEX(Krankheitstage!$G95:$DV95,1,(Einstellungen!$C$3-2026)*24+20))</f>
        <v/>
      </c>
      <c r="Y95" s="76">
        <f>N(INDEX(Krankheitstage!$G95:$DV95,1,(Einstellungen!$C$3-2026)*24+21))</f>
        <v/>
      </c>
      <c r="Z95" s="76">
        <f>N(INDEX(Krankheitstage!$G95:$DV95,1,(Einstellungen!$C$3-2026)*24+22))</f>
        <v/>
      </c>
      <c r="AA95" s="76">
        <f>N(INDEX(Krankheitstage!$G95:$DV95,1,(Einstellungen!$C$3-2026)*24+23))</f>
        <v/>
      </c>
      <c r="AB95" s="76">
        <f>N(INDEX(Krankheitstage!$G95:$DV95,1,(Einstellungen!$C$3-2026)*24+24))</f>
        <v/>
      </c>
      <c r="AC95" s="76">
        <f>IF($B95="","",SUM(Q95:AB95))</f>
        <v/>
      </c>
      <c r="AD95" s="76">
        <f>IF($B95="","",SUM(P95,AC95))</f>
        <v/>
      </c>
      <c r="AE95" s="77">
        <f>IF($B95="","",AD95*N(C95))</f>
        <v/>
      </c>
      <c r="AF95" s="76">
        <f>IF($B95="","",Krankheitstage!E95)</f>
        <v/>
      </c>
      <c r="AG95" s="77">
        <f>IF($B95="","",AF95*N(C95))</f>
        <v/>
      </c>
    </row>
    <row r="96">
      <c r="A96" s="74">
        <f>IF(Mitarbeiter!B96="","",Mitarbeiter!A96)</f>
        <v/>
      </c>
      <c r="B96" s="6">
        <f>IF(Mitarbeiter!B96="","",Mitarbeiter!B96)</f>
        <v/>
      </c>
      <c r="C96" s="75">
        <f>IF(Mitarbeiter!B96="","",Mitarbeiter!F96)</f>
        <v/>
      </c>
      <c r="D96" s="76">
        <f>N(INDEX(Krankheitstage!$G96:$DV96,1,(Einstellungen!$C$3-2026)*24+1))</f>
        <v/>
      </c>
      <c r="E96" s="76">
        <f>N(INDEX(Krankheitstage!$G96:$DV96,1,(Einstellungen!$C$3-2026)*24+2))</f>
        <v/>
      </c>
      <c r="F96" s="76">
        <f>N(INDEX(Krankheitstage!$G96:$DV96,1,(Einstellungen!$C$3-2026)*24+3))</f>
        <v/>
      </c>
      <c r="G96" s="76">
        <f>N(INDEX(Krankheitstage!$G96:$DV96,1,(Einstellungen!$C$3-2026)*24+4))</f>
        <v/>
      </c>
      <c r="H96" s="76">
        <f>N(INDEX(Krankheitstage!$G96:$DV96,1,(Einstellungen!$C$3-2026)*24+5))</f>
        <v/>
      </c>
      <c r="I96" s="76">
        <f>N(INDEX(Krankheitstage!$G96:$DV96,1,(Einstellungen!$C$3-2026)*24+6))</f>
        <v/>
      </c>
      <c r="J96" s="76">
        <f>N(INDEX(Krankheitstage!$G96:$DV96,1,(Einstellungen!$C$3-2026)*24+7))</f>
        <v/>
      </c>
      <c r="K96" s="76">
        <f>N(INDEX(Krankheitstage!$G96:$DV96,1,(Einstellungen!$C$3-2026)*24+8))</f>
        <v/>
      </c>
      <c r="L96" s="76">
        <f>N(INDEX(Krankheitstage!$G96:$DV96,1,(Einstellungen!$C$3-2026)*24+9))</f>
        <v/>
      </c>
      <c r="M96" s="76">
        <f>N(INDEX(Krankheitstage!$G96:$DV96,1,(Einstellungen!$C$3-2026)*24+10))</f>
        <v/>
      </c>
      <c r="N96" s="76">
        <f>N(INDEX(Krankheitstage!$G96:$DV96,1,(Einstellungen!$C$3-2026)*24+11))</f>
        <v/>
      </c>
      <c r="O96" s="76">
        <f>N(INDEX(Krankheitstage!$G96:$DV96,1,(Einstellungen!$C$3-2026)*24+12))</f>
        <v/>
      </c>
      <c r="P96" s="76">
        <f>IF($B96="","",SUM(D96:O96))</f>
        <v/>
      </c>
      <c r="Q96" s="76">
        <f>N(INDEX(Krankheitstage!$G96:$DV96,1,(Einstellungen!$C$3-2026)*24+13))</f>
        <v/>
      </c>
      <c r="R96" s="76">
        <f>N(INDEX(Krankheitstage!$G96:$DV96,1,(Einstellungen!$C$3-2026)*24+14))</f>
        <v/>
      </c>
      <c r="S96" s="76">
        <f>N(INDEX(Krankheitstage!$G96:$DV96,1,(Einstellungen!$C$3-2026)*24+15))</f>
        <v/>
      </c>
      <c r="T96" s="76">
        <f>N(INDEX(Krankheitstage!$G96:$DV96,1,(Einstellungen!$C$3-2026)*24+16))</f>
        <v/>
      </c>
      <c r="U96" s="76">
        <f>N(INDEX(Krankheitstage!$G96:$DV96,1,(Einstellungen!$C$3-2026)*24+17))</f>
        <v/>
      </c>
      <c r="V96" s="76">
        <f>N(INDEX(Krankheitstage!$G96:$DV96,1,(Einstellungen!$C$3-2026)*24+18))</f>
        <v/>
      </c>
      <c r="W96" s="76">
        <f>N(INDEX(Krankheitstage!$G96:$DV96,1,(Einstellungen!$C$3-2026)*24+19))</f>
        <v/>
      </c>
      <c r="X96" s="76">
        <f>N(INDEX(Krankheitstage!$G96:$DV96,1,(Einstellungen!$C$3-2026)*24+20))</f>
        <v/>
      </c>
      <c r="Y96" s="76">
        <f>N(INDEX(Krankheitstage!$G96:$DV96,1,(Einstellungen!$C$3-2026)*24+21))</f>
        <v/>
      </c>
      <c r="Z96" s="76">
        <f>N(INDEX(Krankheitstage!$G96:$DV96,1,(Einstellungen!$C$3-2026)*24+22))</f>
        <v/>
      </c>
      <c r="AA96" s="76">
        <f>N(INDEX(Krankheitstage!$G96:$DV96,1,(Einstellungen!$C$3-2026)*24+23))</f>
        <v/>
      </c>
      <c r="AB96" s="76">
        <f>N(INDEX(Krankheitstage!$G96:$DV96,1,(Einstellungen!$C$3-2026)*24+24))</f>
        <v/>
      </c>
      <c r="AC96" s="76">
        <f>IF($B96="","",SUM(Q96:AB96))</f>
        <v/>
      </c>
      <c r="AD96" s="76">
        <f>IF($B96="","",SUM(P96,AC96))</f>
        <v/>
      </c>
      <c r="AE96" s="77">
        <f>IF($B96="","",AD96*N(C96))</f>
        <v/>
      </c>
      <c r="AF96" s="76">
        <f>IF($B96="","",Krankheitstage!E96)</f>
        <v/>
      </c>
      <c r="AG96" s="77">
        <f>IF($B96="","",AF96*N(C96))</f>
        <v/>
      </c>
    </row>
    <row r="97">
      <c r="A97" s="74">
        <f>IF(Mitarbeiter!B97="","",Mitarbeiter!A97)</f>
        <v/>
      </c>
      <c r="B97" s="6">
        <f>IF(Mitarbeiter!B97="","",Mitarbeiter!B97)</f>
        <v/>
      </c>
      <c r="C97" s="75">
        <f>IF(Mitarbeiter!B97="","",Mitarbeiter!F97)</f>
        <v/>
      </c>
      <c r="D97" s="76">
        <f>N(INDEX(Krankheitstage!$G97:$DV97,1,(Einstellungen!$C$3-2026)*24+1))</f>
        <v/>
      </c>
      <c r="E97" s="76">
        <f>N(INDEX(Krankheitstage!$G97:$DV97,1,(Einstellungen!$C$3-2026)*24+2))</f>
        <v/>
      </c>
      <c r="F97" s="76">
        <f>N(INDEX(Krankheitstage!$G97:$DV97,1,(Einstellungen!$C$3-2026)*24+3))</f>
        <v/>
      </c>
      <c r="G97" s="76">
        <f>N(INDEX(Krankheitstage!$G97:$DV97,1,(Einstellungen!$C$3-2026)*24+4))</f>
        <v/>
      </c>
      <c r="H97" s="76">
        <f>N(INDEX(Krankheitstage!$G97:$DV97,1,(Einstellungen!$C$3-2026)*24+5))</f>
        <v/>
      </c>
      <c r="I97" s="76">
        <f>N(INDEX(Krankheitstage!$G97:$DV97,1,(Einstellungen!$C$3-2026)*24+6))</f>
        <v/>
      </c>
      <c r="J97" s="76">
        <f>N(INDEX(Krankheitstage!$G97:$DV97,1,(Einstellungen!$C$3-2026)*24+7))</f>
        <v/>
      </c>
      <c r="K97" s="76">
        <f>N(INDEX(Krankheitstage!$G97:$DV97,1,(Einstellungen!$C$3-2026)*24+8))</f>
        <v/>
      </c>
      <c r="L97" s="76">
        <f>N(INDEX(Krankheitstage!$G97:$DV97,1,(Einstellungen!$C$3-2026)*24+9))</f>
        <v/>
      </c>
      <c r="M97" s="76">
        <f>N(INDEX(Krankheitstage!$G97:$DV97,1,(Einstellungen!$C$3-2026)*24+10))</f>
        <v/>
      </c>
      <c r="N97" s="76">
        <f>N(INDEX(Krankheitstage!$G97:$DV97,1,(Einstellungen!$C$3-2026)*24+11))</f>
        <v/>
      </c>
      <c r="O97" s="76">
        <f>N(INDEX(Krankheitstage!$G97:$DV97,1,(Einstellungen!$C$3-2026)*24+12))</f>
        <v/>
      </c>
      <c r="P97" s="76">
        <f>IF($B97="","",SUM(D97:O97))</f>
        <v/>
      </c>
      <c r="Q97" s="76">
        <f>N(INDEX(Krankheitstage!$G97:$DV97,1,(Einstellungen!$C$3-2026)*24+13))</f>
        <v/>
      </c>
      <c r="R97" s="76">
        <f>N(INDEX(Krankheitstage!$G97:$DV97,1,(Einstellungen!$C$3-2026)*24+14))</f>
        <v/>
      </c>
      <c r="S97" s="76">
        <f>N(INDEX(Krankheitstage!$G97:$DV97,1,(Einstellungen!$C$3-2026)*24+15))</f>
        <v/>
      </c>
      <c r="T97" s="76">
        <f>N(INDEX(Krankheitstage!$G97:$DV97,1,(Einstellungen!$C$3-2026)*24+16))</f>
        <v/>
      </c>
      <c r="U97" s="76">
        <f>N(INDEX(Krankheitstage!$G97:$DV97,1,(Einstellungen!$C$3-2026)*24+17))</f>
        <v/>
      </c>
      <c r="V97" s="76">
        <f>N(INDEX(Krankheitstage!$G97:$DV97,1,(Einstellungen!$C$3-2026)*24+18))</f>
        <v/>
      </c>
      <c r="W97" s="76">
        <f>N(INDEX(Krankheitstage!$G97:$DV97,1,(Einstellungen!$C$3-2026)*24+19))</f>
        <v/>
      </c>
      <c r="X97" s="76">
        <f>N(INDEX(Krankheitstage!$G97:$DV97,1,(Einstellungen!$C$3-2026)*24+20))</f>
        <v/>
      </c>
      <c r="Y97" s="76">
        <f>N(INDEX(Krankheitstage!$G97:$DV97,1,(Einstellungen!$C$3-2026)*24+21))</f>
        <v/>
      </c>
      <c r="Z97" s="76">
        <f>N(INDEX(Krankheitstage!$G97:$DV97,1,(Einstellungen!$C$3-2026)*24+22))</f>
        <v/>
      </c>
      <c r="AA97" s="76">
        <f>N(INDEX(Krankheitstage!$G97:$DV97,1,(Einstellungen!$C$3-2026)*24+23))</f>
        <v/>
      </c>
      <c r="AB97" s="76">
        <f>N(INDEX(Krankheitstage!$G97:$DV97,1,(Einstellungen!$C$3-2026)*24+24))</f>
        <v/>
      </c>
      <c r="AC97" s="76">
        <f>IF($B97="","",SUM(Q97:AB97))</f>
        <v/>
      </c>
      <c r="AD97" s="76">
        <f>IF($B97="","",SUM(P97,AC97))</f>
        <v/>
      </c>
      <c r="AE97" s="77">
        <f>IF($B97="","",AD97*N(C97))</f>
        <v/>
      </c>
      <c r="AF97" s="76">
        <f>IF($B97="","",Krankheitstage!E97)</f>
        <v/>
      </c>
      <c r="AG97" s="77">
        <f>IF($B97="","",AF97*N(C97))</f>
        <v/>
      </c>
    </row>
    <row r="98">
      <c r="A98" s="74">
        <f>IF(Mitarbeiter!B98="","",Mitarbeiter!A98)</f>
        <v/>
      </c>
      <c r="B98" s="6">
        <f>IF(Mitarbeiter!B98="","",Mitarbeiter!B98)</f>
        <v/>
      </c>
      <c r="C98" s="75">
        <f>IF(Mitarbeiter!B98="","",Mitarbeiter!F98)</f>
        <v/>
      </c>
      <c r="D98" s="76">
        <f>N(INDEX(Krankheitstage!$G98:$DV98,1,(Einstellungen!$C$3-2026)*24+1))</f>
        <v/>
      </c>
      <c r="E98" s="76">
        <f>N(INDEX(Krankheitstage!$G98:$DV98,1,(Einstellungen!$C$3-2026)*24+2))</f>
        <v/>
      </c>
      <c r="F98" s="76">
        <f>N(INDEX(Krankheitstage!$G98:$DV98,1,(Einstellungen!$C$3-2026)*24+3))</f>
        <v/>
      </c>
      <c r="G98" s="76">
        <f>N(INDEX(Krankheitstage!$G98:$DV98,1,(Einstellungen!$C$3-2026)*24+4))</f>
        <v/>
      </c>
      <c r="H98" s="76">
        <f>N(INDEX(Krankheitstage!$G98:$DV98,1,(Einstellungen!$C$3-2026)*24+5))</f>
        <v/>
      </c>
      <c r="I98" s="76">
        <f>N(INDEX(Krankheitstage!$G98:$DV98,1,(Einstellungen!$C$3-2026)*24+6))</f>
        <v/>
      </c>
      <c r="J98" s="76">
        <f>N(INDEX(Krankheitstage!$G98:$DV98,1,(Einstellungen!$C$3-2026)*24+7))</f>
        <v/>
      </c>
      <c r="K98" s="76">
        <f>N(INDEX(Krankheitstage!$G98:$DV98,1,(Einstellungen!$C$3-2026)*24+8))</f>
        <v/>
      </c>
      <c r="L98" s="76">
        <f>N(INDEX(Krankheitstage!$G98:$DV98,1,(Einstellungen!$C$3-2026)*24+9))</f>
        <v/>
      </c>
      <c r="M98" s="76">
        <f>N(INDEX(Krankheitstage!$G98:$DV98,1,(Einstellungen!$C$3-2026)*24+10))</f>
        <v/>
      </c>
      <c r="N98" s="76">
        <f>N(INDEX(Krankheitstage!$G98:$DV98,1,(Einstellungen!$C$3-2026)*24+11))</f>
        <v/>
      </c>
      <c r="O98" s="76">
        <f>N(INDEX(Krankheitstage!$G98:$DV98,1,(Einstellungen!$C$3-2026)*24+12))</f>
        <v/>
      </c>
      <c r="P98" s="76">
        <f>IF($B98="","",SUM(D98:O98))</f>
        <v/>
      </c>
      <c r="Q98" s="76">
        <f>N(INDEX(Krankheitstage!$G98:$DV98,1,(Einstellungen!$C$3-2026)*24+13))</f>
        <v/>
      </c>
      <c r="R98" s="76">
        <f>N(INDEX(Krankheitstage!$G98:$DV98,1,(Einstellungen!$C$3-2026)*24+14))</f>
        <v/>
      </c>
      <c r="S98" s="76">
        <f>N(INDEX(Krankheitstage!$G98:$DV98,1,(Einstellungen!$C$3-2026)*24+15))</f>
        <v/>
      </c>
      <c r="T98" s="76">
        <f>N(INDEX(Krankheitstage!$G98:$DV98,1,(Einstellungen!$C$3-2026)*24+16))</f>
        <v/>
      </c>
      <c r="U98" s="76">
        <f>N(INDEX(Krankheitstage!$G98:$DV98,1,(Einstellungen!$C$3-2026)*24+17))</f>
        <v/>
      </c>
      <c r="V98" s="76">
        <f>N(INDEX(Krankheitstage!$G98:$DV98,1,(Einstellungen!$C$3-2026)*24+18))</f>
        <v/>
      </c>
      <c r="W98" s="76">
        <f>N(INDEX(Krankheitstage!$G98:$DV98,1,(Einstellungen!$C$3-2026)*24+19))</f>
        <v/>
      </c>
      <c r="X98" s="76">
        <f>N(INDEX(Krankheitstage!$G98:$DV98,1,(Einstellungen!$C$3-2026)*24+20))</f>
        <v/>
      </c>
      <c r="Y98" s="76">
        <f>N(INDEX(Krankheitstage!$G98:$DV98,1,(Einstellungen!$C$3-2026)*24+21))</f>
        <v/>
      </c>
      <c r="Z98" s="76">
        <f>N(INDEX(Krankheitstage!$G98:$DV98,1,(Einstellungen!$C$3-2026)*24+22))</f>
        <v/>
      </c>
      <c r="AA98" s="76">
        <f>N(INDEX(Krankheitstage!$G98:$DV98,1,(Einstellungen!$C$3-2026)*24+23))</f>
        <v/>
      </c>
      <c r="AB98" s="76">
        <f>N(INDEX(Krankheitstage!$G98:$DV98,1,(Einstellungen!$C$3-2026)*24+24))</f>
        <v/>
      </c>
      <c r="AC98" s="76">
        <f>IF($B98="","",SUM(Q98:AB98))</f>
        <v/>
      </c>
      <c r="AD98" s="76">
        <f>IF($B98="","",SUM(P98,AC98))</f>
        <v/>
      </c>
      <c r="AE98" s="77">
        <f>IF($B98="","",AD98*N(C98))</f>
        <v/>
      </c>
      <c r="AF98" s="76">
        <f>IF($B98="","",Krankheitstage!E98)</f>
        <v/>
      </c>
      <c r="AG98" s="77">
        <f>IF($B98="","",AF98*N(C98))</f>
        <v/>
      </c>
    </row>
    <row r="99">
      <c r="A99" s="74">
        <f>IF(Mitarbeiter!B99="","",Mitarbeiter!A99)</f>
        <v/>
      </c>
      <c r="B99" s="6">
        <f>IF(Mitarbeiter!B99="","",Mitarbeiter!B99)</f>
        <v/>
      </c>
      <c r="C99" s="75">
        <f>IF(Mitarbeiter!B99="","",Mitarbeiter!F99)</f>
        <v/>
      </c>
      <c r="D99" s="76">
        <f>N(INDEX(Krankheitstage!$G99:$DV99,1,(Einstellungen!$C$3-2026)*24+1))</f>
        <v/>
      </c>
      <c r="E99" s="76">
        <f>N(INDEX(Krankheitstage!$G99:$DV99,1,(Einstellungen!$C$3-2026)*24+2))</f>
        <v/>
      </c>
      <c r="F99" s="76">
        <f>N(INDEX(Krankheitstage!$G99:$DV99,1,(Einstellungen!$C$3-2026)*24+3))</f>
        <v/>
      </c>
      <c r="G99" s="76">
        <f>N(INDEX(Krankheitstage!$G99:$DV99,1,(Einstellungen!$C$3-2026)*24+4))</f>
        <v/>
      </c>
      <c r="H99" s="76">
        <f>N(INDEX(Krankheitstage!$G99:$DV99,1,(Einstellungen!$C$3-2026)*24+5))</f>
        <v/>
      </c>
      <c r="I99" s="76">
        <f>N(INDEX(Krankheitstage!$G99:$DV99,1,(Einstellungen!$C$3-2026)*24+6))</f>
        <v/>
      </c>
      <c r="J99" s="76">
        <f>N(INDEX(Krankheitstage!$G99:$DV99,1,(Einstellungen!$C$3-2026)*24+7))</f>
        <v/>
      </c>
      <c r="K99" s="76">
        <f>N(INDEX(Krankheitstage!$G99:$DV99,1,(Einstellungen!$C$3-2026)*24+8))</f>
        <v/>
      </c>
      <c r="L99" s="76">
        <f>N(INDEX(Krankheitstage!$G99:$DV99,1,(Einstellungen!$C$3-2026)*24+9))</f>
        <v/>
      </c>
      <c r="M99" s="76">
        <f>N(INDEX(Krankheitstage!$G99:$DV99,1,(Einstellungen!$C$3-2026)*24+10))</f>
        <v/>
      </c>
      <c r="N99" s="76">
        <f>N(INDEX(Krankheitstage!$G99:$DV99,1,(Einstellungen!$C$3-2026)*24+11))</f>
        <v/>
      </c>
      <c r="O99" s="76">
        <f>N(INDEX(Krankheitstage!$G99:$DV99,1,(Einstellungen!$C$3-2026)*24+12))</f>
        <v/>
      </c>
      <c r="P99" s="76">
        <f>IF($B99="","",SUM(D99:O99))</f>
        <v/>
      </c>
      <c r="Q99" s="76">
        <f>N(INDEX(Krankheitstage!$G99:$DV99,1,(Einstellungen!$C$3-2026)*24+13))</f>
        <v/>
      </c>
      <c r="R99" s="76">
        <f>N(INDEX(Krankheitstage!$G99:$DV99,1,(Einstellungen!$C$3-2026)*24+14))</f>
        <v/>
      </c>
      <c r="S99" s="76">
        <f>N(INDEX(Krankheitstage!$G99:$DV99,1,(Einstellungen!$C$3-2026)*24+15))</f>
        <v/>
      </c>
      <c r="T99" s="76">
        <f>N(INDEX(Krankheitstage!$G99:$DV99,1,(Einstellungen!$C$3-2026)*24+16))</f>
        <v/>
      </c>
      <c r="U99" s="76">
        <f>N(INDEX(Krankheitstage!$G99:$DV99,1,(Einstellungen!$C$3-2026)*24+17))</f>
        <v/>
      </c>
      <c r="V99" s="76">
        <f>N(INDEX(Krankheitstage!$G99:$DV99,1,(Einstellungen!$C$3-2026)*24+18))</f>
        <v/>
      </c>
      <c r="W99" s="76">
        <f>N(INDEX(Krankheitstage!$G99:$DV99,1,(Einstellungen!$C$3-2026)*24+19))</f>
        <v/>
      </c>
      <c r="X99" s="76">
        <f>N(INDEX(Krankheitstage!$G99:$DV99,1,(Einstellungen!$C$3-2026)*24+20))</f>
        <v/>
      </c>
      <c r="Y99" s="76">
        <f>N(INDEX(Krankheitstage!$G99:$DV99,1,(Einstellungen!$C$3-2026)*24+21))</f>
        <v/>
      </c>
      <c r="Z99" s="76">
        <f>N(INDEX(Krankheitstage!$G99:$DV99,1,(Einstellungen!$C$3-2026)*24+22))</f>
        <v/>
      </c>
      <c r="AA99" s="76">
        <f>N(INDEX(Krankheitstage!$G99:$DV99,1,(Einstellungen!$C$3-2026)*24+23))</f>
        <v/>
      </c>
      <c r="AB99" s="76">
        <f>N(INDEX(Krankheitstage!$G99:$DV99,1,(Einstellungen!$C$3-2026)*24+24))</f>
        <v/>
      </c>
      <c r="AC99" s="76">
        <f>IF($B99="","",SUM(Q99:AB99))</f>
        <v/>
      </c>
      <c r="AD99" s="76">
        <f>IF($B99="","",SUM(P99,AC99))</f>
        <v/>
      </c>
      <c r="AE99" s="77">
        <f>IF($B99="","",AD99*N(C99))</f>
        <v/>
      </c>
      <c r="AF99" s="76">
        <f>IF($B99="","",Krankheitstage!E99)</f>
        <v/>
      </c>
      <c r="AG99" s="77">
        <f>IF($B99="","",AF99*N(C99))</f>
        <v/>
      </c>
    </row>
    <row r="100">
      <c r="A100" s="74">
        <f>IF(Mitarbeiter!B100="","",Mitarbeiter!A100)</f>
        <v/>
      </c>
      <c r="B100" s="6">
        <f>IF(Mitarbeiter!B100="","",Mitarbeiter!B100)</f>
        <v/>
      </c>
      <c r="C100" s="75">
        <f>IF(Mitarbeiter!B100="","",Mitarbeiter!F100)</f>
        <v/>
      </c>
      <c r="D100" s="76">
        <f>N(INDEX(Krankheitstage!$G100:$DV100,1,(Einstellungen!$C$3-2026)*24+1))</f>
        <v/>
      </c>
      <c r="E100" s="76">
        <f>N(INDEX(Krankheitstage!$G100:$DV100,1,(Einstellungen!$C$3-2026)*24+2))</f>
        <v/>
      </c>
      <c r="F100" s="76">
        <f>N(INDEX(Krankheitstage!$G100:$DV100,1,(Einstellungen!$C$3-2026)*24+3))</f>
        <v/>
      </c>
      <c r="G100" s="76">
        <f>N(INDEX(Krankheitstage!$G100:$DV100,1,(Einstellungen!$C$3-2026)*24+4))</f>
        <v/>
      </c>
      <c r="H100" s="76">
        <f>N(INDEX(Krankheitstage!$G100:$DV100,1,(Einstellungen!$C$3-2026)*24+5))</f>
        <v/>
      </c>
      <c r="I100" s="76">
        <f>N(INDEX(Krankheitstage!$G100:$DV100,1,(Einstellungen!$C$3-2026)*24+6))</f>
        <v/>
      </c>
      <c r="J100" s="76">
        <f>N(INDEX(Krankheitstage!$G100:$DV100,1,(Einstellungen!$C$3-2026)*24+7))</f>
        <v/>
      </c>
      <c r="K100" s="76">
        <f>N(INDEX(Krankheitstage!$G100:$DV100,1,(Einstellungen!$C$3-2026)*24+8))</f>
        <v/>
      </c>
      <c r="L100" s="76">
        <f>N(INDEX(Krankheitstage!$G100:$DV100,1,(Einstellungen!$C$3-2026)*24+9))</f>
        <v/>
      </c>
      <c r="M100" s="76">
        <f>N(INDEX(Krankheitstage!$G100:$DV100,1,(Einstellungen!$C$3-2026)*24+10))</f>
        <v/>
      </c>
      <c r="N100" s="76">
        <f>N(INDEX(Krankheitstage!$G100:$DV100,1,(Einstellungen!$C$3-2026)*24+11))</f>
        <v/>
      </c>
      <c r="O100" s="76">
        <f>N(INDEX(Krankheitstage!$G100:$DV100,1,(Einstellungen!$C$3-2026)*24+12))</f>
        <v/>
      </c>
      <c r="P100" s="76">
        <f>IF($B100="","",SUM(D100:O100))</f>
        <v/>
      </c>
      <c r="Q100" s="76">
        <f>N(INDEX(Krankheitstage!$G100:$DV100,1,(Einstellungen!$C$3-2026)*24+13))</f>
        <v/>
      </c>
      <c r="R100" s="76">
        <f>N(INDEX(Krankheitstage!$G100:$DV100,1,(Einstellungen!$C$3-2026)*24+14))</f>
        <v/>
      </c>
      <c r="S100" s="76">
        <f>N(INDEX(Krankheitstage!$G100:$DV100,1,(Einstellungen!$C$3-2026)*24+15))</f>
        <v/>
      </c>
      <c r="T100" s="76">
        <f>N(INDEX(Krankheitstage!$G100:$DV100,1,(Einstellungen!$C$3-2026)*24+16))</f>
        <v/>
      </c>
      <c r="U100" s="76">
        <f>N(INDEX(Krankheitstage!$G100:$DV100,1,(Einstellungen!$C$3-2026)*24+17))</f>
        <v/>
      </c>
      <c r="V100" s="76">
        <f>N(INDEX(Krankheitstage!$G100:$DV100,1,(Einstellungen!$C$3-2026)*24+18))</f>
        <v/>
      </c>
      <c r="W100" s="76">
        <f>N(INDEX(Krankheitstage!$G100:$DV100,1,(Einstellungen!$C$3-2026)*24+19))</f>
        <v/>
      </c>
      <c r="X100" s="76">
        <f>N(INDEX(Krankheitstage!$G100:$DV100,1,(Einstellungen!$C$3-2026)*24+20))</f>
        <v/>
      </c>
      <c r="Y100" s="76">
        <f>N(INDEX(Krankheitstage!$G100:$DV100,1,(Einstellungen!$C$3-2026)*24+21))</f>
        <v/>
      </c>
      <c r="Z100" s="76">
        <f>N(INDEX(Krankheitstage!$G100:$DV100,1,(Einstellungen!$C$3-2026)*24+22))</f>
        <v/>
      </c>
      <c r="AA100" s="76">
        <f>N(INDEX(Krankheitstage!$G100:$DV100,1,(Einstellungen!$C$3-2026)*24+23))</f>
        <v/>
      </c>
      <c r="AB100" s="76">
        <f>N(INDEX(Krankheitstage!$G100:$DV100,1,(Einstellungen!$C$3-2026)*24+24))</f>
        <v/>
      </c>
      <c r="AC100" s="76">
        <f>IF($B100="","",SUM(Q100:AB100))</f>
        <v/>
      </c>
      <c r="AD100" s="76">
        <f>IF($B100="","",SUM(P100,AC100))</f>
        <v/>
      </c>
      <c r="AE100" s="77">
        <f>IF($B100="","",AD100*N(C100))</f>
        <v/>
      </c>
      <c r="AF100" s="76">
        <f>IF($B100="","",Krankheitstage!E100)</f>
        <v/>
      </c>
      <c r="AG100" s="77">
        <f>IF($B100="","",AF100*N(C100))</f>
        <v/>
      </c>
    </row>
    <row r="101">
      <c r="A101" s="74">
        <f>IF(Mitarbeiter!B101="","",Mitarbeiter!A101)</f>
        <v/>
      </c>
      <c r="B101" s="6">
        <f>IF(Mitarbeiter!B101="","",Mitarbeiter!B101)</f>
        <v/>
      </c>
      <c r="C101" s="75">
        <f>IF(Mitarbeiter!B101="","",Mitarbeiter!F101)</f>
        <v/>
      </c>
      <c r="D101" s="76">
        <f>N(INDEX(Krankheitstage!$G101:$DV101,1,(Einstellungen!$C$3-2026)*24+1))</f>
        <v/>
      </c>
      <c r="E101" s="76">
        <f>N(INDEX(Krankheitstage!$G101:$DV101,1,(Einstellungen!$C$3-2026)*24+2))</f>
        <v/>
      </c>
      <c r="F101" s="76">
        <f>N(INDEX(Krankheitstage!$G101:$DV101,1,(Einstellungen!$C$3-2026)*24+3))</f>
        <v/>
      </c>
      <c r="G101" s="76">
        <f>N(INDEX(Krankheitstage!$G101:$DV101,1,(Einstellungen!$C$3-2026)*24+4))</f>
        <v/>
      </c>
      <c r="H101" s="76">
        <f>N(INDEX(Krankheitstage!$G101:$DV101,1,(Einstellungen!$C$3-2026)*24+5))</f>
        <v/>
      </c>
      <c r="I101" s="76">
        <f>N(INDEX(Krankheitstage!$G101:$DV101,1,(Einstellungen!$C$3-2026)*24+6))</f>
        <v/>
      </c>
      <c r="J101" s="76">
        <f>N(INDEX(Krankheitstage!$G101:$DV101,1,(Einstellungen!$C$3-2026)*24+7))</f>
        <v/>
      </c>
      <c r="K101" s="76">
        <f>N(INDEX(Krankheitstage!$G101:$DV101,1,(Einstellungen!$C$3-2026)*24+8))</f>
        <v/>
      </c>
      <c r="L101" s="76">
        <f>N(INDEX(Krankheitstage!$G101:$DV101,1,(Einstellungen!$C$3-2026)*24+9))</f>
        <v/>
      </c>
      <c r="M101" s="76">
        <f>N(INDEX(Krankheitstage!$G101:$DV101,1,(Einstellungen!$C$3-2026)*24+10))</f>
        <v/>
      </c>
      <c r="N101" s="76">
        <f>N(INDEX(Krankheitstage!$G101:$DV101,1,(Einstellungen!$C$3-2026)*24+11))</f>
        <v/>
      </c>
      <c r="O101" s="76">
        <f>N(INDEX(Krankheitstage!$G101:$DV101,1,(Einstellungen!$C$3-2026)*24+12))</f>
        <v/>
      </c>
      <c r="P101" s="76">
        <f>IF($B101="","",SUM(D101:O101))</f>
        <v/>
      </c>
      <c r="Q101" s="76">
        <f>N(INDEX(Krankheitstage!$G101:$DV101,1,(Einstellungen!$C$3-2026)*24+13))</f>
        <v/>
      </c>
      <c r="R101" s="76">
        <f>N(INDEX(Krankheitstage!$G101:$DV101,1,(Einstellungen!$C$3-2026)*24+14))</f>
        <v/>
      </c>
      <c r="S101" s="76">
        <f>N(INDEX(Krankheitstage!$G101:$DV101,1,(Einstellungen!$C$3-2026)*24+15))</f>
        <v/>
      </c>
      <c r="T101" s="76">
        <f>N(INDEX(Krankheitstage!$G101:$DV101,1,(Einstellungen!$C$3-2026)*24+16))</f>
        <v/>
      </c>
      <c r="U101" s="76">
        <f>N(INDEX(Krankheitstage!$G101:$DV101,1,(Einstellungen!$C$3-2026)*24+17))</f>
        <v/>
      </c>
      <c r="V101" s="76">
        <f>N(INDEX(Krankheitstage!$G101:$DV101,1,(Einstellungen!$C$3-2026)*24+18))</f>
        <v/>
      </c>
      <c r="W101" s="76">
        <f>N(INDEX(Krankheitstage!$G101:$DV101,1,(Einstellungen!$C$3-2026)*24+19))</f>
        <v/>
      </c>
      <c r="X101" s="76">
        <f>N(INDEX(Krankheitstage!$G101:$DV101,1,(Einstellungen!$C$3-2026)*24+20))</f>
        <v/>
      </c>
      <c r="Y101" s="76">
        <f>N(INDEX(Krankheitstage!$G101:$DV101,1,(Einstellungen!$C$3-2026)*24+21))</f>
        <v/>
      </c>
      <c r="Z101" s="76">
        <f>N(INDEX(Krankheitstage!$G101:$DV101,1,(Einstellungen!$C$3-2026)*24+22))</f>
        <v/>
      </c>
      <c r="AA101" s="76">
        <f>N(INDEX(Krankheitstage!$G101:$DV101,1,(Einstellungen!$C$3-2026)*24+23))</f>
        <v/>
      </c>
      <c r="AB101" s="76">
        <f>N(INDEX(Krankheitstage!$G101:$DV101,1,(Einstellungen!$C$3-2026)*24+24))</f>
        <v/>
      </c>
      <c r="AC101" s="76">
        <f>IF($B101="","",SUM(Q101:AB101))</f>
        <v/>
      </c>
      <c r="AD101" s="76">
        <f>IF($B101="","",SUM(P101,AC101))</f>
        <v/>
      </c>
      <c r="AE101" s="77">
        <f>IF($B101="","",AD101*N(C101))</f>
        <v/>
      </c>
      <c r="AF101" s="76">
        <f>IF($B101="","",Krankheitstage!E101)</f>
        <v/>
      </c>
      <c r="AG101" s="77">
        <f>IF($B101="","",AF101*N(C101))</f>
        <v/>
      </c>
    </row>
    <row r="102">
      <c r="A102" s="74">
        <f>IF(Mitarbeiter!B102="","",Mitarbeiter!A102)</f>
        <v/>
      </c>
      <c r="B102" s="6">
        <f>IF(Mitarbeiter!B102="","",Mitarbeiter!B102)</f>
        <v/>
      </c>
      <c r="C102" s="75">
        <f>IF(Mitarbeiter!B102="","",Mitarbeiter!F102)</f>
        <v/>
      </c>
      <c r="D102" s="76">
        <f>N(INDEX(Krankheitstage!$G102:$DV102,1,(Einstellungen!$C$3-2026)*24+1))</f>
        <v/>
      </c>
      <c r="E102" s="76">
        <f>N(INDEX(Krankheitstage!$G102:$DV102,1,(Einstellungen!$C$3-2026)*24+2))</f>
        <v/>
      </c>
      <c r="F102" s="76">
        <f>N(INDEX(Krankheitstage!$G102:$DV102,1,(Einstellungen!$C$3-2026)*24+3))</f>
        <v/>
      </c>
      <c r="G102" s="76">
        <f>N(INDEX(Krankheitstage!$G102:$DV102,1,(Einstellungen!$C$3-2026)*24+4))</f>
        <v/>
      </c>
      <c r="H102" s="76">
        <f>N(INDEX(Krankheitstage!$G102:$DV102,1,(Einstellungen!$C$3-2026)*24+5))</f>
        <v/>
      </c>
      <c r="I102" s="76">
        <f>N(INDEX(Krankheitstage!$G102:$DV102,1,(Einstellungen!$C$3-2026)*24+6))</f>
        <v/>
      </c>
      <c r="J102" s="76">
        <f>N(INDEX(Krankheitstage!$G102:$DV102,1,(Einstellungen!$C$3-2026)*24+7))</f>
        <v/>
      </c>
      <c r="K102" s="76">
        <f>N(INDEX(Krankheitstage!$G102:$DV102,1,(Einstellungen!$C$3-2026)*24+8))</f>
        <v/>
      </c>
      <c r="L102" s="76">
        <f>N(INDEX(Krankheitstage!$G102:$DV102,1,(Einstellungen!$C$3-2026)*24+9))</f>
        <v/>
      </c>
      <c r="M102" s="76">
        <f>N(INDEX(Krankheitstage!$G102:$DV102,1,(Einstellungen!$C$3-2026)*24+10))</f>
        <v/>
      </c>
      <c r="N102" s="76">
        <f>N(INDEX(Krankheitstage!$G102:$DV102,1,(Einstellungen!$C$3-2026)*24+11))</f>
        <v/>
      </c>
      <c r="O102" s="76">
        <f>N(INDEX(Krankheitstage!$G102:$DV102,1,(Einstellungen!$C$3-2026)*24+12))</f>
        <v/>
      </c>
      <c r="P102" s="76">
        <f>IF($B102="","",SUM(D102:O102))</f>
        <v/>
      </c>
      <c r="Q102" s="76">
        <f>N(INDEX(Krankheitstage!$G102:$DV102,1,(Einstellungen!$C$3-2026)*24+13))</f>
        <v/>
      </c>
      <c r="R102" s="76">
        <f>N(INDEX(Krankheitstage!$G102:$DV102,1,(Einstellungen!$C$3-2026)*24+14))</f>
        <v/>
      </c>
      <c r="S102" s="76">
        <f>N(INDEX(Krankheitstage!$G102:$DV102,1,(Einstellungen!$C$3-2026)*24+15))</f>
        <v/>
      </c>
      <c r="T102" s="76">
        <f>N(INDEX(Krankheitstage!$G102:$DV102,1,(Einstellungen!$C$3-2026)*24+16))</f>
        <v/>
      </c>
      <c r="U102" s="76">
        <f>N(INDEX(Krankheitstage!$G102:$DV102,1,(Einstellungen!$C$3-2026)*24+17))</f>
        <v/>
      </c>
      <c r="V102" s="76">
        <f>N(INDEX(Krankheitstage!$G102:$DV102,1,(Einstellungen!$C$3-2026)*24+18))</f>
        <v/>
      </c>
      <c r="W102" s="76">
        <f>N(INDEX(Krankheitstage!$G102:$DV102,1,(Einstellungen!$C$3-2026)*24+19))</f>
        <v/>
      </c>
      <c r="X102" s="76">
        <f>N(INDEX(Krankheitstage!$G102:$DV102,1,(Einstellungen!$C$3-2026)*24+20))</f>
        <v/>
      </c>
      <c r="Y102" s="76">
        <f>N(INDEX(Krankheitstage!$G102:$DV102,1,(Einstellungen!$C$3-2026)*24+21))</f>
        <v/>
      </c>
      <c r="Z102" s="76">
        <f>N(INDEX(Krankheitstage!$G102:$DV102,1,(Einstellungen!$C$3-2026)*24+22))</f>
        <v/>
      </c>
      <c r="AA102" s="76">
        <f>N(INDEX(Krankheitstage!$G102:$DV102,1,(Einstellungen!$C$3-2026)*24+23))</f>
        <v/>
      </c>
      <c r="AB102" s="76">
        <f>N(INDEX(Krankheitstage!$G102:$DV102,1,(Einstellungen!$C$3-2026)*24+24))</f>
        <v/>
      </c>
      <c r="AC102" s="76">
        <f>IF($B102="","",SUM(Q102:AB102))</f>
        <v/>
      </c>
      <c r="AD102" s="76">
        <f>IF($B102="","",SUM(P102,AC102))</f>
        <v/>
      </c>
      <c r="AE102" s="77">
        <f>IF($B102="","",AD102*N(C102))</f>
        <v/>
      </c>
      <c r="AF102" s="76">
        <f>IF($B102="","",Krankheitstage!E102)</f>
        <v/>
      </c>
      <c r="AG102" s="77">
        <f>IF($B102="","",AF102*N(C102))</f>
        <v/>
      </c>
    </row>
    <row r="103">
      <c r="A103" s="74">
        <f>IF(Mitarbeiter!B103="","",Mitarbeiter!A103)</f>
        <v/>
      </c>
      <c r="B103" s="6">
        <f>IF(Mitarbeiter!B103="","",Mitarbeiter!B103)</f>
        <v/>
      </c>
      <c r="C103" s="75">
        <f>IF(Mitarbeiter!B103="","",Mitarbeiter!F103)</f>
        <v/>
      </c>
      <c r="D103" s="76">
        <f>N(INDEX(Krankheitstage!$G103:$DV103,1,(Einstellungen!$C$3-2026)*24+1))</f>
        <v/>
      </c>
      <c r="E103" s="76">
        <f>N(INDEX(Krankheitstage!$G103:$DV103,1,(Einstellungen!$C$3-2026)*24+2))</f>
        <v/>
      </c>
      <c r="F103" s="76">
        <f>N(INDEX(Krankheitstage!$G103:$DV103,1,(Einstellungen!$C$3-2026)*24+3))</f>
        <v/>
      </c>
      <c r="G103" s="76">
        <f>N(INDEX(Krankheitstage!$G103:$DV103,1,(Einstellungen!$C$3-2026)*24+4))</f>
        <v/>
      </c>
      <c r="H103" s="76">
        <f>N(INDEX(Krankheitstage!$G103:$DV103,1,(Einstellungen!$C$3-2026)*24+5))</f>
        <v/>
      </c>
      <c r="I103" s="76">
        <f>N(INDEX(Krankheitstage!$G103:$DV103,1,(Einstellungen!$C$3-2026)*24+6))</f>
        <v/>
      </c>
      <c r="J103" s="76">
        <f>N(INDEX(Krankheitstage!$G103:$DV103,1,(Einstellungen!$C$3-2026)*24+7))</f>
        <v/>
      </c>
      <c r="K103" s="76">
        <f>N(INDEX(Krankheitstage!$G103:$DV103,1,(Einstellungen!$C$3-2026)*24+8))</f>
        <v/>
      </c>
      <c r="L103" s="76">
        <f>N(INDEX(Krankheitstage!$G103:$DV103,1,(Einstellungen!$C$3-2026)*24+9))</f>
        <v/>
      </c>
      <c r="M103" s="76">
        <f>N(INDEX(Krankheitstage!$G103:$DV103,1,(Einstellungen!$C$3-2026)*24+10))</f>
        <v/>
      </c>
      <c r="N103" s="76">
        <f>N(INDEX(Krankheitstage!$G103:$DV103,1,(Einstellungen!$C$3-2026)*24+11))</f>
        <v/>
      </c>
      <c r="O103" s="76">
        <f>N(INDEX(Krankheitstage!$G103:$DV103,1,(Einstellungen!$C$3-2026)*24+12))</f>
        <v/>
      </c>
      <c r="P103" s="76">
        <f>IF($B103="","",SUM(D103:O103))</f>
        <v/>
      </c>
      <c r="Q103" s="76">
        <f>N(INDEX(Krankheitstage!$G103:$DV103,1,(Einstellungen!$C$3-2026)*24+13))</f>
        <v/>
      </c>
      <c r="R103" s="76">
        <f>N(INDEX(Krankheitstage!$G103:$DV103,1,(Einstellungen!$C$3-2026)*24+14))</f>
        <v/>
      </c>
      <c r="S103" s="76">
        <f>N(INDEX(Krankheitstage!$G103:$DV103,1,(Einstellungen!$C$3-2026)*24+15))</f>
        <v/>
      </c>
      <c r="T103" s="76">
        <f>N(INDEX(Krankheitstage!$G103:$DV103,1,(Einstellungen!$C$3-2026)*24+16))</f>
        <v/>
      </c>
      <c r="U103" s="76">
        <f>N(INDEX(Krankheitstage!$G103:$DV103,1,(Einstellungen!$C$3-2026)*24+17))</f>
        <v/>
      </c>
      <c r="V103" s="76">
        <f>N(INDEX(Krankheitstage!$G103:$DV103,1,(Einstellungen!$C$3-2026)*24+18))</f>
        <v/>
      </c>
      <c r="W103" s="76">
        <f>N(INDEX(Krankheitstage!$G103:$DV103,1,(Einstellungen!$C$3-2026)*24+19))</f>
        <v/>
      </c>
      <c r="X103" s="76">
        <f>N(INDEX(Krankheitstage!$G103:$DV103,1,(Einstellungen!$C$3-2026)*24+20))</f>
        <v/>
      </c>
      <c r="Y103" s="76">
        <f>N(INDEX(Krankheitstage!$G103:$DV103,1,(Einstellungen!$C$3-2026)*24+21))</f>
        <v/>
      </c>
      <c r="Z103" s="76">
        <f>N(INDEX(Krankheitstage!$G103:$DV103,1,(Einstellungen!$C$3-2026)*24+22))</f>
        <v/>
      </c>
      <c r="AA103" s="76">
        <f>N(INDEX(Krankheitstage!$G103:$DV103,1,(Einstellungen!$C$3-2026)*24+23))</f>
        <v/>
      </c>
      <c r="AB103" s="76">
        <f>N(INDEX(Krankheitstage!$G103:$DV103,1,(Einstellungen!$C$3-2026)*24+24))</f>
        <v/>
      </c>
      <c r="AC103" s="76">
        <f>IF($B103="","",SUM(Q103:AB103))</f>
        <v/>
      </c>
      <c r="AD103" s="76">
        <f>IF($B103="","",SUM(P103,AC103))</f>
        <v/>
      </c>
      <c r="AE103" s="77">
        <f>IF($B103="","",AD103*N(C103))</f>
        <v/>
      </c>
      <c r="AF103" s="76">
        <f>IF($B103="","",Krankheitstage!E103)</f>
        <v/>
      </c>
      <c r="AG103" s="77">
        <f>IF($B103="","",AF103*N(C103))</f>
        <v/>
      </c>
    </row>
    <row r="104">
      <c r="A104" s="74">
        <f>IF(Mitarbeiter!B104="","",Mitarbeiter!A104)</f>
        <v/>
      </c>
      <c r="B104" s="6">
        <f>IF(Mitarbeiter!B104="","",Mitarbeiter!B104)</f>
        <v/>
      </c>
      <c r="C104" s="75">
        <f>IF(Mitarbeiter!B104="","",Mitarbeiter!F104)</f>
        <v/>
      </c>
      <c r="D104" s="76">
        <f>N(INDEX(Krankheitstage!$G104:$DV104,1,(Einstellungen!$C$3-2026)*24+1))</f>
        <v/>
      </c>
      <c r="E104" s="76">
        <f>N(INDEX(Krankheitstage!$G104:$DV104,1,(Einstellungen!$C$3-2026)*24+2))</f>
        <v/>
      </c>
      <c r="F104" s="76">
        <f>N(INDEX(Krankheitstage!$G104:$DV104,1,(Einstellungen!$C$3-2026)*24+3))</f>
        <v/>
      </c>
      <c r="G104" s="76">
        <f>N(INDEX(Krankheitstage!$G104:$DV104,1,(Einstellungen!$C$3-2026)*24+4))</f>
        <v/>
      </c>
      <c r="H104" s="76">
        <f>N(INDEX(Krankheitstage!$G104:$DV104,1,(Einstellungen!$C$3-2026)*24+5))</f>
        <v/>
      </c>
      <c r="I104" s="76">
        <f>N(INDEX(Krankheitstage!$G104:$DV104,1,(Einstellungen!$C$3-2026)*24+6))</f>
        <v/>
      </c>
      <c r="J104" s="76">
        <f>N(INDEX(Krankheitstage!$G104:$DV104,1,(Einstellungen!$C$3-2026)*24+7))</f>
        <v/>
      </c>
      <c r="K104" s="76">
        <f>N(INDEX(Krankheitstage!$G104:$DV104,1,(Einstellungen!$C$3-2026)*24+8))</f>
        <v/>
      </c>
      <c r="L104" s="76">
        <f>N(INDEX(Krankheitstage!$G104:$DV104,1,(Einstellungen!$C$3-2026)*24+9))</f>
        <v/>
      </c>
      <c r="M104" s="76">
        <f>N(INDEX(Krankheitstage!$G104:$DV104,1,(Einstellungen!$C$3-2026)*24+10))</f>
        <v/>
      </c>
      <c r="N104" s="76">
        <f>N(INDEX(Krankheitstage!$G104:$DV104,1,(Einstellungen!$C$3-2026)*24+11))</f>
        <v/>
      </c>
      <c r="O104" s="76">
        <f>N(INDEX(Krankheitstage!$G104:$DV104,1,(Einstellungen!$C$3-2026)*24+12))</f>
        <v/>
      </c>
      <c r="P104" s="76">
        <f>IF($B104="","",SUM(D104:O104))</f>
        <v/>
      </c>
      <c r="Q104" s="76">
        <f>N(INDEX(Krankheitstage!$G104:$DV104,1,(Einstellungen!$C$3-2026)*24+13))</f>
        <v/>
      </c>
      <c r="R104" s="76">
        <f>N(INDEX(Krankheitstage!$G104:$DV104,1,(Einstellungen!$C$3-2026)*24+14))</f>
        <v/>
      </c>
      <c r="S104" s="76">
        <f>N(INDEX(Krankheitstage!$G104:$DV104,1,(Einstellungen!$C$3-2026)*24+15))</f>
        <v/>
      </c>
      <c r="T104" s="76">
        <f>N(INDEX(Krankheitstage!$G104:$DV104,1,(Einstellungen!$C$3-2026)*24+16))</f>
        <v/>
      </c>
      <c r="U104" s="76">
        <f>N(INDEX(Krankheitstage!$G104:$DV104,1,(Einstellungen!$C$3-2026)*24+17))</f>
        <v/>
      </c>
      <c r="V104" s="76">
        <f>N(INDEX(Krankheitstage!$G104:$DV104,1,(Einstellungen!$C$3-2026)*24+18))</f>
        <v/>
      </c>
      <c r="W104" s="76">
        <f>N(INDEX(Krankheitstage!$G104:$DV104,1,(Einstellungen!$C$3-2026)*24+19))</f>
        <v/>
      </c>
      <c r="X104" s="76">
        <f>N(INDEX(Krankheitstage!$G104:$DV104,1,(Einstellungen!$C$3-2026)*24+20))</f>
        <v/>
      </c>
      <c r="Y104" s="76">
        <f>N(INDEX(Krankheitstage!$G104:$DV104,1,(Einstellungen!$C$3-2026)*24+21))</f>
        <v/>
      </c>
      <c r="Z104" s="76">
        <f>N(INDEX(Krankheitstage!$G104:$DV104,1,(Einstellungen!$C$3-2026)*24+22))</f>
        <v/>
      </c>
      <c r="AA104" s="76">
        <f>N(INDEX(Krankheitstage!$G104:$DV104,1,(Einstellungen!$C$3-2026)*24+23))</f>
        <v/>
      </c>
      <c r="AB104" s="76">
        <f>N(INDEX(Krankheitstage!$G104:$DV104,1,(Einstellungen!$C$3-2026)*24+24))</f>
        <v/>
      </c>
      <c r="AC104" s="76">
        <f>IF($B104="","",SUM(Q104:AB104))</f>
        <v/>
      </c>
      <c r="AD104" s="76">
        <f>IF($B104="","",SUM(P104,AC104))</f>
        <v/>
      </c>
      <c r="AE104" s="77">
        <f>IF($B104="","",AD104*N(C104))</f>
        <v/>
      </c>
      <c r="AF104" s="76">
        <f>IF($B104="","",Krankheitstage!E104)</f>
        <v/>
      </c>
      <c r="AG104" s="77">
        <f>IF($B104="","",AF104*N(C104))</f>
        <v/>
      </c>
    </row>
    <row r="105">
      <c r="A105" s="74">
        <f>IF(Mitarbeiter!B105="","",Mitarbeiter!A105)</f>
        <v/>
      </c>
      <c r="B105" s="6">
        <f>IF(Mitarbeiter!B105="","",Mitarbeiter!B105)</f>
        <v/>
      </c>
      <c r="C105" s="75">
        <f>IF(Mitarbeiter!B105="","",Mitarbeiter!F105)</f>
        <v/>
      </c>
      <c r="D105" s="76">
        <f>N(INDEX(Krankheitstage!$G105:$DV105,1,(Einstellungen!$C$3-2026)*24+1))</f>
        <v/>
      </c>
      <c r="E105" s="76">
        <f>N(INDEX(Krankheitstage!$G105:$DV105,1,(Einstellungen!$C$3-2026)*24+2))</f>
        <v/>
      </c>
      <c r="F105" s="76">
        <f>N(INDEX(Krankheitstage!$G105:$DV105,1,(Einstellungen!$C$3-2026)*24+3))</f>
        <v/>
      </c>
      <c r="G105" s="76">
        <f>N(INDEX(Krankheitstage!$G105:$DV105,1,(Einstellungen!$C$3-2026)*24+4))</f>
        <v/>
      </c>
      <c r="H105" s="76">
        <f>N(INDEX(Krankheitstage!$G105:$DV105,1,(Einstellungen!$C$3-2026)*24+5))</f>
        <v/>
      </c>
      <c r="I105" s="76">
        <f>N(INDEX(Krankheitstage!$G105:$DV105,1,(Einstellungen!$C$3-2026)*24+6))</f>
        <v/>
      </c>
      <c r="J105" s="76">
        <f>N(INDEX(Krankheitstage!$G105:$DV105,1,(Einstellungen!$C$3-2026)*24+7))</f>
        <v/>
      </c>
      <c r="K105" s="76">
        <f>N(INDEX(Krankheitstage!$G105:$DV105,1,(Einstellungen!$C$3-2026)*24+8))</f>
        <v/>
      </c>
      <c r="L105" s="76">
        <f>N(INDEX(Krankheitstage!$G105:$DV105,1,(Einstellungen!$C$3-2026)*24+9))</f>
        <v/>
      </c>
      <c r="M105" s="76">
        <f>N(INDEX(Krankheitstage!$G105:$DV105,1,(Einstellungen!$C$3-2026)*24+10))</f>
        <v/>
      </c>
      <c r="N105" s="76">
        <f>N(INDEX(Krankheitstage!$G105:$DV105,1,(Einstellungen!$C$3-2026)*24+11))</f>
        <v/>
      </c>
      <c r="O105" s="76">
        <f>N(INDEX(Krankheitstage!$G105:$DV105,1,(Einstellungen!$C$3-2026)*24+12))</f>
        <v/>
      </c>
      <c r="P105" s="76">
        <f>IF($B105="","",SUM(D105:O105))</f>
        <v/>
      </c>
      <c r="Q105" s="76">
        <f>N(INDEX(Krankheitstage!$G105:$DV105,1,(Einstellungen!$C$3-2026)*24+13))</f>
        <v/>
      </c>
      <c r="R105" s="76">
        <f>N(INDEX(Krankheitstage!$G105:$DV105,1,(Einstellungen!$C$3-2026)*24+14))</f>
        <v/>
      </c>
      <c r="S105" s="76">
        <f>N(INDEX(Krankheitstage!$G105:$DV105,1,(Einstellungen!$C$3-2026)*24+15))</f>
        <v/>
      </c>
      <c r="T105" s="76">
        <f>N(INDEX(Krankheitstage!$G105:$DV105,1,(Einstellungen!$C$3-2026)*24+16))</f>
        <v/>
      </c>
      <c r="U105" s="76">
        <f>N(INDEX(Krankheitstage!$G105:$DV105,1,(Einstellungen!$C$3-2026)*24+17))</f>
        <v/>
      </c>
      <c r="V105" s="76">
        <f>N(INDEX(Krankheitstage!$G105:$DV105,1,(Einstellungen!$C$3-2026)*24+18))</f>
        <v/>
      </c>
      <c r="W105" s="76">
        <f>N(INDEX(Krankheitstage!$G105:$DV105,1,(Einstellungen!$C$3-2026)*24+19))</f>
        <v/>
      </c>
      <c r="X105" s="76">
        <f>N(INDEX(Krankheitstage!$G105:$DV105,1,(Einstellungen!$C$3-2026)*24+20))</f>
        <v/>
      </c>
      <c r="Y105" s="76">
        <f>N(INDEX(Krankheitstage!$G105:$DV105,1,(Einstellungen!$C$3-2026)*24+21))</f>
        <v/>
      </c>
      <c r="Z105" s="76">
        <f>N(INDEX(Krankheitstage!$G105:$DV105,1,(Einstellungen!$C$3-2026)*24+22))</f>
        <v/>
      </c>
      <c r="AA105" s="76">
        <f>N(INDEX(Krankheitstage!$G105:$DV105,1,(Einstellungen!$C$3-2026)*24+23))</f>
        <v/>
      </c>
      <c r="AB105" s="76">
        <f>N(INDEX(Krankheitstage!$G105:$DV105,1,(Einstellungen!$C$3-2026)*24+24))</f>
        <v/>
      </c>
      <c r="AC105" s="76">
        <f>IF($B105="","",SUM(Q105:AB105))</f>
        <v/>
      </c>
      <c r="AD105" s="76">
        <f>IF($B105="","",SUM(P105,AC105))</f>
        <v/>
      </c>
      <c r="AE105" s="77">
        <f>IF($B105="","",AD105*N(C105))</f>
        <v/>
      </c>
      <c r="AF105" s="76">
        <f>IF($B105="","",Krankheitstage!E105)</f>
        <v/>
      </c>
      <c r="AG105" s="77">
        <f>IF($B105="","",AF105*N(C105))</f>
        <v/>
      </c>
    </row>
    <row r="106">
      <c r="A106" s="74">
        <f>IF(Mitarbeiter!B106="","",Mitarbeiter!A106)</f>
        <v/>
      </c>
      <c r="B106" s="6">
        <f>IF(Mitarbeiter!B106="","",Mitarbeiter!B106)</f>
        <v/>
      </c>
      <c r="C106" s="75">
        <f>IF(Mitarbeiter!B106="","",Mitarbeiter!F106)</f>
        <v/>
      </c>
      <c r="D106" s="76">
        <f>N(INDEX(Krankheitstage!$G106:$DV106,1,(Einstellungen!$C$3-2026)*24+1))</f>
        <v/>
      </c>
      <c r="E106" s="76">
        <f>N(INDEX(Krankheitstage!$G106:$DV106,1,(Einstellungen!$C$3-2026)*24+2))</f>
        <v/>
      </c>
      <c r="F106" s="76">
        <f>N(INDEX(Krankheitstage!$G106:$DV106,1,(Einstellungen!$C$3-2026)*24+3))</f>
        <v/>
      </c>
      <c r="G106" s="76">
        <f>N(INDEX(Krankheitstage!$G106:$DV106,1,(Einstellungen!$C$3-2026)*24+4))</f>
        <v/>
      </c>
      <c r="H106" s="76">
        <f>N(INDEX(Krankheitstage!$G106:$DV106,1,(Einstellungen!$C$3-2026)*24+5))</f>
        <v/>
      </c>
      <c r="I106" s="76">
        <f>N(INDEX(Krankheitstage!$G106:$DV106,1,(Einstellungen!$C$3-2026)*24+6))</f>
        <v/>
      </c>
      <c r="J106" s="76">
        <f>N(INDEX(Krankheitstage!$G106:$DV106,1,(Einstellungen!$C$3-2026)*24+7))</f>
        <v/>
      </c>
      <c r="K106" s="76">
        <f>N(INDEX(Krankheitstage!$G106:$DV106,1,(Einstellungen!$C$3-2026)*24+8))</f>
        <v/>
      </c>
      <c r="L106" s="76">
        <f>N(INDEX(Krankheitstage!$G106:$DV106,1,(Einstellungen!$C$3-2026)*24+9))</f>
        <v/>
      </c>
      <c r="M106" s="76">
        <f>N(INDEX(Krankheitstage!$G106:$DV106,1,(Einstellungen!$C$3-2026)*24+10))</f>
        <v/>
      </c>
      <c r="N106" s="76">
        <f>N(INDEX(Krankheitstage!$G106:$DV106,1,(Einstellungen!$C$3-2026)*24+11))</f>
        <v/>
      </c>
      <c r="O106" s="76">
        <f>N(INDEX(Krankheitstage!$G106:$DV106,1,(Einstellungen!$C$3-2026)*24+12))</f>
        <v/>
      </c>
      <c r="P106" s="76">
        <f>IF($B106="","",SUM(D106:O106))</f>
        <v/>
      </c>
      <c r="Q106" s="76">
        <f>N(INDEX(Krankheitstage!$G106:$DV106,1,(Einstellungen!$C$3-2026)*24+13))</f>
        <v/>
      </c>
      <c r="R106" s="76">
        <f>N(INDEX(Krankheitstage!$G106:$DV106,1,(Einstellungen!$C$3-2026)*24+14))</f>
        <v/>
      </c>
      <c r="S106" s="76">
        <f>N(INDEX(Krankheitstage!$G106:$DV106,1,(Einstellungen!$C$3-2026)*24+15))</f>
        <v/>
      </c>
      <c r="T106" s="76">
        <f>N(INDEX(Krankheitstage!$G106:$DV106,1,(Einstellungen!$C$3-2026)*24+16))</f>
        <v/>
      </c>
      <c r="U106" s="76">
        <f>N(INDEX(Krankheitstage!$G106:$DV106,1,(Einstellungen!$C$3-2026)*24+17))</f>
        <v/>
      </c>
      <c r="V106" s="76">
        <f>N(INDEX(Krankheitstage!$G106:$DV106,1,(Einstellungen!$C$3-2026)*24+18))</f>
        <v/>
      </c>
      <c r="W106" s="76">
        <f>N(INDEX(Krankheitstage!$G106:$DV106,1,(Einstellungen!$C$3-2026)*24+19))</f>
        <v/>
      </c>
      <c r="X106" s="76">
        <f>N(INDEX(Krankheitstage!$G106:$DV106,1,(Einstellungen!$C$3-2026)*24+20))</f>
        <v/>
      </c>
      <c r="Y106" s="76">
        <f>N(INDEX(Krankheitstage!$G106:$DV106,1,(Einstellungen!$C$3-2026)*24+21))</f>
        <v/>
      </c>
      <c r="Z106" s="76">
        <f>N(INDEX(Krankheitstage!$G106:$DV106,1,(Einstellungen!$C$3-2026)*24+22))</f>
        <v/>
      </c>
      <c r="AA106" s="76">
        <f>N(INDEX(Krankheitstage!$G106:$DV106,1,(Einstellungen!$C$3-2026)*24+23))</f>
        <v/>
      </c>
      <c r="AB106" s="76">
        <f>N(INDEX(Krankheitstage!$G106:$DV106,1,(Einstellungen!$C$3-2026)*24+24))</f>
        <v/>
      </c>
      <c r="AC106" s="76">
        <f>IF($B106="","",SUM(Q106:AB106))</f>
        <v/>
      </c>
      <c r="AD106" s="76">
        <f>IF($B106="","",SUM(P106,AC106))</f>
        <v/>
      </c>
      <c r="AE106" s="77">
        <f>IF($B106="","",AD106*N(C106))</f>
        <v/>
      </c>
      <c r="AF106" s="76">
        <f>IF($B106="","",Krankheitstage!E106)</f>
        <v/>
      </c>
      <c r="AG106" s="77">
        <f>IF($B106="","",AF106*N(C106))</f>
        <v/>
      </c>
    </row>
    <row r="107">
      <c r="A107" s="74">
        <f>IF(Mitarbeiter!B107="","",Mitarbeiter!A107)</f>
        <v/>
      </c>
      <c r="B107" s="6">
        <f>IF(Mitarbeiter!B107="","",Mitarbeiter!B107)</f>
        <v/>
      </c>
      <c r="C107" s="75">
        <f>IF(Mitarbeiter!B107="","",Mitarbeiter!F107)</f>
        <v/>
      </c>
      <c r="D107" s="76">
        <f>N(INDEX(Krankheitstage!$G107:$DV107,1,(Einstellungen!$C$3-2026)*24+1))</f>
        <v/>
      </c>
      <c r="E107" s="76">
        <f>N(INDEX(Krankheitstage!$G107:$DV107,1,(Einstellungen!$C$3-2026)*24+2))</f>
        <v/>
      </c>
      <c r="F107" s="76">
        <f>N(INDEX(Krankheitstage!$G107:$DV107,1,(Einstellungen!$C$3-2026)*24+3))</f>
        <v/>
      </c>
      <c r="G107" s="76">
        <f>N(INDEX(Krankheitstage!$G107:$DV107,1,(Einstellungen!$C$3-2026)*24+4))</f>
        <v/>
      </c>
      <c r="H107" s="76">
        <f>N(INDEX(Krankheitstage!$G107:$DV107,1,(Einstellungen!$C$3-2026)*24+5))</f>
        <v/>
      </c>
      <c r="I107" s="76">
        <f>N(INDEX(Krankheitstage!$G107:$DV107,1,(Einstellungen!$C$3-2026)*24+6))</f>
        <v/>
      </c>
      <c r="J107" s="76">
        <f>N(INDEX(Krankheitstage!$G107:$DV107,1,(Einstellungen!$C$3-2026)*24+7))</f>
        <v/>
      </c>
      <c r="K107" s="76">
        <f>N(INDEX(Krankheitstage!$G107:$DV107,1,(Einstellungen!$C$3-2026)*24+8))</f>
        <v/>
      </c>
      <c r="L107" s="76">
        <f>N(INDEX(Krankheitstage!$G107:$DV107,1,(Einstellungen!$C$3-2026)*24+9))</f>
        <v/>
      </c>
      <c r="M107" s="76">
        <f>N(INDEX(Krankheitstage!$G107:$DV107,1,(Einstellungen!$C$3-2026)*24+10))</f>
        <v/>
      </c>
      <c r="N107" s="76">
        <f>N(INDEX(Krankheitstage!$G107:$DV107,1,(Einstellungen!$C$3-2026)*24+11))</f>
        <v/>
      </c>
      <c r="O107" s="76">
        <f>N(INDEX(Krankheitstage!$G107:$DV107,1,(Einstellungen!$C$3-2026)*24+12))</f>
        <v/>
      </c>
      <c r="P107" s="76">
        <f>IF($B107="","",SUM(D107:O107))</f>
        <v/>
      </c>
      <c r="Q107" s="76">
        <f>N(INDEX(Krankheitstage!$G107:$DV107,1,(Einstellungen!$C$3-2026)*24+13))</f>
        <v/>
      </c>
      <c r="R107" s="76">
        <f>N(INDEX(Krankheitstage!$G107:$DV107,1,(Einstellungen!$C$3-2026)*24+14))</f>
        <v/>
      </c>
      <c r="S107" s="76">
        <f>N(INDEX(Krankheitstage!$G107:$DV107,1,(Einstellungen!$C$3-2026)*24+15))</f>
        <v/>
      </c>
      <c r="T107" s="76">
        <f>N(INDEX(Krankheitstage!$G107:$DV107,1,(Einstellungen!$C$3-2026)*24+16))</f>
        <v/>
      </c>
      <c r="U107" s="76">
        <f>N(INDEX(Krankheitstage!$G107:$DV107,1,(Einstellungen!$C$3-2026)*24+17))</f>
        <v/>
      </c>
      <c r="V107" s="76">
        <f>N(INDEX(Krankheitstage!$G107:$DV107,1,(Einstellungen!$C$3-2026)*24+18))</f>
        <v/>
      </c>
      <c r="W107" s="76">
        <f>N(INDEX(Krankheitstage!$G107:$DV107,1,(Einstellungen!$C$3-2026)*24+19))</f>
        <v/>
      </c>
      <c r="X107" s="76">
        <f>N(INDEX(Krankheitstage!$G107:$DV107,1,(Einstellungen!$C$3-2026)*24+20))</f>
        <v/>
      </c>
      <c r="Y107" s="76">
        <f>N(INDEX(Krankheitstage!$G107:$DV107,1,(Einstellungen!$C$3-2026)*24+21))</f>
        <v/>
      </c>
      <c r="Z107" s="76">
        <f>N(INDEX(Krankheitstage!$G107:$DV107,1,(Einstellungen!$C$3-2026)*24+22))</f>
        <v/>
      </c>
      <c r="AA107" s="76">
        <f>N(INDEX(Krankheitstage!$G107:$DV107,1,(Einstellungen!$C$3-2026)*24+23))</f>
        <v/>
      </c>
      <c r="AB107" s="76">
        <f>N(INDEX(Krankheitstage!$G107:$DV107,1,(Einstellungen!$C$3-2026)*24+24))</f>
        <v/>
      </c>
      <c r="AC107" s="76">
        <f>IF($B107="","",SUM(Q107:AB107))</f>
        <v/>
      </c>
      <c r="AD107" s="76">
        <f>IF($B107="","",SUM(P107,AC107))</f>
        <v/>
      </c>
      <c r="AE107" s="77">
        <f>IF($B107="","",AD107*N(C107))</f>
        <v/>
      </c>
      <c r="AF107" s="76">
        <f>IF($B107="","",Krankheitstage!E107)</f>
        <v/>
      </c>
      <c r="AG107" s="77">
        <f>IF($B107="","",AF107*N(C107))</f>
        <v/>
      </c>
    </row>
    <row r="108">
      <c r="A108" s="74">
        <f>IF(Mitarbeiter!B108="","",Mitarbeiter!A108)</f>
        <v/>
      </c>
      <c r="B108" s="6">
        <f>IF(Mitarbeiter!B108="","",Mitarbeiter!B108)</f>
        <v/>
      </c>
      <c r="C108" s="75">
        <f>IF(Mitarbeiter!B108="","",Mitarbeiter!F108)</f>
        <v/>
      </c>
      <c r="D108" s="76">
        <f>N(INDEX(Krankheitstage!$G108:$DV108,1,(Einstellungen!$C$3-2026)*24+1))</f>
        <v/>
      </c>
      <c r="E108" s="76">
        <f>N(INDEX(Krankheitstage!$G108:$DV108,1,(Einstellungen!$C$3-2026)*24+2))</f>
        <v/>
      </c>
      <c r="F108" s="76">
        <f>N(INDEX(Krankheitstage!$G108:$DV108,1,(Einstellungen!$C$3-2026)*24+3))</f>
        <v/>
      </c>
      <c r="G108" s="76">
        <f>N(INDEX(Krankheitstage!$G108:$DV108,1,(Einstellungen!$C$3-2026)*24+4))</f>
        <v/>
      </c>
      <c r="H108" s="76">
        <f>N(INDEX(Krankheitstage!$G108:$DV108,1,(Einstellungen!$C$3-2026)*24+5))</f>
        <v/>
      </c>
      <c r="I108" s="76">
        <f>N(INDEX(Krankheitstage!$G108:$DV108,1,(Einstellungen!$C$3-2026)*24+6))</f>
        <v/>
      </c>
      <c r="J108" s="76">
        <f>N(INDEX(Krankheitstage!$G108:$DV108,1,(Einstellungen!$C$3-2026)*24+7))</f>
        <v/>
      </c>
      <c r="K108" s="76">
        <f>N(INDEX(Krankheitstage!$G108:$DV108,1,(Einstellungen!$C$3-2026)*24+8))</f>
        <v/>
      </c>
      <c r="L108" s="76">
        <f>N(INDEX(Krankheitstage!$G108:$DV108,1,(Einstellungen!$C$3-2026)*24+9))</f>
        <v/>
      </c>
      <c r="M108" s="76">
        <f>N(INDEX(Krankheitstage!$G108:$DV108,1,(Einstellungen!$C$3-2026)*24+10))</f>
        <v/>
      </c>
      <c r="N108" s="76">
        <f>N(INDEX(Krankheitstage!$G108:$DV108,1,(Einstellungen!$C$3-2026)*24+11))</f>
        <v/>
      </c>
      <c r="O108" s="76">
        <f>N(INDEX(Krankheitstage!$G108:$DV108,1,(Einstellungen!$C$3-2026)*24+12))</f>
        <v/>
      </c>
      <c r="P108" s="76">
        <f>IF($B108="","",SUM(D108:O108))</f>
        <v/>
      </c>
      <c r="Q108" s="76">
        <f>N(INDEX(Krankheitstage!$G108:$DV108,1,(Einstellungen!$C$3-2026)*24+13))</f>
        <v/>
      </c>
      <c r="R108" s="76">
        <f>N(INDEX(Krankheitstage!$G108:$DV108,1,(Einstellungen!$C$3-2026)*24+14))</f>
        <v/>
      </c>
      <c r="S108" s="76">
        <f>N(INDEX(Krankheitstage!$G108:$DV108,1,(Einstellungen!$C$3-2026)*24+15))</f>
        <v/>
      </c>
      <c r="T108" s="76">
        <f>N(INDEX(Krankheitstage!$G108:$DV108,1,(Einstellungen!$C$3-2026)*24+16))</f>
        <v/>
      </c>
      <c r="U108" s="76">
        <f>N(INDEX(Krankheitstage!$G108:$DV108,1,(Einstellungen!$C$3-2026)*24+17))</f>
        <v/>
      </c>
      <c r="V108" s="76">
        <f>N(INDEX(Krankheitstage!$G108:$DV108,1,(Einstellungen!$C$3-2026)*24+18))</f>
        <v/>
      </c>
      <c r="W108" s="76">
        <f>N(INDEX(Krankheitstage!$G108:$DV108,1,(Einstellungen!$C$3-2026)*24+19))</f>
        <v/>
      </c>
      <c r="X108" s="76">
        <f>N(INDEX(Krankheitstage!$G108:$DV108,1,(Einstellungen!$C$3-2026)*24+20))</f>
        <v/>
      </c>
      <c r="Y108" s="76">
        <f>N(INDEX(Krankheitstage!$G108:$DV108,1,(Einstellungen!$C$3-2026)*24+21))</f>
        <v/>
      </c>
      <c r="Z108" s="76">
        <f>N(INDEX(Krankheitstage!$G108:$DV108,1,(Einstellungen!$C$3-2026)*24+22))</f>
        <v/>
      </c>
      <c r="AA108" s="76">
        <f>N(INDEX(Krankheitstage!$G108:$DV108,1,(Einstellungen!$C$3-2026)*24+23))</f>
        <v/>
      </c>
      <c r="AB108" s="76">
        <f>N(INDEX(Krankheitstage!$G108:$DV108,1,(Einstellungen!$C$3-2026)*24+24))</f>
        <v/>
      </c>
      <c r="AC108" s="76">
        <f>IF($B108="","",SUM(Q108:AB108))</f>
        <v/>
      </c>
      <c r="AD108" s="76">
        <f>IF($B108="","",SUM(P108,AC108))</f>
        <v/>
      </c>
      <c r="AE108" s="77">
        <f>IF($B108="","",AD108*N(C108))</f>
        <v/>
      </c>
      <c r="AF108" s="76">
        <f>IF($B108="","",Krankheitstage!E108)</f>
        <v/>
      </c>
      <c r="AG108" s="77">
        <f>IF($B108="","",AF108*N(C108))</f>
        <v/>
      </c>
    </row>
    <row r="109">
      <c r="A109" s="74">
        <f>IF(Mitarbeiter!B109="","",Mitarbeiter!A109)</f>
        <v/>
      </c>
      <c r="B109" s="6">
        <f>IF(Mitarbeiter!B109="","",Mitarbeiter!B109)</f>
        <v/>
      </c>
      <c r="C109" s="75">
        <f>IF(Mitarbeiter!B109="","",Mitarbeiter!F109)</f>
        <v/>
      </c>
      <c r="D109" s="76">
        <f>N(INDEX(Krankheitstage!$G109:$DV109,1,(Einstellungen!$C$3-2026)*24+1))</f>
        <v/>
      </c>
      <c r="E109" s="76">
        <f>N(INDEX(Krankheitstage!$G109:$DV109,1,(Einstellungen!$C$3-2026)*24+2))</f>
        <v/>
      </c>
      <c r="F109" s="76">
        <f>N(INDEX(Krankheitstage!$G109:$DV109,1,(Einstellungen!$C$3-2026)*24+3))</f>
        <v/>
      </c>
      <c r="G109" s="76">
        <f>N(INDEX(Krankheitstage!$G109:$DV109,1,(Einstellungen!$C$3-2026)*24+4))</f>
        <v/>
      </c>
      <c r="H109" s="76">
        <f>N(INDEX(Krankheitstage!$G109:$DV109,1,(Einstellungen!$C$3-2026)*24+5))</f>
        <v/>
      </c>
      <c r="I109" s="76">
        <f>N(INDEX(Krankheitstage!$G109:$DV109,1,(Einstellungen!$C$3-2026)*24+6))</f>
        <v/>
      </c>
      <c r="J109" s="76">
        <f>N(INDEX(Krankheitstage!$G109:$DV109,1,(Einstellungen!$C$3-2026)*24+7))</f>
        <v/>
      </c>
      <c r="K109" s="76">
        <f>N(INDEX(Krankheitstage!$G109:$DV109,1,(Einstellungen!$C$3-2026)*24+8))</f>
        <v/>
      </c>
      <c r="L109" s="76">
        <f>N(INDEX(Krankheitstage!$G109:$DV109,1,(Einstellungen!$C$3-2026)*24+9))</f>
        <v/>
      </c>
      <c r="M109" s="76">
        <f>N(INDEX(Krankheitstage!$G109:$DV109,1,(Einstellungen!$C$3-2026)*24+10))</f>
        <v/>
      </c>
      <c r="N109" s="76">
        <f>N(INDEX(Krankheitstage!$G109:$DV109,1,(Einstellungen!$C$3-2026)*24+11))</f>
        <v/>
      </c>
      <c r="O109" s="76">
        <f>N(INDEX(Krankheitstage!$G109:$DV109,1,(Einstellungen!$C$3-2026)*24+12))</f>
        <v/>
      </c>
      <c r="P109" s="76">
        <f>IF($B109="","",SUM(D109:O109))</f>
        <v/>
      </c>
      <c r="Q109" s="76">
        <f>N(INDEX(Krankheitstage!$G109:$DV109,1,(Einstellungen!$C$3-2026)*24+13))</f>
        <v/>
      </c>
      <c r="R109" s="76">
        <f>N(INDEX(Krankheitstage!$G109:$DV109,1,(Einstellungen!$C$3-2026)*24+14))</f>
        <v/>
      </c>
      <c r="S109" s="76">
        <f>N(INDEX(Krankheitstage!$G109:$DV109,1,(Einstellungen!$C$3-2026)*24+15))</f>
        <v/>
      </c>
      <c r="T109" s="76">
        <f>N(INDEX(Krankheitstage!$G109:$DV109,1,(Einstellungen!$C$3-2026)*24+16))</f>
        <v/>
      </c>
      <c r="U109" s="76">
        <f>N(INDEX(Krankheitstage!$G109:$DV109,1,(Einstellungen!$C$3-2026)*24+17))</f>
        <v/>
      </c>
      <c r="V109" s="76">
        <f>N(INDEX(Krankheitstage!$G109:$DV109,1,(Einstellungen!$C$3-2026)*24+18))</f>
        <v/>
      </c>
      <c r="W109" s="76">
        <f>N(INDEX(Krankheitstage!$G109:$DV109,1,(Einstellungen!$C$3-2026)*24+19))</f>
        <v/>
      </c>
      <c r="X109" s="76">
        <f>N(INDEX(Krankheitstage!$G109:$DV109,1,(Einstellungen!$C$3-2026)*24+20))</f>
        <v/>
      </c>
      <c r="Y109" s="76">
        <f>N(INDEX(Krankheitstage!$G109:$DV109,1,(Einstellungen!$C$3-2026)*24+21))</f>
        <v/>
      </c>
      <c r="Z109" s="76">
        <f>N(INDEX(Krankheitstage!$G109:$DV109,1,(Einstellungen!$C$3-2026)*24+22))</f>
        <v/>
      </c>
      <c r="AA109" s="76">
        <f>N(INDEX(Krankheitstage!$G109:$DV109,1,(Einstellungen!$C$3-2026)*24+23))</f>
        <v/>
      </c>
      <c r="AB109" s="76">
        <f>N(INDEX(Krankheitstage!$G109:$DV109,1,(Einstellungen!$C$3-2026)*24+24))</f>
        <v/>
      </c>
      <c r="AC109" s="76">
        <f>IF($B109="","",SUM(Q109:AB109))</f>
        <v/>
      </c>
      <c r="AD109" s="76">
        <f>IF($B109="","",SUM(P109,AC109))</f>
        <v/>
      </c>
      <c r="AE109" s="77">
        <f>IF($B109="","",AD109*N(C109))</f>
        <v/>
      </c>
      <c r="AF109" s="76">
        <f>IF($B109="","",Krankheitstage!E109)</f>
        <v/>
      </c>
      <c r="AG109" s="77">
        <f>IF($B109="","",AF109*N(C109))</f>
        <v/>
      </c>
    </row>
    <row r="110">
      <c r="A110" s="74">
        <f>IF(Mitarbeiter!B110="","",Mitarbeiter!A110)</f>
        <v/>
      </c>
      <c r="B110" s="6">
        <f>IF(Mitarbeiter!B110="","",Mitarbeiter!B110)</f>
        <v/>
      </c>
      <c r="C110" s="75">
        <f>IF(Mitarbeiter!B110="","",Mitarbeiter!F110)</f>
        <v/>
      </c>
      <c r="D110" s="76">
        <f>N(INDEX(Krankheitstage!$G110:$DV110,1,(Einstellungen!$C$3-2026)*24+1))</f>
        <v/>
      </c>
      <c r="E110" s="76">
        <f>N(INDEX(Krankheitstage!$G110:$DV110,1,(Einstellungen!$C$3-2026)*24+2))</f>
        <v/>
      </c>
      <c r="F110" s="76">
        <f>N(INDEX(Krankheitstage!$G110:$DV110,1,(Einstellungen!$C$3-2026)*24+3))</f>
        <v/>
      </c>
      <c r="G110" s="76">
        <f>N(INDEX(Krankheitstage!$G110:$DV110,1,(Einstellungen!$C$3-2026)*24+4))</f>
        <v/>
      </c>
      <c r="H110" s="76">
        <f>N(INDEX(Krankheitstage!$G110:$DV110,1,(Einstellungen!$C$3-2026)*24+5))</f>
        <v/>
      </c>
      <c r="I110" s="76">
        <f>N(INDEX(Krankheitstage!$G110:$DV110,1,(Einstellungen!$C$3-2026)*24+6))</f>
        <v/>
      </c>
      <c r="J110" s="76">
        <f>N(INDEX(Krankheitstage!$G110:$DV110,1,(Einstellungen!$C$3-2026)*24+7))</f>
        <v/>
      </c>
      <c r="K110" s="76">
        <f>N(INDEX(Krankheitstage!$G110:$DV110,1,(Einstellungen!$C$3-2026)*24+8))</f>
        <v/>
      </c>
      <c r="L110" s="76">
        <f>N(INDEX(Krankheitstage!$G110:$DV110,1,(Einstellungen!$C$3-2026)*24+9))</f>
        <v/>
      </c>
      <c r="M110" s="76">
        <f>N(INDEX(Krankheitstage!$G110:$DV110,1,(Einstellungen!$C$3-2026)*24+10))</f>
        <v/>
      </c>
      <c r="N110" s="76">
        <f>N(INDEX(Krankheitstage!$G110:$DV110,1,(Einstellungen!$C$3-2026)*24+11))</f>
        <v/>
      </c>
      <c r="O110" s="76">
        <f>N(INDEX(Krankheitstage!$G110:$DV110,1,(Einstellungen!$C$3-2026)*24+12))</f>
        <v/>
      </c>
      <c r="P110" s="76">
        <f>IF($B110="","",SUM(D110:O110))</f>
        <v/>
      </c>
      <c r="Q110" s="76">
        <f>N(INDEX(Krankheitstage!$G110:$DV110,1,(Einstellungen!$C$3-2026)*24+13))</f>
        <v/>
      </c>
      <c r="R110" s="76">
        <f>N(INDEX(Krankheitstage!$G110:$DV110,1,(Einstellungen!$C$3-2026)*24+14))</f>
        <v/>
      </c>
      <c r="S110" s="76">
        <f>N(INDEX(Krankheitstage!$G110:$DV110,1,(Einstellungen!$C$3-2026)*24+15))</f>
        <v/>
      </c>
      <c r="T110" s="76">
        <f>N(INDEX(Krankheitstage!$G110:$DV110,1,(Einstellungen!$C$3-2026)*24+16))</f>
        <v/>
      </c>
      <c r="U110" s="76">
        <f>N(INDEX(Krankheitstage!$G110:$DV110,1,(Einstellungen!$C$3-2026)*24+17))</f>
        <v/>
      </c>
      <c r="V110" s="76">
        <f>N(INDEX(Krankheitstage!$G110:$DV110,1,(Einstellungen!$C$3-2026)*24+18))</f>
        <v/>
      </c>
      <c r="W110" s="76">
        <f>N(INDEX(Krankheitstage!$G110:$DV110,1,(Einstellungen!$C$3-2026)*24+19))</f>
        <v/>
      </c>
      <c r="X110" s="76">
        <f>N(INDEX(Krankheitstage!$G110:$DV110,1,(Einstellungen!$C$3-2026)*24+20))</f>
        <v/>
      </c>
      <c r="Y110" s="76">
        <f>N(INDEX(Krankheitstage!$G110:$DV110,1,(Einstellungen!$C$3-2026)*24+21))</f>
        <v/>
      </c>
      <c r="Z110" s="76">
        <f>N(INDEX(Krankheitstage!$G110:$DV110,1,(Einstellungen!$C$3-2026)*24+22))</f>
        <v/>
      </c>
      <c r="AA110" s="76">
        <f>N(INDEX(Krankheitstage!$G110:$DV110,1,(Einstellungen!$C$3-2026)*24+23))</f>
        <v/>
      </c>
      <c r="AB110" s="76">
        <f>N(INDEX(Krankheitstage!$G110:$DV110,1,(Einstellungen!$C$3-2026)*24+24))</f>
        <v/>
      </c>
      <c r="AC110" s="76">
        <f>IF($B110="","",SUM(Q110:AB110))</f>
        <v/>
      </c>
      <c r="AD110" s="76">
        <f>IF($B110="","",SUM(P110,AC110))</f>
        <v/>
      </c>
      <c r="AE110" s="77">
        <f>IF($B110="","",AD110*N(C110))</f>
        <v/>
      </c>
      <c r="AF110" s="76">
        <f>IF($B110="","",Krankheitstage!E110)</f>
        <v/>
      </c>
      <c r="AG110" s="77">
        <f>IF($B110="","",AF110*N(C110))</f>
        <v/>
      </c>
    </row>
    <row r="111">
      <c r="A111" s="74">
        <f>IF(Mitarbeiter!B111="","",Mitarbeiter!A111)</f>
        <v/>
      </c>
      <c r="B111" s="6">
        <f>IF(Mitarbeiter!B111="","",Mitarbeiter!B111)</f>
        <v/>
      </c>
      <c r="C111" s="75">
        <f>IF(Mitarbeiter!B111="","",Mitarbeiter!F111)</f>
        <v/>
      </c>
      <c r="D111" s="76">
        <f>N(INDEX(Krankheitstage!$G111:$DV111,1,(Einstellungen!$C$3-2026)*24+1))</f>
        <v/>
      </c>
      <c r="E111" s="76">
        <f>N(INDEX(Krankheitstage!$G111:$DV111,1,(Einstellungen!$C$3-2026)*24+2))</f>
        <v/>
      </c>
      <c r="F111" s="76">
        <f>N(INDEX(Krankheitstage!$G111:$DV111,1,(Einstellungen!$C$3-2026)*24+3))</f>
        <v/>
      </c>
      <c r="G111" s="76">
        <f>N(INDEX(Krankheitstage!$G111:$DV111,1,(Einstellungen!$C$3-2026)*24+4))</f>
        <v/>
      </c>
      <c r="H111" s="76">
        <f>N(INDEX(Krankheitstage!$G111:$DV111,1,(Einstellungen!$C$3-2026)*24+5))</f>
        <v/>
      </c>
      <c r="I111" s="76">
        <f>N(INDEX(Krankheitstage!$G111:$DV111,1,(Einstellungen!$C$3-2026)*24+6))</f>
        <v/>
      </c>
      <c r="J111" s="76">
        <f>N(INDEX(Krankheitstage!$G111:$DV111,1,(Einstellungen!$C$3-2026)*24+7))</f>
        <v/>
      </c>
      <c r="K111" s="76">
        <f>N(INDEX(Krankheitstage!$G111:$DV111,1,(Einstellungen!$C$3-2026)*24+8))</f>
        <v/>
      </c>
      <c r="L111" s="76">
        <f>N(INDEX(Krankheitstage!$G111:$DV111,1,(Einstellungen!$C$3-2026)*24+9))</f>
        <v/>
      </c>
      <c r="M111" s="76">
        <f>N(INDEX(Krankheitstage!$G111:$DV111,1,(Einstellungen!$C$3-2026)*24+10))</f>
        <v/>
      </c>
      <c r="N111" s="76">
        <f>N(INDEX(Krankheitstage!$G111:$DV111,1,(Einstellungen!$C$3-2026)*24+11))</f>
        <v/>
      </c>
      <c r="O111" s="76">
        <f>N(INDEX(Krankheitstage!$G111:$DV111,1,(Einstellungen!$C$3-2026)*24+12))</f>
        <v/>
      </c>
      <c r="P111" s="76">
        <f>IF($B111="","",SUM(D111:O111))</f>
        <v/>
      </c>
      <c r="Q111" s="76">
        <f>N(INDEX(Krankheitstage!$G111:$DV111,1,(Einstellungen!$C$3-2026)*24+13))</f>
        <v/>
      </c>
      <c r="R111" s="76">
        <f>N(INDEX(Krankheitstage!$G111:$DV111,1,(Einstellungen!$C$3-2026)*24+14))</f>
        <v/>
      </c>
      <c r="S111" s="76">
        <f>N(INDEX(Krankheitstage!$G111:$DV111,1,(Einstellungen!$C$3-2026)*24+15))</f>
        <v/>
      </c>
      <c r="T111" s="76">
        <f>N(INDEX(Krankheitstage!$G111:$DV111,1,(Einstellungen!$C$3-2026)*24+16))</f>
        <v/>
      </c>
      <c r="U111" s="76">
        <f>N(INDEX(Krankheitstage!$G111:$DV111,1,(Einstellungen!$C$3-2026)*24+17))</f>
        <v/>
      </c>
      <c r="V111" s="76">
        <f>N(INDEX(Krankheitstage!$G111:$DV111,1,(Einstellungen!$C$3-2026)*24+18))</f>
        <v/>
      </c>
      <c r="W111" s="76">
        <f>N(INDEX(Krankheitstage!$G111:$DV111,1,(Einstellungen!$C$3-2026)*24+19))</f>
        <v/>
      </c>
      <c r="X111" s="76">
        <f>N(INDEX(Krankheitstage!$G111:$DV111,1,(Einstellungen!$C$3-2026)*24+20))</f>
        <v/>
      </c>
      <c r="Y111" s="76">
        <f>N(INDEX(Krankheitstage!$G111:$DV111,1,(Einstellungen!$C$3-2026)*24+21))</f>
        <v/>
      </c>
      <c r="Z111" s="76">
        <f>N(INDEX(Krankheitstage!$G111:$DV111,1,(Einstellungen!$C$3-2026)*24+22))</f>
        <v/>
      </c>
      <c r="AA111" s="76">
        <f>N(INDEX(Krankheitstage!$G111:$DV111,1,(Einstellungen!$C$3-2026)*24+23))</f>
        <v/>
      </c>
      <c r="AB111" s="76">
        <f>N(INDEX(Krankheitstage!$G111:$DV111,1,(Einstellungen!$C$3-2026)*24+24))</f>
        <v/>
      </c>
      <c r="AC111" s="76">
        <f>IF($B111="","",SUM(Q111:AB111))</f>
        <v/>
      </c>
      <c r="AD111" s="76">
        <f>IF($B111="","",SUM(P111,AC111))</f>
        <v/>
      </c>
      <c r="AE111" s="77">
        <f>IF($B111="","",AD111*N(C111))</f>
        <v/>
      </c>
      <c r="AF111" s="76">
        <f>IF($B111="","",Krankheitstage!E111)</f>
        <v/>
      </c>
      <c r="AG111" s="77">
        <f>IF($B111="","",AF111*N(C111))</f>
        <v/>
      </c>
    </row>
    <row r="112">
      <c r="A112" s="74">
        <f>IF(Mitarbeiter!B112="","",Mitarbeiter!A112)</f>
        <v/>
      </c>
      <c r="B112" s="6">
        <f>IF(Mitarbeiter!B112="","",Mitarbeiter!B112)</f>
        <v/>
      </c>
      <c r="C112" s="75">
        <f>IF(Mitarbeiter!B112="","",Mitarbeiter!F112)</f>
        <v/>
      </c>
      <c r="D112" s="76">
        <f>N(INDEX(Krankheitstage!$G112:$DV112,1,(Einstellungen!$C$3-2026)*24+1))</f>
        <v/>
      </c>
      <c r="E112" s="76">
        <f>N(INDEX(Krankheitstage!$G112:$DV112,1,(Einstellungen!$C$3-2026)*24+2))</f>
        <v/>
      </c>
      <c r="F112" s="76">
        <f>N(INDEX(Krankheitstage!$G112:$DV112,1,(Einstellungen!$C$3-2026)*24+3))</f>
        <v/>
      </c>
      <c r="G112" s="76">
        <f>N(INDEX(Krankheitstage!$G112:$DV112,1,(Einstellungen!$C$3-2026)*24+4))</f>
        <v/>
      </c>
      <c r="H112" s="76">
        <f>N(INDEX(Krankheitstage!$G112:$DV112,1,(Einstellungen!$C$3-2026)*24+5))</f>
        <v/>
      </c>
      <c r="I112" s="76">
        <f>N(INDEX(Krankheitstage!$G112:$DV112,1,(Einstellungen!$C$3-2026)*24+6))</f>
        <v/>
      </c>
      <c r="J112" s="76">
        <f>N(INDEX(Krankheitstage!$G112:$DV112,1,(Einstellungen!$C$3-2026)*24+7))</f>
        <v/>
      </c>
      <c r="K112" s="76">
        <f>N(INDEX(Krankheitstage!$G112:$DV112,1,(Einstellungen!$C$3-2026)*24+8))</f>
        <v/>
      </c>
      <c r="L112" s="76">
        <f>N(INDEX(Krankheitstage!$G112:$DV112,1,(Einstellungen!$C$3-2026)*24+9))</f>
        <v/>
      </c>
      <c r="M112" s="76">
        <f>N(INDEX(Krankheitstage!$G112:$DV112,1,(Einstellungen!$C$3-2026)*24+10))</f>
        <v/>
      </c>
      <c r="N112" s="76">
        <f>N(INDEX(Krankheitstage!$G112:$DV112,1,(Einstellungen!$C$3-2026)*24+11))</f>
        <v/>
      </c>
      <c r="O112" s="76">
        <f>N(INDEX(Krankheitstage!$G112:$DV112,1,(Einstellungen!$C$3-2026)*24+12))</f>
        <v/>
      </c>
      <c r="P112" s="76">
        <f>IF($B112="","",SUM(D112:O112))</f>
        <v/>
      </c>
      <c r="Q112" s="76">
        <f>N(INDEX(Krankheitstage!$G112:$DV112,1,(Einstellungen!$C$3-2026)*24+13))</f>
        <v/>
      </c>
      <c r="R112" s="76">
        <f>N(INDEX(Krankheitstage!$G112:$DV112,1,(Einstellungen!$C$3-2026)*24+14))</f>
        <v/>
      </c>
      <c r="S112" s="76">
        <f>N(INDEX(Krankheitstage!$G112:$DV112,1,(Einstellungen!$C$3-2026)*24+15))</f>
        <v/>
      </c>
      <c r="T112" s="76">
        <f>N(INDEX(Krankheitstage!$G112:$DV112,1,(Einstellungen!$C$3-2026)*24+16))</f>
        <v/>
      </c>
      <c r="U112" s="76">
        <f>N(INDEX(Krankheitstage!$G112:$DV112,1,(Einstellungen!$C$3-2026)*24+17))</f>
        <v/>
      </c>
      <c r="V112" s="76">
        <f>N(INDEX(Krankheitstage!$G112:$DV112,1,(Einstellungen!$C$3-2026)*24+18))</f>
        <v/>
      </c>
      <c r="W112" s="76">
        <f>N(INDEX(Krankheitstage!$G112:$DV112,1,(Einstellungen!$C$3-2026)*24+19))</f>
        <v/>
      </c>
      <c r="X112" s="76">
        <f>N(INDEX(Krankheitstage!$G112:$DV112,1,(Einstellungen!$C$3-2026)*24+20))</f>
        <v/>
      </c>
      <c r="Y112" s="76">
        <f>N(INDEX(Krankheitstage!$G112:$DV112,1,(Einstellungen!$C$3-2026)*24+21))</f>
        <v/>
      </c>
      <c r="Z112" s="76">
        <f>N(INDEX(Krankheitstage!$G112:$DV112,1,(Einstellungen!$C$3-2026)*24+22))</f>
        <v/>
      </c>
      <c r="AA112" s="76">
        <f>N(INDEX(Krankheitstage!$G112:$DV112,1,(Einstellungen!$C$3-2026)*24+23))</f>
        <v/>
      </c>
      <c r="AB112" s="76">
        <f>N(INDEX(Krankheitstage!$G112:$DV112,1,(Einstellungen!$C$3-2026)*24+24))</f>
        <v/>
      </c>
      <c r="AC112" s="76">
        <f>IF($B112="","",SUM(Q112:AB112))</f>
        <v/>
      </c>
      <c r="AD112" s="76">
        <f>IF($B112="","",SUM(P112,AC112))</f>
        <v/>
      </c>
      <c r="AE112" s="77">
        <f>IF($B112="","",AD112*N(C112))</f>
        <v/>
      </c>
      <c r="AF112" s="76">
        <f>IF($B112="","",Krankheitstage!E112)</f>
        <v/>
      </c>
      <c r="AG112" s="77">
        <f>IF($B112="","",AF112*N(C112))</f>
        <v/>
      </c>
    </row>
    <row r="113">
      <c r="A113" s="74">
        <f>IF(Mitarbeiter!B113="","",Mitarbeiter!A113)</f>
        <v/>
      </c>
      <c r="B113" s="6">
        <f>IF(Mitarbeiter!B113="","",Mitarbeiter!B113)</f>
        <v/>
      </c>
      <c r="C113" s="75">
        <f>IF(Mitarbeiter!B113="","",Mitarbeiter!F113)</f>
        <v/>
      </c>
      <c r="D113" s="76">
        <f>N(INDEX(Krankheitstage!$G113:$DV113,1,(Einstellungen!$C$3-2026)*24+1))</f>
        <v/>
      </c>
      <c r="E113" s="76">
        <f>N(INDEX(Krankheitstage!$G113:$DV113,1,(Einstellungen!$C$3-2026)*24+2))</f>
        <v/>
      </c>
      <c r="F113" s="76">
        <f>N(INDEX(Krankheitstage!$G113:$DV113,1,(Einstellungen!$C$3-2026)*24+3))</f>
        <v/>
      </c>
      <c r="G113" s="76">
        <f>N(INDEX(Krankheitstage!$G113:$DV113,1,(Einstellungen!$C$3-2026)*24+4))</f>
        <v/>
      </c>
      <c r="H113" s="76">
        <f>N(INDEX(Krankheitstage!$G113:$DV113,1,(Einstellungen!$C$3-2026)*24+5))</f>
        <v/>
      </c>
      <c r="I113" s="76">
        <f>N(INDEX(Krankheitstage!$G113:$DV113,1,(Einstellungen!$C$3-2026)*24+6))</f>
        <v/>
      </c>
      <c r="J113" s="76">
        <f>N(INDEX(Krankheitstage!$G113:$DV113,1,(Einstellungen!$C$3-2026)*24+7))</f>
        <v/>
      </c>
      <c r="K113" s="76">
        <f>N(INDEX(Krankheitstage!$G113:$DV113,1,(Einstellungen!$C$3-2026)*24+8))</f>
        <v/>
      </c>
      <c r="L113" s="76">
        <f>N(INDEX(Krankheitstage!$G113:$DV113,1,(Einstellungen!$C$3-2026)*24+9))</f>
        <v/>
      </c>
      <c r="M113" s="76">
        <f>N(INDEX(Krankheitstage!$G113:$DV113,1,(Einstellungen!$C$3-2026)*24+10))</f>
        <v/>
      </c>
      <c r="N113" s="76">
        <f>N(INDEX(Krankheitstage!$G113:$DV113,1,(Einstellungen!$C$3-2026)*24+11))</f>
        <v/>
      </c>
      <c r="O113" s="76">
        <f>N(INDEX(Krankheitstage!$G113:$DV113,1,(Einstellungen!$C$3-2026)*24+12))</f>
        <v/>
      </c>
      <c r="P113" s="76">
        <f>IF($B113="","",SUM(D113:O113))</f>
        <v/>
      </c>
      <c r="Q113" s="76">
        <f>N(INDEX(Krankheitstage!$G113:$DV113,1,(Einstellungen!$C$3-2026)*24+13))</f>
        <v/>
      </c>
      <c r="R113" s="76">
        <f>N(INDEX(Krankheitstage!$G113:$DV113,1,(Einstellungen!$C$3-2026)*24+14))</f>
        <v/>
      </c>
      <c r="S113" s="76">
        <f>N(INDEX(Krankheitstage!$G113:$DV113,1,(Einstellungen!$C$3-2026)*24+15))</f>
        <v/>
      </c>
      <c r="T113" s="76">
        <f>N(INDEX(Krankheitstage!$G113:$DV113,1,(Einstellungen!$C$3-2026)*24+16))</f>
        <v/>
      </c>
      <c r="U113" s="76">
        <f>N(INDEX(Krankheitstage!$G113:$DV113,1,(Einstellungen!$C$3-2026)*24+17))</f>
        <v/>
      </c>
      <c r="V113" s="76">
        <f>N(INDEX(Krankheitstage!$G113:$DV113,1,(Einstellungen!$C$3-2026)*24+18))</f>
        <v/>
      </c>
      <c r="W113" s="76">
        <f>N(INDEX(Krankheitstage!$G113:$DV113,1,(Einstellungen!$C$3-2026)*24+19))</f>
        <v/>
      </c>
      <c r="X113" s="76">
        <f>N(INDEX(Krankheitstage!$G113:$DV113,1,(Einstellungen!$C$3-2026)*24+20))</f>
        <v/>
      </c>
      <c r="Y113" s="76">
        <f>N(INDEX(Krankheitstage!$G113:$DV113,1,(Einstellungen!$C$3-2026)*24+21))</f>
        <v/>
      </c>
      <c r="Z113" s="76">
        <f>N(INDEX(Krankheitstage!$G113:$DV113,1,(Einstellungen!$C$3-2026)*24+22))</f>
        <v/>
      </c>
      <c r="AA113" s="76">
        <f>N(INDEX(Krankheitstage!$G113:$DV113,1,(Einstellungen!$C$3-2026)*24+23))</f>
        <v/>
      </c>
      <c r="AB113" s="76">
        <f>N(INDEX(Krankheitstage!$G113:$DV113,1,(Einstellungen!$C$3-2026)*24+24))</f>
        <v/>
      </c>
      <c r="AC113" s="76">
        <f>IF($B113="","",SUM(Q113:AB113))</f>
        <v/>
      </c>
      <c r="AD113" s="76">
        <f>IF($B113="","",SUM(P113,AC113))</f>
        <v/>
      </c>
      <c r="AE113" s="77">
        <f>IF($B113="","",AD113*N(C113))</f>
        <v/>
      </c>
      <c r="AF113" s="76">
        <f>IF($B113="","",Krankheitstage!E113)</f>
        <v/>
      </c>
      <c r="AG113" s="77">
        <f>IF($B113="","",AF113*N(C113))</f>
        <v/>
      </c>
    </row>
    <row r="114">
      <c r="A114" s="74">
        <f>IF(Mitarbeiter!B114="","",Mitarbeiter!A114)</f>
        <v/>
      </c>
      <c r="B114" s="6">
        <f>IF(Mitarbeiter!B114="","",Mitarbeiter!B114)</f>
        <v/>
      </c>
      <c r="C114" s="75">
        <f>IF(Mitarbeiter!B114="","",Mitarbeiter!F114)</f>
        <v/>
      </c>
      <c r="D114" s="76">
        <f>N(INDEX(Krankheitstage!$G114:$DV114,1,(Einstellungen!$C$3-2026)*24+1))</f>
        <v/>
      </c>
      <c r="E114" s="76">
        <f>N(INDEX(Krankheitstage!$G114:$DV114,1,(Einstellungen!$C$3-2026)*24+2))</f>
        <v/>
      </c>
      <c r="F114" s="76">
        <f>N(INDEX(Krankheitstage!$G114:$DV114,1,(Einstellungen!$C$3-2026)*24+3))</f>
        <v/>
      </c>
      <c r="G114" s="76">
        <f>N(INDEX(Krankheitstage!$G114:$DV114,1,(Einstellungen!$C$3-2026)*24+4))</f>
        <v/>
      </c>
      <c r="H114" s="76">
        <f>N(INDEX(Krankheitstage!$G114:$DV114,1,(Einstellungen!$C$3-2026)*24+5))</f>
        <v/>
      </c>
      <c r="I114" s="76">
        <f>N(INDEX(Krankheitstage!$G114:$DV114,1,(Einstellungen!$C$3-2026)*24+6))</f>
        <v/>
      </c>
      <c r="J114" s="76">
        <f>N(INDEX(Krankheitstage!$G114:$DV114,1,(Einstellungen!$C$3-2026)*24+7))</f>
        <v/>
      </c>
      <c r="K114" s="76">
        <f>N(INDEX(Krankheitstage!$G114:$DV114,1,(Einstellungen!$C$3-2026)*24+8))</f>
        <v/>
      </c>
      <c r="L114" s="76">
        <f>N(INDEX(Krankheitstage!$G114:$DV114,1,(Einstellungen!$C$3-2026)*24+9))</f>
        <v/>
      </c>
      <c r="M114" s="76">
        <f>N(INDEX(Krankheitstage!$G114:$DV114,1,(Einstellungen!$C$3-2026)*24+10))</f>
        <v/>
      </c>
      <c r="N114" s="76">
        <f>N(INDEX(Krankheitstage!$G114:$DV114,1,(Einstellungen!$C$3-2026)*24+11))</f>
        <v/>
      </c>
      <c r="O114" s="76">
        <f>N(INDEX(Krankheitstage!$G114:$DV114,1,(Einstellungen!$C$3-2026)*24+12))</f>
        <v/>
      </c>
      <c r="P114" s="76">
        <f>IF($B114="","",SUM(D114:O114))</f>
        <v/>
      </c>
      <c r="Q114" s="76">
        <f>N(INDEX(Krankheitstage!$G114:$DV114,1,(Einstellungen!$C$3-2026)*24+13))</f>
        <v/>
      </c>
      <c r="R114" s="76">
        <f>N(INDEX(Krankheitstage!$G114:$DV114,1,(Einstellungen!$C$3-2026)*24+14))</f>
        <v/>
      </c>
      <c r="S114" s="76">
        <f>N(INDEX(Krankheitstage!$G114:$DV114,1,(Einstellungen!$C$3-2026)*24+15))</f>
        <v/>
      </c>
      <c r="T114" s="76">
        <f>N(INDEX(Krankheitstage!$G114:$DV114,1,(Einstellungen!$C$3-2026)*24+16))</f>
        <v/>
      </c>
      <c r="U114" s="76">
        <f>N(INDEX(Krankheitstage!$G114:$DV114,1,(Einstellungen!$C$3-2026)*24+17))</f>
        <v/>
      </c>
      <c r="V114" s="76">
        <f>N(INDEX(Krankheitstage!$G114:$DV114,1,(Einstellungen!$C$3-2026)*24+18))</f>
        <v/>
      </c>
      <c r="W114" s="76">
        <f>N(INDEX(Krankheitstage!$G114:$DV114,1,(Einstellungen!$C$3-2026)*24+19))</f>
        <v/>
      </c>
      <c r="X114" s="76">
        <f>N(INDEX(Krankheitstage!$G114:$DV114,1,(Einstellungen!$C$3-2026)*24+20))</f>
        <v/>
      </c>
      <c r="Y114" s="76">
        <f>N(INDEX(Krankheitstage!$G114:$DV114,1,(Einstellungen!$C$3-2026)*24+21))</f>
        <v/>
      </c>
      <c r="Z114" s="76">
        <f>N(INDEX(Krankheitstage!$G114:$DV114,1,(Einstellungen!$C$3-2026)*24+22))</f>
        <v/>
      </c>
      <c r="AA114" s="76">
        <f>N(INDEX(Krankheitstage!$G114:$DV114,1,(Einstellungen!$C$3-2026)*24+23))</f>
        <v/>
      </c>
      <c r="AB114" s="76">
        <f>N(INDEX(Krankheitstage!$G114:$DV114,1,(Einstellungen!$C$3-2026)*24+24))</f>
        <v/>
      </c>
      <c r="AC114" s="76">
        <f>IF($B114="","",SUM(Q114:AB114))</f>
        <v/>
      </c>
      <c r="AD114" s="76">
        <f>IF($B114="","",SUM(P114,AC114))</f>
        <v/>
      </c>
      <c r="AE114" s="77">
        <f>IF($B114="","",AD114*N(C114))</f>
        <v/>
      </c>
      <c r="AF114" s="76">
        <f>IF($B114="","",Krankheitstage!E114)</f>
        <v/>
      </c>
      <c r="AG114" s="77">
        <f>IF($B114="","",AF114*N(C114))</f>
        <v/>
      </c>
    </row>
    <row r="115">
      <c r="A115" s="74">
        <f>IF(Mitarbeiter!B115="","",Mitarbeiter!A115)</f>
        <v/>
      </c>
      <c r="B115" s="6">
        <f>IF(Mitarbeiter!B115="","",Mitarbeiter!B115)</f>
        <v/>
      </c>
      <c r="C115" s="75">
        <f>IF(Mitarbeiter!B115="","",Mitarbeiter!F115)</f>
        <v/>
      </c>
      <c r="D115" s="76">
        <f>N(INDEX(Krankheitstage!$G115:$DV115,1,(Einstellungen!$C$3-2026)*24+1))</f>
        <v/>
      </c>
      <c r="E115" s="76">
        <f>N(INDEX(Krankheitstage!$G115:$DV115,1,(Einstellungen!$C$3-2026)*24+2))</f>
        <v/>
      </c>
      <c r="F115" s="76">
        <f>N(INDEX(Krankheitstage!$G115:$DV115,1,(Einstellungen!$C$3-2026)*24+3))</f>
        <v/>
      </c>
      <c r="G115" s="76">
        <f>N(INDEX(Krankheitstage!$G115:$DV115,1,(Einstellungen!$C$3-2026)*24+4))</f>
        <v/>
      </c>
      <c r="H115" s="76">
        <f>N(INDEX(Krankheitstage!$G115:$DV115,1,(Einstellungen!$C$3-2026)*24+5))</f>
        <v/>
      </c>
      <c r="I115" s="76">
        <f>N(INDEX(Krankheitstage!$G115:$DV115,1,(Einstellungen!$C$3-2026)*24+6))</f>
        <v/>
      </c>
      <c r="J115" s="76">
        <f>N(INDEX(Krankheitstage!$G115:$DV115,1,(Einstellungen!$C$3-2026)*24+7))</f>
        <v/>
      </c>
      <c r="K115" s="76">
        <f>N(INDEX(Krankheitstage!$G115:$DV115,1,(Einstellungen!$C$3-2026)*24+8))</f>
        <v/>
      </c>
      <c r="L115" s="76">
        <f>N(INDEX(Krankheitstage!$G115:$DV115,1,(Einstellungen!$C$3-2026)*24+9))</f>
        <v/>
      </c>
      <c r="M115" s="76">
        <f>N(INDEX(Krankheitstage!$G115:$DV115,1,(Einstellungen!$C$3-2026)*24+10))</f>
        <v/>
      </c>
      <c r="N115" s="76">
        <f>N(INDEX(Krankheitstage!$G115:$DV115,1,(Einstellungen!$C$3-2026)*24+11))</f>
        <v/>
      </c>
      <c r="O115" s="76">
        <f>N(INDEX(Krankheitstage!$G115:$DV115,1,(Einstellungen!$C$3-2026)*24+12))</f>
        <v/>
      </c>
      <c r="P115" s="76">
        <f>IF($B115="","",SUM(D115:O115))</f>
        <v/>
      </c>
      <c r="Q115" s="76">
        <f>N(INDEX(Krankheitstage!$G115:$DV115,1,(Einstellungen!$C$3-2026)*24+13))</f>
        <v/>
      </c>
      <c r="R115" s="76">
        <f>N(INDEX(Krankheitstage!$G115:$DV115,1,(Einstellungen!$C$3-2026)*24+14))</f>
        <v/>
      </c>
      <c r="S115" s="76">
        <f>N(INDEX(Krankheitstage!$G115:$DV115,1,(Einstellungen!$C$3-2026)*24+15))</f>
        <v/>
      </c>
      <c r="T115" s="76">
        <f>N(INDEX(Krankheitstage!$G115:$DV115,1,(Einstellungen!$C$3-2026)*24+16))</f>
        <v/>
      </c>
      <c r="U115" s="76">
        <f>N(INDEX(Krankheitstage!$G115:$DV115,1,(Einstellungen!$C$3-2026)*24+17))</f>
        <v/>
      </c>
      <c r="V115" s="76">
        <f>N(INDEX(Krankheitstage!$G115:$DV115,1,(Einstellungen!$C$3-2026)*24+18))</f>
        <v/>
      </c>
      <c r="W115" s="76">
        <f>N(INDEX(Krankheitstage!$G115:$DV115,1,(Einstellungen!$C$3-2026)*24+19))</f>
        <v/>
      </c>
      <c r="X115" s="76">
        <f>N(INDEX(Krankheitstage!$G115:$DV115,1,(Einstellungen!$C$3-2026)*24+20))</f>
        <v/>
      </c>
      <c r="Y115" s="76">
        <f>N(INDEX(Krankheitstage!$G115:$DV115,1,(Einstellungen!$C$3-2026)*24+21))</f>
        <v/>
      </c>
      <c r="Z115" s="76">
        <f>N(INDEX(Krankheitstage!$G115:$DV115,1,(Einstellungen!$C$3-2026)*24+22))</f>
        <v/>
      </c>
      <c r="AA115" s="76">
        <f>N(INDEX(Krankheitstage!$G115:$DV115,1,(Einstellungen!$C$3-2026)*24+23))</f>
        <v/>
      </c>
      <c r="AB115" s="76">
        <f>N(INDEX(Krankheitstage!$G115:$DV115,1,(Einstellungen!$C$3-2026)*24+24))</f>
        <v/>
      </c>
      <c r="AC115" s="76">
        <f>IF($B115="","",SUM(Q115:AB115))</f>
        <v/>
      </c>
      <c r="AD115" s="76">
        <f>IF($B115="","",SUM(P115,AC115))</f>
        <v/>
      </c>
      <c r="AE115" s="77">
        <f>IF($B115="","",AD115*N(C115))</f>
        <v/>
      </c>
      <c r="AF115" s="76">
        <f>IF($B115="","",Krankheitstage!E115)</f>
        <v/>
      </c>
      <c r="AG115" s="77">
        <f>IF($B115="","",AF115*N(C115))</f>
        <v/>
      </c>
    </row>
    <row r="116">
      <c r="A116" s="74">
        <f>IF(Mitarbeiter!B116="","",Mitarbeiter!A116)</f>
        <v/>
      </c>
      <c r="B116" s="6">
        <f>IF(Mitarbeiter!B116="","",Mitarbeiter!B116)</f>
        <v/>
      </c>
      <c r="C116" s="75">
        <f>IF(Mitarbeiter!B116="","",Mitarbeiter!F116)</f>
        <v/>
      </c>
      <c r="D116" s="76">
        <f>N(INDEX(Krankheitstage!$G116:$DV116,1,(Einstellungen!$C$3-2026)*24+1))</f>
        <v/>
      </c>
      <c r="E116" s="76">
        <f>N(INDEX(Krankheitstage!$G116:$DV116,1,(Einstellungen!$C$3-2026)*24+2))</f>
        <v/>
      </c>
      <c r="F116" s="76">
        <f>N(INDEX(Krankheitstage!$G116:$DV116,1,(Einstellungen!$C$3-2026)*24+3))</f>
        <v/>
      </c>
      <c r="G116" s="76">
        <f>N(INDEX(Krankheitstage!$G116:$DV116,1,(Einstellungen!$C$3-2026)*24+4))</f>
        <v/>
      </c>
      <c r="H116" s="76">
        <f>N(INDEX(Krankheitstage!$G116:$DV116,1,(Einstellungen!$C$3-2026)*24+5))</f>
        <v/>
      </c>
      <c r="I116" s="76">
        <f>N(INDEX(Krankheitstage!$G116:$DV116,1,(Einstellungen!$C$3-2026)*24+6))</f>
        <v/>
      </c>
      <c r="J116" s="76">
        <f>N(INDEX(Krankheitstage!$G116:$DV116,1,(Einstellungen!$C$3-2026)*24+7))</f>
        <v/>
      </c>
      <c r="K116" s="76">
        <f>N(INDEX(Krankheitstage!$G116:$DV116,1,(Einstellungen!$C$3-2026)*24+8))</f>
        <v/>
      </c>
      <c r="L116" s="76">
        <f>N(INDEX(Krankheitstage!$G116:$DV116,1,(Einstellungen!$C$3-2026)*24+9))</f>
        <v/>
      </c>
      <c r="M116" s="76">
        <f>N(INDEX(Krankheitstage!$G116:$DV116,1,(Einstellungen!$C$3-2026)*24+10))</f>
        <v/>
      </c>
      <c r="N116" s="76">
        <f>N(INDEX(Krankheitstage!$G116:$DV116,1,(Einstellungen!$C$3-2026)*24+11))</f>
        <v/>
      </c>
      <c r="O116" s="76">
        <f>N(INDEX(Krankheitstage!$G116:$DV116,1,(Einstellungen!$C$3-2026)*24+12))</f>
        <v/>
      </c>
      <c r="P116" s="76">
        <f>IF($B116="","",SUM(D116:O116))</f>
        <v/>
      </c>
      <c r="Q116" s="76">
        <f>N(INDEX(Krankheitstage!$G116:$DV116,1,(Einstellungen!$C$3-2026)*24+13))</f>
        <v/>
      </c>
      <c r="R116" s="76">
        <f>N(INDEX(Krankheitstage!$G116:$DV116,1,(Einstellungen!$C$3-2026)*24+14))</f>
        <v/>
      </c>
      <c r="S116" s="76">
        <f>N(INDEX(Krankheitstage!$G116:$DV116,1,(Einstellungen!$C$3-2026)*24+15))</f>
        <v/>
      </c>
      <c r="T116" s="76">
        <f>N(INDEX(Krankheitstage!$G116:$DV116,1,(Einstellungen!$C$3-2026)*24+16))</f>
        <v/>
      </c>
      <c r="U116" s="76">
        <f>N(INDEX(Krankheitstage!$G116:$DV116,1,(Einstellungen!$C$3-2026)*24+17))</f>
        <v/>
      </c>
      <c r="V116" s="76">
        <f>N(INDEX(Krankheitstage!$G116:$DV116,1,(Einstellungen!$C$3-2026)*24+18))</f>
        <v/>
      </c>
      <c r="W116" s="76">
        <f>N(INDEX(Krankheitstage!$G116:$DV116,1,(Einstellungen!$C$3-2026)*24+19))</f>
        <v/>
      </c>
      <c r="X116" s="76">
        <f>N(INDEX(Krankheitstage!$G116:$DV116,1,(Einstellungen!$C$3-2026)*24+20))</f>
        <v/>
      </c>
      <c r="Y116" s="76">
        <f>N(INDEX(Krankheitstage!$G116:$DV116,1,(Einstellungen!$C$3-2026)*24+21))</f>
        <v/>
      </c>
      <c r="Z116" s="76">
        <f>N(INDEX(Krankheitstage!$G116:$DV116,1,(Einstellungen!$C$3-2026)*24+22))</f>
        <v/>
      </c>
      <c r="AA116" s="76">
        <f>N(INDEX(Krankheitstage!$G116:$DV116,1,(Einstellungen!$C$3-2026)*24+23))</f>
        <v/>
      </c>
      <c r="AB116" s="76">
        <f>N(INDEX(Krankheitstage!$G116:$DV116,1,(Einstellungen!$C$3-2026)*24+24))</f>
        <v/>
      </c>
      <c r="AC116" s="76">
        <f>IF($B116="","",SUM(Q116:AB116))</f>
        <v/>
      </c>
      <c r="AD116" s="76">
        <f>IF($B116="","",SUM(P116,AC116))</f>
        <v/>
      </c>
      <c r="AE116" s="77">
        <f>IF($B116="","",AD116*N(C116))</f>
        <v/>
      </c>
      <c r="AF116" s="76">
        <f>IF($B116="","",Krankheitstage!E116)</f>
        <v/>
      </c>
      <c r="AG116" s="77">
        <f>IF($B116="","",AF116*N(C116))</f>
        <v/>
      </c>
    </row>
    <row r="117">
      <c r="A117" s="74">
        <f>IF(Mitarbeiter!B117="","",Mitarbeiter!A117)</f>
        <v/>
      </c>
      <c r="B117" s="6">
        <f>IF(Mitarbeiter!B117="","",Mitarbeiter!B117)</f>
        <v/>
      </c>
      <c r="C117" s="75">
        <f>IF(Mitarbeiter!B117="","",Mitarbeiter!F117)</f>
        <v/>
      </c>
      <c r="D117" s="76">
        <f>N(INDEX(Krankheitstage!$G117:$DV117,1,(Einstellungen!$C$3-2026)*24+1))</f>
        <v/>
      </c>
      <c r="E117" s="76">
        <f>N(INDEX(Krankheitstage!$G117:$DV117,1,(Einstellungen!$C$3-2026)*24+2))</f>
        <v/>
      </c>
      <c r="F117" s="76">
        <f>N(INDEX(Krankheitstage!$G117:$DV117,1,(Einstellungen!$C$3-2026)*24+3))</f>
        <v/>
      </c>
      <c r="G117" s="76">
        <f>N(INDEX(Krankheitstage!$G117:$DV117,1,(Einstellungen!$C$3-2026)*24+4))</f>
        <v/>
      </c>
      <c r="H117" s="76">
        <f>N(INDEX(Krankheitstage!$G117:$DV117,1,(Einstellungen!$C$3-2026)*24+5))</f>
        <v/>
      </c>
      <c r="I117" s="76">
        <f>N(INDEX(Krankheitstage!$G117:$DV117,1,(Einstellungen!$C$3-2026)*24+6))</f>
        <v/>
      </c>
      <c r="J117" s="76">
        <f>N(INDEX(Krankheitstage!$G117:$DV117,1,(Einstellungen!$C$3-2026)*24+7))</f>
        <v/>
      </c>
      <c r="K117" s="76">
        <f>N(INDEX(Krankheitstage!$G117:$DV117,1,(Einstellungen!$C$3-2026)*24+8))</f>
        <v/>
      </c>
      <c r="L117" s="76">
        <f>N(INDEX(Krankheitstage!$G117:$DV117,1,(Einstellungen!$C$3-2026)*24+9))</f>
        <v/>
      </c>
      <c r="M117" s="76">
        <f>N(INDEX(Krankheitstage!$G117:$DV117,1,(Einstellungen!$C$3-2026)*24+10))</f>
        <v/>
      </c>
      <c r="N117" s="76">
        <f>N(INDEX(Krankheitstage!$G117:$DV117,1,(Einstellungen!$C$3-2026)*24+11))</f>
        <v/>
      </c>
      <c r="O117" s="76">
        <f>N(INDEX(Krankheitstage!$G117:$DV117,1,(Einstellungen!$C$3-2026)*24+12))</f>
        <v/>
      </c>
      <c r="P117" s="76">
        <f>IF($B117="","",SUM(D117:O117))</f>
        <v/>
      </c>
      <c r="Q117" s="76">
        <f>N(INDEX(Krankheitstage!$G117:$DV117,1,(Einstellungen!$C$3-2026)*24+13))</f>
        <v/>
      </c>
      <c r="R117" s="76">
        <f>N(INDEX(Krankheitstage!$G117:$DV117,1,(Einstellungen!$C$3-2026)*24+14))</f>
        <v/>
      </c>
      <c r="S117" s="76">
        <f>N(INDEX(Krankheitstage!$G117:$DV117,1,(Einstellungen!$C$3-2026)*24+15))</f>
        <v/>
      </c>
      <c r="T117" s="76">
        <f>N(INDEX(Krankheitstage!$G117:$DV117,1,(Einstellungen!$C$3-2026)*24+16))</f>
        <v/>
      </c>
      <c r="U117" s="76">
        <f>N(INDEX(Krankheitstage!$G117:$DV117,1,(Einstellungen!$C$3-2026)*24+17))</f>
        <v/>
      </c>
      <c r="V117" s="76">
        <f>N(INDEX(Krankheitstage!$G117:$DV117,1,(Einstellungen!$C$3-2026)*24+18))</f>
        <v/>
      </c>
      <c r="W117" s="76">
        <f>N(INDEX(Krankheitstage!$G117:$DV117,1,(Einstellungen!$C$3-2026)*24+19))</f>
        <v/>
      </c>
      <c r="X117" s="76">
        <f>N(INDEX(Krankheitstage!$G117:$DV117,1,(Einstellungen!$C$3-2026)*24+20))</f>
        <v/>
      </c>
      <c r="Y117" s="76">
        <f>N(INDEX(Krankheitstage!$G117:$DV117,1,(Einstellungen!$C$3-2026)*24+21))</f>
        <v/>
      </c>
      <c r="Z117" s="76">
        <f>N(INDEX(Krankheitstage!$G117:$DV117,1,(Einstellungen!$C$3-2026)*24+22))</f>
        <v/>
      </c>
      <c r="AA117" s="76">
        <f>N(INDEX(Krankheitstage!$G117:$DV117,1,(Einstellungen!$C$3-2026)*24+23))</f>
        <v/>
      </c>
      <c r="AB117" s="76">
        <f>N(INDEX(Krankheitstage!$G117:$DV117,1,(Einstellungen!$C$3-2026)*24+24))</f>
        <v/>
      </c>
      <c r="AC117" s="76">
        <f>IF($B117="","",SUM(Q117:AB117))</f>
        <v/>
      </c>
      <c r="AD117" s="76">
        <f>IF($B117="","",SUM(P117,AC117))</f>
        <v/>
      </c>
      <c r="AE117" s="77">
        <f>IF($B117="","",AD117*N(C117))</f>
        <v/>
      </c>
      <c r="AF117" s="76">
        <f>IF($B117="","",Krankheitstage!E117)</f>
        <v/>
      </c>
      <c r="AG117" s="77">
        <f>IF($B117="","",AF117*N(C117))</f>
        <v/>
      </c>
    </row>
    <row r="118">
      <c r="A118" s="74">
        <f>IF(Mitarbeiter!B118="","",Mitarbeiter!A118)</f>
        <v/>
      </c>
      <c r="B118" s="6">
        <f>IF(Mitarbeiter!B118="","",Mitarbeiter!B118)</f>
        <v/>
      </c>
      <c r="C118" s="75">
        <f>IF(Mitarbeiter!B118="","",Mitarbeiter!F118)</f>
        <v/>
      </c>
      <c r="D118" s="76">
        <f>N(INDEX(Krankheitstage!$G118:$DV118,1,(Einstellungen!$C$3-2026)*24+1))</f>
        <v/>
      </c>
      <c r="E118" s="76">
        <f>N(INDEX(Krankheitstage!$G118:$DV118,1,(Einstellungen!$C$3-2026)*24+2))</f>
        <v/>
      </c>
      <c r="F118" s="76">
        <f>N(INDEX(Krankheitstage!$G118:$DV118,1,(Einstellungen!$C$3-2026)*24+3))</f>
        <v/>
      </c>
      <c r="G118" s="76">
        <f>N(INDEX(Krankheitstage!$G118:$DV118,1,(Einstellungen!$C$3-2026)*24+4))</f>
        <v/>
      </c>
      <c r="H118" s="76">
        <f>N(INDEX(Krankheitstage!$G118:$DV118,1,(Einstellungen!$C$3-2026)*24+5))</f>
        <v/>
      </c>
      <c r="I118" s="76">
        <f>N(INDEX(Krankheitstage!$G118:$DV118,1,(Einstellungen!$C$3-2026)*24+6))</f>
        <v/>
      </c>
      <c r="J118" s="76">
        <f>N(INDEX(Krankheitstage!$G118:$DV118,1,(Einstellungen!$C$3-2026)*24+7))</f>
        <v/>
      </c>
      <c r="K118" s="76">
        <f>N(INDEX(Krankheitstage!$G118:$DV118,1,(Einstellungen!$C$3-2026)*24+8))</f>
        <v/>
      </c>
      <c r="L118" s="76">
        <f>N(INDEX(Krankheitstage!$G118:$DV118,1,(Einstellungen!$C$3-2026)*24+9))</f>
        <v/>
      </c>
      <c r="M118" s="76">
        <f>N(INDEX(Krankheitstage!$G118:$DV118,1,(Einstellungen!$C$3-2026)*24+10))</f>
        <v/>
      </c>
      <c r="N118" s="76">
        <f>N(INDEX(Krankheitstage!$G118:$DV118,1,(Einstellungen!$C$3-2026)*24+11))</f>
        <v/>
      </c>
      <c r="O118" s="76">
        <f>N(INDEX(Krankheitstage!$G118:$DV118,1,(Einstellungen!$C$3-2026)*24+12))</f>
        <v/>
      </c>
      <c r="P118" s="76">
        <f>IF($B118="","",SUM(D118:O118))</f>
        <v/>
      </c>
      <c r="Q118" s="76">
        <f>N(INDEX(Krankheitstage!$G118:$DV118,1,(Einstellungen!$C$3-2026)*24+13))</f>
        <v/>
      </c>
      <c r="R118" s="76">
        <f>N(INDEX(Krankheitstage!$G118:$DV118,1,(Einstellungen!$C$3-2026)*24+14))</f>
        <v/>
      </c>
      <c r="S118" s="76">
        <f>N(INDEX(Krankheitstage!$G118:$DV118,1,(Einstellungen!$C$3-2026)*24+15))</f>
        <v/>
      </c>
      <c r="T118" s="76">
        <f>N(INDEX(Krankheitstage!$G118:$DV118,1,(Einstellungen!$C$3-2026)*24+16))</f>
        <v/>
      </c>
      <c r="U118" s="76">
        <f>N(INDEX(Krankheitstage!$G118:$DV118,1,(Einstellungen!$C$3-2026)*24+17))</f>
        <v/>
      </c>
      <c r="V118" s="76">
        <f>N(INDEX(Krankheitstage!$G118:$DV118,1,(Einstellungen!$C$3-2026)*24+18))</f>
        <v/>
      </c>
      <c r="W118" s="76">
        <f>N(INDEX(Krankheitstage!$G118:$DV118,1,(Einstellungen!$C$3-2026)*24+19))</f>
        <v/>
      </c>
      <c r="X118" s="76">
        <f>N(INDEX(Krankheitstage!$G118:$DV118,1,(Einstellungen!$C$3-2026)*24+20))</f>
        <v/>
      </c>
      <c r="Y118" s="76">
        <f>N(INDEX(Krankheitstage!$G118:$DV118,1,(Einstellungen!$C$3-2026)*24+21))</f>
        <v/>
      </c>
      <c r="Z118" s="76">
        <f>N(INDEX(Krankheitstage!$G118:$DV118,1,(Einstellungen!$C$3-2026)*24+22))</f>
        <v/>
      </c>
      <c r="AA118" s="76">
        <f>N(INDEX(Krankheitstage!$G118:$DV118,1,(Einstellungen!$C$3-2026)*24+23))</f>
        <v/>
      </c>
      <c r="AB118" s="76">
        <f>N(INDEX(Krankheitstage!$G118:$DV118,1,(Einstellungen!$C$3-2026)*24+24))</f>
        <v/>
      </c>
      <c r="AC118" s="76">
        <f>IF($B118="","",SUM(Q118:AB118))</f>
        <v/>
      </c>
      <c r="AD118" s="76">
        <f>IF($B118="","",SUM(P118,AC118))</f>
        <v/>
      </c>
      <c r="AE118" s="77">
        <f>IF($B118="","",AD118*N(C118))</f>
        <v/>
      </c>
      <c r="AF118" s="76">
        <f>IF($B118="","",Krankheitstage!E118)</f>
        <v/>
      </c>
      <c r="AG118" s="77">
        <f>IF($B118="","",AF118*N(C118))</f>
        <v/>
      </c>
    </row>
    <row r="119">
      <c r="A119" s="74">
        <f>IF(Mitarbeiter!B119="","",Mitarbeiter!A119)</f>
        <v/>
      </c>
      <c r="B119" s="6">
        <f>IF(Mitarbeiter!B119="","",Mitarbeiter!B119)</f>
        <v/>
      </c>
      <c r="C119" s="75">
        <f>IF(Mitarbeiter!B119="","",Mitarbeiter!F119)</f>
        <v/>
      </c>
      <c r="D119" s="76">
        <f>N(INDEX(Krankheitstage!$G119:$DV119,1,(Einstellungen!$C$3-2026)*24+1))</f>
        <v/>
      </c>
      <c r="E119" s="76">
        <f>N(INDEX(Krankheitstage!$G119:$DV119,1,(Einstellungen!$C$3-2026)*24+2))</f>
        <v/>
      </c>
      <c r="F119" s="76">
        <f>N(INDEX(Krankheitstage!$G119:$DV119,1,(Einstellungen!$C$3-2026)*24+3))</f>
        <v/>
      </c>
      <c r="G119" s="76">
        <f>N(INDEX(Krankheitstage!$G119:$DV119,1,(Einstellungen!$C$3-2026)*24+4))</f>
        <v/>
      </c>
      <c r="H119" s="76">
        <f>N(INDEX(Krankheitstage!$G119:$DV119,1,(Einstellungen!$C$3-2026)*24+5))</f>
        <v/>
      </c>
      <c r="I119" s="76">
        <f>N(INDEX(Krankheitstage!$G119:$DV119,1,(Einstellungen!$C$3-2026)*24+6))</f>
        <v/>
      </c>
      <c r="J119" s="76">
        <f>N(INDEX(Krankheitstage!$G119:$DV119,1,(Einstellungen!$C$3-2026)*24+7))</f>
        <v/>
      </c>
      <c r="K119" s="76">
        <f>N(INDEX(Krankheitstage!$G119:$DV119,1,(Einstellungen!$C$3-2026)*24+8))</f>
        <v/>
      </c>
      <c r="L119" s="76">
        <f>N(INDEX(Krankheitstage!$G119:$DV119,1,(Einstellungen!$C$3-2026)*24+9))</f>
        <v/>
      </c>
      <c r="M119" s="76">
        <f>N(INDEX(Krankheitstage!$G119:$DV119,1,(Einstellungen!$C$3-2026)*24+10))</f>
        <v/>
      </c>
      <c r="N119" s="76">
        <f>N(INDEX(Krankheitstage!$G119:$DV119,1,(Einstellungen!$C$3-2026)*24+11))</f>
        <v/>
      </c>
      <c r="O119" s="76">
        <f>N(INDEX(Krankheitstage!$G119:$DV119,1,(Einstellungen!$C$3-2026)*24+12))</f>
        <v/>
      </c>
      <c r="P119" s="76">
        <f>IF($B119="","",SUM(D119:O119))</f>
        <v/>
      </c>
      <c r="Q119" s="76">
        <f>N(INDEX(Krankheitstage!$G119:$DV119,1,(Einstellungen!$C$3-2026)*24+13))</f>
        <v/>
      </c>
      <c r="R119" s="76">
        <f>N(INDEX(Krankheitstage!$G119:$DV119,1,(Einstellungen!$C$3-2026)*24+14))</f>
        <v/>
      </c>
      <c r="S119" s="76">
        <f>N(INDEX(Krankheitstage!$G119:$DV119,1,(Einstellungen!$C$3-2026)*24+15))</f>
        <v/>
      </c>
      <c r="T119" s="76">
        <f>N(INDEX(Krankheitstage!$G119:$DV119,1,(Einstellungen!$C$3-2026)*24+16))</f>
        <v/>
      </c>
      <c r="U119" s="76">
        <f>N(INDEX(Krankheitstage!$G119:$DV119,1,(Einstellungen!$C$3-2026)*24+17))</f>
        <v/>
      </c>
      <c r="V119" s="76">
        <f>N(INDEX(Krankheitstage!$G119:$DV119,1,(Einstellungen!$C$3-2026)*24+18))</f>
        <v/>
      </c>
      <c r="W119" s="76">
        <f>N(INDEX(Krankheitstage!$G119:$DV119,1,(Einstellungen!$C$3-2026)*24+19))</f>
        <v/>
      </c>
      <c r="X119" s="76">
        <f>N(INDEX(Krankheitstage!$G119:$DV119,1,(Einstellungen!$C$3-2026)*24+20))</f>
        <v/>
      </c>
      <c r="Y119" s="76">
        <f>N(INDEX(Krankheitstage!$G119:$DV119,1,(Einstellungen!$C$3-2026)*24+21))</f>
        <v/>
      </c>
      <c r="Z119" s="76">
        <f>N(INDEX(Krankheitstage!$G119:$DV119,1,(Einstellungen!$C$3-2026)*24+22))</f>
        <v/>
      </c>
      <c r="AA119" s="76">
        <f>N(INDEX(Krankheitstage!$G119:$DV119,1,(Einstellungen!$C$3-2026)*24+23))</f>
        <v/>
      </c>
      <c r="AB119" s="76">
        <f>N(INDEX(Krankheitstage!$G119:$DV119,1,(Einstellungen!$C$3-2026)*24+24))</f>
        <v/>
      </c>
      <c r="AC119" s="76">
        <f>IF($B119="","",SUM(Q119:AB119))</f>
        <v/>
      </c>
      <c r="AD119" s="76">
        <f>IF($B119="","",SUM(P119,AC119))</f>
        <v/>
      </c>
      <c r="AE119" s="77">
        <f>IF($B119="","",AD119*N(C119))</f>
        <v/>
      </c>
      <c r="AF119" s="76">
        <f>IF($B119="","",Krankheitstage!E119)</f>
        <v/>
      </c>
      <c r="AG119" s="77">
        <f>IF($B119="","",AF119*N(C119))</f>
        <v/>
      </c>
    </row>
    <row r="120">
      <c r="A120" s="74">
        <f>IF(Mitarbeiter!B120="","",Mitarbeiter!A120)</f>
        <v/>
      </c>
      <c r="B120" s="6">
        <f>IF(Mitarbeiter!B120="","",Mitarbeiter!B120)</f>
        <v/>
      </c>
      <c r="C120" s="75">
        <f>IF(Mitarbeiter!B120="","",Mitarbeiter!F120)</f>
        <v/>
      </c>
      <c r="D120" s="76">
        <f>N(INDEX(Krankheitstage!$G120:$DV120,1,(Einstellungen!$C$3-2026)*24+1))</f>
        <v/>
      </c>
      <c r="E120" s="76">
        <f>N(INDEX(Krankheitstage!$G120:$DV120,1,(Einstellungen!$C$3-2026)*24+2))</f>
        <v/>
      </c>
      <c r="F120" s="76">
        <f>N(INDEX(Krankheitstage!$G120:$DV120,1,(Einstellungen!$C$3-2026)*24+3))</f>
        <v/>
      </c>
      <c r="G120" s="76">
        <f>N(INDEX(Krankheitstage!$G120:$DV120,1,(Einstellungen!$C$3-2026)*24+4))</f>
        <v/>
      </c>
      <c r="H120" s="76">
        <f>N(INDEX(Krankheitstage!$G120:$DV120,1,(Einstellungen!$C$3-2026)*24+5))</f>
        <v/>
      </c>
      <c r="I120" s="76">
        <f>N(INDEX(Krankheitstage!$G120:$DV120,1,(Einstellungen!$C$3-2026)*24+6))</f>
        <v/>
      </c>
      <c r="J120" s="76">
        <f>N(INDEX(Krankheitstage!$G120:$DV120,1,(Einstellungen!$C$3-2026)*24+7))</f>
        <v/>
      </c>
      <c r="K120" s="76">
        <f>N(INDEX(Krankheitstage!$G120:$DV120,1,(Einstellungen!$C$3-2026)*24+8))</f>
        <v/>
      </c>
      <c r="L120" s="76">
        <f>N(INDEX(Krankheitstage!$G120:$DV120,1,(Einstellungen!$C$3-2026)*24+9))</f>
        <v/>
      </c>
      <c r="M120" s="76">
        <f>N(INDEX(Krankheitstage!$G120:$DV120,1,(Einstellungen!$C$3-2026)*24+10))</f>
        <v/>
      </c>
      <c r="N120" s="76">
        <f>N(INDEX(Krankheitstage!$G120:$DV120,1,(Einstellungen!$C$3-2026)*24+11))</f>
        <v/>
      </c>
      <c r="O120" s="76">
        <f>N(INDEX(Krankheitstage!$G120:$DV120,1,(Einstellungen!$C$3-2026)*24+12))</f>
        <v/>
      </c>
      <c r="P120" s="76">
        <f>IF($B120="","",SUM(D120:O120))</f>
        <v/>
      </c>
      <c r="Q120" s="76">
        <f>N(INDEX(Krankheitstage!$G120:$DV120,1,(Einstellungen!$C$3-2026)*24+13))</f>
        <v/>
      </c>
      <c r="R120" s="76">
        <f>N(INDEX(Krankheitstage!$G120:$DV120,1,(Einstellungen!$C$3-2026)*24+14))</f>
        <v/>
      </c>
      <c r="S120" s="76">
        <f>N(INDEX(Krankheitstage!$G120:$DV120,1,(Einstellungen!$C$3-2026)*24+15))</f>
        <v/>
      </c>
      <c r="T120" s="76">
        <f>N(INDEX(Krankheitstage!$G120:$DV120,1,(Einstellungen!$C$3-2026)*24+16))</f>
        <v/>
      </c>
      <c r="U120" s="76">
        <f>N(INDEX(Krankheitstage!$G120:$DV120,1,(Einstellungen!$C$3-2026)*24+17))</f>
        <v/>
      </c>
      <c r="V120" s="76">
        <f>N(INDEX(Krankheitstage!$G120:$DV120,1,(Einstellungen!$C$3-2026)*24+18))</f>
        <v/>
      </c>
      <c r="W120" s="76">
        <f>N(INDEX(Krankheitstage!$G120:$DV120,1,(Einstellungen!$C$3-2026)*24+19))</f>
        <v/>
      </c>
      <c r="X120" s="76">
        <f>N(INDEX(Krankheitstage!$G120:$DV120,1,(Einstellungen!$C$3-2026)*24+20))</f>
        <v/>
      </c>
      <c r="Y120" s="76">
        <f>N(INDEX(Krankheitstage!$G120:$DV120,1,(Einstellungen!$C$3-2026)*24+21))</f>
        <v/>
      </c>
      <c r="Z120" s="76">
        <f>N(INDEX(Krankheitstage!$G120:$DV120,1,(Einstellungen!$C$3-2026)*24+22))</f>
        <v/>
      </c>
      <c r="AA120" s="76">
        <f>N(INDEX(Krankheitstage!$G120:$DV120,1,(Einstellungen!$C$3-2026)*24+23))</f>
        <v/>
      </c>
      <c r="AB120" s="76">
        <f>N(INDEX(Krankheitstage!$G120:$DV120,1,(Einstellungen!$C$3-2026)*24+24))</f>
        <v/>
      </c>
      <c r="AC120" s="76">
        <f>IF($B120="","",SUM(Q120:AB120))</f>
        <v/>
      </c>
      <c r="AD120" s="76">
        <f>IF($B120="","",SUM(P120,AC120))</f>
        <v/>
      </c>
      <c r="AE120" s="77">
        <f>IF($B120="","",AD120*N(C120))</f>
        <v/>
      </c>
      <c r="AF120" s="76">
        <f>IF($B120="","",Krankheitstage!E120)</f>
        <v/>
      </c>
      <c r="AG120" s="77">
        <f>IF($B120="","",AF120*N(C120))</f>
        <v/>
      </c>
    </row>
    <row r="121">
      <c r="A121" s="74">
        <f>IF(Mitarbeiter!B121="","",Mitarbeiter!A121)</f>
        <v/>
      </c>
      <c r="B121" s="6">
        <f>IF(Mitarbeiter!B121="","",Mitarbeiter!B121)</f>
        <v/>
      </c>
      <c r="C121" s="75">
        <f>IF(Mitarbeiter!B121="","",Mitarbeiter!F121)</f>
        <v/>
      </c>
      <c r="D121" s="76">
        <f>N(INDEX(Krankheitstage!$G121:$DV121,1,(Einstellungen!$C$3-2026)*24+1))</f>
        <v/>
      </c>
      <c r="E121" s="76">
        <f>N(INDEX(Krankheitstage!$G121:$DV121,1,(Einstellungen!$C$3-2026)*24+2))</f>
        <v/>
      </c>
      <c r="F121" s="76">
        <f>N(INDEX(Krankheitstage!$G121:$DV121,1,(Einstellungen!$C$3-2026)*24+3))</f>
        <v/>
      </c>
      <c r="G121" s="76">
        <f>N(INDEX(Krankheitstage!$G121:$DV121,1,(Einstellungen!$C$3-2026)*24+4))</f>
        <v/>
      </c>
      <c r="H121" s="76">
        <f>N(INDEX(Krankheitstage!$G121:$DV121,1,(Einstellungen!$C$3-2026)*24+5))</f>
        <v/>
      </c>
      <c r="I121" s="76">
        <f>N(INDEX(Krankheitstage!$G121:$DV121,1,(Einstellungen!$C$3-2026)*24+6))</f>
        <v/>
      </c>
      <c r="J121" s="76">
        <f>N(INDEX(Krankheitstage!$G121:$DV121,1,(Einstellungen!$C$3-2026)*24+7))</f>
        <v/>
      </c>
      <c r="K121" s="76">
        <f>N(INDEX(Krankheitstage!$G121:$DV121,1,(Einstellungen!$C$3-2026)*24+8))</f>
        <v/>
      </c>
      <c r="L121" s="76">
        <f>N(INDEX(Krankheitstage!$G121:$DV121,1,(Einstellungen!$C$3-2026)*24+9))</f>
        <v/>
      </c>
      <c r="M121" s="76">
        <f>N(INDEX(Krankheitstage!$G121:$DV121,1,(Einstellungen!$C$3-2026)*24+10))</f>
        <v/>
      </c>
      <c r="N121" s="76">
        <f>N(INDEX(Krankheitstage!$G121:$DV121,1,(Einstellungen!$C$3-2026)*24+11))</f>
        <v/>
      </c>
      <c r="O121" s="76">
        <f>N(INDEX(Krankheitstage!$G121:$DV121,1,(Einstellungen!$C$3-2026)*24+12))</f>
        <v/>
      </c>
      <c r="P121" s="76">
        <f>IF($B121="","",SUM(D121:O121))</f>
        <v/>
      </c>
      <c r="Q121" s="76">
        <f>N(INDEX(Krankheitstage!$G121:$DV121,1,(Einstellungen!$C$3-2026)*24+13))</f>
        <v/>
      </c>
      <c r="R121" s="76">
        <f>N(INDEX(Krankheitstage!$G121:$DV121,1,(Einstellungen!$C$3-2026)*24+14))</f>
        <v/>
      </c>
      <c r="S121" s="76">
        <f>N(INDEX(Krankheitstage!$G121:$DV121,1,(Einstellungen!$C$3-2026)*24+15))</f>
        <v/>
      </c>
      <c r="T121" s="76">
        <f>N(INDEX(Krankheitstage!$G121:$DV121,1,(Einstellungen!$C$3-2026)*24+16))</f>
        <v/>
      </c>
      <c r="U121" s="76">
        <f>N(INDEX(Krankheitstage!$G121:$DV121,1,(Einstellungen!$C$3-2026)*24+17))</f>
        <v/>
      </c>
      <c r="V121" s="76">
        <f>N(INDEX(Krankheitstage!$G121:$DV121,1,(Einstellungen!$C$3-2026)*24+18))</f>
        <v/>
      </c>
      <c r="W121" s="76">
        <f>N(INDEX(Krankheitstage!$G121:$DV121,1,(Einstellungen!$C$3-2026)*24+19))</f>
        <v/>
      </c>
      <c r="X121" s="76">
        <f>N(INDEX(Krankheitstage!$G121:$DV121,1,(Einstellungen!$C$3-2026)*24+20))</f>
        <v/>
      </c>
      <c r="Y121" s="76">
        <f>N(INDEX(Krankheitstage!$G121:$DV121,1,(Einstellungen!$C$3-2026)*24+21))</f>
        <v/>
      </c>
      <c r="Z121" s="76">
        <f>N(INDEX(Krankheitstage!$G121:$DV121,1,(Einstellungen!$C$3-2026)*24+22))</f>
        <v/>
      </c>
      <c r="AA121" s="76">
        <f>N(INDEX(Krankheitstage!$G121:$DV121,1,(Einstellungen!$C$3-2026)*24+23))</f>
        <v/>
      </c>
      <c r="AB121" s="76">
        <f>N(INDEX(Krankheitstage!$G121:$DV121,1,(Einstellungen!$C$3-2026)*24+24))</f>
        <v/>
      </c>
      <c r="AC121" s="76">
        <f>IF($B121="","",SUM(Q121:AB121))</f>
        <v/>
      </c>
      <c r="AD121" s="76">
        <f>IF($B121="","",SUM(P121,AC121))</f>
        <v/>
      </c>
      <c r="AE121" s="77">
        <f>IF($B121="","",AD121*N(C121))</f>
        <v/>
      </c>
      <c r="AF121" s="76">
        <f>IF($B121="","",Krankheitstage!E121)</f>
        <v/>
      </c>
      <c r="AG121" s="77">
        <f>IF($B121="","",AF121*N(C121))</f>
        <v/>
      </c>
    </row>
    <row r="122">
      <c r="A122" s="74">
        <f>IF(Mitarbeiter!B122="","",Mitarbeiter!A122)</f>
        <v/>
      </c>
      <c r="B122" s="6">
        <f>IF(Mitarbeiter!B122="","",Mitarbeiter!B122)</f>
        <v/>
      </c>
      <c r="C122" s="75">
        <f>IF(Mitarbeiter!B122="","",Mitarbeiter!F122)</f>
        <v/>
      </c>
      <c r="D122" s="76">
        <f>N(INDEX(Krankheitstage!$G122:$DV122,1,(Einstellungen!$C$3-2026)*24+1))</f>
        <v/>
      </c>
      <c r="E122" s="76">
        <f>N(INDEX(Krankheitstage!$G122:$DV122,1,(Einstellungen!$C$3-2026)*24+2))</f>
        <v/>
      </c>
      <c r="F122" s="76">
        <f>N(INDEX(Krankheitstage!$G122:$DV122,1,(Einstellungen!$C$3-2026)*24+3))</f>
        <v/>
      </c>
      <c r="G122" s="76">
        <f>N(INDEX(Krankheitstage!$G122:$DV122,1,(Einstellungen!$C$3-2026)*24+4))</f>
        <v/>
      </c>
      <c r="H122" s="76">
        <f>N(INDEX(Krankheitstage!$G122:$DV122,1,(Einstellungen!$C$3-2026)*24+5))</f>
        <v/>
      </c>
      <c r="I122" s="76">
        <f>N(INDEX(Krankheitstage!$G122:$DV122,1,(Einstellungen!$C$3-2026)*24+6))</f>
        <v/>
      </c>
      <c r="J122" s="76">
        <f>N(INDEX(Krankheitstage!$G122:$DV122,1,(Einstellungen!$C$3-2026)*24+7))</f>
        <v/>
      </c>
      <c r="K122" s="76">
        <f>N(INDEX(Krankheitstage!$G122:$DV122,1,(Einstellungen!$C$3-2026)*24+8))</f>
        <v/>
      </c>
      <c r="L122" s="76">
        <f>N(INDEX(Krankheitstage!$G122:$DV122,1,(Einstellungen!$C$3-2026)*24+9))</f>
        <v/>
      </c>
      <c r="M122" s="76">
        <f>N(INDEX(Krankheitstage!$G122:$DV122,1,(Einstellungen!$C$3-2026)*24+10))</f>
        <v/>
      </c>
      <c r="N122" s="76">
        <f>N(INDEX(Krankheitstage!$G122:$DV122,1,(Einstellungen!$C$3-2026)*24+11))</f>
        <v/>
      </c>
      <c r="O122" s="76">
        <f>N(INDEX(Krankheitstage!$G122:$DV122,1,(Einstellungen!$C$3-2026)*24+12))</f>
        <v/>
      </c>
      <c r="P122" s="76">
        <f>IF($B122="","",SUM(D122:O122))</f>
        <v/>
      </c>
      <c r="Q122" s="76">
        <f>N(INDEX(Krankheitstage!$G122:$DV122,1,(Einstellungen!$C$3-2026)*24+13))</f>
        <v/>
      </c>
      <c r="R122" s="76">
        <f>N(INDEX(Krankheitstage!$G122:$DV122,1,(Einstellungen!$C$3-2026)*24+14))</f>
        <v/>
      </c>
      <c r="S122" s="76">
        <f>N(INDEX(Krankheitstage!$G122:$DV122,1,(Einstellungen!$C$3-2026)*24+15))</f>
        <v/>
      </c>
      <c r="T122" s="76">
        <f>N(INDEX(Krankheitstage!$G122:$DV122,1,(Einstellungen!$C$3-2026)*24+16))</f>
        <v/>
      </c>
      <c r="U122" s="76">
        <f>N(INDEX(Krankheitstage!$G122:$DV122,1,(Einstellungen!$C$3-2026)*24+17))</f>
        <v/>
      </c>
      <c r="V122" s="76">
        <f>N(INDEX(Krankheitstage!$G122:$DV122,1,(Einstellungen!$C$3-2026)*24+18))</f>
        <v/>
      </c>
      <c r="W122" s="76">
        <f>N(INDEX(Krankheitstage!$G122:$DV122,1,(Einstellungen!$C$3-2026)*24+19))</f>
        <v/>
      </c>
      <c r="X122" s="76">
        <f>N(INDEX(Krankheitstage!$G122:$DV122,1,(Einstellungen!$C$3-2026)*24+20))</f>
        <v/>
      </c>
      <c r="Y122" s="76">
        <f>N(INDEX(Krankheitstage!$G122:$DV122,1,(Einstellungen!$C$3-2026)*24+21))</f>
        <v/>
      </c>
      <c r="Z122" s="76">
        <f>N(INDEX(Krankheitstage!$G122:$DV122,1,(Einstellungen!$C$3-2026)*24+22))</f>
        <v/>
      </c>
      <c r="AA122" s="76">
        <f>N(INDEX(Krankheitstage!$G122:$DV122,1,(Einstellungen!$C$3-2026)*24+23))</f>
        <v/>
      </c>
      <c r="AB122" s="76">
        <f>N(INDEX(Krankheitstage!$G122:$DV122,1,(Einstellungen!$C$3-2026)*24+24))</f>
        <v/>
      </c>
      <c r="AC122" s="76">
        <f>IF($B122="","",SUM(Q122:AB122))</f>
        <v/>
      </c>
      <c r="AD122" s="76">
        <f>IF($B122="","",SUM(P122,AC122))</f>
        <v/>
      </c>
      <c r="AE122" s="77">
        <f>IF($B122="","",AD122*N(C122))</f>
        <v/>
      </c>
      <c r="AF122" s="76">
        <f>IF($B122="","",Krankheitstage!E122)</f>
        <v/>
      </c>
      <c r="AG122" s="77">
        <f>IF($B122="","",AF122*N(C122))</f>
        <v/>
      </c>
    </row>
    <row r="123">
      <c r="A123" s="74">
        <f>IF(Mitarbeiter!B123="","",Mitarbeiter!A123)</f>
        <v/>
      </c>
      <c r="B123" s="6">
        <f>IF(Mitarbeiter!B123="","",Mitarbeiter!B123)</f>
        <v/>
      </c>
      <c r="C123" s="75">
        <f>IF(Mitarbeiter!B123="","",Mitarbeiter!F123)</f>
        <v/>
      </c>
      <c r="D123" s="76">
        <f>N(INDEX(Krankheitstage!$G123:$DV123,1,(Einstellungen!$C$3-2026)*24+1))</f>
        <v/>
      </c>
      <c r="E123" s="76">
        <f>N(INDEX(Krankheitstage!$G123:$DV123,1,(Einstellungen!$C$3-2026)*24+2))</f>
        <v/>
      </c>
      <c r="F123" s="76">
        <f>N(INDEX(Krankheitstage!$G123:$DV123,1,(Einstellungen!$C$3-2026)*24+3))</f>
        <v/>
      </c>
      <c r="G123" s="76">
        <f>N(INDEX(Krankheitstage!$G123:$DV123,1,(Einstellungen!$C$3-2026)*24+4))</f>
        <v/>
      </c>
      <c r="H123" s="76">
        <f>N(INDEX(Krankheitstage!$G123:$DV123,1,(Einstellungen!$C$3-2026)*24+5))</f>
        <v/>
      </c>
      <c r="I123" s="76">
        <f>N(INDEX(Krankheitstage!$G123:$DV123,1,(Einstellungen!$C$3-2026)*24+6))</f>
        <v/>
      </c>
      <c r="J123" s="76">
        <f>N(INDEX(Krankheitstage!$G123:$DV123,1,(Einstellungen!$C$3-2026)*24+7))</f>
        <v/>
      </c>
      <c r="K123" s="76">
        <f>N(INDEX(Krankheitstage!$G123:$DV123,1,(Einstellungen!$C$3-2026)*24+8))</f>
        <v/>
      </c>
      <c r="L123" s="76">
        <f>N(INDEX(Krankheitstage!$G123:$DV123,1,(Einstellungen!$C$3-2026)*24+9))</f>
        <v/>
      </c>
      <c r="M123" s="76">
        <f>N(INDEX(Krankheitstage!$G123:$DV123,1,(Einstellungen!$C$3-2026)*24+10))</f>
        <v/>
      </c>
      <c r="N123" s="76">
        <f>N(INDEX(Krankheitstage!$G123:$DV123,1,(Einstellungen!$C$3-2026)*24+11))</f>
        <v/>
      </c>
      <c r="O123" s="76">
        <f>N(INDEX(Krankheitstage!$G123:$DV123,1,(Einstellungen!$C$3-2026)*24+12))</f>
        <v/>
      </c>
      <c r="P123" s="76">
        <f>IF($B123="","",SUM(D123:O123))</f>
        <v/>
      </c>
      <c r="Q123" s="76">
        <f>N(INDEX(Krankheitstage!$G123:$DV123,1,(Einstellungen!$C$3-2026)*24+13))</f>
        <v/>
      </c>
      <c r="R123" s="76">
        <f>N(INDEX(Krankheitstage!$G123:$DV123,1,(Einstellungen!$C$3-2026)*24+14))</f>
        <v/>
      </c>
      <c r="S123" s="76">
        <f>N(INDEX(Krankheitstage!$G123:$DV123,1,(Einstellungen!$C$3-2026)*24+15))</f>
        <v/>
      </c>
      <c r="T123" s="76">
        <f>N(INDEX(Krankheitstage!$G123:$DV123,1,(Einstellungen!$C$3-2026)*24+16))</f>
        <v/>
      </c>
      <c r="U123" s="76">
        <f>N(INDEX(Krankheitstage!$G123:$DV123,1,(Einstellungen!$C$3-2026)*24+17))</f>
        <v/>
      </c>
      <c r="V123" s="76">
        <f>N(INDEX(Krankheitstage!$G123:$DV123,1,(Einstellungen!$C$3-2026)*24+18))</f>
        <v/>
      </c>
      <c r="W123" s="76">
        <f>N(INDEX(Krankheitstage!$G123:$DV123,1,(Einstellungen!$C$3-2026)*24+19))</f>
        <v/>
      </c>
      <c r="X123" s="76">
        <f>N(INDEX(Krankheitstage!$G123:$DV123,1,(Einstellungen!$C$3-2026)*24+20))</f>
        <v/>
      </c>
      <c r="Y123" s="76">
        <f>N(INDEX(Krankheitstage!$G123:$DV123,1,(Einstellungen!$C$3-2026)*24+21))</f>
        <v/>
      </c>
      <c r="Z123" s="76">
        <f>N(INDEX(Krankheitstage!$G123:$DV123,1,(Einstellungen!$C$3-2026)*24+22))</f>
        <v/>
      </c>
      <c r="AA123" s="76">
        <f>N(INDEX(Krankheitstage!$G123:$DV123,1,(Einstellungen!$C$3-2026)*24+23))</f>
        <v/>
      </c>
      <c r="AB123" s="76">
        <f>N(INDEX(Krankheitstage!$G123:$DV123,1,(Einstellungen!$C$3-2026)*24+24))</f>
        <v/>
      </c>
      <c r="AC123" s="76">
        <f>IF($B123="","",SUM(Q123:AB123))</f>
        <v/>
      </c>
      <c r="AD123" s="76">
        <f>IF($B123="","",SUM(P123,AC123))</f>
        <v/>
      </c>
      <c r="AE123" s="77">
        <f>IF($B123="","",AD123*N(C123))</f>
        <v/>
      </c>
      <c r="AF123" s="76">
        <f>IF($B123="","",Krankheitstage!E123)</f>
        <v/>
      </c>
      <c r="AG123" s="77">
        <f>IF($B123="","",AF123*N(C123))</f>
        <v/>
      </c>
    </row>
    <row r="124">
      <c r="A124" s="74">
        <f>IF(Mitarbeiter!B124="","",Mitarbeiter!A124)</f>
        <v/>
      </c>
      <c r="B124" s="6">
        <f>IF(Mitarbeiter!B124="","",Mitarbeiter!B124)</f>
        <v/>
      </c>
      <c r="C124" s="75">
        <f>IF(Mitarbeiter!B124="","",Mitarbeiter!F124)</f>
        <v/>
      </c>
      <c r="D124" s="76">
        <f>N(INDEX(Krankheitstage!$G124:$DV124,1,(Einstellungen!$C$3-2026)*24+1))</f>
        <v/>
      </c>
      <c r="E124" s="76">
        <f>N(INDEX(Krankheitstage!$G124:$DV124,1,(Einstellungen!$C$3-2026)*24+2))</f>
        <v/>
      </c>
      <c r="F124" s="76">
        <f>N(INDEX(Krankheitstage!$G124:$DV124,1,(Einstellungen!$C$3-2026)*24+3))</f>
        <v/>
      </c>
      <c r="G124" s="76">
        <f>N(INDEX(Krankheitstage!$G124:$DV124,1,(Einstellungen!$C$3-2026)*24+4))</f>
        <v/>
      </c>
      <c r="H124" s="76">
        <f>N(INDEX(Krankheitstage!$G124:$DV124,1,(Einstellungen!$C$3-2026)*24+5))</f>
        <v/>
      </c>
      <c r="I124" s="76">
        <f>N(INDEX(Krankheitstage!$G124:$DV124,1,(Einstellungen!$C$3-2026)*24+6))</f>
        <v/>
      </c>
      <c r="J124" s="76">
        <f>N(INDEX(Krankheitstage!$G124:$DV124,1,(Einstellungen!$C$3-2026)*24+7))</f>
        <v/>
      </c>
      <c r="K124" s="76">
        <f>N(INDEX(Krankheitstage!$G124:$DV124,1,(Einstellungen!$C$3-2026)*24+8))</f>
        <v/>
      </c>
      <c r="L124" s="76">
        <f>N(INDEX(Krankheitstage!$G124:$DV124,1,(Einstellungen!$C$3-2026)*24+9))</f>
        <v/>
      </c>
      <c r="M124" s="76">
        <f>N(INDEX(Krankheitstage!$G124:$DV124,1,(Einstellungen!$C$3-2026)*24+10))</f>
        <v/>
      </c>
      <c r="N124" s="76">
        <f>N(INDEX(Krankheitstage!$G124:$DV124,1,(Einstellungen!$C$3-2026)*24+11))</f>
        <v/>
      </c>
      <c r="O124" s="76">
        <f>N(INDEX(Krankheitstage!$G124:$DV124,1,(Einstellungen!$C$3-2026)*24+12))</f>
        <v/>
      </c>
      <c r="P124" s="76">
        <f>IF($B124="","",SUM(D124:O124))</f>
        <v/>
      </c>
      <c r="Q124" s="76">
        <f>N(INDEX(Krankheitstage!$G124:$DV124,1,(Einstellungen!$C$3-2026)*24+13))</f>
        <v/>
      </c>
      <c r="R124" s="76">
        <f>N(INDEX(Krankheitstage!$G124:$DV124,1,(Einstellungen!$C$3-2026)*24+14))</f>
        <v/>
      </c>
      <c r="S124" s="76">
        <f>N(INDEX(Krankheitstage!$G124:$DV124,1,(Einstellungen!$C$3-2026)*24+15))</f>
        <v/>
      </c>
      <c r="T124" s="76">
        <f>N(INDEX(Krankheitstage!$G124:$DV124,1,(Einstellungen!$C$3-2026)*24+16))</f>
        <v/>
      </c>
      <c r="U124" s="76">
        <f>N(INDEX(Krankheitstage!$G124:$DV124,1,(Einstellungen!$C$3-2026)*24+17))</f>
        <v/>
      </c>
      <c r="V124" s="76">
        <f>N(INDEX(Krankheitstage!$G124:$DV124,1,(Einstellungen!$C$3-2026)*24+18))</f>
        <v/>
      </c>
      <c r="W124" s="76">
        <f>N(INDEX(Krankheitstage!$G124:$DV124,1,(Einstellungen!$C$3-2026)*24+19))</f>
        <v/>
      </c>
      <c r="X124" s="76">
        <f>N(INDEX(Krankheitstage!$G124:$DV124,1,(Einstellungen!$C$3-2026)*24+20))</f>
        <v/>
      </c>
      <c r="Y124" s="76">
        <f>N(INDEX(Krankheitstage!$G124:$DV124,1,(Einstellungen!$C$3-2026)*24+21))</f>
        <v/>
      </c>
      <c r="Z124" s="76">
        <f>N(INDEX(Krankheitstage!$G124:$DV124,1,(Einstellungen!$C$3-2026)*24+22))</f>
        <v/>
      </c>
      <c r="AA124" s="76">
        <f>N(INDEX(Krankheitstage!$G124:$DV124,1,(Einstellungen!$C$3-2026)*24+23))</f>
        <v/>
      </c>
      <c r="AB124" s="76">
        <f>N(INDEX(Krankheitstage!$G124:$DV124,1,(Einstellungen!$C$3-2026)*24+24))</f>
        <v/>
      </c>
      <c r="AC124" s="76">
        <f>IF($B124="","",SUM(Q124:AB124))</f>
        <v/>
      </c>
      <c r="AD124" s="76">
        <f>IF($B124="","",SUM(P124,AC124))</f>
        <v/>
      </c>
      <c r="AE124" s="77">
        <f>IF($B124="","",AD124*N(C124))</f>
        <v/>
      </c>
      <c r="AF124" s="76">
        <f>IF($B124="","",Krankheitstage!E124)</f>
        <v/>
      </c>
      <c r="AG124" s="77">
        <f>IF($B124="","",AF124*N(C124))</f>
        <v/>
      </c>
    </row>
    <row r="125">
      <c r="A125" s="74">
        <f>IF(Mitarbeiter!B125="","",Mitarbeiter!A125)</f>
        <v/>
      </c>
      <c r="B125" s="6">
        <f>IF(Mitarbeiter!B125="","",Mitarbeiter!B125)</f>
        <v/>
      </c>
      <c r="C125" s="75">
        <f>IF(Mitarbeiter!B125="","",Mitarbeiter!F125)</f>
        <v/>
      </c>
      <c r="D125" s="76">
        <f>N(INDEX(Krankheitstage!$G125:$DV125,1,(Einstellungen!$C$3-2026)*24+1))</f>
        <v/>
      </c>
      <c r="E125" s="76">
        <f>N(INDEX(Krankheitstage!$G125:$DV125,1,(Einstellungen!$C$3-2026)*24+2))</f>
        <v/>
      </c>
      <c r="F125" s="76">
        <f>N(INDEX(Krankheitstage!$G125:$DV125,1,(Einstellungen!$C$3-2026)*24+3))</f>
        <v/>
      </c>
      <c r="G125" s="76">
        <f>N(INDEX(Krankheitstage!$G125:$DV125,1,(Einstellungen!$C$3-2026)*24+4))</f>
        <v/>
      </c>
      <c r="H125" s="76">
        <f>N(INDEX(Krankheitstage!$G125:$DV125,1,(Einstellungen!$C$3-2026)*24+5))</f>
        <v/>
      </c>
      <c r="I125" s="76">
        <f>N(INDEX(Krankheitstage!$G125:$DV125,1,(Einstellungen!$C$3-2026)*24+6))</f>
        <v/>
      </c>
      <c r="J125" s="76">
        <f>N(INDEX(Krankheitstage!$G125:$DV125,1,(Einstellungen!$C$3-2026)*24+7))</f>
        <v/>
      </c>
      <c r="K125" s="76">
        <f>N(INDEX(Krankheitstage!$G125:$DV125,1,(Einstellungen!$C$3-2026)*24+8))</f>
        <v/>
      </c>
      <c r="L125" s="76">
        <f>N(INDEX(Krankheitstage!$G125:$DV125,1,(Einstellungen!$C$3-2026)*24+9))</f>
        <v/>
      </c>
      <c r="M125" s="76">
        <f>N(INDEX(Krankheitstage!$G125:$DV125,1,(Einstellungen!$C$3-2026)*24+10))</f>
        <v/>
      </c>
      <c r="N125" s="76">
        <f>N(INDEX(Krankheitstage!$G125:$DV125,1,(Einstellungen!$C$3-2026)*24+11))</f>
        <v/>
      </c>
      <c r="O125" s="76">
        <f>N(INDEX(Krankheitstage!$G125:$DV125,1,(Einstellungen!$C$3-2026)*24+12))</f>
        <v/>
      </c>
      <c r="P125" s="76">
        <f>IF($B125="","",SUM(D125:O125))</f>
        <v/>
      </c>
      <c r="Q125" s="76">
        <f>N(INDEX(Krankheitstage!$G125:$DV125,1,(Einstellungen!$C$3-2026)*24+13))</f>
        <v/>
      </c>
      <c r="R125" s="76">
        <f>N(INDEX(Krankheitstage!$G125:$DV125,1,(Einstellungen!$C$3-2026)*24+14))</f>
        <v/>
      </c>
      <c r="S125" s="76">
        <f>N(INDEX(Krankheitstage!$G125:$DV125,1,(Einstellungen!$C$3-2026)*24+15))</f>
        <v/>
      </c>
      <c r="T125" s="76">
        <f>N(INDEX(Krankheitstage!$G125:$DV125,1,(Einstellungen!$C$3-2026)*24+16))</f>
        <v/>
      </c>
      <c r="U125" s="76">
        <f>N(INDEX(Krankheitstage!$G125:$DV125,1,(Einstellungen!$C$3-2026)*24+17))</f>
        <v/>
      </c>
      <c r="V125" s="76">
        <f>N(INDEX(Krankheitstage!$G125:$DV125,1,(Einstellungen!$C$3-2026)*24+18))</f>
        <v/>
      </c>
      <c r="W125" s="76">
        <f>N(INDEX(Krankheitstage!$G125:$DV125,1,(Einstellungen!$C$3-2026)*24+19))</f>
        <v/>
      </c>
      <c r="X125" s="76">
        <f>N(INDEX(Krankheitstage!$G125:$DV125,1,(Einstellungen!$C$3-2026)*24+20))</f>
        <v/>
      </c>
      <c r="Y125" s="76">
        <f>N(INDEX(Krankheitstage!$G125:$DV125,1,(Einstellungen!$C$3-2026)*24+21))</f>
        <v/>
      </c>
      <c r="Z125" s="76">
        <f>N(INDEX(Krankheitstage!$G125:$DV125,1,(Einstellungen!$C$3-2026)*24+22))</f>
        <v/>
      </c>
      <c r="AA125" s="76">
        <f>N(INDEX(Krankheitstage!$G125:$DV125,1,(Einstellungen!$C$3-2026)*24+23))</f>
        <v/>
      </c>
      <c r="AB125" s="76">
        <f>N(INDEX(Krankheitstage!$G125:$DV125,1,(Einstellungen!$C$3-2026)*24+24))</f>
        <v/>
      </c>
      <c r="AC125" s="76">
        <f>IF($B125="","",SUM(Q125:AB125))</f>
        <v/>
      </c>
      <c r="AD125" s="76">
        <f>IF($B125="","",SUM(P125,AC125))</f>
        <v/>
      </c>
      <c r="AE125" s="77">
        <f>IF($B125="","",AD125*N(C125))</f>
        <v/>
      </c>
      <c r="AF125" s="76">
        <f>IF($B125="","",Krankheitstage!E125)</f>
        <v/>
      </c>
      <c r="AG125" s="77">
        <f>IF($B125="","",AF125*N(C125))</f>
        <v/>
      </c>
    </row>
    <row r="126">
      <c r="A126" s="74">
        <f>IF(Mitarbeiter!B126="","",Mitarbeiter!A126)</f>
        <v/>
      </c>
      <c r="B126" s="6">
        <f>IF(Mitarbeiter!B126="","",Mitarbeiter!B126)</f>
        <v/>
      </c>
      <c r="C126" s="75">
        <f>IF(Mitarbeiter!B126="","",Mitarbeiter!F126)</f>
        <v/>
      </c>
      <c r="D126" s="76">
        <f>N(INDEX(Krankheitstage!$G126:$DV126,1,(Einstellungen!$C$3-2026)*24+1))</f>
        <v/>
      </c>
      <c r="E126" s="76">
        <f>N(INDEX(Krankheitstage!$G126:$DV126,1,(Einstellungen!$C$3-2026)*24+2))</f>
        <v/>
      </c>
      <c r="F126" s="76">
        <f>N(INDEX(Krankheitstage!$G126:$DV126,1,(Einstellungen!$C$3-2026)*24+3))</f>
        <v/>
      </c>
      <c r="G126" s="76">
        <f>N(INDEX(Krankheitstage!$G126:$DV126,1,(Einstellungen!$C$3-2026)*24+4))</f>
        <v/>
      </c>
      <c r="H126" s="76">
        <f>N(INDEX(Krankheitstage!$G126:$DV126,1,(Einstellungen!$C$3-2026)*24+5))</f>
        <v/>
      </c>
      <c r="I126" s="76">
        <f>N(INDEX(Krankheitstage!$G126:$DV126,1,(Einstellungen!$C$3-2026)*24+6))</f>
        <v/>
      </c>
      <c r="J126" s="76">
        <f>N(INDEX(Krankheitstage!$G126:$DV126,1,(Einstellungen!$C$3-2026)*24+7))</f>
        <v/>
      </c>
      <c r="K126" s="76">
        <f>N(INDEX(Krankheitstage!$G126:$DV126,1,(Einstellungen!$C$3-2026)*24+8))</f>
        <v/>
      </c>
      <c r="L126" s="76">
        <f>N(INDEX(Krankheitstage!$G126:$DV126,1,(Einstellungen!$C$3-2026)*24+9))</f>
        <v/>
      </c>
      <c r="M126" s="76">
        <f>N(INDEX(Krankheitstage!$G126:$DV126,1,(Einstellungen!$C$3-2026)*24+10))</f>
        <v/>
      </c>
      <c r="N126" s="76">
        <f>N(INDEX(Krankheitstage!$G126:$DV126,1,(Einstellungen!$C$3-2026)*24+11))</f>
        <v/>
      </c>
      <c r="O126" s="76">
        <f>N(INDEX(Krankheitstage!$G126:$DV126,1,(Einstellungen!$C$3-2026)*24+12))</f>
        <v/>
      </c>
      <c r="P126" s="76">
        <f>IF($B126="","",SUM(D126:O126))</f>
        <v/>
      </c>
      <c r="Q126" s="76">
        <f>N(INDEX(Krankheitstage!$G126:$DV126,1,(Einstellungen!$C$3-2026)*24+13))</f>
        <v/>
      </c>
      <c r="R126" s="76">
        <f>N(INDEX(Krankheitstage!$G126:$DV126,1,(Einstellungen!$C$3-2026)*24+14))</f>
        <v/>
      </c>
      <c r="S126" s="76">
        <f>N(INDEX(Krankheitstage!$G126:$DV126,1,(Einstellungen!$C$3-2026)*24+15))</f>
        <v/>
      </c>
      <c r="T126" s="76">
        <f>N(INDEX(Krankheitstage!$G126:$DV126,1,(Einstellungen!$C$3-2026)*24+16))</f>
        <v/>
      </c>
      <c r="U126" s="76">
        <f>N(INDEX(Krankheitstage!$G126:$DV126,1,(Einstellungen!$C$3-2026)*24+17))</f>
        <v/>
      </c>
      <c r="V126" s="76">
        <f>N(INDEX(Krankheitstage!$G126:$DV126,1,(Einstellungen!$C$3-2026)*24+18))</f>
        <v/>
      </c>
      <c r="W126" s="76">
        <f>N(INDEX(Krankheitstage!$G126:$DV126,1,(Einstellungen!$C$3-2026)*24+19))</f>
        <v/>
      </c>
      <c r="X126" s="76">
        <f>N(INDEX(Krankheitstage!$G126:$DV126,1,(Einstellungen!$C$3-2026)*24+20))</f>
        <v/>
      </c>
      <c r="Y126" s="76">
        <f>N(INDEX(Krankheitstage!$G126:$DV126,1,(Einstellungen!$C$3-2026)*24+21))</f>
        <v/>
      </c>
      <c r="Z126" s="76">
        <f>N(INDEX(Krankheitstage!$G126:$DV126,1,(Einstellungen!$C$3-2026)*24+22))</f>
        <v/>
      </c>
      <c r="AA126" s="76">
        <f>N(INDEX(Krankheitstage!$G126:$DV126,1,(Einstellungen!$C$3-2026)*24+23))</f>
        <v/>
      </c>
      <c r="AB126" s="76">
        <f>N(INDEX(Krankheitstage!$G126:$DV126,1,(Einstellungen!$C$3-2026)*24+24))</f>
        <v/>
      </c>
      <c r="AC126" s="76">
        <f>IF($B126="","",SUM(Q126:AB126))</f>
        <v/>
      </c>
      <c r="AD126" s="76">
        <f>IF($B126="","",SUM(P126,AC126))</f>
        <v/>
      </c>
      <c r="AE126" s="77">
        <f>IF($B126="","",AD126*N(C126))</f>
        <v/>
      </c>
      <c r="AF126" s="76">
        <f>IF($B126="","",Krankheitstage!E126)</f>
        <v/>
      </c>
      <c r="AG126" s="77">
        <f>IF($B126="","",AF126*N(C126))</f>
        <v/>
      </c>
    </row>
    <row r="127">
      <c r="A127" s="74">
        <f>IF(Mitarbeiter!B127="","",Mitarbeiter!A127)</f>
        <v/>
      </c>
      <c r="B127" s="6">
        <f>IF(Mitarbeiter!B127="","",Mitarbeiter!B127)</f>
        <v/>
      </c>
      <c r="C127" s="75">
        <f>IF(Mitarbeiter!B127="","",Mitarbeiter!F127)</f>
        <v/>
      </c>
      <c r="D127" s="76">
        <f>N(INDEX(Krankheitstage!$G127:$DV127,1,(Einstellungen!$C$3-2026)*24+1))</f>
        <v/>
      </c>
      <c r="E127" s="76">
        <f>N(INDEX(Krankheitstage!$G127:$DV127,1,(Einstellungen!$C$3-2026)*24+2))</f>
        <v/>
      </c>
      <c r="F127" s="76">
        <f>N(INDEX(Krankheitstage!$G127:$DV127,1,(Einstellungen!$C$3-2026)*24+3))</f>
        <v/>
      </c>
      <c r="G127" s="76">
        <f>N(INDEX(Krankheitstage!$G127:$DV127,1,(Einstellungen!$C$3-2026)*24+4))</f>
        <v/>
      </c>
      <c r="H127" s="76">
        <f>N(INDEX(Krankheitstage!$G127:$DV127,1,(Einstellungen!$C$3-2026)*24+5))</f>
        <v/>
      </c>
      <c r="I127" s="76">
        <f>N(INDEX(Krankheitstage!$G127:$DV127,1,(Einstellungen!$C$3-2026)*24+6))</f>
        <v/>
      </c>
      <c r="J127" s="76">
        <f>N(INDEX(Krankheitstage!$G127:$DV127,1,(Einstellungen!$C$3-2026)*24+7))</f>
        <v/>
      </c>
      <c r="K127" s="76">
        <f>N(INDEX(Krankheitstage!$G127:$DV127,1,(Einstellungen!$C$3-2026)*24+8))</f>
        <v/>
      </c>
      <c r="L127" s="76">
        <f>N(INDEX(Krankheitstage!$G127:$DV127,1,(Einstellungen!$C$3-2026)*24+9))</f>
        <v/>
      </c>
      <c r="M127" s="76">
        <f>N(INDEX(Krankheitstage!$G127:$DV127,1,(Einstellungen!$C$3-2026)*24+10))</f>
        <v/>
      </c>
      <c r="N127" s="76">
        <f>N(INDEX(Krankheitstage!$G127:$DV127,1,(Einstellungen!$C$3-2026)*24+11))</f>
        <v/>
      </c>
      <c r="O127" s="76">
        <f>N(INDEX(Krankheitstage!$G127:$DV127,1,(Einstellungen!$C$3-2026)*24+12))</f>
        <v/>
      </c>
      <c r="P127" s="76">
        <f>IF($B127="","",SUM(D127:O127))</f>
        <v/>
      </c>
      <c r="Q127" s="76">
        <f>N(INDEX(Krankheitstage!$G127:$DV127,1,(Einstellungen!$C$3-2026)*24+13))</f>
        <v/>
      </c>
      <c r="R127" s="76">
        <f>N(INDEX(Krankheitstage!$G127:$DV127,1,(Einstellungen!$C$3-2026)*24+14))</f>
        <v/>
      </c>
      <c r="S127" s="76">
        <f>N(INDEX(Krankheitstage!$G127:$DV127,1,(Einstellungen!$C$3-2026)*24+15))</f>
        <v/>
      </c>
      <c r="T127" s="76">
        <f>N(INDEX(Krankheitstage!$G127:$DV127,1,(Einstellungen!$C$3-2026)*24+16))</f>
        <v/>
      </c>
      <c r="U127" s="76">
        <f>N(INDEX(Krankheitstage!$G127:$DV127,1,(Einstellungen!$C$3-2026)*24+17))</f>
        <v/>
      </c>
      <c r="V127" s="76">
        <f>N(INDEX(Krankheitstage!$G127:$DV127,1,(Einstellungen!$C$3-2026)*24+18))</f>
        <v/>
      </c>
      <c r="W127" s="76">
        <f>N(INDEX(Krankheitstage!$G127:$DV127,1,(Einstellungen!$C$3-2026)*24+19))</f>
        <v/>
      </c>
      <c r="X127" s="76">
        <f>N(INDEX(Krankheitstage!$G127:$DV127,1,(Einstellungen!$C$3-2026)*24+20))</f>
        <v/>
      </c>
      <c r="Y127" s="76">
        <f>N(INDEX(Krankheitstage!$G127:$DV127,1,(Einstellungen!$C$3-2026)*24+21))</f>
        <v/>
      </c>
      <c r="Z127" s="76">
        <f>N(INDEX(Krankheitstage!$G127:$DV127,1,(Einstellungen!$C$3-2026)*24+22))</f>
        <v/>
      </c>
      <c r="AA127" s="76">
        <f>N(INDEX(Krankheitstage!$G127:$DV127,1,(Einstellungen!$C$3-2026)*24+23))</f>
        <v/>
      </c>
      <c r="AB127" s="76">
        <f>N(INDEX(Krankheitstage!$G127:$DV127,1,(Einstellungen!$C$3-2026)*24+24))</f>
        <v/>
      </c>
      <c r="AC127" s="76">
        <f>IF($B127="","",SUM(Q127:AB127))</f>
        <v/>
      </c>
      <c r="AD127" s="76">
        <f>IF($B127="","",SUM(P127,AC127))</f>
        <v/>
      </c>
      <c r="AE127" s="77">
        <f>IF($B127="","",AD127*N(C127))</f>
        <v/>
      </c>
      <c r="AF127" s="76">
        <f>IF($B127="","",Krankheitstage!E127)</f>
        <v/>
      </c>
      <c r="AG127" s="77">
        <f>IF($B127="","",AF127*N(C127))</f>
        <v/>
      </c>
    </row>
    <row r="128">
      <c r="A128" s="74">
        <f>IF(Mitarbeiter!B128="","",Mitarbeiter!A128)</f>
        <v/>
      </c>
      <c r="B128" s="6">
        <f>IF(Mitarbeiter!B128="","",Mitarbeiter!B128)</f>
        <v/>
      </c>
      <c r="C128" s="75">
        <f>IF(Mitarbeiter!B128="","",Mitarbeiter!F128)</f>
        <v/>
      </c>
      <c r="D128" s="76">
        <f>N(INDEX(Krankheitstage!$G128:$DV128,1,(Einstellungen!$C$3-2026)*24+1))</f>
        <v/>
      </c>
      <c r="E128" s="76">
        <f>N(INDEX(Krankheitstage!$G128:$DV128,1,(Einstellungen!$C$3-2026)*24+2))</f>
        <v/>
      </c>
      <c r="F128" s="76">
        <f>N(INDEX(Krankheitstage!$G128:$DV128,1,(Einstellungen!$C$3-2026)*24+3))</f>
        <v/>
      </c>
      <c r="G128" s="76">
        <f>N(INDEX(Krankheitstage!$G128:$DV128,1,(Einstellungen!$C$3-2026)*24+4))</f>
        <v/>
      </c>
      <c r="H128" s="76">
        <f>N(INDEX(Krankheitstage!$G128:$DV128,1,(Einstellungen!$C$3-2026)*24+5))</f>
        <v/>
      </c>
      <c r="I128" s="76">
        <f>N(INDEX(Krankheitstage!$G128:$DV128,1,(Einstellungen!$C$3-2026)*24+6))</f>
        <v/>
      </c>
      <c r="J128" s="76">
        <f>N(INDEX(Krankheitstage!$G128:$DV128,1,(Einstellungen!$C$3-2026)*24+7))</f>
        <v/>
      </c>
      <c r="K128" s="76">
        <f>N(INDEX(Krankheitstage!$G128:$DV128,1,(Einstellungen!$C$3-2026)*24+8))</f>
        <v/>
      </c>
      <c r="L128" s="76">
        <f>N(INDEX(Krankheitstage!$G128:$DV128,1,(Einstellungen!$C$3-2026)*24+9))</f>
        <v/>
      </c>
      <c r="M128" s="76">
        <f>N(INDEX(Krankheitstage!$G128:$DV128,1,(Einstellungen!$C$3-2026)*24+10))</f>
        <v/>
      </c>
      <c r="N128" s="76">
        <f>N(INDEX(Krankheitstage!$G128:$DV128,1,(Einstellungen!$C$3-2026)*24+11))</f>
        <v/>
      </c>
      <c r="O128" s="76">
        <f>N(INDEX(Krankheitstage!$G128:$DV128,1,(Einstellungen!$C$3-2026)*24+12))</f>
        <v/>
      </c>
      <c r="P128" s="76">
        <f>IF($B128="","",SUM(D128:O128))</f>
        <v/>
      </c>
      <c r="Q128" s="76">
        <f>N(INDEX(Krankheitstage!$G128:$DV128,1,(Einstellungen!$C$3-2026)*24+13))</f>
        <v/>
      </c>
      <c r="R128" s="76">
        <f>N(INDEX(Krankheitstage!$G128:$DV128,1,(Einstellungen!$C$3-2026)*24+14))</f>
        <v/>
      </c>
      <c r="S128" s="76">
        <f>N(INDEX(Krankheitstage!$G128:$DV128,1,(Einstellungen!$C$3-2026)*24+15))</f>
        <v/>
      </c>
      <c r="T128" s="76">
        <f>N(INDEX(Krankheitstage!$G128:$DV128,1,(Einstellungen!$C$3-2026)*24+16))</f>
        <v/>
      </c>
      <c r="U128" s="76">
        <f>N(INDEX(Krankheitstage!$G128:$DV128,1,(Einstellungen!$C$3-2026)*24+17))</f>
        <v/>
      </c>
      <c r="V128" s="76">
        <f>N(INDEX(Krankheitstage!$G128:$DV128,1,(Einstellungen!$C$3-2026)*24+18))</f>
        <v/>
      </c>
      <c r="W128" s="76">
        <f>N(INDEX(Krankheitstage!$G128:$DV128,1,(Einstellungen!$C$3-2026)*24+19))</f>
        <v/>
      </c>
      <c r="X128" s="76">
        <f>N(INDEX(Krankheitstage!$G128:$DV128,1,(Einstellungen!$C$3-2026)*24+20))</f>
        <v/>
      </c>
      <c r="Y128" s="76">
        <f>N(INDEX(Krankheitstage!$G128:$DV128,1,(Einstellungen!$C$3-2026)*24+21))</f>
        <v/>
      </c>
      <c r="Z128" s="76">
        <f>N(INDEX(Krankheitstage!$G128:$DV128,1,(Einstellungen!$C$3-2026)*24+22))</f>
        <v/>
      </c>
      <c r="AA128" s="76">
        <f>N(INDEX(Krankheitstage!$G128:$DV128,1,(Einstellungen!$C$3-2026)*24+23))</f>
        <v/>
      </c>
      <c r="AB128" s="76">
        <f>N(INDEX(Krankheitstage!$G128:$DV128,1,(Einstellungen!$C$3-2026)*24+24))</f>
        <v/>
      </c>
      <c r="AC128" s="76">
        <f>IF($B128="","",SUM(Q128:AB128))</f>
        <v/>
      </c>
      <c r="AD128" s="76">
        <f>IF($B128="","",SUM(P128,AC128))</f>
        <v/>
      </c>
      <c r="AE128" s="77">
        <f>IF($B128="","",AD128*N(C128))</f>
        <v/>
      </c>
      <c r="AF128" s="76">
        <f>IF($B128="","",Krankheitstage!E128)</f>
        <v/>
      </c>
      <c r="AG128" s="77">
        <f>IF($B128="","",AF128*N(C128))</f>
        <v/>
      </c>
    </row>
    <row r="129">
      <c r="A129" s="74">
        <f>IF(Mitarbeiter!B129="","",Mitarbeiter!A129)</f>
        <v/>
      </c>
      <c r="B129" s="6">
        <f>IF(Mitarbeiter!B129="","",Mitarbeiter!B129)</f>
        <v/>
      </c>
      <c r="C129" s="75">
        <f>IF(Mitarbeiter!B129="","",Mitarbeiter!F129)</f>
        <v/>
      </c>
      <c r="D129" s="76">
        <f>N(INDEX(Krankheitstage!$G129:$DV129,1,(Einstellungen!$C$3-2026)*24+1))</f>
        <v/>
      </c>
      <c r="E129" s="76">
        <f>N(INDEX(Krankheitstage!$G129:$DV129,1,(Einstellungen!$C$3-2026)*24+2))</f>
        <v/>
      </c>
      <c r="F129" s="76">
        <f>N(INDEX(Krankheitstage!$G129:$DV129,1,(Einstellungen!$C$3-2026)*24+3))</f>
        <v/>
      </c>
      <c r="G129" s="76">
        <f>N(INDEX(Krankheitstage!$G129:$DV129,1,(Einstellungen!$C$3-2026)*24+4))</f>
        <v/>
      </c>
      <c r="H129" s="76">
        <f>N(INDEX(Krankheitstage!$G129:$DV129,1,(Einstellungen!$C$3-2026)*24+5))</f>
        <v/>
      </c>
      <c r="I129" s="76">
        <f>N(INDEX(Krankheitstage!$G129:$DV129,1,(Einstellungen!$C$3-2026)*24+6))</f>
        <v/>
      </c>
      <c r="J129" s="76">
        <f>N(INDEX(Krankheitstage!$G129:$DV129,1,(Einstellungen!$C$3-2026)*24+7))</f>
        <v/>
      </c>
      <c r="K129" s="76">
        <f>N(INDEX(Krankheitstage!$G129:$DV129,1,(Einstellungen!$C$3-2026)*24+8))</f>
        <v/>
      </c>
      <c r="L129" s="76">
        <f>N(INDEX(Krankheitstage!$G129:$DV129,1,(Einstellungen!$C$3-2026)*24+9))</f>
        <v/>
      </c>
      <c r="M129" s="76">
        <f>N(INDEX(Krankheitstage!$G129:$DV129,1,(Einstellungen!$C$3-2026)*24+10))</f>
        <v/>
      </c>
      <c r="N129" s="76">
        <f>N(INDEX(Krankheitstage!$G129:$DV129,1,(Einstellungen!$C$3-2026)*24+11))</f>
        <v/>
      </c>
      <c r="O129" s="76">
        <f>N(INDEX(Krankheitstage!$G129:$DV129,1,(Einstellungen!$C$3-2026)*24+12))</f>
        <v/>
      </c>
      <c r="P129" s="76">
        <f>IF($B129="","",SUM(D129:O129))</f>
        <v/>
      </c>
      <c r="Q129" s="76">
        <f>N(INDEX(Krankheitstage!$G129:$DV129,1,(Einstellungen!$C$3-2026)*24+13))</f>
        <v/>
      </c>
      <c r="R129" s="76">
        <f>N(INDEX(Krankheitstage!$G129:$DV129,1,(Einstellungen!$C$3-2026)*24+14))</f>
        <v/>
      </c>
      <c r="S129" s="76">
        <f>N(INDEX(Krankheitstage!$G129:$DV129,1,(Einstellungen!$C$3-2026)*24+15))</f>
        <v/>
      </c>
      <c r="T129" s="76">
        <f>N(INDEX(Krankheitstage!$G129:$DV129,1,(Einstellungen!$C$3-2026)*24+16))</f>
        <v/>
      </c>
      <c r="U129" s="76">
        <f>N(INDEX(Krankheitstage!$G129:$DV129,1,(Einstellungen!$C$3-2026)*24+17))</f>
        <v/>
      </c>
      <c r="V129" s="76">
        <f>N(INDEX(Krankheitstage!$G129:$DV129,1,(Einstellungen!$C$3-2026)*24+18))</f>
        <v/>
      </c>
      <c r="W129" s="76">
        <f>N(INDEX(Krankheitstage!$G129:$DV129,1,(Einstellungen!$C$3-2026)*24+19))</f>
        <v/>
      </c>
      <c r="X129" s="76">
        <f>N(INDEX(Krankheitstage!$G129:$DV129,1,(Einstellungen!$C$3-2026)*24+20))</f>
        <v/>
      </c>
      <c r="Y129" s="76">
        <f>N(INDEX(Krankheitstage!$G129:$DV129,1,(Einstellungen!$C$3-2026)*24+21))</f>
        <v/>
      </c>
      <c r="Z129" s="76">
        <f>N(INDEX(Krankheitstage!$G129:$DV129,1,(Einstellungen!$C$3-2026)*24+22))</f>
        <v/>
      </c>
      <c r="AA129" s="76">
        <f>N(INDEX(Krankheitstage!$G129:$DV129,1,(Einstellungen!$C$3-2026)*24+23))</f>
        <v/>
      </c>
      <c r="AB129" s="76">
        <f>N(INDEX(Krankheitstage!$G129:$DV129,1,(Einstellungen!$C$3-2026)*24+24))</f>
        <v/>
      </c>
      <c r="AC129" s="76">
        <f>IF($B129="","",SUM(Q129:AB129))</f>
        <v/>
      </c>
      <c r="AD129" s="76">
        <f>IF($B129="","",SUM(P129,AC129))</f>
        <v/>
      </c>
      <c r="AE129" s="77">
        <f>IF($B129="","",AD129*N(C129))</f>
        <v/>
      </c>
      <c r="AF129" s="76">
        <f>IF($B129="","",Krankheitstage!E129)</f>
        <v/>
      </c>
      <c r="AG129" s="77">
        <f>IF($B129="","",AF129*N(C129))</f>
        <v/>
      </c>
    </row>
    <row r="130">
      <c r="A130" s="74">
        <f>IF(Mitarbeiter!B130="","",Mitarbeiter!A130)</f>
        <v/>
      </c>
      <c r="B130" s="6">
        <f>IF(Mitarbeiter!B130="","",Mitarbeiter!B130)</f>
        <v/>
      </c>
      <c r="C130" s="75">
        <f>IF(Mitarbeiter!B130="","",Mitarbeiter!F130)</f>
        <v/>
      </c>
      <c r="D130" s="76">
        <f>N(INDEX(Krankheitstage!$G130:$DV130,1,(Einstellungen!$C$3-2026)*24+1))</f>
        <v/>
      </c>
      <c r="E130" s="76">
        <f>N(INDEX(Krankheitstage!$G130:$DV130,1,(Einstellungen!$C$3-2026)*24+2))</f>
        <v/>
      </c>
      <c r="F130" s="76">
        <f>N(INDEX(Krankheitstage!$G130:$DV130,1,(Einstellungen!$C$3-2026)*24+3))</f>
        <v/>
      </c>
      <c r="G130" s="76">
        <f>N(INDEX(Krankheitstage!$G130:$DV130,1,(Einstellungen!$C$3-2026)*24+4))</f>
        <v/>
      </c>
      <c r="H130" s="76">
        <f>N(INDEX(Krankheitstage!$G130:$DV130,1,(Einstellungen!$C$3-2026)*24+5))</f>
        <v/>
      </c>
      <c r="I130" s="76">
        <f>N(INDEX(Krankheitstage!$G130:$DV130,1,(Einstellungen!$C$3-2026)*24+6))</f>
        <v/>
      </c>
      <c r="J130" s="76">
        <f>N(INDEX(Krankheitstage!$G130:$DV130,1,(Einstellungen!$C$3-2026)*24+7))</f>
        <v/>
      </c>
      <c r="K130" s="76">
        <f>N(INDEX(Krankheitstage!$G130:$DV130,1,(Einstellungen!$C$3-2026)*24+8))</f>
        <v/>
      </c>
      <c r="L130" s="76">
        <f>N(INDEX(Krankheitstage!$G130:$DV130,1,(Einstellungen!$C$3-2026)*24+9))</f>
        <v/>
      </c>
      <c r="M130" s="76">
        <f>N(INDEX(Krankheitstage!$G130:$DV130,1,(Einstellungen!$C$3-2026)*24+10))</f>
        <v/>
      </c>
      <c r="N130" s="76">
        <f>N(INDEX(Krankheitstage!$G130:$DV130,1,(Einstellungen!$C$3-2026)*24+11))</f>
        <v/>
      </c>
      <c r="O130" s="76">
        <f>N(INDEX(Krankheitstage!$G130:$DV130,1,(Einstellungen!$C$3-2026)*24+12))</f>
        <v/>
      </c>
      <c r="P130" s="76">
        <f>IF($B130="","",SUM(D130:O130))</f>
        <v/>
      </c>
      <c r="Q130" s="76">
        <f>N(INDEX(Krankheitstage!$G130:$DV130,1,(Einstellungen!$C$3-2026)*24+13))</f>
        <v/>
      </c>
      <c r="R130" s="76">
        <f>N(INDEX(Krankheitstage!$G130:$DV130,1,(Einstellungen!$C$3-2026)*24+14))</f>
        <v/>
      </c>
      <c r="S130" s="76">
        <f>N(INDEX(Krankheitstage!$G130:$DV130,1,(Einstellungen!$C$3-2026)*24+15))</f>
        <v/>
      </c>
      <c r="T130" s="76">
        <f>N(INDEX(Krankheitstage!$G130:$DV130,1,(Einstellungen!$C$3-2026)*24+16))</f>
        <v/>
      </c>
      <c r="U130" s="76">
        <f>N(INDEX(Krankheitstage!$G130:$DV130,1,(Einstellungen!$C$3-2026)*24+17))</f>
        <v/>
      </c>
      <c r="V130" s="76">
        <f>N(INDEX(Krankheitstage!$G130:$DV130,1,(Einstellungen!$C$3-2026)*24+18))</f>
        <v/>
      </c>
      <c r="W130" s="76">
        <f>N(INDEX(Krankheitstage!$G130:$DV130,1,(Einstellungen!$C$3-2026)*24+19))</f>
        <v/>
      </c>
      <c r="X130" s="76">
        <f>N(INDEX(Krankheitstage!$G130:$DV130,1,(Einstellungen!$C$3-2026)*24+20))</f>
        <v/>
      </c>
      <c r="Y130" s="76">
        <f>N(INDEX(Krankheitstage!$G130:$DV130,1,(Einstellungen!$C$3-2026)*24+21))</f>
        <v/>
      </c>
      <c r="Z130" s="76">
        <f>N(INDEX(Krankheitstage!$G130:$DV130,1,(Einstellungen!$C$3-2026)*24+22))</f>
        <v/>
      </c>
      <c r="AA130" s="76">
        <f>N(INDEX(Krankheitstage!$G130:$DV130,1,(Einstellungen!$C$3-2026)*24+23))</f>
        <v/>
      </c>
      <c r="AB130" s="76">
        <f>N(INDEX(Krankheitstage!$G130:$DV130,1,(Einstellungen!$C$3-2026)*24+24))</f>
        <v/>
      </c>
      <c r="AC130" s="76">
        <f>IF($B130="","",SUM(Q130:AB130))</f>
        <v/>
      </c>
      <c r="AD130" s="76">
        <f>IF($B130="","",SUM(P130,AC130))</f>
        <v/>
      </c>
      <c r="AE130" s="77">
        <f>IF($B130="","",AD130*N(C130))</f>
        <v/>
      </c>
      <c r="AF130" s="76">
        <f>IF($B130="","",Krankheitstage!E130)</f>
        <v/>
      </c>
      <c r="AG130" s="77">
        <f>IF($B130="","",AF130*N(C130))</f>
        <v/>
      </c>
    </row>
    <row r="131">
      <c r="A131" s="74">
        <f>IF(Mitarbeiter!B131="","",Mitarbeiter!A131)</f>
        <v/>
      </c>
      <c r="B131" s="6">
        <f>IF(Mitarbeiter!B131="","",Mitarbeiter!B131)</f>
        <v/>
      </c>
      <c r="C131" s="75">
        <f>IF(Mitarbeiter!B131="","",Mitarbeiter!F131)</f>
        <v/>
      </c>
      <c r="D131" s="76">
        <f>N(INDEX(Krankheitstage!$G131:$DV131,1,(Einstellungen!$C$3-2026)*24+1))</f>
        <v/>
      </c>
      <c r="E131" s="76">
        <f>N(INDEX(Krankheitstage!$G131:$DV131,1,(Einstellungen!$C$3-2026)*24+2))</f>
        <v/>
      </c>
      <c r="F131" s="76">
        <f>N(INDEX(Krankheitstage!$G131:$DV131,1,(Einstellungen!$C$3-2026)*24+3))</f>
        <v/>
      </c>
      <c r="G131" s="76">
        <f>N(INDEX(Krankheitstage!$G131:$DV131,1,(Einstellungen!$C$3-2026)*24+4))</f>
        <v/>
      </c>
      <c r="H131" s="76">
        <f>N(INDEX(Krankheitstage!$G131:$DV131,1,(Einstellungen!$C$3-2026)*24+5))</f>
        <v/>
      </c>
      <c r="I131" s="76">
        <f>N(INDEX(Krankheitstage!$G131:$DV131,1,(Einstellungen!$C$3-2026)*24+6))</f>
        <v/>
      </c>
      <c r="J131" s="76">
        <f>N(INDEX(Krankheitstage!$G131:$DV131,1,(Einstellungen!$C$3-2026)*24+7))</f>
        <v/>
      </c>
      <c r="K131" s="76">
        <f>N(INDEX(Krankheitstage!$G131:$DV131,1,(Einstellungen!$C$3-2026)*24+8))</f>
        <v/>
      </c>
      <c r="L131" s="76">
        <f>N(INDEX(Krankheitstage!$G131:$DV131,1,(Einstellungen!$C$3-2026)*24+9))</f>
        <v/>
      </c>
      <c r="M131" s="76">
        <f>N(INDEX(Krankheitstage!$G131:$DV131,1,(Einstellungen!$C$3-2026)*24+10))</f>
        <v/>
      </c>
      <c r="N131" s="76">
        <f>N(INDEX(Krankheitstage!$G131:$DV131,1,(Einstellungen!$C$3-2026)*24+11))</f>
        <v/>
      </c>
      <c r="O131" s="76">
        <f>N(INDEX(Krankheitstage!$G131:$DV131,1,(Einstellungen!$C$3-2026)*24+12))</f>
        <v/>
      </c>
      <c r="P131" s="76">
        <f>IF($B131="","",SUM(D131:O131))</f>
        <v/>
      </c>
      <c r="Q131" s="76">
        <f>N(INDEX(Krankheitstage!$G131:$DV131,1,(Einstellungen!$C$3-2026)*24+13))</f>
        <v/>
      </c>
      <c r="R131" s="76">
        <f>N(INDEX(Krankheitstage!$G131:$DV131,1,(Einstellungen!$C$3-2026)*24+14))</f>
        <v/>
      </c>
      <c r="S131" s="76">
        <f>N(INDEX(Krankheitstage!$G131:$DV131,1,(Einstellungen!$C$3-2026)*24+15))</f>
        <v/>
      </c>
      <c r="T131" s="76">
        <f>N(INDEX(Krankheitstage!$G131:$DV131,1,(Einstellungen!$C$3-2026)*24+16))</f>
        <v/>
      </c>
      <c r="U131" s="76">
        <f>N(INDEX(Krankheitstage!$G131:$DV131,1,(Einstellungen!$C$3-2026)*24+17))</f>
        <v/>
      </c>
      <c r="V131" s="76">
        <f>N(INDEX(Krankheitstage!$G131:$DV131,1,(Einstellungen!$C$3-2026)*24+18))</f>
        <v/>
      </c>
      <c r="W131" s="76">
        <f>N(INDEX(Krankheitstage!$G131:$DV131,1,(Einstellungen!$C$3-2026)*24+19))</f>
        <v/>
      </c>
      <c r="X131" s="76">
        <f>N(INDEX(Krankheitstage!$G131:$DV131,1,(Einstellungen!$C$3-2026)*24+20))</f>
        <v/>
      </c>
      <c r="Y131" s="76">
        <f>N(INDEX(Krankheitstage!$G131:$DV131,1,(Einstellungen!$C$3-2026)*24+21))</f>
        <v/>
      </c>
      <c r="Z131" s="76">
        <f>N(INDEX(Krankheitstage!$G131:$DV131,1,(Einstellungen!$C$3-2026)*24+22))</f>
        <v/>
      </c>
      <c r="AA131" s="76">
        <f>N(INDEX(Krankheitstage!$G131:$DV131,1,(Einstellungen!$C$3-2026)*24+23))</f>
        <v/>
      </c>
      <c r="AB131" s="76">
        <f>N(INDEX(Krankheitstage!$G131:$DV131,1,(Einstellungen!$C$3-2026)*24+24))</f>
        <v/>
      </c>
      <c r="AC131" s="76">
        <f>IF($B131="","",SUM(Q131:AB131))</f>
        <v/>
      </c>
      <c r="AD131" s="76">
        <f>IF($B131="","",SUM(P131,AC131))</f>
        <v/>
      </c>
      <c r="AE131" s="77">
        <f>IF($B131="","",AD131*N(C131))</f>
        <v/>
      </c>
      <c r="AF131" s="76">
        <f>IF($B131="","",Krankheitstage!E131)</f>
        <v/>
      </c>
      <c r="AG131" s="77">
        <f>IF($B131="","",AF131*N(C131))</f>
        <v/>
      </c>
    </row>
    <row r="132">
      <c r="A132" s="74">
        <f>IF(Mitarbeiter!B132="","",Mitarbeiter!A132)</f>
        <v/>
      </c>
      <c r="B132" s="6">
        <f>IF(Mitarbeiter!B132="","",Mitarbeiter!B132)</f>
        <v/>
      </c>
      <c r="C132" s="75">
        <f>IF(Mitarbeiter!B132="","",Mitarbeiter!F132)</f>
        <v/>
      </c>
      <c r="D132" s="76">
        <f>N(INDEX(Krankheitstage!$G132:$DV132,1,(Einstellungen!$C$3-2026)*24+1))</f>
        <v/>
      </c>
      <c r="E132" s="76">
        <f>N(INDEX(Krankheitstage!$G132:$DV132,1,(Einstellungen!$C$3-2026)*24+2))</f>
        <v/>
      </c>
      <c r="F132" s="76">
        <f>N(INDEX(Krankheitstage!$G132:$DV132,1,(Einstellungen!$C$3-2026)*24+3))</f>
        <v/>
      </c>
      <c r="G132" s="76">
        <f>N(INDEX(Krankheitstage!$G132:$DV132,1,(Einstellungen!$C$3-2026)*24+4))</f>
        <v/>
      </c>
      <c r="H132" s="76">
        <f>N(INDEX(Krankheitstage!$G132:$DV132,1,(Einstellungen!$C$3-2026)*24+5))</f>
        <v/>
      </c>
      <c r="I132" s="76">
        <f>N(INDEX(Krankheitstage!$G132:$DV132,1,(Einstellungen!$C$3-2026)*24+6))</f>
        <v/>
      </c>
      <c r="J132" s="76">
        <f>N(INDEX(Krankheitstage!$G132:$DV132,1,(Einstellungen!$C$3-2026)*24+7))</f>
        <v/>
      </c>
      <c r="K132" s="76">
        <f>N(INDEX(Krankheitstage!$G132:$DV132,1,(Einstellungen!$C$3-2026)*24+8))</f>
        <v/>
      </c>
      <c r="L132" s="76">
        <f>N(INDEX(Krankheitstage!$G132:$DV132,1,(Einstellungen!$C$3-2026)*24+9))</f>
        <v/>
      </c>
      <c r="M132" s="76">
        <f>N(INDEX(Krankheitstage!$G132:$DV132,1,(Einstellungen!$C$3-2026)*24+10))</f>
        <v/>
      </c>
      <c r="N132" s="76">
        <f>N(INDEX(Krankheitstage!$G132:$DV132,1,(Einstellungen!$C$3-2026)*24+11))</f>
        <v/>
      </c>
      <c r="O132" s="76">
        <f>N(INDEX(Krankheitstage!$G132:$DV132,1,(Einstellungen!$C$3-2026)*24+12))</f>
        <v/>
      </c>
      <c r="P132" s="76">
        <f>IF($B132="","",SUM(D132:O132))</f>
        <v/>
      </c>
      <c r="Q132" s="76">
        <f>N(INDEX(Krankheitstage!$G132:$DV132,1,(Einstellungen!$C$3-2026)*24+13))</f>
        <v/>
      </c>
      <c r="R132" s="76">
        <f>N(INDEX(Krankheitstage!$G132:$DV132,1,(Einstellungen!$C$3-2026)*24+14))</f>
        <v/>
      </c>
      <c r="S132" s="76">
        <f>N(INDEX(Krankheitstage!$G132:$DV132,1,(Einstellungen!$C$3-2026)*24+15))</f>
        <v/>
      </c>
      <c r="T132" s="76">
        <f>N(INDEX(Krankheitstage!$G132:$DV132,1,(Einstellungen!$C$3-2026)*24+16))</f>
        <v/>
      </c>
      <c r="U132" s="76">
        <f>N(INDEX(Krankheitstage!$G132:$DV132,1,(Einstellungen!$C$3-2026)*24+17))</f>
        <v/>
      </c>
      <c r="V132" s="76">
        <f>N(INDEX(Krankheitstage!$G132:$DV132,1,(Einstellungen!$C$3-2026)*24+18))</f>
        <v/>
      </c>
      <c r="W132" s="76">
        <f>N(INDEX(Krankheitstage!$G132:$DV132,1,(Einstellungen!$C$3-2026)*24+19))</f>
        <v/>
      </c>
      <c r="X132" s="76">
        <f>N(INDEX(Krankheitstage!$G132:$DV132,1,(Einstellungen!$C$3-2026)*24+20))</f>
        <v/>
      </c>
      <c r="Y132" s="76">
        <f>N(INDEX(Krankheitstage!$G132:$DV132,1,(Einstellungen!$C$3-2026)*24+21))</f>
        <v/>
      </c>
      <c r="Z132" s="76">
        <f>N(INDEX(Krankheitstage!$G132:$DV132,1,(Einstellungen!$C$3-2026)*24+22))</f>
        <v/>
      </c>
      <c r="AA132" s="76">
        <f>N(INDEX(Krankheitstage!$G132:$DV132,1,(Einstellungen!$C$3-2026)*24+23))</f>
        <v/>
      </c>
      <c r="AB132" s="76">
        <f>N(INDEX(Krankheitstage!$G132:$DV132,1,(Einstellungen!$C$3-2026)*24+24))</f>
        <v/>
      </c>
      <c r="AC132" s="76">
        <f>IF($B132="","",SUM(Q132:AB132))</f>
        <v/>
      </c>
      <c r="AD132" s="76">
        <f>IF($B132="","",SUM(P132,AC132))</f>
        <v/>
      </c>
      <c r="AE132" s="77">
        <f>IF($B132="","",AD132*N(C132))</f>
        <v/>
      </c>
      <c r="AF132" s="76">
        <f>IF($B132="","",Krankheitstage!E132)</f>
        <v/>
      </c>
      <c r="AG132" s="77">
        <f>IF($B132="","",AF132*N(C132))</f>
        <v/>
      </c>
    </row>
    <row r="133">
      <c r="A133" s="74">
        <f>IF(Mitarbeiter!B133="","",Mitarbeiter!A133)</f>
        <v/>
      </c>
      <c r="B133" s="6">
        <f>IF(Mitarbeiter!B133="","",Mitarbeiter!B133)</f>
        <v/>
      </c>
      <c r="C133" s="75">
        <f>IF(Mitarbeiter!B133="","",Mitarbeiter!F133)</f>
        <v/>
      </c>
      <c r="D133" s="76">
        <f>N(INDEX(Krankheitstage!$G133:$DV133,1,(Einstellungen!$C$3-2026)*24+1))</f>
        <v/>
      </c>
      <c r="E133" s="76">
        <f>N(INDEX(Krankheitstage!$G133:$DV133,1,(Einstellungen!$C$3-2026)*24+2))</f>
        <v/>
      </c>
      <c r="F133" s="76">
        <f>N(INDEX(Krankheitstage!$G133:$DV133,1,(Einstellungen!$C$3-2026)*24+3))</f>
        <v/>
      </c>
      <c r="G133" s="76">
        <f>N(INDEX(Krankheitstage!$G133:$DV133,1,(Einstellungen!$C$3-2026)*24+4))</f>
        <v/>
      </c>
      <c r="H133" s="76">
        <f>N(INDEX(Krankheitstage!$G133:$DV133,1,(Einstellungen!$C$3-2026)*24+5))</f>
        <v/>
      </c>
      <c r="I133" s="76">
        <f>N(INDEX(Krankheitstage!$G133:$DV133,1,(Einstellungen!$C$3-2026)*24+6))</f>
        <v/>
      </c>
      <c r="J133" s="76">
        <f>N(INDEX(Krankheitstage!$G133:$DV133,1,(Einstellungen!$C$3-2026)*24+7))</f>
        <v/>
      </c>
      <c r="K133" s="76">
        <f>N(INDEX(Krankheitstage!$G133:$DV133,1,(Einstellungen!$C$3-2026)*24+8))</f>
        <v/>
      </c>
      <c r="L133" s="76">
        <f>N(INDEX(Krankheitstage!$G133:$DV133,1,(Einstellungen!$C$3-2026)*24+9))</f>
        <v/>
      </c>
      <c r="M133" s="76">
        <f>N(INDEX(Krankheitstage!$G133:$DV133,1,(Einstellungen!$C$3-2026)*24+10))</f>
        <v/>
      </c>
      <c r="N133" s="76">
        <f>N(INDEX(Krankheitstage!$G133:$DV133,1,(Einstellungen!$C$3-2026)*24+11))</f>
        <v/>
      </c>
      <c r="O133" s="76">
        <f>N(INDEX(Krankheitstage!$G133:$DV133,1,(Einstellungen!$C$3-2026)*24+12))</f>
        <v/>
      </c>
      <c r="P133" s="76">
        <f>IF($B133="","",SUM(D133:O133))</f>
        <v/>
      </c>
      <c r="Q133" s="76">
        <f>N(INDEX(Krankheitstage!$G133:$DV133,1,(Einstellungen!$C$3-2026)*24+13))</f>
        <v/>
      </c>
      <c r="R133" s="76">
        <f>N(INDEX(Krankheitstage!$G133:$DV133,1,(Einstellungen!$C$3-2026)*24+14))</f>
        <v/>
      </c>
      <c r="S133" s="76">
        <f>N(INDEX(Krankheitstage!$G133:$DV133,1,(Einstellungen!$C$3-2026)*24+15))</f>
        <v/>
      </c>
      <c r="T133" s="76">
        <f>N(INDEX(Krankheitstage!$G133:$DV133,1,(Einstellungen!$C$3-2026)*24+16))</f>
        <v/>
      </c>
      <c r="U133" s="76">
        <f>N(INDEX(Krankheitstage!$G133:$DV133,1,(Einstellungen!$C$3-2026)*24+17))</f>
        <v/>
      </c>
      <c r="V133" s="76">
        <f>N(INDEX(Krankheitstage!$G133:$DV133,1,(Einstellungen!$C$3-2026)*24+18))</f>
        <v/>
      </c>
      <c r="W133" s="76">
        <f>N(INDEX(Krankheitstage!$G133:$DV133,1,(Einstellungen!$C$3-2026)*24+19))</f>
        <v/>
      </c>
      <c r="X133" s="76">
        <f>N(INDEX(Krankheitstage!$G133:$DV133,1,(Einstellungen!$C$3-2026)*24+20))</f>
        <v/>
      </c>
      <c r="Y133" s="76">
        <f>N(INDEX(Krankheitstage!$G133:$DV133,1,(Einstellungen!$C$3-2026)*24+21))</f>
        <v/>
      </c>
      <c r="Z133" s="76">
        <f>N(INDEX(Krankheitstage!$G133:$DV133,1,(Einstellungen!$C$3-2026)*24+22))</f>
        <v/>
      </c>
      <c r="AA133" s="76">
        <f>N(INDEX(Krankheitstage!$G133:$DV133,1,(Einstellungen!$C$3-2026)*24+23))</f>
        <v/>
      </c>
      <c r="AB133" s="76">
        <f>N(INDEX(Krankheitstage!$G133:$DV133,1,(Einstellungen!$C$3-2026)*24+24))</f>
        <v/>
      </c>
      <c r="AC133" s="76">
        <f>IF($B133="","",SUM(Q133:AB133))</f>
        <v/>
      </c>
      <c r="AD133" s="76">
        <f>IF($B133="","",SUM(P133,AC133))</f>
        <v/>
      </c>
      <c r="AE133" s="77">
        <f>IF($B133="","",AD133*N(C133))</f>
        <v/>
      </c>
      <c r="AF133" s="76">
        <f>IF($B133="","",Krankheitstage!E133)</f>
        <v/>
      </c>
      <c r="AG133" s="77">
        <f>IF($B133="","",AF133*N(C133))</f>
        <v/>
      </c>
    </row>
    <row r="134">
      <c r="A134" s="74">
        <f>IF(Mitarbeiter!B134="","",Mitarbeiter!A134)</f>
        <v/>
      </c>
      <c r="B134" s="6">
        <f>IF(Mitarbeiter!B134="","",Mitarbeiter!B134)</f>
        <v/>
      </c>
      <c r="C134" s="75">
        <f>IF(Mitarbeiter!B134="","",Mitarbeiter!F134)</f>
        <v/>
      </c>
      <c r="D134" s="76">
        <f>N(INDEX(Krankheitstage!$G134:$DV134,1,(Einstellungen!$C$3-2026)*24+1))</f>
        <v/>
      </c>
      <c r="E134" s="76">
        <f>N(INDEX(Krankheitstage!$G134:$DV134,1,(Einstellungen!$C$3-2026)*24+2))</f>
        <v/>
      </c>
      <c r="F134" s="76">
        <f>N(INDEX(Krankheitstage!$G134:$DV134,1,(Einstellungen!$C$3-2026)*24+3))</f>
        <v/>
      </c>
      <c r="G134" s="76">
        <f>N(INDEX(Krankheitstage!$G134:$DV134,1,(Einstellungen!$C$3-2026)*24+4))</f>
        <v/>
      </c>
      <c r="H134" s="76">
        <f>N(INDEX(Krankheitstage!$G134:$DV134,1,(Einstellungen!$C$3-2026)*24+5))</f>
        <v/>
      </c>
      <c r="I134" s="76">
        <f>N(INDEX(Krankheitstage!$G134:$DV134,1,(Einstellungen!$C$3-2026)*24+6))</f>
        <v/>
      </c>
      <c r="J134" s="76">
        <f>N(INDEX(Krankheitstage!$G134:$DV134,1,(Einstellungen!$C$3-2026)*24+7))</f>
        <v/>
      </c>
      <c r="K134" s="76">
        <f>N(INDEX(Krankheitstage!$G134:$DV134,1,(Einstellungen!$C$3-2026)*24+8))</f>
        <v/>
      </c>
      <c r="L134" s="76">
        <f>N(INDEX(Krankheitstage!$G134:$DV134,1,(Einstellungen!$C$3-2026)*24+9))</f>
        <v/>
      </c>
      <c r="M134" s="76">
        <f>N(INDEX(Krankheitstage!$G134:$DV134,1,(Einstellungen!$C$3-2026)*24+10))</f>
        <v/>
      </c>
      <c r="N134" s="76">
        <f>N(INDEX(Krankheitstage!$G134:$DV134,1,(Einstellungen!$C$3-2026)*24+11))</f>
        <v/>
      </c>
      <c r="O134" s="76">
        <f>N(INDEX(Krankheitstage!$G134:$DV134,1,(Einstellungen!$C$3-2026)*24+12))</f>
        <v/>
      </c>
      <c r="P134" s="76">
        <f>IF($B134="","",SUM(D134:O134))</f>
        <v/>
      </c>
      <c r="Q134" s="76">
        <f>N(INDEX(Krankheitstage!$G134:$DV134,1,(Einstellungen!$C$3-2026)*24+13))</f>
        <v/>
      </c>
      <c r="R134" s="76">
        <f>N(INDEX(Krankheitstage!$G134:$DV134,1,(Einstellungen!$C$3-2026)*24+14))</f>
        <v/>
      </c>
      <c r="S134" s="76">
        <f>N(INDEX(Krankheitstage!$G134:$DV134,1,(Einstellungen!$C$3-2026)*24+15))</f>
        <v/>
      </c>
      <c r="T134" s="76">
        <f>N(INDEX(Krankheitstage!$G134:$DV134,1,(Einstellungen!$C$3-2026)*24+16))</f>
        <v/>
      </c>
      <c r="U134" s="76">
        <f>N(INDEX(Krankheitstage!$G134:$DV134,1,(Einstellungen!$C$3-2026)*24+17))</f>
        <v/>
      </c>
      <c r="V134" s="76">
        <f>N(INDEX(Krankheitstage!$G134:$DV134,1,(Einstellungen!$C$3-2026)*24+18))</f>
        <v/>
      </c>
      <c r="W134" s="76">
        <f>N(INDEX(Krankheitstage!$G134:$DV134,1,(Einstellungen!$C$3-2026)*24+19))</f>
        <v/>
      </c>
      <c r="X134" s="76">
        <f>N(INDEX(Krankheitstage!$G134:$DV134,1,(Einstellungen!$C$3-2026)*24+20))</f>
        <v/>
      </c>
      <c r="Y134" s="76">
        <f>N(INDEX(Krankheitstage!$G134:$DV134,1,(Einstellungen!$C$3-2026)*24+21))</f>
        <v/>
      </c>
      <c r="Z134" s="76">
        <f>N(INDEX(Krankheitstage!$G134:$DV134,1,(Einstellungen!$C$3-2026)*24+22))</f>
        <v/>
      </c>
      <c r="AA134" s="76">
        <f>N(INDEX(Krankheitstage!$G134:$DV134,1,(Einstellungen!$C$3-2026)*24+23))</f>
        <v/>
      </c>
      <c r="AB134" s="76">
        <f>N(INDEX(Krankheitstage!$G134:$DV134,1,(Einstellungen!$C$3-2026)*24+24))</f>
        <v/>
      </c>
      <c r="AC134" s="76">
        <f>IF($B134="","",SUM(Q134:AB134))</f>
        <v/>
      </c>
      <c r="AD134" s="76">
        <f>IF($B134="","",SUM(P134,AC134))</f>
        <v/>
      </c>
      <c r="AE134" s="77">
        <f>IF($B134="","",AD134*N(C134))</f>
        <v/>
      </c>
      <c r="AF134" s="76">
        <f>IF($B134="","",Krankheitstage!E134)</f>
        <v/>
      </c>
      <c r="AG134" s="77">
        <f>IF($B134="","",AF134*N(C134))</f>
        <v/>
      </c>
    </row>
    <row r="135">
      <c r="A135" s="74">
        <f>IF(Mitarbeiter!B135="","",Mitarbeiter!A135)</f>
        <v/>
      </c>
      <c r="B135" s="6">
        <f>IF(Mitarbeiter!B135="","",Mitarbeiter!B135)</f>
        <v/>
      </c>
      <c r="C135" s="75">
        <f>IF(Mitarbeiter!B135="","",Mitarbeiter!F135)</f>
        <v/>
      </c>
      <c r="D135" s="76">
        <f>N(INDEX(Krankheitstage!$G135:$DV135,1,(Einstellungen!$C$3-2026)*24+1))</f>
        <v/>
      </c>
      <c r="E135" s="76">
        <f>N(INDEX(Krankheitstage!$G135:$DV135,1,(Einstellungen!$C$3-2026)*24+2))</f>
        <v/>
      </c>
      <c r="F135" s="76">
        <f>N(INDEX(Krankheitstage!$G135:$DV135,1,(Einstellungen!$C$3-2026)*24+3))</f>
        <v/>
      </c>
      <c r="G135" s="76">
        <f>N(INDEX(Krankheitstage!$G135:$DV135,1,(Einstellungen!$C$3-2026)*24+4))</f>
        <v/>
      </c>
      <c r="H135" s="76">
        <f>N(INDEX(Krankheitstage!$G135:$DV135,1,(Einstellungen!$C$3-2026)*24+5))</f>
        <v/>
      </c>
      <c r="I135" s="76">
        <f>N(INDEX(Krankheitstage!$G135:$DV135,1,(Einstellungen!$C$3-2026)*24+6))</f>
        <v/>
      </c>
      <c r="J135" s="76">
        <f>N(INDEX(Krankheitstage!$G135:$DV135,1,(Einstellungen!$C$3-2026)*24+7))</f>
        <v/>
      </c>
      <c r="K135" s="76">
        <f>N(INDEX(Krankheitstage!$G135:$DV135,1,(Einstellungen!$C$3-2026)*24+8))</f>
        <v/>
      </c>
      <c r="L135" s="76">
        <f>N(INDEX(Krankheitstage!$G135:$DV135,1,(Einstellungen!$C$3-2026)*24+9))</f>
        <v/>
      </c>
      <c r="M135" s="76">
        <f>N(INDEX(Krankheitstage!$G135:$DV135,1,(Einstellungen!$C$3-2026)*24+10))</f>
        <v/>
      </c>
      <c r="N135" s="76">
        <f>N(INDEX(Krankheitstage!$G135:$DV135,1,(Einstellungen!$C$3-2026)*24+11))</f>
        <v/>
      </c>
      <c r="O135" s="76">
        <f>N(INDEX(Krankheitstage!$G135:$DV135,1,(Einstellungen!$C$3-2026)*24+12))</f>
        <v/>
      </c>
      <c r="P135" s="76">
        <f>IF($B135="","",SUM(D135:O135))</f>
        <v/>
      </c>
      <c r="Q135" s="76">
        <f>N(INDEX(Krankheitstage!$G135:$DV135,1,(Einstellungen!$C$3-2026)*24+13))</f>
        <v/>
      </c>
      <c r="R135" s="76">
        <f>N(INDEX(Krankheitstage!$G135:$DV135,1,(Einstellungen!$C$3-2026)*24+14))</f>
        <v/>
      </c>
      <c r="S135" s="76">
        <f>N(INDEX(Krankheitstage!$G135:$DV135,1,(Einstellungen!$C$3-2026)*24+15))</f>
        <v/>
      </c>
      <c r="T135" s="76">
        <f>N(INDEX(Krankheitstage!$G135:$DV135,1,(Einstellungen!$C$3-2026)*24+16))</f>
        <v/>
      </c>
      <c r="U135" s="76">
        <f>N(INDEX(Krankheitstage!$G135:$DV135,1,(Einstellungen!$C$3-2026)*24+17))</f>
        <v/>
      </c>
      <c r="V135" s="76">
        <f>N(INDEX(Krankheitstage!$G135:$DV135,1,(Einstellungen!$C$3-2026)*24+18))</f>
        <v/>
      </c>
      <c r="W135" s="76">
        <f>N(INDEX(Krankheitstage!$G135:$DV135,1,(Einstellungen!$C$3-2026)*24+19))</f>
        <v/>
      </c>
      <c r="X135" s="76">
        <f>N(INDEX(Krankheitstage!$G135:$DV135,1,(Einstellungen!$C$3-2026)*24+20))</f>
        <v/>
      </c>
      <c r="Y135" s="76">
        <f>N(INDEX(Krankheitstage!$G135:$DV135,1,(Einstellungen!$C$3-2026)*24+21))</f>
        <v/>
      </c>
      <c r="Z135" s="76">
        <f>N(INDEX(Krankheitstage!$G135:$DV135,1,(Einstellungen!$C$3-2026)*24+22))</f>
        <v/>
      </c>
      <c r="AA135" s="76">
        <f>N(INDEX(Krankheitstage!$G135:$DV135,1,(Einstellungen!$C$3-2026)*24+23))</f>
        <v/>
      </c>
      <c r="AB135" s="76">
        <f>N(INDEX(Krankheitstage!$G135:$DV135,1,(Einstellungen!$C$3-2026)*24+24))</f>
        <v/>
      </c>
      <c r="AC135" s="76">
        <f>IF($B135="","",SUM(Q135:AB135))</f>
        <v/>
      </c>
      <c r="AD135" s="76">
        <f>IF($B135="","",SUM(P135,AC135))</f>
        <v/>
      </c>
      <c r="AE135" s="77">
        <f>IF($B135="","",AD135*N(C135))</f>
        <v/>
      </c>
      <c r="AF135" s="76">
        <f>IF($B135="","",Krankheitstage!E135)</f>
        <v/>
      </c>
      <c r="AG135" s="77">
        <f>IF($B135="","",AF135*N(C135))</f>
        <v/>
      </c>
    </row>
    <row r="136">
      <c r="A136" s="74">
        <f>IF(Mitarbeiter!B136="","",Mitarbeiter!A136)</f>
        <v/>
      </c>
      <c r="B136" s="6">
        <f>IF(Mitarbeiter!B136="","",Mitarbeiter!B136)</f>
        <v/>
      </c>
      <c r="C136" s="75">
        <f>IF(Mitarbeiter!B136="","",Mitarbeiter!F136)</f>
        <v/>
      </c>
      <c r="D136" s="76">
        <f>N(INDEX(Krankheitstage!$G136:$DV136,1,(Einstellungen!$C$3-2026)*24+1))</f>
        <v/>
      </c>
      <c r="E136" s="76">
        <f>N(INDEX(Krankheitstage!$G136:$DV136,1,(Einstellungen!$C$3-2026)*24+2))</f>
        <v/>
      </c>
      <c r="F136" s="76">
        <f>N(INDEX(Krankheitstage!$G136:$DV136,1,(Einstellungen!$C$3-2026)*24+3))</f>
        <v/>
      </c>
      <c r="G136" s="76">
        <f>N(INDEX(Krankheitstage!$G136:$DV136,1,(Einstellungen!$C$3-2026)*24+4))</f>
        <v/>
      </c>
      <c r="H136" s="76">
        <f>N(INDEX(Krankheitstage!$G136:$DV136,1,(Einstellungen!$C$3-2026)*24+5))</f>
        <v/>
      </c>
      <c r="I136" s="76">
        <f>N(INDEX(Krankheitstage!$G136:$DV136,1,(Einstellungen!$C$3-2026)*24+6))</f>
        <v/>
      </c>
      <c r="J136" s="76">
        <f>N(INDEX(Krankheitstage!$G136:$DV136,1,(Einstellungen!$C$3-2026)*24+7))</f>
        <v/>
      </c>
      <c r="K136" s="76">
        <f>N(INDEX(Krankheitstage!$G136:$DV136,1,(Einstellungen!$C$3-2026)*24+8))</f>
        <v/>
      </c>
      <c r="L136" s="76">
        <f>N(INDEX(Krankheitstage!$G136:$DV136,1,(Einstellungen!$C$3-2026)*24+9))</f>
        <v/>
      </c>
      <c r="M136" s="76">
        <f>N(INDEX(Krankheitstage!$G136:$DV136,1,(Einstellungen!$C$3-2026)*24+10))</f>
        <v/>
      </c>
      <c r="N136" s="76">
        <f>N(INDEX(Krankheitstage!$G136:$DV136,1,(Einstellungen!$C$3-2026)*24+11))</f>
        <v/>
      </c>
      <c r="O136" s="76">
        <f>N(INDEX(Krankheitstage!$G136:$DV136,1,(Einstellungen!$C$3-2026)*24+12))</f>
        <v/>
      </c>
      <c r="P136" s="76">
        <f>IF($B136="","",SUM(D136:O136))</f>
        <v/>
      </c>
      <c r="Q136" s="76">
        <f>N(INDEX(Krankheitstage!$G136:$DV136,1,(Einstellungen!$C$3-2026)*24+13))</f>
        <v/>
      </c>
      <c r="R136" s="76">
        <f>N(INDEX(Krankheitstage!$G136:$DV136,1,(Einstellungen!$C$3-2026)*24+14))</f>
        <v/>
      </c>
      <c r="S136" s="76">
        <f>N(INDEX(Krankheitstage!$G136:$DV136,1,(Einstellungen!$C$3-2026)*24+15))</f>
        <v/>
      </c>
      <c r="T136" s="76">
        <f>N(INDEX(Krankheitstage!$G136:$DV136,1,(Einstellungen!$C$3-2026)*24+16))</f>
        <v/>
      </c>
      <c r="U136" s="76">
        <f>N(INDEX(Krankheitstage!$G136:$DV136,1,(Einstellungen!$C$3-2026)*24+17))</f>
        <v/>
      </c>
      <c r="V136" s="76">
        <f>N(INDEX(Krankheitstage!$G136:$DV136,1,(Einstellungen!$C$3-2026)*24+18))</f>
        <v/>
      </c>
      <c r="W136" s="76">
        <f>N(INDEX(Krankheitstage!$G136:$DV136,1,(Einstellungen!$C$3-2026)*24+19))</f>
        <v/>
      </c>
      <c r="X136" s="76">
        <f>N(INDEX(Krankheitstage!$G136:$DV136,1,(Einstellungen!$C$3-2026)*24+20))</f>
        <v/>
      </c>
      <c r="Y136" s="76">
        <f>N(INDEX(Krankheitstage!$G136:$DV136,1,(Einstellungen!$C$3-2026)*24+21))</f>
        <v/>
      </c>
      <c r="Z136" s="76">
        <f>N(INDEX(Krankheitstage!$G136:$DV136,1,(Einstellungen!$C$3-2026)*24+22))</f>
        <v/>
      </c>
      <c r="AA136" s="76">
        <f>N(INDEX(Krankheitstage!$G136:$DV136,1,(Einstellungen!$C$3-2026)*24+23))</f>
        <v/>
      </c>
      <c r="AB136" s="76">
        <f>N(INDEX(Krankheitstage!$G136:$DV136,1,(Einstellungen!$C$3-2026)*24+24))</f>
        <v/>
      </c>
      <c r="AC136" s="76">
        <f>IF($B136="","",SUM(Q136:AB136))</f>
        <v/>
      </c>
      <c r="AD136" s="76">
        <f>IF($B136="","",SUM(P136,AC136))</f>
        <v/>
      </c>
      <c r="AE136" s="77">
        <f>IF($B136="","",AD136*N(C136))</f>
        <v/>
      </c>
      <c r="AF136" s="76">
        <f>IF($B136="","",Krankheitstage!E136)</f>
        <v/>
      </c>
      <c r="AG136" s="77">
        <f>IF($B136="","",AF136*N(C136))</f>
        <v/>
      </c>
    </row>
    <row r="137">
      <c r="A137" s="74">
        <f>IF(Mitarbeiter!B137="","",Mitarbeiter!A137)</f>
        <v/>
      </c>
      <c r="B137" s="6">
        <f>IF(Mitarbeiter!B137="","",Mitarbeiter!B137)</f>
        <v/>
      </c>
      <c r="C137" s="75">
        <f>IF(Mitarbeiter!B137="","",Mitarbeiter!F137)</f>
        <v/>
      </c>
      <c r="D137" s="76">
        <f>N(INDEX(Krankheitstage!$G137:$DV137,1,(Einstellungen!$C$3-2026)*24+1))</f>
        <v/>
      </c>
      <c r="E137" s="76">
        <f>N(INDEX(Krankheitstage!$G137:$DV137,1,(Einstellungen!$C$3-2026)*24+2))</f>
        <v/>
      </c>
      <c r="F137" s="76">
        <f>N(INDEX(Krankheitstage!$G137:$DV137,1,(Einstellungen!$C$3-2026)*24+3))</f>
        <v/>
      </c>
      <c r="G137" s="76">
        <f>N(INDEX(Krankheitstage!$G137:$DV137,1,(Einstellungen!$C$3-2026)*24+4))</f>
        <v/>
      </c>
      <c r="H137" s="76">
        <f>N(INDEX(Krankheitstage!$G137:$DV137,1,(Einstellungen!$C$3-2026)*24+5))</f>
        <v/>
      </c>
      <c r="I137" s="76">
        <f>N(INDEX(Krankheitstage!$G137:$DV137,1,(Einstellungen!$C$3-2026)*24+6))</f>
        <v/>
      </c>
      <c r="J137" s="76">
        <f>N(INDEX(Krankheitstage!$G137:$DV137,1,(Einstellungen!$C$3-2026)*24+7))</f>
        <v/>
      </c>
      <c r="K137" s="76">
        <f>N(INDEX(Krankheitstage!$G137:$DV137,1,(Einstellungen!$C$3-2026)*24+8))</f>
        <v/>
      </c>
      <c r="L137" s="76">
        <f>N(INDEX(Krankheitstage!$G137:$DV137,1,(Einstellungen!$C$3-2026)*24+9))</f>
        <v/>
      </c>
      <c r="M137" s="76">
        <f>N(INDEX(Krankheitstage!$G137:$DV137,1,(Einstellungen!$C$3-2026)*24+10))</f>
        <v/>
      </c>
      <c r="N137" s="76">
        <f>N(INDEX(Krankheitstage!$G137:$DV137,1,(Einstellungen!$C$3-2026)*24+11))</f>
        <v/>
      </c>
      <c r="O137" s="76">
        <f>N(INDEX(Krankheitstage!$G137:$DV137,1,(Einstellungen!$C$3-2026)*24+12))</f>
        <v/>
      </c>
      <c r="P137" s="76">
        <f>IF($B137="","",SUM(D137:O137))</f>
        <v/>
      </c>
      <c r="Q137" s="76">
        <f>N(INDEX(Krankheitstage!$G137:$DV137,1,(Einstellungen!$C$3-2026)*24+13))</f>
        <v/>
      </c>
      <c r="R137" s="76">
        <f>N(INDEX(Krankheitstage!$G137:$DV137,1,(Einstellungen!$C$3-2026)*24+14))</f>
        <v/>
      </c>
      <c r="S137" s="76">
        <f>N(INDEX(Krankheitstage!$G137:$DV137,1,(Einstellungen!$C$3-2026)*24+15))</f>
        <v/>
      </c>
      <c r="T137" s="76">
        <f>N(INDEX(Krankheitstage!$G137:$DV137,1,(Einstellungen!$C$3-2026)*24+16))</f>
        <v/>
      </c>
      <c r="U137" s="76">
        <f>N(INDEX(Krankheitstage!$G137:$DV137,1,(Einstellungen!$C$3-2026)*24+17))</f>
        <v/>
      </c>
      <c r="V137" s="76">
        <f>N(INDEX(Krankheitstage!$G137:$DV137,1,(Einstellungen!$C$3-2026)*24+18))</f>
        <v/>
      </c>
      <c r="W137" s="76">
        <f>N(INDEX(Krankheitstage!$G137:$DV137,1,(Einstellungen!$C$3-2026)*24+19))</f>
        <v/>
      </c>
      <c r="X137" s="76">
        <f>N(INDEX(Krankheitstage!$G137:$DV137,1,(Einstellungen!$C$3-2026)*24+20))</f>
        <v/>
      </c>
      <c r="Y137" s="76">
        <f>N(INDEX(Krankheitstage!$G137:$DV137,1,(Einstellungen!$C$3-2026)*24+21))</f>
        <v/>
      </c>
      <c r="Z137" s="76">
        <f>N(INDEX(Krankheitstage!$G137:$DV137,1,(Einstellungen!$C$3-2026)*24+22))</f>
        <v/>
      </c>
      <c r="AA137" s="76">
        <f>N(INDEX(Krankheitstage!$G137:$DV137,1,(Einstellungen!$C$3-2026)*24+23))</f>
        <v/>
      </c>
      <c r="AB137" s="76">
        <f>N(INDEX(Krankheitstage!$G137:$DV137,1,(Einstellungen!$C$3-2026)*24+24))</f>
        <v/>
      </c>
      <c r="AC137" s="76">
        <f>IF($B137="","",SUM(Q137:AB137))</f>
        <v/>
      </c>
      <c r="AD137" s="76">
        <f>IF($B137="","",SUM(P137,AC137))</f>
        <v/>
      </c>
      <c r="AE137" s="77">
        <f>IF($B137="","",AD137*N(C137))</f>
        <v/>
      </c>
      <c r="AF137" s="76">
        <f>IF($B137="","",Krankheitstage!E137)</f>
        <v/>
      </c>
      <c r="AG137" s="77">
        <f>IF($B137="","",AF137*N(C137))</f>
        <v/>
      </c>
    </row>
    <row r="138">
      <c r="A138" s="74">
        <f>IF(Mitarbeiter!B138="","",Mitarbeiter!A138)</f>
        <v/>
      </c>
      <c r="B138" s="6">
        <f>IF(Mitarbeiter!B138="","",Mitarbeiter!B138)</f>
        <v/>
      </c>
      <c r="C138" s="75">
        <f>IF(Mitarbeiter!B138="","",Mitarbeiter!F138)</f>
        <v/>
      </c>
      <c r="D138" s="76">
        <f>N(INDEX(Krankheitstage!$G138:$DV138,1,(Einstellungen!$C$3-2026)*24+1))</f>
        <v/>
      </c>
      <c r="E138" s="76">
        <f>N(INDEX(Krankheitstage!$G138:$DV138,1,(Einstellungen!$C$3-2026)*24+2))</f>
        <v/>
      </c>
      <c r="F138" s="76">
        <f>N(INDEX(Krankheitstage!$G138:$DV138,1,(Einstellungen!$C$3-2026)*24+3))</f>
        <v/>
      </c>
      <c r="G138" s="76">
        <f>N(INDEX(Krankheitstage!$G138:$DV138,1,(Einstellungen!$C$3-2026)*24+4))</f>
        <v/>
      </c>
      <c r="H138" s="76">
        <f>N(INDEX(Krankheitstage!$G138:$DV138,1,(Einstellungen!$C$3-2026)*24+5))</f>
        <v/>
      </c>
      <c r="I138" s="76">
        <f>N(INDEX(Krankheitstage!$G138:$DV138,1,(Einstellungen!$C$3-2026)*24+6))</f>
        <v/>
      </c>
      <c r="J138" s="76">
        <f>N(INDEX(Krankheitstage!$G138:$DV138,1,(Einstellungen!$C$3-2026)*24+7))</f>
        <v/>
      </c>
      <c r="K138" s="76">
        <f>N(INDEX(Krankheitstage!$G138:$DV138,1,(Einstellungen!$C$3-2026)*24+8))</f>
        <v/>
      </c>
      <c r="L138" s="76">
        <f>N(INDEX(Krankheitstage!$G138:$DV138,1,(Einstellungen!$C$3-2026)*24+9))</f>
        <v/>
      </c>
      <c r="M138" s="76">
        <f>N(INDEX(Krankheitstage!$G138:$DV138,1,(Einstellungen!$C$3-2026)*24+10))</f>
        <v/>
      </c>
      <c r="N138" s="76">
        <f>N(INDEX(Krankheitstage!$G138:$DV138,1,(Einstellungen!$C$3-2026)*24+11))</f>
        <v/>
      </c>
      <c r="O138" s="76">
        <f>N(INDEX(Krankheitstage!$G138:$DV138,1,(Einstellungen!$C$3-2026)*24+12))</f>
        <v/>
      </c>
      <c r="P138" s="76">
        <f>IF($B138="","",SUM(D138:O138))</f>
        <v/>
      </c>
      <c r="Q138" s="76">
        <f>N(INDEX(Krankheitstage!$G138:$DV138,1,(Einstellungen!$C$3-2026)*24+13))</f>
        <v/>
      </c>
      <c r="R138" s="76">
        <f>N(INDEX(Krankheitstage!$G138:$DV138,1,(Einstellungen!$C$3-2026)*24+14))</f>
        <v/>
      </c>
      <c r="S138" s="76">
        <f>N(INDEX(Krankheitstage!$G138:$DV138,1,(Einstellungen!$C$3-2026)*24+15))</f>
        <v/>
      </c>
      <c r="T138" s="76">
        <f>N(INDEX(Krankheitstage!$G138:$DV138,1,(Einstellungen!$C$3-2026)*24+16))</f>
        <v/>
      </c>
      <c r="U138" s="76">
        <f>N(INDEX(Krankheitstage!$G138:$DV138,1,(Einstellungen!$C$3-2026)*24+17))</f>
        <v/>
      </c>
      <c r="V138" s="76">
        <f>N(INDEX(Krankheitstage!$G138:$DV138,1,(Einstellungen!$C$3-2026)*24+18))</f>
        <v/>
      </c>
      <c r="W138" s="76">
        <f>N(INDEX(Krankheitstage!$G138:$DV138,1,(Einstellungen!$C$3-2026)*24+19))</f>
        <v/>
      </c>
      <c r="X138" s="76">
        <f>N(INDEX(Krankheitstage!$G138:$DV138,1,(Einstellungen!$C$3-2026)*24+20))</f>
        <v/>
      </c>
      <c r="Y138" s="76">
        <f>N(INDEX(Krankheitstage!$G138:$DV138,1,(Einstellungen!$C$3-2026)*24+21))</f>
        <v/>
      </c>
      <c r="Z138" s="76">
        <f>N(INDEX(Krankheitstage!$G138:$DV138,1,(Einstellungen!$C$3-2026)*24+22))</f>
        <v/>
      </c>
      <c r="AA138" s="76">
        <f>N(INDEX(Krankheitstage!$G138:$DV138,1,(Einstellungen!$C$3-2026)*24+23))</f>
        <v/>
      </c>
      <c r="AB138" s="76">
        <f>N(INDEX(Krankheitstage!$G138:$DV138,1,(Einstellungen!$C$3-2026)*24+24))</f>
        <v/>
      </c>
      <c r="AC138" s="76">
        <f>IF($B138="","",SUM(Q138:AB138))</f>
        <v/>
      </c>
      <c r="AD138" s="76">
        <f>IF($B138="","",SUM(P138,AC138))</f>
        <v/>
      </c>
      <c r="AE138" s="77">
        <f>IF($B138="","",AD138*N(C138))</f>
        <v/>
      </c>
      <c r="AF138" s="76">
        <f>IF($B138="","",Krankheitstage!E138)</f>
        <v/>
      </c>
      <c r="AG138" s="77">
        <f>IF($B138="","",AF138*N(C138))</f>
        <v/>
      </c>
    </row>
    <row r="139">
      <c r="A139" s="74">
        <f>IF(Mitarbeiter!B139="","",Mitarbeiter!A139)</f>
        <v/>
      </c>
      <c r="B139" s="6">
        <f>IF(Mitarbeiter!B139="","",Mitarbeiter!B139)</f>
        <v/>
      </c>
      <c r="C139" s="75">
        <f>IF(Mitarbeiter!B139="","",Mitarbeiter!F139)</f>
        <v/>
      </c>
      <c r="D139" s="76">
        <f>N(INDEX(Krankheitstage!$G139:$DV139,1,(Einstellungen!$C$3-2026)*24+1))</f>
        <v/>
      </c>
      <c r="E139" s="76">
        <f>N(INDEX(Krankheitstage!$G139:$DV139,1,(Einstellungen!$C$3-2026)*24+2))</f>
        <v/>
      </c>
      <c r="F139" s="76">
        <f>N(INDEX(Krankheitstage!$G139:$DV139,1,(Einstellungen!$C$3-2026)*24+3))</f>
        <v/>
      </c>
      <c r="G139" s="76">
        <f>N(INDEX(Krankheitstage!$G139:$DV139,1,(Einstellungen!$C$3-2026)*24+4))</f>
        <v/>
      </c>
      <c r="H139" s="76">
        <f>N(INDEX(Krankheitstage!$G139:$DV139,1,(Einstellungen!$C$3-2026)*24+5))</f>
        <v/>
      </c>
      <c r="I139" s="76">
        <f>N(INDEX(Krankheitstage!$G139:$DV139,1,(Einstellungen!$C$3-2026)*24+6))</f>
        <v/>
      </c>
      <c r="J139" s="76">
        <f>N(INDEX(Krankheitstage!$G139:$DV139,1,(Einstellungen!$C$3-2026)*24+7))</f>
        <v/>
      </c>
      <c r="K139" s="76">
        <f>N(INDEX(Krankheitstage!$G139:$DV139,1,(Einstellungen!$C$3-2026)*24+8))</f>
        <v/>
      </c>
      <c r="L139" s="76">
        <f>N(INDEX(Krankheitstage!$G139:$DV139,1,(Einstellungen!$C$3-2026)*24+9))</f>
        <v/>
      </c>
      <c r="M139" s="76">
        <f>N(INDEX(Krankheitstage!$G139:$DV139,1,(Einstellungen!$C$3-2026)*24+10))</f>
        <v/>
      </c>
      <c r="N139" s="76">
        <f>N(INDEX(Krankheitstage!$G139:$DV139,1,(Einstellungen!$C$3-2026)*24+11))</f>
        <v/>
      </c>
      <c r="O139" s="76">
        <f>N(INDEX(Krankheitstage!$G139:$DV139,1,(Einstellungen!$C$3-2026)*24+12))</f>
        <v/>
      </c>
      <c r="P139" s="76">
        <f>IF($B139="","",SUM(D139:O139))</f>
        <v/>
      </c>
      <c r="Q139" s="76">
        <f>N(INDEX(Krankheitstage!$G139:$DV139,1,(Einstellungen!$C$3-2026)*24+13))</f>
        <v/>
      </c>
      <c r="R139" s="76">
        <f>N(INDEX(Krankheitstage!$G139:$DV139,1,(Einstellungen!$C$3-2026)*24+14))</f>
        <v/>
      </c>
      <c r="S139" s="76">
        <f>N(INDEX(Krankheitstage!$G139:$DV139,1,(Einstellungen!$C$3-2026)*24+15))</f>
        <v/>
      </c>
      <c r="T139" s="76">
        <f>N(INDEX(Krankheitstage!$G139:$DV139,1,(Einstellungen!$C$3-2026)*24+16))</f>
        <v/>
      </c>
      <c r="U139" s="76">
        <f>N(INDEX(Krankheitstage!$G139:$DV139,1,(Einstellungen!$C$3-2026)*24+17))</f>
        <v/>
      </c>
      <c r="V139" s="76">
        <f>N(INDEX(Krankheitstage!$G139:$DV139,1,(Einstellungen!$C$3-2026)*24+18))</f>
        <v/>
      </c>
      <c r="W139" s="76">
        <f>N(INDEX(Krankheitstage!$G139:$DV139,1,(Einstellungen!$C$3-2026)*24+19))</f>
        <v/>
      </c>
      <c r="X139" s="76">
        <f>N(INDEX(Krankheitstage!$G139:$DV139,1,(Einstellungen!$C$3-2026)*24+20))</f>
        <v/>
      </c>
      <c r="Y139" s="76">
        <f>N(INDEX(Krankheitstage!$G139:$DV139,1,(Einstellungen!$C$3-2026)*24+21))</f>
        <v/>
      </c>
      <c r="Z139" s="76">
        <f>N(INDEX(Krankheitstage!$G139:$DV139,1,(Einstellungen!$C$3-2026)*24+22))</f>
        <v/>
      </c>
      <c r="AA139" s="76">
        <f>N(INDEX(Krankheitstage!$G139:$DV139,1,(Einstellungen!$C$3-2026)*24+23))</f>
        <v/>
      </c>
      <c r="AB139" s="76">
        <f>N(INDEX(Krankheitstage!$G139:$DV139,1,(Einstellungen!$C$3-2026)*24+24))</f>
        <v/>
      </c>
      <c r="AC139" s="76">
        <f>IF($B139="","",SUM(Q139:AB139))</f>
        <v/>
      </c>
      <c r="AD139" s="76">
        <f>IF($B139="","",SUM(P139,AC139))</f>
        <v/>
      </c>
      <c r="AE139" s="77">
        <f>IF($B139="","",AD139*N(C139))</f>
        <v/>
      </c>
      <c r="AF139" s="76">
        <f>IF($B139="","",Krankheitstage!E139)</f>
        <v/>
      </c>
      <c r="AG139" s="77">
        <f>IF($B139="","",AF139*N(C139))</f>
        <v/>
      </c>
    </row>
    <row r="140">
      <c r="A140" s="74">
        <f>IF(Mitarbeiter!B140="","",Mitarbeiter!A140)</f>
        <v/>
      </c>
      <c r="B140" s="6">
        <f>IF(Mitarbeiter!B140="","",Mitarbeiter!B140)</f>
        <v/>
      </c>
      <c r="C140" s="75">
        <f>IF(Mitarbeiter!B140="","",Mitarbeiter!F140)</f>
        <v/>
      </c>
      <c r="D140" s="76">
        <f>N(INDEX(Krankheitstage!$G140:$DV140,1,(Einstellungen!$C$3-2026)*24+1))</f>
        <v/>
      </c>
      <c r="E140" s="76">
        <f>N(INDEX(Krankheitstage!$G140:$DV140,1,(Einstellungen!$C$3-2026)*24+2))</f>
        <v/>
      </c>
      <c r="F140" s="76">
        <f>N(INDEX(Krankheitstage!$G140:$DV140,1,(Einstellungen!$C$3-2026)*24+3))</f>
        <v/>
      </c>
      <c r="G140" s="76">
        <f>N(INDEX(Krankheitstage!$G140:$DV140,1,(Einstellungen!$C$3-2026)*24+4))</f>
        <v/>
      </c>
      <c r="H140" s="76">
        <f>N(INDEX(Krankheitstage!$G140:$DV140,1,(Einstellungen!$C$3-2026)*24+5))</f>
        <v/>
      </c>
      <c r="I140" s="76">
        <f>N(INDEX(Krankheitstage!$G140:$DV140,1,(Einstellungen!$C$3-2026)*24+6))</f>
        <v/>
      </c>
      <c r="J140" s="76">
        <f>N(INDEX(Krankheitstage!$G140:$DV140,1,(Einstellungen!$C$3-2026)*24+7))</f>
        <v/>
      </c>
      <c r="K140" s="76">
        <f>N(INDEX(Krankheitstage!$G140:$DV140,1,(Einstellungen!$C$3-2026)*24+8))</f>
        <v/>
      </c>
      <c r="L140" s="76">
        <f>N(INDEX(Krankheitstage!$G140:$DV140,1,(Einstellungen!$C$3-2026)*24+9))</f>
        <v/>
      </c>
      <c r="M140" s="76">
        <f>N(INDEX(Krankheitstage!$G140:$DV140,1,(Einstellungen!$C$3-2026)*24+10))</f>
        <v/>
      </c>
      <c r="N140" s="76">
        <f>N(INDEX(Krankheitstage!$G140:$DV140,1,(Einstellungen!$C$3-2026)*24+11))</f>
        <v/>
      </c>
      <c r="O140" s="76">
        <f>N(INDEX(Krankheitstage!$G140:$DV140,1,(Einstellungen!$C$3-2026)*24+12))</f>
        <v/>
      </c>
      <c r="P140" s="76">
        <f>IF($B140="","",SUM(D140:O140))</f>
        <v/>
      </c>
      <c r="Q140" s="76">
        <f>N(INDEX(Krankheitstage!$G140:$DV140,1,(Einstellungen!$C$3-2026)*24+13))</f>
        <v/>
      </c>
      <c r="R140" s="76">
        <f>N(INDEX(Krankheitstage!$G140:$DV140,1,(Einstellungen!$C$3-2026)*24+14))</f>
        <v/>
      </c>
      <c r="S140" s="76">
        <f>N(INDEX(Krankheitstage!$G140:$DV140,1,(Einstellungen!$C$3-2026)*24+15))</f>
        <v/>
      </c>
      <c r="T140" s="76">
        <f>N(INDEX(Krankheitstage!$G140:$DV140,1,(Einstellungen!$C$3-2026)*24+16))</f>
        <v/>
      </c>
      <c r="U140" s="76">
        <f>N(INDEX(Krankheitstage!$G140:$DV140,1,(Einstellungen!$C$3-2026)*24+17))</f>
        <v/>
      </c>
      <c r="V140" s="76">
        <f>N(INDEX(Krankheitstage!$G140:$DV140,1,(Einstellungen!$C$3-2026)*24+18))</f>
        <v/>
      </c>
      <c r="W140" s="76">
        <f>N(INDEX(Krankheitstage!$G140:$DV140,1,(Einstellungen!$C$3-2026)*24+19))</f>
        <v/>
      </c>
      <c r="X140" s="76">
        <f>N(INDEX(Krankheitstage!$G140:$DV140,1,(Einstellungen!$C$3-2026)*24+20))</f>
        <v/>
      </c>
      <c r="Y140" s="76">
        <f>N(INDEX(Krankheitstage!$G140:$DV140,1,(Einstellungen!$C$3-2026)*24+21))</f>
        <v/>
      </c>
      <c r="Z140" s="76">
        <f>N(INDEX(Krankheitstage!$G140:$DV140,1,(Einstellungen!$C$3-2026)*24+22))</f>
        <v/>
      </c>
      <c r="AA140" s="76">
        <f>N(INDEX(Krankheitstage!$G140:$DV140,1,(Einstellungen!$C$3-2026)*24+23))</f>
        <v/>
      </c>
      <c r="AB140" s="76">
        <f>N(INDEX(Krankheitstage!$G140:$DV140,1,(Einstellungen!$C$3-2026)*24+24))</f>
        <v/>
      </c>
      <c r="AC140" s="76">
        <f>IF($B140="","",SUM(Q140:AB140))</f>
        <v/>
      </c>
      <c r="AD140" s="76">
        <f>IF($B140="","",SUM(P140,AC140))</f>
        <v/>
      </c>
      <c r="AE140" s="77">
        <f>IF($B140="","",AD140*N(C140))</f>
        <v/>
      </c>
      <c r="AF140" s="76">
        <f>IF($B140="","",Krankheitstage!E140)</f>
        <v/>
      </c>
      <c r="AG140" s="77">
        <f>IF($B140="","",AF140*N(C140))</f>
        <v/>
      </c>
    </row>
    <row r="141">
      <c r="A141" s="74">
        <f>IF(Mitarbeiter!B141="","",Mitarbeiter!A141)</f>
        <v/>
      </c>
      <c r="B141" s="6">
        <f>IF(Mitarbeiter!B141="","",Mitarbeiter!B141)</f>
        <v/>
      </c>
      <c r="C141" s="75">
        <f>IF(Mitarbeiter!B141="","",Mitarbeiter!F141)</f>
        <v/>
      </c>
      <c r="D141" s="76">
        <f>N(INDEX(Krankheitstage!$G141:$DV141,1,(Einstellungen!$C$3-2026)*24+1))</f>
        <v/>
      </c>
      <c r="E141" s="76">
        <f>N(INDEX(Krankheitstage!$G141:$DV141,1,(Einstellungen!$C$3-2026)*24+2))</f>
        <v/>
      </c>
      <c r="F141" s="76">
        <f>N(INDEX(Krankheitstage!$G141:$DV141,1,(Einstellungen!$C$3-2026)*24+3))</f>
        <v/>
      </c>
      <c r="G141" s="76">
        <f>N(INDEX(Krankheitstage!$G141:$DV141,1,(Einstellungen!$C$3-2026)*24+4))</f>
        <v/>
      </c>
      <c r="H141" s="76">
        <f>N(INDEX(Krankheitstage!$G141:$DV141,1,(Einstellungen!$C$3-2026)*24+5))</f>
        <v/>
      </c>
      <c r="I141" s="76">
        <f>N(INDEX(Krankheitstage!$G141:$DV141,1,(Einstellungen!$C$3-2026)*24+6))</f>
        <v/>
      </c>
      <c r="J141" s="76">
        <f>N(INDEX(Krankheitstage!$G141:$DV141,1,(Einstellungen!$C$3-2026)*24+7))</f>
        <v/>
      </c>
      <c r="K141" s="76">
        <f>N(INDEX(Krankheitstage!$G141:$DV141,1,(Einstellungen!$C$3-2026)*24+8))</f>
        <v/>
      </c>
      <c r="L141" s="76">
        <f>N(INDEX(Krankheitstage!$G141:$DV141,1,(Einstellungen!$C$3-2026)*24+9))</f>
        <v/>
      </c>
      <c r="M141" s="76">
        <f>N(INDEX(Krankheitstage!$G141:$DV141,1,(Einstellungen!$C$3-2026)*24+10))</f>
        <v/>
      </c>
      <c r="N141" s="76">
        <f>N(INDEX(Krankheitstage!$G141:$DV141,1,(Einstellungen!$C$3-2026)*24+11))</f>
        <v/>
      </c>
      <c r="O141" s="76">
        <f>N(INDEX(Krankheitstage!$G141:$DV141,1,(Einstellungen!$C$3-2026)*24+12))</f>
        <v/>
      </c>
      <c r="P141" s="76">
        <f>IF($B141="","",SUM(D141:O141))</f>
        <v/>
      </c>
      <c r="Q141" s="76">
        <f>N(INDEX(Krankheitstage!$G141:$DV141,1,(Einstellungen!$C$3-2026)*24+13))</f>
        <v/>
      </c>
      <c r="R141" s="76">
        <f>N(INDEX(Krankheitstage!$G141:$DV141,1,(Einstellungen!$C$3-2026)*24+14))</f>
        <v/>
      </c>
      <c r="S141" s="76">
        <f>N(INDEX(Krankheitstage!$G141:$DV141,1,(Einstellungen!$C$3-2026)*24+15))</f>
        <v/>
      </c>
      <c r="T141" s="76">
        <f>N(INDEX(Krankheitstage!$G141:$DV141,1,(Einstellungen!$C$3-2026)*24+16))</f>
        <v/>
      </c>
      <c r="U141" s="76">
        <f>N(INDEX(Krankheitstage!$G141:$DV141,1,(Einstellungen!$C$3-2026)*24+17))</f>
        <v/>
      </c>
      <c r="V141" s="76">
        <f>N(INDEX(Krankheitstage!$G141:$DV141,1,(Einstellungen!$C$3-2026)*24+18))</f>
        <v/>
      </c>
      <c r="W141" s="76">
        <f>N(INDEX(Krankheitstage!$G141:$DV141,1,(Einstellungen!$C$3-2026)*24+19))</f>
        <v/>
      </c>
      <c r="X141" s="76">
        <f>N(INDEX(Krankheitstage!$G141:$DV141,1,(Einstellungen!$C$3-2026)*24+20))</f>
        <v/>
      </c>
      <c r="Y141" s="76">
        <f>N(INDEX(Krankheitstage!$G141:$DV141,1,(Einstellungen!$C$3-2026)*24+21))</f>
        <v/>
      </c>
      <c r="Z141" s="76">
        <f>N(INDEX(Krankheitstage!$G141:$DV141,1,(Einstellungen!$C$3-2026)*24+22))</f>
        <v/>
      </c>
      <c r="AA141" s="76">
        <f>N(INDEX(Krankheitstage!$G141:$DV141,1,(Einstellungen!$C$3-2026)*24+23))</f>
        <v/>
      </c>
      <c r="AB141" s="76">
        <f>N(INDEX(Krankheitstage!$G141:$DV141,1,(Einstellungen!$C$3-2026)*24+24))</f>
        <v/>
      </c>
      <c r="AC141" s="76">
        <f>IF($B141="","",SUM(Q141:AB141))</f>
        <v/>
      </c>
      <c r="AD141" s="76">
        <f>IF($B141="","",SUM(P141,AC141))</f>
        <v/>
      </c>
      <c r="AE141" s="77">
        <f>IF($B141="","",AD141*N(C141))</f>
        <v/>
      </c>
      <c r="AF141" s="76">
        <f>IF($B141="","",Krankheitstage!E141)</f>
        <v/>
      </c>
      <c r="AG141" s="77">
        <f>IF($B141="","",AF141*N(C141))</f>
        <v/>
      </c>
    </row>
    <row r="142">
      <c r="A142" s="74">
        <f>IF(Mitarbeiter!B142="","",Mitarbeiter!A142)</f>
        <v/>
      </c>
      <c r="B142" s="6">
        <f>IF(Mitarbeiter!B142="","",Mitarbeiter!B142)</f>
        <v/>
      </c>
      <c r="C142" s="75">
        <f>IF(Mitarbeiter!B142="","",Mitarbeiter!F142)</f>
        <v/>
      </c>
      <c r="D142" s="76">
        <f>N(INDEX(Krankheitstage!$G142:$DV142,1,(Einstellungen!$C$3-2026)*24+1))</f>
        <v/>
      </c>
      <c r="E142" s="76">
        <f>N(INDEX(Krankheitstage!$G142:$DV142,1,(Einstellungen!$C$3-2026)*24+2))</f>
        <v/>
      </c>
      <c r="F142" s="76">
        <f>N(INDEX(Krankheitstage!$G142:$DV142,1,(Einstellungen!$C$3-2026)*24+3))</f>
        <v/>
      </c>
      <c r="G142" s="76">
        <f>N(INDEX(Krankheitstage!$G142:$DV142,1,(Einstellungen!$C$3-2026)*24+4))</f>
        <v/>
      </c>
      <c r="H142" s="76">
        <f>N(INDEX(Krankheitstage!$G142:$DV142,1,(Einstellungen!$C$3-2026)*24+5))</f>
        <v/>
      </c>
      <c r="I142" s="76">
        <f>N(INDEX(Krankheitstage!$G142:$DV142,1,(Einstellungen!$C$3-2026)*24+6))</f>
        <v/>
      </c>
      <c r="J142" s="76">
        <f>N(INDEX(Krankheitstage!$G142:$DV142,1,(Einstellungen!$C$3-2026)*24+7))</f>
        <v/>
      </c>
      <c r="K142" s="76">
        <f>N(INDEX(Krankheitstage!$G142:$DV142,1,(Einstellungen!$C$3-2026)*24+8))</f>
        <v/>
      </c>
      <c r="L142" s="76">
        <f>N(INDEX(Krankheitstage!$G142:$DV142,1,(Einstellungen!$C$3-2026)*24+9))</f>
        <v/>
      </c>
      <c r="M142" s="76">
        <f>N(INDEX(Krankheitstage!$G142:$DV142,1,(Einstellungen!$C$3-2026)*24+10))</f>
        <v/>
      </c>
      <c r="N142" s="76">
        <f>N(INDEX(Krankheitstage!$G142:$DV142,1,(Einstellungen!$C$3-2026)*24+11))</f>
        <v/>
      </c>
      <c r="O142" s="76">
        <f>N(INDEX(Krankheitstage!$G142:$DV142,1,(Einstellungen!$C$3-2026)*24+12))</f>
        <v/>
      </c>
      <c r="P142" s="76">
        <f>IF($B142="","",SUM(D142:O142))</f>
        <v/>
      </c>
      <c r="Q142" s="76">
        <f>N(INDEX(Krankheitstage!$G142:$DV142,1,(Einstellungen!$C$3-2026)*24+13))</f>
        <v/>
      </c>
      <c r="R142" s="76">
        <f>N(INDEX(Krankheitstage!$G142:$DV142,1,(Einstellungen!$C$3-2026)*24+14))</f>
        <v/>
      </c>
      <c r="S142" s="76">
        <f>N(INDEX(Krankheitstage!$G142:$DV142,1,(Einstellungen!$C$3-2026)*24+15))</f>
        <v/>
      </c>
      <c r="T142" s="76">
        <f>N(INDEX(Krankheitstage!$G142:$DV142,1,(Einstellungen!$C$3-2026)*24+16))</f>
        <v/>
      </c>
      <c r="U142" s="76">
        <f>N(INDEX(Krankheitstage!$G142:$DV142,1,(Einstellungen!$C$3-2026)*24+17))</f>
        <v/>
      </c>
      <c r="V142" s="76">
        <f>N(INDEX(Krankheitstage!$G142:$DV142,1,(Einstellungen!$C$3-2026)*24+18))</f>
        <v/>
      </c>
      <c r="W142" s="76">
        <f>N(INDEX(Krankheitstage!$G142:$DV142,1,(Einstellungen!$C$3-2026)*24+19))</f>
        <v/>
      </c>
      <c r="X142" s="76">
        <f>N(INDEX(Krankheitstage!$G142:$DV142,1,(Einstellungen!$C$3-2026)*24+20))</f>
        <v/>
      </c>
      <c r="Y142" s="76">
        <f>N(INDEX(Krankheitstage!$G142:$DV142,1,(Einstellungen!$C$3-2026)*24+21))</f>
        <v/>
      </c>
      <c r="Z142" s="76">
        <f>N(INDEX(Krankheitstage!$G142:$DV142,1,(Einstellungen!$C$3-2026)*24+22))</f>
        <v/>
      </c>
      <c r="AA142" s="76">
        <f>N(INDEX(Krankheitstage!$G142:$DV142,1,(Einstellungen!$C$3-2026)*24+23))</f>
        <v/>
      </c>
      <c r="AB142" s="76">
        <f>N(INDEX(Krankheitstage!$G142:$DV142,1,(Einstellungen!$C$3-2026)*24+24))</f>
        <v/>
      </c>
      <c r="AC142" s="76">
        <f>IF($B142="","",SUM(Q142:AB142))</f>
        <v/>
      </c>
      <c r="AD142" s="76">
        <f>IF($B142="","",SUM(P142,AC142))</f>
        <v/>
      </c>
      <c r="AE142" s="77">
        <f>IF($B142="","",AD142*N(C142))</f>
        <v/>
      </c>
      <c r="AF142" s="76">
        <f>IF($B142="","",Krankheitstage!E142)</f>
        <v/>
      </c>
      <c r="AG142" s="77">
        <f>IF($B142="","",AF142*N(C142))</f>
        <v/>
      </c>
    </row>
    <row r="143">
      <c r="A143" s="74">
        <f>IF(Mitarbeiter!B143="","",Mitarbeiter!A143)</f>
        <v/>
      </c>
      <c r="B143" s="6">
        <f>IF(Mitarbeiter!B143="","",Mitarbeiter!B143)</f>
        <v/>
      </c>
      <c r="C143" s="75">
        <f>IF(Mitarbeiter!B143="","",Mitarbeiter!F143)</f>
        <v/>
      </c>
      <c r="D143" s="76">
        <f>N(INDEX(Krankheitstage!$G143:$DV143,1,(Einstellungen!$C$3-2026)*24+1))</f>
        <v/>
      </c>
      <c r="E143" s="76">
        <f>N(INDEX(Krankheitstage!$G143:$DV143,1,(Einstellungen!$C$3-2026)*24+2))</f>
        <v/>
      </c>
      <c r="F143" s="76">
        <f>N(INDEX(Krankheitstage!$G143:$DV143,1,(Einstellungen!$C$3-2026)*24+3))</f>
        <v/>
      </c>
      <c r="G143" s="76">
        <f>N(INDEX(Krankheitstage!$G143:$DV143,1,(Einstellungen!$C$3-2026)*24+4))</f>
        <v/>
      </c>
      <c r="H143" s="76">
        <f>N(INDEX(Krankheitstage!$G143:$DV143,1,(Einstellungen!$C$3-2026)*24+5))</f>
        <v/>
      </c>
      <c r="I143" s="76">
        <f>N(INDEX(Krankheitstage!$G143:$DV143,1,(Einstellungen!$C$3-2026)*24+6))</f>
        <v/>
      </c>
      <c r="J143" s="76">
        <f>N(INDEX(Krankheitstage!$G143:$DV143,1,(Einstellungen!$C$3-2026)*24+7))</f>
        <v/>
      </c>
      <c r="K143" s="76">
        <f>N(INDEX(Krankheitstage!$G143:$DV143,1,(Einstellungen!$C$3-2026)*24+8))</f>
        <v/>
      </c>
      <c r="L143" s="76">
        <f>N(INDEX(Krankheitstage!$G143:$DV143,1,(Einstellungen!$C$3-2026)*24+9))</f>
        <v/>
      </c>
      <c r="M143" s="76">
        <f>N(INDEX(Krankheitstage!$G143:$DV143,1,(Einstellungen!$C$3-2026)*24+10))</f>
        <v/>
      </c>
      <c r="N143" s="76">
        <f>N(INDEX(Krankheitstage!$G143:$DV143,1,(Einstellungen!$C$3-2026)*24+11))</f>
        <v/>
      </c>
      <c r="O143" s="76">
        <f>N(INDEX(Krankheitstage!$G143:$DV143,1,(Einstellungen!$C$3-2026)*24+12))</f>
        <v/>
      </c>
      <c r="P143" s="76">
        <f>IF($B143="","",SUM(D143:O143))</f>
        <v/>
      </c>
      <c r="Q143" s="76">
        <f>N(INDEX(Krankheitstage!$G143:$DV143,1,(Einstellungen!$C$3-2026)*24+13))</f>
        <v/>
      </c>
      <c r="R143" s="76">
        <f>N(INDEX(Krankheitstage!$G143:$DV143,1,(Einstellungen!$C$3-2026)*24+14))</f>
        <v/>
      </c>
      <c r="S143" s="76">
        <f>N(INDEX(Krankheitstage!$G143:$DV143,1,(Einstellungen!$C$3-2026)*24+15))</f>
        <v/>
      </c>
      <c r="T143" s="76">
        <f>N(INDEX(Krankheitstage!$G143:$DV143,1,(Einstellungen!$C$3-2026)*24+16))</f>
        <v/>
      </c>
      <c r="U143" s="76">
        <f>N(INDEX(Krankheitstage!$G143:$DV143,1,(Einstellungen!$C$3-2026)*24+17))</f>
        <v/>
      </c>
      <c r="V143" s="76">
        <f>N(INDEX(Krankheitstage!$G143:$DV143,1,(Einstellungen!$C$3-2026)*24+18))</f>
        <v/>
      </c>
      <c r="W143" s="76">
        <f>N(INDEX(Krankheitstage!$G143:$DV143,1,(Einstellungen!$C$3-2026)*24+19))</f>
        <v/>
      </c>
      <c r="X143" s="76">
        <f>N(INDEX(Krankheitstage!$G143:$DV143,1,(Einstellungen!$C$3-2026)*24+20))</f>
        <v/>
      </c>
      <c r="Y143" s="76">
        <f>N(INDEX(Krankheitstage!$G143:$DV143,1,(Einstellungen!$C$3-2026)*24+21))</f>
        <v/>
      </c>
      <c r="Z143" s="76">
        <f>N(INDEX(Krankheitstage!$G143:$DV143,1,(Einstellungen!$C$3-2026)*24+22))</f>
        <v/>
      </c>
      <c r="AA143" s="76">
        <f>N(INDEX(Krankheitstage!$G143:$DV143,1,(Einstellungen!$C$3-2026)*24+23))</f>
        <v/>
      </c>
      <c r="AB143" s="76">
        <f>N(INDEX(Krankheitstage!$G143:$DV143,1,(Einstellungen!$C$3-2026)*24+24))</f>
        <v/>
      </c>
      <c r="AC143" s="76">
        <f>IF($B143="","",SUM(Q143:AB143))</f>
        <v/>
      </c>
      <c r="AD143" s="76">
        <f>IF($B143="","",SUM(P143,AC143))</f>
        <v/>
      </c>
      <c r="AE143" s="77">
        <f>IF($B143="","",AD143*N(C143))</f>
        <v/>
      </c>
      <c r="AF143" s="76">
        <f>IF($B143="","",Krankheitstage!E143)</f>
        <v/>
      </c>
      <c r="AG143" s="77">
        <f>IF($B143="","",AF143*N(C143))</f>
        <v/>
      </c>
    </row>
    <row r="144">
      <c r="A144" s="74">
        <f>IF(Mitarbeiter!B144="","",Mitarbeiter!A144)</f>
        <v/>
      </c>
      <c r="B144" s="6">
        <f>IF(Mitarbeiter!B144="","",Mitarbeiter!B144)</f>
        <v/>
      </c>
      <c r="C144" s="75">
        <f>IF(Mitarbeiter!B144="","",Mitarbeiter!F144)</f>
        <v/>
      </c>
      <c r="D144" s="76">
        <f>N(INDEX(Krankheitstage!$G144:$DV144,1,(Einstellungen!$C$3-2026)*24+1))</f>
        <v/>
      </c>
      <c r="E144" s="76">
        <f>N(INDEX(Krankheitstage!$G144:$DV144,1,(Einstellungen!$C$3-2026)*24+2))</f>
        <v/>
      </c>
      <c r="F144" s="76">
        <f>N(INDEX(Krankheitstage!$G144:$DV144,1,(Einstellungen!$C$3-2026)*24+3))</f>
        <v/>
      </c>
      <c r="G144" s="76">
        <f>N(INDEX(Krankheitstage!$G144:$DV144,1,(Einstellungen!$C$3-2026)*24+4))</f>
        <v/>
      </c>
      <c r="H144" s="76">
        <f>N(INDEX(Krankheitstage!$G144:$DV144,1,(Einstellungen!$C$3-2026)*24+5))</f>
        <v/>
      </c>
      <c r="I144" s="76">
        <f>N(INDEX(Krankheitstage!$G144:$DV144,1,(Einstellungen!$C$3-2026)*24+6))</f>
        <v/>
      </c>
      <c r="J144" s="76">
        <f>N(INDEX(Krankheitstage!$G144:$DV144,1,(Einstellungen!$C$3-2026)*24+7))</f>
        <v/>
      </c>
      <c r="K144" s="76">
        <f>N(INDEX(Krankheitstage!$G144:$DV144,1,(Einstellungen!$C$3-2026)*24+8))</f>
        <v/>
      </c>
      <c r="L144" s="76">
        <f>N(INDEX(Krankheitstage!$G144:$DV144,1,(Einstellungen!$C$3-2026)*24+9))</f>
        <v/>
      </c>
      <c r="M144" s="76">
        <f>N(INDEX(Krankheitstage!$G144:$DV144,1,(Einstellungen!$C$3-2026)*24+10))</f>
        <v/>
      </c>
      <c r="N144" s="76">
        <f>N(INDEX(Krankheitstage!$G144:$DV144,1,(Einstellungen!$C$3-2026)*24+11))</f>
        <v/>
      </c>
      <c r="O144" s="76">
        <f>N(INDEX(Krankheitstage!$G144:$DV144,1,(Einstellungen!$C$3-2026)*24+12))</f>
        <v/>
      </c>
      <c r="P144" s="76">
        <f>IF($B144="","",SUM(D144:O144))</f>
        <v/>
      </c>
      <c r="Q144" s="76">
        <f>N(INDEX(Krankheitstage!$G144:$DV144,1,(Einstellungen!$C$3-2026)*24+13))</f>
        <v/>
      </c>
      <c r="R144" s="76">
        <f>N(INDEX(Krankheitstage!$G144:$DV144,1,(Einstellungen!$C$3-2026)*24+14))</f>
        <v/>
      </c>
      <c r="S144" s="76">
        <f>N(INDEX(Krankheitstage!$G144:$DV144,1,(Einstellungen!$C$3-2026)*24+15))</f>
        <v/>
      </c>
      <c r="T144" s="76">
        <f>N(INDEX(Krankheitstage!$G144:$DV144,1,(Einstellungen!$C$3-2026)*24+16))</f>
        <v/>
      </c>
      <c r="U144" s="76">
        <f>N(INDEX(Krankheitstage!$G144:$DV144,1,(Einstellungen!$C$3-2026)*24+17))</f>
        <v/>
      </c>
      <c r="V144" s="76">
        <f>N(INDEX(Krankheitstage!$G144:$DV144,1,(Einstellungen!$C$3-2026)*24+18))</f>
        <v/>
      </c>
      <c r="W144" s="76">
        <f>N(INDEX(Krankheitstage!$G144:$DV144,1,(Einstellungen!$C$3-2026)*24+19))</f>
        <v/>
      </c>
      <c r="X144" s="76">
        <f>N(INDEX(Krankheitstage!$G144:$DV144,1,(Einstellungen!$C$3-2026)*24+20))</f>
        <v/>
      </c>
      <c r="Y144" s="76">
        <f>N(INDEX(Krankheitstage!$G144:$DV144,1,(Einstellungen!$C$3-2026)*24+21))</f>
        <v/>
      </c>
      <c r="Z144" s="76">
        <f>N(INDEX(Krankheitstage!$G144:$DV144,1,(Einstellungen!$C$3-2026)*24+22))</f>
        <v/>
      </c>
      <c r="AA144" s="76">
        <f>N(INDEX(Krankheitstage!$G144:$DV144,1,(Einstellungen!$C$3-2026)*24+23))</f>
        <v/>
      </c>
      <c r="AB144" s="76">
        <f>N(INDEX(Krankheitstage!$G144:$DV144,1,(Einstellungen!$C$3-2026)*24+24))</f>
        <v/>
      </c>
      <c r="AC144" s="76">
        <f>IF($B144="","",SUM(Q144:AB144))</f>
        <v/>
      </c>
      <c r="AD144" s="76">
        <f>IF($B144="","",SUM(P144,AC144))</f>
        <v/>
      </c>
      <c r="AE144" s="77">
        <f>IF($B144="","",AD144*N(C144))</f>
        <v/>
      </c>
      <c r="AF144" s="76">
        <f>IF($B144="","",Krankheitstage!E144)</f>
        <v/>
      </c>
      <c r="AG144" s="77">
        <f>IF($B144="","",AF144*N(C144))</f>
        <v/>
      </c>
    </row>
    <row r="145">
      <c r="A145" s="74">
        <f>IF(Mitarbeiter!B145="","",Mitarbeiter!A145)</f>
        <v/>
      </c>
      <c r="B145" s="6">
        <f>IF(Mitarbeiter!B145="","",Mitarbeiter!B145)</f>
        <v/>
      </c>
      <c r="C145" s="75">
        <f>IF(Mitarbeiter!B145="","",Mitarbeiter!F145)</f>
        <v/>
      </c>
      <c r="D145" s="76">
        <f>N(INDEX(Krankheitstage!$G145:$DV145,1,(Einstellungen!$C$3-2026)*24+1))</f>
        <v/>
      </c>
      <c r="E145" s="76">
        <f>N(INDEX(Krankheitstage!$G145:$DV145,1,(Einstellungen!$C$3-2026)*24+2))</f>
        <v/>
      </c>
      <c r="F145" s="76">
        <f>N(INDEX(Krankheitstage!$G145:$DV145,1,(Einstellungen!$C$3-2026)*24+3))</f>
        <v/>
      </c>
      <c r="G145" s="76">
        <f>N(INDEX(Krankheitstage!$G145:$DV145,1,(Einstellungen!$C$3-2026)*24+4))</f>
        <v/>
      </c>
      <c r="H145" s="76">
        <f>N(INDEX(Krankheitstage!$G145:$DV145,1,(Einstellungen!$C$3-2026)*24+5))</f>
        <v/>
      </c>
      <c r="I145" s="76">
        <f>N(INDEX(Krankheitstage!$G145:$DV145,1,(Einstellungen!$C$3-2026)*24+6))</f>
        <v/>
      </c>
      <c r="J145" s="76">
        <f>N(INDEX(Krankheitstage!$G145:$DV145,1,(Einstellungen!$C$3-2026)*24+7))</f>
        <v/>
      </c>
      <c r="K145" s="76">
        <f>N(INDEX(Krankheitstage!$G145:$DV145,1,(Einstellungen!$C$3-2026)*24+8))</f>
        <v/>
      </c>
      <c r="L145" s="76">
        <f>N(INDEX(Krankheitstage!$G145:$DV145,1,(Einstellungen!$C$3-2026)*24+9))</f>
        <v/>
      </c>
      <c r="M145" s="76">
        <f>N(INDEX(Krankheitstage!$G145:$DV145,1,(Einstellungen!$C$3-2026)*24+10))</f>
        <v/>
      </c>
      <c r="N145" s="76">
        <f>N(INDEX(Krankheitstage!$G145:$DV145,1,(Einstellungen!$C$3-2026)*24+11))</f>
        <v/>
      </c>
      <c r="O145" s="76">
        <f>N(INDEX(Krankheitstage!$G145:$DV145,1,(Einstellungen!$C$3-2026)*24+12))</f>
        <v/>
      </c>
      <c r="P145" s="76">
        <f>IF($B145="","",SUM(D145:O145))</f>
        <v/>
      </c>
      <c r="Q145" s="76">
        <f>N(INDEX(Krankheitstage!$G145:$DV145,1,(Einstellungen!$C$3-2026)*24+13))</f>
        <v/>
      </c>
      <c r="R145" s="76">
        <f>N(INDEX(Krankheitstage!$G145:$DV145,1,(Einstellungen!$C$3-2026)*24+14))</f>
        <v/>
      </c>
      <c r="S145" s="76">
        <f>N(INDEX(Krankheitstage!$G145:$DV145,1,(Einstellungen!$C$3-2026)*24+15))</f>
        <v/>
      </c>
      <c r="T145" s="76">
        <f>N(INDEX(Krankheitstage!$G145:$DV145,1,(Einstellungen!$C$3-2026)*24+16))</f>
        <v/>
      </c>
      <c r="U145" s="76">
        <f>N(INDEX(Krankheitstage!$G145:$DV145,1,(Einstellungen!$C$3-2026)*24+17))</f>
        <v/>
      </c>
      <c r="V145" s="76">
        <f>N(INDEX(Krankheitstage!$G145:$DV145,1,(Einstellungen!$C$3-2026)*24+18))</f>
        <v/>
      </c>
      <c r="W145" s="76">
        <f>N(INDEX(Krankheitstage!$G145:$DV145,1,(Einstellungen!$C$3-2026)*24+19))</f>
        <v/>
      </c>
      <c r="X145" s="76">
        <f>N(INDEX(Krankheitstage!$G145:$DV145,1,(Einstellungen!$C$3-2026)*24+20))</f>
        <v/>
      </c>
      <c r="Y145" s="76">
        <f>N(INDEX(Krankheitstage!$G145:$DV145,1,(Einstellungen!$C$3-2026)*24+21))</f>
        <v/>
      </c>
      <c r="Z145" s="76">
        <f>N(INDEX(Krankheitstage!$G145:$DV145,1,(Einstellungen!$C$3-2026)*24+22))</f>
        <v/>
      </c>
      <c r="AA145" s="76">
        <f>N(INDEX(Krankheitstage!$G145:$DV145,1,(Einstellungen!$C$3-2026)*24+23))</f>
        <v/>
      </c>
      <c r="AB145" s="76">
        <f>N(INDEX(Krankheitstage!$G145:$DV145,1,(Einstellungen!$C$3-2026)*24+24))</f>
        <v/>
      </c>
      <c r="AC145" s="76">
        <f>IF($B145="","",SUM(Q145:AB145))</f>
        <v/>
      </c>
      <c r="AD145" s="76">
        <f>IF($B145="","",SUM(P145,AC145))</f>
        <v/>
      </c>
      <c r="AE145" s="77">
        <f>IF($B145="","",AD145*N(C145))</f>
        <v/>
      </c>
      <c r="AF145" s="76">
        <f>IF($B145="","",Krankheitstage!E145)</f>
        <v/>
      </c>
      <c r="AG145" s="77">
        <f>IF($B145="","",AF145*N(C145))</f>
        <v/>
      </c>
    </row>
    <row r="146">
      <c r="A146" s="74">
        <f>IF(Mitarbeiter!B146="","",Mitarbeiter!A146)</f>
        <v/>
      </c>
      <c r="B146" s="6">
        <f>IF(Mitarbeiter!B146="","",Mitarbeiter!B146)</f>
        <v/>
      </c>
      <c r="C146" s="75">
        <f>IF(Mitarbeiter!B146="","",Mitarbeiter!F146)</f>
        <v/>
      </c>
      <c r="D146" s="76">
        <f>N(INDEX(Krankheitstage!$G146:$DV146,1,(Einstellungen!$C$3-2026)*24+1))</f>
        <v/>
      </c>
      <c r="E146" s="76">
        <f>N(INDEX(Krankheitstage!$G146:$DV146,1,(Einstellungen!$C$3-2026)*24+2))</f>
        <v/>
      </c>
      <c r="F146" s="76">
        <f>N(INDEX(Krankheitstage!$G146:$DV146,1,(Einstellungen!$C$3-2026)*24+3))</f>
        <v/>
      </c>
      <c r="G146" s="76">
        <f>N(INDEX(Krankheitstage!$G146:$DV146,1,(Einstellungen!$C$3-2026)*24+4))</f>
        <v/>
      </c>
      <c r="H146" s="76">
        <f>N(INDEX(Krankheitstage!$G146:$DV146,1,(Einstellungen!$C$3-2026)*24+5))</f>
        <v/>
      </c>
      <c r="I146" s="76">
        <f>N(INDEX(Krankheitstage!$G146:$DV146,1,(Einstellungen!$C$3-2026)*24+6))</f>
        <v/>
      </c>
      <c r="J146" s="76">
        <f>N(INDEX(Krankheitstage!$G146:$DV146,1,(Einstellungen!$C$3-2026)*24+7))</f>
        <v/>
      </c>
      <c r="K146" s="76">
        <f>N(INDEX(Krankheitstage!$G146:$DV146,1,(Einstellungen!$C$3-2026)*24+8))</f>
        <v/>
      </c>
      <c r="L146" s="76">
        <f>N(INDEX(Krankheitstage!$G146:$DV146,1,(Einstellungen!$C$3-2026)*24+9))</f>
        <v/>
      </c>
      <c r="M146" s="76">
        <f>N(INDEX(Krankheitstage!$G146:$DV146,1,(Einstellungen!$C$3-2026)*24+10))</f>
        <v/>
      </c>
      <c r="N146" s="76">
        <f>N(INDEX(Krankheitstage!$G146:$DV146,1,(Einstellungen!$C$3-2026)*24+11))</f>
        <v/>
      </c>
      <c r="O146" s="76">
        <f>N(INDEX(Krankheitstage!$G146:$DV146,1,(Einstellungen!$C$3-2026)*24+12))</f>
        <v/>
      </c>
      <c r="P146" s="76">
        <f>IF($B146="","",SUM(D146:O146))</f>
        <v/>
      </c>
      <c r="Q146" s="76">
        <f>N(INDEX(Krankheitstage!$G146:$DV146,1,(Einstellungen!$C$3-2026)*24+13))</f>
        <v/>
      </c>
      <c r="R146" s="76">
        <f>N(INDEX(Krankheitstage!$G146:$DV146,1,(Einstellungen!$C$3-2026)*24+14))</f>
        <v/>
      </c>
      <c r="S146" s="76">
        <f>N(INDEX(Krankheitstage!$G146:$DV146,1,(Einstellungen!$C$3-2026)*24+15))</f>
        <v/>
      </c>
      <c r="T146" s="76">
        <f>N(INDEX(Krankheitstage!$G146:$DV146,1,(Einstellungen!$C$3-2026)*24+16))</f>
        <v/>
      </c>
      <c r="U146" s="76">
        <f>N(INDEX(Krankheitstage!$G146:$DV146,1,(Einstellungen!$C$3-2026)*24+17))</f>
        <v/>
      </c>
      <c r="V146" s="76">
        <f>N(INDEX(Krankheitstage!$G146:$DV146,1,(Einstellungen!$C$3-2026)*24+18))</f>
        <v/>
      </c>
      <c r="W146" s="76">
        <f>N(INDEX(Krankheitstage!$G146:$DV146,1,(Einstellungen!$C$3-2026)*24+19))</f>
        <v/>
      </c>
      <c r="X146" s="76">
        <f>N(INDEX(Krankheitstage!$G146:$DV146,1,(Einstellungen!$C$3-2026)*24+20))</f>
        <v/>
      </c>
      <c r="Y146" s="76">
        <f>N(INDEX(Krankheitstage!$G146:$DV146,1,(Einstellungen!$C$3-2026)*24+21))</f>
        <v/>
      </c>
      <c r="Z146" s="76">
        <f>N(INDEX(Krankheitstage!$G146:$DV146,1,(Einstellungen!$C$3-2026)*24+22))</f>
        <v/>
      </c>
      <c r="AA146" s="76">
        <f>N(INDEX(Krankheitstage!$G146:$DV146,1,(Einstellungen!$C$3-2026)*24+23))</f>
        <v/>
      </c>
      <c r="AB146" s="76">
        <f>N(INDEX(Krankheitstage!$G146:$DV146,1,(Einstellungen!$C$3-2026)*24+24))</f>
        <v/>
      </c>
      <c r="AC146" s="76">
        <f>IF($B146="","",SUM(Q146:AB146))</f>
        <v/>
      </c>
      <c r="AD146" s="76">
        <f>IF($B146="","",SUM(P146,AC146))</f>
        <v/>
      </c>
      <c r="AE146" s="77">
        <f>IF($B146="","",AD146*N(C146))</f>
        <v/>
      </c>
      <c r="AF146" s="76">
        <f>IF($B146="","",Krankheitstage!E146)</f>
        <v/>
      </c>
      <c r="AG146" s="77">
        <f>IF($B146="","",AF146*N(C146))</f>
        <v/>
      </c>
    </row>
    <row r="147">
      <c r="A147" s="74">
        <f>IF(Mitarbeiter!B147="","",Mitarbeiter!A147)</f>
        <v/>
      </c>
      <c r="B147" s="6">
        <f>IF(Mitarbeiter!B147="","",Mitarbeiter!B147)</f>
        <v/>
      </c>
      <c r="C147" s="75">
        <f>IF(Mitarbeiter!B147="","",Mitarbeiter!F147)</f>
        <v/>
      </c>
      <c r="D147" s="76">
        <f>N(INDEX(Krankheitstage!$G147:$DV147,1,(Einstellungen!$C$3-2026)*24+1))</f>
        <v/>
      </c>
      <c r="E147" s="76">
        <f>N(INDEX(Krankheitstage!$G147:$DV147,1,(Einstellungen!$C$3-2026)*24+2))</f>
        <v/>
      </c>
      <c r="F147" s="76">
        <f>N(INDEX(Krankheitstage!$G147:$DV147,1,(Einstellungen!$C$3-2026)*24+3))</f>
        <v/>
      </c>
      <c r="G147" s="76">
        <f>N(INDEX(Krankheitstage!$G147:$DV147,1,(Einstellungen!$C$3-2026)*24+4))</f>
        <v/>
      </c>
      <c r="H147" s="76">
        <f>N(INDEX(Krankheitstage!$G147:$DV147,1,(Einstellungen!$C$3-2026)*24+5))</f>
        <v/>
      </c>
      <c r="I147" s="76">
        <f>N(INDEX(Krankheitstage!$G147:$DV147,1,(Einstellungen!$C$3-2026)*24+6))</f>
        <v/>
      </c>
      <c r="J147" s="76">
        <f>N(INDEX(Krankheitstage!$G147:$DV147,1,(Einstellungen!$C$3-2026)*24+7))</f>
        <v/>
      </c>
      <c r="K147" s="76">
        <f>N(INDEX(Krankheitstage!$G147:$DV147,1,(Einstellungen!$C$3-2026)*24+8))</f>
        <v/>
      </c>
      <c r="L147" s="76">
        <f>N(INDEX(Krankheitstage!$G147:$DV147,1,(Einstellungen!$C$3-2026)*24+9))</f>
        <v/>
      </c>
      <c r="M147" s="76">
        <f>N(INDEX(Krankheitstage!$G147:$DV147,1,(Einstellungen!$C$3-2026)*24+10))</f>
        <v/>
      </c>
      <c r="N147" s="76">
        <f>N(INDEX(Krankheitstage!$G147:$DV147,1,(Einstellungen!$C$3-2026)*24+11))</f>
        <v/>
      </c>
      <c r="O147" s="76">
        <f>N(INDEX(Krankheitstage!$G147:$DV147,1,(Einstellungen!$C$3-2026)*24+12))</f>
        <v/>
      </c>
      <c r="P147" s="76">
        <f>IF($B147="","",SUM(D147:O147))</f>
        <v/>
      </c>
      <c r="Q147" s="76">
        <f>N(INDEX(Krankheitstage!$G147:$DV147,1,(Einstellungen!$C$3-2026)*24+13))</f>
        <v/>
      </c>
      <c r="R147" s="76">
        <f>N(INDEX(Krankheitstage!$G147:$DV147,1,(Einstellungen!$C$3-2026)*24+14))</f>
        <v/>
      </c>
      <c r="S147" s="76">
        <f>N(INDEX(Krankheitstage!$G147:$DV147,1,(Einstellungen!$C$3-2026)*24+15))</f>
        <v/>
      </c>
      <c r="T147" s="76">
        <f>N(INDEX(Krankheitstage!$G147:$DV147,1,(Einstellungen!$C$3-2026)*24+16))</f>
        <v/>
      </c>
      <c r="U147" s="76">
        <f>N(INDEX(Krankheitstage!$G147:$DV147,1,(Einstellungen!$C$3-2026)*24+17))</f>
        <v/>
      </c>
      <c r="V147" s="76">
        <f>N(INDEX(Krankheitstage!$G147:$DV147,1,(Einstellungen!$C$3-2026)*24+18))</f>
        <v/>
      </c>
      <c r="W147" s="76">
        <f>N(INDEX(Krankheitstage!$G147:$DV147,1,(Einstellungen!$C$3-2026)*24+19))</f>
        <v/>
      </c>
      <c r="X147" s="76">
        <f>N(INDEX(Krankheitstage!$G147:$DV147,1,(Einstellungen!$C$3-2026)*24+20))</f>
        <v/>
      </c>
      <c r="Y147" s="76">
        <f>N(INDEX(Krankheitstage!$G147:$DV147,1,(Einstellungen!$C$3-2026)*24+21))</f>
        <v/>
      </c>
      <c r="Z147" s="76">
        <f>N(INDEX(Krankheitstage!$G147:$DV147,1,(Einstellungen!$C$3-2026)*24+22))</f>
        <v/>
      </c>
      <c r="AA147" s="76">
        <f>N(INDEX(Krankheitstage!$G147:$DV147,1,(Einstellungen!$C$3-2026)*24+23))</f>
        <v/>
      </c>
      <c r="AB147" s="76">
        <f>N(INDEX(Krankheitstage!$G147:$DV147,1,(Einstellungen!$C$3-2026)*24+24))</f>
        <v/>
      </c>
      <c r="AC147" s="76">
        <f>IF($B147="","",SUM(Q147:AB147))</f>
        <v/>
      </c>
      <c r="AD147" s="76">
        <f>IF($B147="","",SUM(P147,AC147))</f>
        <v/>
      </c>
      <c r="AE147" s="77">
        <f>IF($B147="","",AD147*N(C147))</f>
        <v/>
      </c>
      <c r="AF147" s="76">
        <f>IF($B147="","",Krankheitstage!E147)</f>
        <v/>
      </c>
      <c r="AG147" s="77">
        <f>IF($B147="","",AF147*N(C147))</f>
        <v/>
      </c>
    </row>
    <row r="148">
      <c r="A148" s="74">
        <f>IF(Mitarbeiter!B148="","",Mitarbeiter!A148)</f>
        <v/>
      </c>
      <c r="B148" s="6">
        <f>IF(Mitarbeiter!B148="","",Mitarbeiter!B148)</f>
        <v/>
      </c>
      <c r="C148" s="75">
        <f>IF(Mitarbeiter!B148="","",Mitarbeiter!F148)</f>
        <v/>
      </c>
      <c r="D148" s="76">
        <f>N(INDEX(Krankheitstage!$G148:$DV148,1,(Einstellungen!$C$3-2026)*24+1))</f>
        <v/>
      </c>
      <c r="E148" s="76">
        <f>N(INDEX(Krankheitstage!$G148:$DV148,1,(Einstellungen!$C$3-2026)*24+2))</f>
        <v/>
      </c>
      <c r="F148" s="76">
        <f>N(INDEX(Krankheitstage!$G148:$DV148,1,(Einstellungen!$C$3-2026)*24+3))</f>
        <v/>
      </c>
      <c r="G148" s="76">
        <f>N(INDEX(Krankheitstage!$G148:$DV148,1,(Einstellungen!$C$3-2026)*24+4))</f>
        <v/>
      </c>
      <c r="H148" s="76">
        <f>N(INDEX(Krankheitstage!$G148:$DV148,1,(Einstellungen!$C$3-2026)*24+5))</f>
        <v/>
      </c>
      <c r="I148" s="76">
        <f>N(INDEX(Krankheitstage!$G148:$DV148,1,(Einstellungen!$C$3-2026)*24+6))</f>
        <v/>
      </c>
      <c r="J148" s="76">
        <f>N(INDEX(Krankheitstage!$G148:$DV148,1,(Einstellungen!$C$3-2026)*24+7))</f>
        <v/>
      </c>
      <c r="K148" s="76">
        <f>N(INDEX(Krankheitstage!$G148:$DV148,1,(Einstellungen!$C$3-2026)*24+8))</f>
        <v/>
      </c>
      <c r="L148" s="76">
        <f>N(INDEX(Krankheitstage!$G148:$DV148,1,(Einstellungen!$C$3-2026)*24+9))</f>
        <v/>
      </c>
      <c r="M148" s="76">
        <f>N(INDEX(Krankheitstage!$G148:$DV148,1,(Einstellungen!$C$3-2026)*24+10))</f>
        <v/>
      </c>
      <c r="N148" s="76">
        <f>N(INDEX(Krankheitstage!$G148:$DV148,1,(Einstellungen!$C$3-2026)*24+11))</f>
        <v/>
      </c>
      <c r="O148" s="76">
        <f>N(INDEX(Krankheitstage!$G148:$DV148,1,(Einstellungen!$C$3-2026)*24+12))</f>
        <v/>
      </c>
      <c r="P148" s="76">
        <f>IF($B148="","",SUM(D148:O148))</f>
        <v/>
      </c>
      <c r="Q148" s="76">
        <f>N(INDEX(Krankheitstage!$G148:$DV148,1,(Einstellungen!$C$3-2026)*24+13))</f>
        <v/>
      </c>
      <c r="R148" s="76">
        <f>N(INDEX(Krankheitstage!$G148:$DV148,1,(Einstellungen!$C$3-2026)*24+14))</f>
        <v/>
      </c>
      <c r="S148" s="76">
        <f>N(INDEX(Krankheitstage!$G148:$DV148,1,(Einstellungen!$C$3-2026)*24+15))</f>
        <v/>
      </c>
      <c r="T148" s="76">
        <f>N(INDEX(Krankheitstage!$G148:$DV148,1,(Einstellungen!$C$3-2026)*24+16))</f>
        <v/>
      </c>
      <c r="U148" s="76">
        <f>N(INDEX(Krankheitstage!$G148:$DV148,1,(Einstellungen!$C$3-2026)*24+17))</f>
        <v/>
      </c>
      <c r="V148" s="76">
        <f>N(INDEX(Krankheitstage!$G148:$DV148,1,(Einstellungen!$C$3-2026)*24+18))</f>
        <v/>
      </c>
      <c r="W148" s="76">
        <f>N(INDEX(Krankheitstage!$G148:$DV148,1,(Einstellungen!$C$3-2026)*24+19))</f>
        <v/>
      </c>
      <c r="X148" s="76">
        <f>N(INDEX(Krankheitstage!$G148:$DV148,1,(Einstellungen!$C$3-2026)*24+20))</f>
        <v/>
      </c>
      <c r="Y148" s="76">
        <f>N(INDEX(Krankheitstage!$G148:$DV148,1,(Einstellungen!$C$3-2026)*24+21))</f>
        <v/>
      </c>
      <c r="Z148" s="76">
        <f>N(INDEX(Krankheitstage!$G148:$DV148,1,(Einstellungen!$C$3-2026)*24+22))</f>
        <v/>
      </c>
      <c r="AA148" s="76">
        <f>N(INDEX(Krankheitstage!$G148:$DV148,1,(Einstellungen!$C$3-2026)*24+23))</f>
        <v/>
      </c>
      <c r="AB148" s="76">
        <f>N(INDEX(Krankheitstage!$G148:$DV148,1,(Einstellungen!$C$3-2026)*24+24))</f>
        <v/>
      </c>
      <c r="AC148" s="76">
        <f>IF($B148="","",SUM(Q148:AB148))</f>
        <v/>
      </c>
      <c r="AD148" s="76">
        <f>IF($B148="","",SUM(P148,AC148))</f>
        <v/>
      </c>
      <c r="AE148" s="77">
        <f>IF($B148="","",AD148*N(C148))</f>
        <v/>
      </c>
      <c r="AF148" s="76">
        <f>IF($B148="","",Krankheitstage!E148)</f>
        <v/>
      </c>
      <c r="AG148" s="77">
        <f>IF($B148="","",AF148*N(C148))</f>
        <v/>
      </c>
    </row>
    <row r="149">
      <c r="A149" s="74">
        <f>IF(Mitarbeiter!B149="","",Mitarbeiter!A149)</f>
        <v/>
      </c>
      <c r="B149" s="6">
        <f>IF(Mitarbeiter!B149="","",Mitarbeiter!B149)</f>
        <v/>
      </c>
      <c r="C149" s="75">
        <f>IF(Mitarbeiter!B149="","",Mitarbeiter!F149)</f>
        <v/>
      </c>
      <c r="D149" s="76">
        <f>N(INDEX(Krankheitstage!$G149:$DV149,1,(Einstellungen!$C$3-2026)*24+1))</f>
        <v/>
      </c>
      <c r="E149" s="76">
        <f>N(INDEX(Krankheitstage!$G149:$DV149,1,(Einstellungen!$C$3-2026)*24+2))</f>
        <v/>
      </c>
      <c r="F149" s="76">
        <f>N(INDEX(Krankheitstage!$G149:$DV149,1,(Einstellungen!$C$3-2026)*24+3))</f>
        <v/>
      </c>
      <c r="G149" s="76">
        <f>N(INDEX(Krankheitstage!$G149:$DV149,1,(Einstellungen!$C$3-2026)*24+4))</f>
        <v/>
      </c>
      <c r="H149" s="76">
        <f>N(INDEX(Krankheitstage!$G149:$DV149,1,(Einstellungen!$C$3-2026)*24+5))</f>
        <v/>
      </c>
      <c r="I149" s="76">
        <f>N(INDEX(Krankheitstage!$G149:$DV149,1,(Einstellungen!$C$3-2026)*24+6))</f>
        <v/>
      </c>
      <c r="J149" s="76">
        <f>N(INDEX(Krankheitstage!$G149:$DV149,1,(Einstellungen!$C$3-2026)*24+7))</f>
        <v/>
      </c>
      <c r="K149" s="76">
        <f>N(INDEX(Krankheitstage!$G149:$DV149,1,(Einstellungen!$C$3-2026)*24+8))</f>
        <v/>
      </c>
      <c r="L149" s="76">
        <f>N(INDEX(Krankheitstage!$G149:$DV149,1,(Einstellungen!$C$3-2026)*24+9))</f>
        <v/>
      </c>
      <c r="M149" s="76">
        <f>N(INDEX(Krankheitstage!$G149:$DV149,1,(Einstellungen!$C$3-2026)*24+10))</f>
        <v/>
      </c>
      <c r="N149" s="76">
        <f>N(INDEX(Krankheitstage!$G149:$DV149,1,(Einstellungen!$C$3-2026)*24+11))</f>
        <v/>
      </c>
      <c r="O149" s="76">
        <f>N(INDEX(Krankheitstage!$G149:$DV149,1,(Einstellungen!$C$3-2026)*24+12))</f>
        <v/>
      </c>
      <c r="P149" s="76">
        <f>IF($B149="","",SUM(D149:O149))</f>
        <v/>
      </c>
      <c r="Q149" s="76">
        <f>N(INDEX(Krankheitstage!$G149:$DV149,1,(Einstellungen!$C$3-2026)*24+13))</f>
        <v/>
      </c>
      <c r="R149" s="76">
        <f>N(INDEX(Krankheitstage!$G149:$DV149,1,(Einstellungen!$C$3-2026)*24+14))</f>
        <v/>
      </c>
      <c r="S149" s="76">
        <f>N(INDEX(Krankheitstage!$G149:$DV149,1,(Einstellungen!$C$3-2026)*24+15))</f>
        <v/>
      </c>
      <c r="T149" s="76">
        <f>N(INDEX(Krankheitstage!$G149:$DV149,1,(Einstellungen!$C$3-2026)*24+16))</f>
        <v/>
      </c>
      <c r="U149" s="76">
        <f>N(INDEX(Krankheitstage!$G149:$DV149,1,(Einstellungen!$C$3-2026)*24+17))</f>
        <v/>
      </c>
      <c r="V149" s="76">
        <f>N(INDEX(Krankheitstage!$G149:$DV149,1,(Einstellungen!$C$3-2026)*24+18))</f>
        <v/>
      </c>
      <c r="W149" s="76">
        <f>N(INDEX(Krankheitstage!$G149:$DV149,1,(Einstellungen!$C$3-2026)*24+19))</f>
        <v/>
      </c>
      <c r="X149" s="76">
        <f>N(INDEX(Krankheitstage!$G149:$DV149,1,(Einstellungen!$C$3-2026)*24+20))</f>
        <v/>
      </c>
      <c r="Y149" s="76">
        <f>N(INDEX(Krankheitstage!$G149:$DV149,1,(Einstellungen!$C$3-2026)*24+21))</f>
        <v/>
      </c>
      <c r="Z149" s="76">
        <f>N(INDEX(Krankheitstage!$G149:$DV149,1,(Einstellungen!$C$3-2026)*24+22))</f>
        <v/>
      </c>
      <c r="AA149" s="76">
        <f>N(INDEX(Krankheitstage!$G149:$DV149,1,(Einstellungen!$C$3-2026)*24+23))</f>
        <v/>
      </c>
      <c r="AB149" s="76">
        <f>N(INDEX(Krankheitstage!$G149:$DV149,1,(Einstellungen!$C$3-2026)*24+24))</f>
        <v/>
      </c>
      <c r="AC149" s="76">
        <f>IF($B149="","",SUM(Q149:AB149))</f>
        <v/>
      </c>
      <c r="AD149" s="76">
        <f>IF($B149="","",SUM(P149,AC149))</f>
        <v/>
      </c>
      <c r="AE149" s="77">
        <f>IF($B149="","",AD149*N(C149))</f>
        <v/>
      </c>
      <c r="AF149" s="76">
        <f>IF($B149="","",Krankheitstage!E149)</f>
        <v/>
      </c>
      <c r="AG149" s="77">
        <f>IF($B149="","",AF149*N(C149))</f>
        <v/>
      </c>
    </row>
    <row r="150">
      <c r="A150" s="74">
        <f>IF(Mitarbeiter!B150="","",Mitarbeiter!A150)</f>
        <v/>
      </c>
      <c r="B150" s="6">
        <f>IF(Mitarbeiter!B150="","",Mitarbeiter!B150)</f>
        <v/>
      </c>
      <c r="C150" s="75">
        <f>IF(Mitarbeiter!B150="","",Mitarbeiter!F150)</f>
        <v/>
      </c>
      <c r="D150" s="76">
        <f>N(INDEX(Krankheitstage!$G150:$DV150,1,(Einstellungen!$C$3-2026)*24+1))</f>
        <v/>
      </c>
      <c r="E150" s="76">
        <f>N(INDEX(Krankheitstage!$G150:$DV150,1,(Einstellungen!$C$3-2026)*24+2))</f>
        <v/>
      </c>
      <c r="F150" s="76">
        <f>N(INDEX(Krankheitstage!$G150:$DV150,1,(Einstellungen!$C$3-2026)*24+3))</f>
        <v/>
      </c>
      <c r="G150" s="76">
        <f>N(INDEX(Krankheitstage!$G150:$DV150,1,(Einstellungen!$C$3-2026)*24+4))</f>
        <v/>
      </c>
      <c r="H150" s="76">
        <f>N(INDEX(Krankheitstage!$G150:$DV150,1,(Einstellungen!$C$3-2026)*24+5))</f>
        <v/>
      </c>
      <c r="I150" s="76">
        <f>N(INDEX(Krankheitstage!$G150:$DV150,1,(Einstellungen!$C$3-2026)*24+6))</f>
        <v/>
      </c>
      <c r="J150" s="76">
        <f>N(INDEX(Krankheitstage!$G150:$DV150,1,(Einstellungen!$C$3-2026)*24+7))</f>
        <v/>
      </c>
      <c r="K150" s="76">
        <f>N(INDEX(Krankheitstage!$G150:$DV150,1,(Einstellungen!$C$3-2026)*24+8))</f>
        <v/>
      </c>
      <c r="L150" s="76">
        <f>N(INDEX(Krankheitstage!$G150:$DV150,1,(Einstellungen!$C$3-2026)*24+9))</f>
        <v/>
      </c>
      <c r="M150" s="76">
        <f>N(INDEX(Krankheitstage!$G150:$DV150,1,(Einstellungen!$C$3-2026)*24+10))</f>
        <v/>
      </c>
      <c r="N150" s="76">
        <f>N(INDEX(Krankheitstage!$G150:$DV150,1,(Einstellungen!$C$3-2026)*24+11))</f>
        <v/>
      </c>
      <c r="O150" s="76">
        <f>N(INDEX(Krankheitstage!$G150:$DV150,1,(Einstellungen!$C$3-2026)*24+12))</f>
        <v/>
      </c>
      <c r="P150" s="76">
        <f>IF($B150="","",SUM(D150:O150))</f>
        <v/>
      </c>
      <c r="Q150" s="76">
        <f>N(INDEX(Krankheitstage!$G150:$DV150,1,(Einstellungen!$C$3-2026)*24+13))</f>
        <v/>
      </c>
      <c r="R150" s="76">
        <f>N(INDEX(Krankheitstage!$G150:$DV150,1,(Einstellungen!$C$3-2026)*24+14))</f>
        <v/>
      </c>
      <c r="S150" s="76">
        <f>N(INDEX(Krankheitstage!$G150:$DV150,1,(Einstellungen!$C$3-2026)*24+15))</f>
        <v/>
      </c>
      <c r="T150" s="76">
        <f>N(INDEX(Krankheitstage!$G150:$DV150,1,(Einstellungen!$C$3-2026)*24+16))</f>
        <v/>
      </c>
      <c r="U150" s="76">
        <f>N(INDEX(Krankheitstage!$G150:$DV150,1,(Einstellungen!$C$3-2026)*24+17))</f>
        <v/>
      </c>
      <c r="V150" s="76">
        <f>N(INDEX(Krankheitstage!$G150:$DV150,1,(Einstellungen!$C$3-2026)*24+18))</f>
        <v/>
      </c>
      <c r="W150" s="76">
        <f>N(INDEX(Krankheitstage!$G150:$DV150,1,(Einstellungen!$C$3-2026)*24+19))</f>
        <v/>
      </c>
      <c r="X150" s="76">
        <f>N(INDEX(Krankheitstage!$G150:$DV150,1,(Einstellungen!$C$3-2026)*24+20))</f>
        <v/>
      </c>
      <c r="Y150" s="76">
        <f>N(INDEX(Krankheitstage!$G150:$DV150,1,(Einstellungen!$C$3-2026)*24+21))</f>
        <v/>
      </c>
      <c r="Z150" s="76">
        <f>N(INDEX(Krankheitstage!$G150:$DV150,1,(Einstellungen!$C$3-2026)*24+22))</f>
        <v/>
      </c>
      <c r="AA150" s="76">
        <f>N(INDEX(Krankheitstage!$G150:$DV150,1,(Einstellungen!$C$3-2026)*24+23))</f>
        <v/>
      </c>
      <c r="AB150" s="76">
        <f>N(INDEX(Krankheitstage!$G150:$DV150,1,(Einstellungen!$C$3-2026)*24+24))</f>
        <v/>
      </c>
      <c r="AC150" s="76">
        <f>IF($B150="","",SUM(Q150:AB150))</f>
        <v/>
      </c>
      <c r="AD150" s="76">
        <f>IF($B150="","",SUM(P150,AC150))</f>
        <v/>
      </c>
      <c r="AE150" s="77">
        <f>IF($B150="","",AD150*N(C150))</f>
        <v/>
      </c>
      <c r="AF150" s="76">
        <f>IF($B150="","",Krankheitstage!E150)</f>
        <v/>
      </c>
      <c r="AG150" s="77">
        <f>IF($B150="","",AF150*N(C150))</f>
        <v/>
      </c>
    </row>
    <row r="151">
      <c r="A151" s="74">
        <f>IF(Mitarbeiter!B151="","",Mitarbeiter!A151)</f>
        <v/>
      </c>
      <c r="B151" s="6">
        <f>IF(Mitarbeiter!B151="","",Mitarbeiter!B151)</f>
        <v/>
      </c>
      <c r="C151" s="75">
        <f>IF(Mitarbeiter!B151="","",Mitarbeiter!F151)</f>
        <v/>
      </c>
      <c r="D151" s="76">
        <f>N(INDEX(Krankheitstage!$G151:$DV151,1,(Einstellungen!$C$3-2026)*24+1))</f>
        <v/>
      </c>
      <c r="E151" s="76">
        <f>N(INDEX(Krankheitstage!$G151:$DV151,1,(Einstellungen!$C$3-2026)*24+2))</f>
        <v/>
      </c>
      <c r="F151" s="76">
        <f>N(INDEX(Krankheitstage!$G151:$DV151,1,(Einstellungen!$C$3-2026)*24+3))</f>
        <v/>
      </c>
      <c r="G151" s="76">
        <f>N(INDEX(Krankheitstage!$G151:$DV151,1,(Einstellungen!$C$3-2026)*24+4))</f>
        <v/>
      </c>
      <c r="H151" s="76">
        <f>N(INDEX(Krankheitstage!$G151:$DV151,1,(Einstellungen!$C$3-2026)*24+5))</f>
        <v/>
      </c>
      <c r="I151" s="76">
        <f>N(INDEX(Krankheitstage!$G151:$DV151,1,(Einstellungen!$C$3-2026)*24+6))</f>
        <v/>
      </c>
      <c r="J151" s="76">
        <f>N(INDEX(Krankheitstage!$G151:$DV151,1,(Einstellungen!$C$3-2026)*24+7))</f>
        <v/>
      </c>
      <c r="K151" s="76">
        <f>N(INDEX(Krankheitstage!$G151:$DV151,1,(Einstellungen!$C$3-2026)*24+8))</f>
        <v/>
      </c>
      <c r="L151" s="76">
        <f>N(INDEX(Krankheitstage!$G151:$DV151,1,(Einstellungen!$C$3-2026)*24+9))</f>
        <v/>
      </c>
      <c r="M151" s="76">
        <f>N(INDEX(Krankheitstage!$G151:$DV151,1,(Einstellungen!$C$3-2026)*24+10))</f>
        <v/>
      </c>
      <c r="N151" s="76">
        <f>N(INDEX(Krankheitstage!$G151:$DV151,1,(Einstellungen!$C$3-2026)*24+11))</f>
        <v/>
      </c>
      <c r="O151" s="76">
        <f>N(INDEX(Krankheitstage!$G151:$DV151,1,(Einstellungen!$C$3-2026)*24+12))</f>
        <v/>
      </c>
      <c r="P151" s="76">
        <f>IF($B151="","",SUM(D151:O151))</f>
        <v/>
      </c>
      <c r="Q151" s="76">
        <f>N(INDEX(Krankheitstage!$G151:$DV151,1,(Einstellungen!$C$3-2026)*24+13))</f>
        <v/>
      </c>
      <c r="R151" s="76">
        <f>N(INDEX(Krankheitstage!$G151:$DV151,1,(Einstellungen!$C$3-2026)*24+14))</f>
        <v/>
      </c>
      <c r="S151" s="76">
        <f>N(INDEX(Krankheitstage!$G151:$DV151,1,(Einstellungen!$C$3-2026)*24+15))</f>
        <v/>
      </c>
      <c r="T151" s="76">
        <f>N(INDEX(Krankheitstage!$G151:$DV151,1,(Einstellungen!$C$3-2026)*24+16))</f>
        <v/>
      </c>
      <c r="U151" s="76">
        <f>N(INDEX(Krankheitstage!$G151:$DV151,1,(Einstellungen!$C$3-2026)*24+17))</f>
        <v/>
      </c>
      <c r="V151" s="76">
        <f>N(INDEX(Krankheitstage!$G151:$DV151,1,(Einstellungen!$C$3-2026)*24+18))</f>
        <v/>
      </c>
      <c r="W151" s="76">
        <f>N(INDEX(Krankheitstage!$G151:$DV151,1,(Einstellungen!$C$3-2026)*24+19))</f>
        <v/>
      </c>
      <c r="X151" s="76">
        <f>N(INDEX(Krankheitstage!$G151:$DV151,1,(Einstellungen!$C$3-2026)*24+20))</f>
        <v/>
      </c>
      <c r="Y151" s="76">
        <f>N(INDEX(Krankheitstage!$G151:$DV151,1,(Einstellungen!$C$3-2026)*24+21))</f>
        <v/>
      </c>
      <c r="Z151" s="76">
        <f>N(INDEX(Krankheitstage!$G151:$DV151,1,(Einstellungen!$C$3-2026)*24+22))</f>
        <v/>
      </c>
      <c r="AA151" s="76">
        <f>N(INDEX(Krankheitstage!$G151:$DV151,1,(Einstellungen!$C$3-2026)*24+23))</f>
        <v/>
      </c>
      <c r="AB151" s="76">
        <f>N(INDEX(Krankheitstage!$G151:$DV151,1,(Einstellungen!$C$3-2026)*24+24))</f>
        <v/>
      </c>
      <c r="AC151" s="76">
        <f>IF($B151="","",SUM(Q151:AB151))</f>
        <v/>
      </c>
      <c r="AD151" s="76">
        <f>IF($B151="","",SUM(P151,AC151))</f>
        <v/>
      </c>
      <c r="AE151" s="77">
        <f>IF($B151="","",AD151*N(C151))</f>
        <v/>
      </c>
      <c r="AF151" s="76">
        <f>IF($B151="","",Krankheitstage!E151)</f>
        <v/>
      </c>
      <c r="AG151" s="77">
        <f>IF($B151="","",AF151*N(C151))</f>
        <v/>
      </c>
    </row>
    <row r="152">
      <c r="A152" s="74">
        <f>IF(Mitarbeiter!B152="","",Mitarbeiter!A152)</f>
        <v/>
      </c>
      <c r="B152" s="6">
        <f>IF(Mitarbeiter!B152="","",Mitarbeiter!B152)</f>
        <v/>
      </c>
      <c r="C152" s="75">
        <f>IF(Mitarbeiter!B152="","",Mitarbeiter!F152)</f>
        <v/>
      </c>
      <c r="D152" s="76">
        <f>N(INDEX(Krankheitstage!$G152:$DV152,1,(Einstellungen!$C$3-2026)*24+1))</f>
        <v/>
      </c>
      <c r="E152" s="76">
        <f>N(INDEX(Krankheitstage!$G152:$DV152,1,(Einstellungen!$C$3-2026)*24+2))</f>
        <v/>
      </c>
      <c r="F152" s="76">
        <f>N(INDEX(Krankheitstage!$G152:$DV152,1,(Einstellungen!$C$3-2026)*24+3))</f>
        <v/>
      </c>
      <c r="G152" s="76">
        <f>N(INDEX(Krankheitstage!$G152:$DV152,1,(Einstellungen!$C$3-2026)*24+4))</f>
        <v/>
      </c>
      <c r="H152" s="76">
        <f>N(INDEX(Krankheitstage!$G152:$DV152,1,(Einstellungen!$C$3-2026)*24+5))</f>
        <v/>
      </c>
      <c r="I152" s="76">
        <f>N(INDEX(Krankheitstage!$G152:$DV152,1,(Einstellungen!$C$3-2026)*24+6))</f>
        <v/>
      </c>
      <c r="J152" s="76">
        <f>N(INDEX(Krankheitstage!$G152:$DV152,1,(Einstellungen!$C$3-2026)*24+7))</f>
        <v/>
      </c>
      <c r="K152" s="76">
        <f>N(INDEX(Krankheitstage!$G152:$DV152,1,(Einstellungen!$C$3-2026)*24+8))</f>
        <v/>
      </c>
      <c r="L152" s="76">
        <f>N(INDEX(Krankheitstage!$G152:$DV152,1,(Einstellungen!$C$3-2026)*24+9))</f>
        <v/>
      </c>
      <c r="M152" s="76">
        <f>N(INDEX(Krankheitstage!$G152:$DV152,1,(Einstellungen!$C$3-2026)*24+10))</f>
        <v/>
      </c>
      <c r="N152" s="76">
        <f>N(INDEX(Krankheitstage!$G152:$DV152,1,(Einstellungen!$C$3-2026)*24+11))</f>
        <v/>
      </c>
      <c r="O152" s="76">
        <f>N(INDEX(Krankheitstage!$G152:$DV152,1,(Einstellungen!$C$3-2026)*24+12))</f>
        <v/>
      </c>
      <c r="P152" s="76">
        <f>IF($B152="","",SUM(D152:O152))</f>
        <v/>
      </c>
      <c r="Q152" s="76">
        <f>N(INDEX(Krankheitstage!$G152:$DV152,1,(Einstellungen!$C$3-2026)*24+13))</f>
        <v/>
      </c>
      <c r="R152" s="76">
        <f>N(INDEX(Krankheitstage!$G152:$DV152,1,(Einstellungen!$C$3-2026)*24+14))</f>
        <v/>
      </c>
      <c r="S152" s="76">
        <f>N(INDEX(Krankheitstage!$G152:$DV152,1,(Einstellungen!$C$3-2026)*24+15))</f>
        <v/>
      </c>
      <c r="T152" s="76">
        <f>N(INDEX(Krankheitstage!$G152:$DV152,1,(Einstellungen!$C$3-2026)*24+16))</f>
        <v/>
      </c>
      <c r="U152" s="76">
        <f>N(INDEX(Krankheitstage!$G152:$DV152,1,(Einstellungen!$C$3-2026)*24+17))</f>
        <v/>
      </c>
      <c r="V152" s="76">
        <f>N(INDEX(Krankheitstage!$G152:$DV152,1,(Einstellungen!$C$3-2026)*24+18))</f>
        <v/>
      </c>
      <c r="W152" s="76">
        <f>N(INDEX(Krankheitstage!$G152:$DV152,1,(Einstellungen!$C$3-2026)*24+19))</f>
        <v/>
      </c>
      <c r="X152" s="76">
        <f>N(INDEX(Krankheitstage!$G152:$DV152,1,(Einstellungen!$C$3-2026)*24+20))</f>
        <v/>
      </c>
      <c r="Y152" s="76">
        <f>N(INDEX(Krankheitstage!$G152:$DV152,1,(Einstellungen!$C$3-2026)*24+21))</f>
        <v/>
      </c>
      <c r="Z152" s="76">
        <f>N(INDEX(Krankheitstage!$G152:$DV152,1,(Einstellungen!$C$3-2026)*24+22))</f>
        <v/>
      </c>
      <c r="AA152" s="76">
        <f>N(INDEX(Krankheitstage!$G152:$DV152,1,(Einstellungen!$C$3-2026)*24+23))</f>
        <v/>
      </c>
      <c r="AB152" s="76">
        <f>N(INDEX(Krankheitstage!$G152:$DV152,1,(Einstellungen!$C$3-2026)*24+24))</f>
        <v/>
      </c>
      <c r="AC152" s="76">
        <f>IF($B152="","",SUM(Q152:AB152))</f>
        <v/>
      </c>
      <c r="AD152" s="76">
        <f>IF($B152="","",SUM(P152,AC152))</f>
        <v/>
      </c>
      <c r="AE152" s="77">
        <f>IF($B152="","",AD152*N(C152))</f>
        <v/>
      </c>
      <c r="AF152" s="76">
        <f>IF($B152="","",Krankheitstage!E152)</f>
        <v/>
      </c>
      <c r="AG152" s="77">
        <f>IF($B152="","",AF152*N(C152))</f>
        <v/>
      </c>
    </row>
    <row r="153">
      <c r="A153" s="74">
        <f>IF(Mitarbeiter!B153="","",Mitarbeiter!A153)</f>
        <v/>
      </c>
      <c r="B153" s="6">
        <f>IF(Mitarbeiter!B153="","",Mitarbeiter!B153)</f>
        <v/>
      </c>
      <c r="C153" s="75">
        <f>IF(Mitarbeiter!B153="","",Mitarbeiter!F153)</f>
        <v/>
      </c>
      <c r="D153" s="76">
        <f>N(INDEX(Krankheitstage!$G153:$DV153,1,(Einstellungen!$C$3-2026)*24+1))</f>
        <v/>
      </c>
      <c r="E153" s="76">
        <f>N(INDEX(Krankheitstage!$G153:$DV153,1,(Einstellungen!$C$3-2026)*24+2))</f>
        <v/>
      </c>
      <c r="F153" s="76">
        <f>N(INDEX(Krankheitstage!$G153:$DV153,1,(Einstellungen!$C$3-2026)*24+3))</f>
        <v/>
      </c>
      <c r="G153" s="76">
        <f>N(INDEX(Krankheitstage!$G153:$DV153,1,(Einstellungen!$C$3-2026)*24+4))</f>
        <v/>
      </c>
      <c r="H153" s="76">
        <f>N(INDEX(Krankheitstage!$G153:$DV153,1,(Einstellungen!$C$3-2026)*24+5))</f>
        <v/>
      </c>
      <c r="I153" s="76">
        <f>N(INDEX(Krankheitstage!$G153:$DV153,1,(Einstellungen!$C$3-2026)*24+6))</f>
        <v/>
      </c>
      <c r="J153" s="76">
        <f>N(INDEX(Krankheitstage!$G153:$DV153,1,(Einstellungen!$C$3-2026)*24+7))</f>
        <v/>
      </c>
      <c r="K153" s="76">
        <f>N(INDEX(Krankheitstage!$G153:$DV153,1,(Einstellungen!$C$3-2026)*24+8))</f>
        <v/>
      </c>
      <c r="L153" s="76">
        <f>N(INDEX(Krankheitstage!$G153:$DV153,1,(Einstellungen!$C$3-2026)*24+9))</f>
        <v/>
      </c>
      <c r="M153" s="76">
        <f>N(INDEX(Krankheitstage!$G153:$DV153,1,(Einstellungen!$C$3-2026)*24+10))</f>
        <v/>
      </c>
      <c r="N153" s="76">
        <f>N(INDEX(Krankheitstage!$G153:$DV153,1,(Einstellungen!$C$3-2026)*24+11))</f>
        <v/>
      </c>
      <c r="O153" s="76">
        <f>N(INDEX(Krankheitstage!$G153:$DV153,1,(Einstellungen!$C$3-2026)*24+12))</f>
        <v/>
      </c>
      <c r="P153" s="76">
        <f>IF($B153="","",SUM(D153:O153))</f>
        <v/>
      </c>
      <c r="Q153" s="76">
        <f>N(INDEX(Krankheitstage!$G153:$DV153,1,(Einstellungen!$C$3-2026)*24+13))</f>
        <v/>
      </c>
      <c r="R153" s="76">
        <f>N(INDEX(Krankheitstage!$G153:$DV153,1,(Einstellungen!$C$3-2026)*24+14))</f>
        <v/>
      </c>
      <c r="S153" s="76">
        <f>N(INDEX(Krankheitstage!$G153:$DV153,1,(Einstellungen!$C$3-2026)*24+15))</f>
        <v/>
      </c>
      <c r="T153" s="76">
        <f>N(INDEX(Krankheitstage!$G153:$DV153,1,(Einstellungen!$C$3-2026)*24+16))</f>
        <v/>
      </c>
      <c r="U153" s="76">
        <f>N(INDEX(Krankheitstage!$G153:$DV153,1,(Einstellungen!$C$3-2026)*24+17))</f>
        <v/>
      </c>
      <c r="V153" s="76">
        <f>N(INDEX(Krankheitstage!$G153:$DV153,1,(Einstellungen!$C$3-2026)*24+18))</f>
        <v/>
      </c>
      <c r="W153" s="76">
        <f>N(INDEX(Krankheitstage!$G153:$DV153,1,(Einstellungen!$C$3-2026)*24+19))</f>
        <v/>
      </c>
      <c r="X153" s="76">
        <f>N(INDEX(Krankheitstage!$G153:$DV153,1,(Einstellungen!$C$3-2026)*24+20))</f>
        <v/>
      </c>
      <c r="Y153" s="76">
        <f>N(INDEX(Krankheitstage!$G153:$DV153,1,(Einstellungen!$C$3-2026)*24+21))</f>
        <v/>
      </c>
      <c r="Z153" s="76">
        <f>N(INDEX(Krankheitstage!$G153:$DV153,1,(Einstellungen!$C$3-2026)*24+22))</f>
        <v/>
      </c>
      <c r="AA153" s="76">
        <f>N(INDEX(Krankheitstage!$G153:$DV153,1,(Einstellungen!$C$3-2026)*24+23))</f>
        <v/>
      </c>
      <c r="AB153" s="76">
        <f>N(INDEX(Krankheitstage!$G153:$DV153,1,(Einstellungen!$C$3-2026)*24+24))</f>
        <v/>
      </c>
      <c r="AC153" s="76">
        <f>IF($B153="","",SUM(Q153:AB153))</f>
        <v/>
      </c>
      <c r="AD153" s="76">
        <f>IF($B153="","",SUM(P153,AC153))</f>
        <v/>
      </c>
      <c r="AE153" s="77">
        <f>IF($B153="","",AD153*N(C153))</f>
        <v/>
      </c>
      <c r="AF153" s="76">
        <f>IF($B153="","",Krankheitstage!E153)</f>
        <v/>
      </c>
      <c r="AG153" s="77">
        <f>IF($B153="","",AF153*N(C153))</f>
        <v/>
      </c>
    </row>
    <row r="154">
      <c r="A154" s="74">
        <f>IF(Mitarbeiter!B154="","",Mitarbeiter!A154)</f>
        <v/>
      </c>
      <c r="B154" s="6">
        <f>IF(Mitarbeiter!B154="","",Mitarbeiter!B154)</f>
        <v/>
      </c>
      <c r="C154" s="75">
        <f>IF(Mitarbeiter!B154="","",Mitarbeiter!F154)</f>
        <v/>
      </c>
      <c r="D154" s="76">
        <f>N(INDEX(Krankheitstage!$G154:$DV154,1,(Einstellungen!$C$3-2026)*24+1))</f>
        <v/>
      </c>
      <c r="E154" s="76">
        <f>N(INDEX(Krankheitstage!$G154:$DV154,1,(Einstellungen!$C$3-2026)*24+2))</f>
        <v/>
      </c>
      <c r="F154" s="76">
        <f>N(INDEX(Krankheitstage!$G154:$DV154,1,(Einstellungen!$C$3-2026)*24+3))</f>
        <v/>
      </c>
      <c r="G154" s="76">
        <f>N(INDEX(Krankheitstage!$G154:$DV154,1,(Einstellungen!$C$3-2026)*24+4))</f>
        <v/>
      </c>
      <c r="H154" s="76">
        <f>N(INDEX(Krankheitstage!$G154:$DV154,1,(Einstellungen!$C$3-2026)*24+5))</f>
        <v/>
      </c>
      <c r="I154" s="76">
        <f>N(INDEX(Krankheitstage!$G154:$DV154,1,(Einstellungen!$C$3-2026)*24+6))</f>
        <v/>
      </c>
      <c r="J154" s="76">
        <f>N(INDEX(Krankheitstage!$G154:$DV154,1,(Einstellungen!$C$3-2026)*24+7))</f>
        <v/>
      </c>
      <c r="K154" s="76">
        <f>N(INDEX(Krankheitstage!$G154:$DV154,1,(Einstellungen!$C$3-2026)*24+8))</f>
        <v/>
      </c>
      <c r="L154" s="76">
        <f>N(INDEX(Krankheitstage!$G154:$DV154,1,(Einstellungen!$C$3-2026)*24+9))</f>
        <v/>
      </c>
      <c r="M154" s="76">
        <f>N(INDEX(Krankheitstage!$G154:$DV154,1,(Einstellungen!$C$3-2026)*24+10))</f>
        <v/>
      </c>
      <c r="N154" s="76">
        <f>N(INDEX(Krankheitstage!$G154:$DV154,1,(Einstellungen!$C$3-2026)*24+11))</f>
        <v/>
      </c>
      <c r="O154" s="76">
        <f>N(INDEX(Krankheitstage!$G154:$DV154,1,(Einstellungen!$C$3-2026)*24+12))</f>
        <v/>
      </c>
      <c r="P154" s="76">
        <f>IF($B154="","",SUM(D154:O154))</f>
        <v/>
      </c>
      <c r="Q154" s="76">
        <f>N(INDEX(Krankheitstage!$G154:$DV154,1,(Einstellungen!$C$3-2026)*24+13))</f>
        <v/>
      </c>
      <c r="R154" s="76">
        <f>N(INDEX(Krankheitstage!$G154:$DV154,1,(Einstellungen!$C$3-2026)*24+14))</f>
        <v/>
      </c>
      <c r="S154" s="76">
        <f>N(INDEX(Krankheitstage!$G154:$DV154,1,(Einstellungen!$C$3-2026)*24+15))</f>
        <v/>
      </c>
      <c r="T154" s="76">
        <f>N(INDEX(Krankheitstage!$G154:$DV154,1,(Einstellungen!$C$3-2026)*24+16))</f>
        <v/>
      </c>
      <c r="U154" s="76">
        <f>N(INDEX(Krankheitstage!$G154:$DV154,1,(Einstellungen!$C$3-2026)*24+17))</f>
        <v/>
      </c>
      <c r="V154" s="76">
        <f>N(INDEX(Krankheitstage!$G154:$DV154,1,(Einstellungen!$C$3-2026)*24+18))</f>
        <v/>
      </c>
      <c r="W154" s="76">
        <f>N(INDEX(Krankheitstage!$G154:$DV154,1,(Einstellungen!$C$3-2026)*24+19))</f>
        <v/>
      </c>
      <c r="X154" s="76">
        <f>N(INDEX(Krankheitstage!$G154:$DV154,1,(Einstellungen!$C$3-2026)*24+20))</f>
        <v/>
      </c>
      <c r="Y154" s="76">
        <f>N(INDEX(Krankheitstage!$G154:$DV154,1,(Einstellungen!$C$3-2026)*24+21))</f>
        <v/>
      </c>
      <c r="Z154" s="76">
        <f>N(INDEX(Krankheitstage!$G154:$DV154,1,(Einstellungen!$C$3-2026)*24+22))</f>
        <v/>
      </c>
      <c r="AA154" s="76">
        <f>N(INDEX(Krankheitstage!$G154:$DV154,1,(Einstellungen!$C$3-2026)*24+23))</f>
        <v/>
      </c>
      <c r="AB154" s="76">
        <f>N(INDEX(Krankheitstage!$G154:$DV154,1,(Einstellungen!$C$3-2026)*24+24))</f>
        <v/>
      </c>
      <c r="AC154" s="76">
        <f>IF($B154="","",SUM(Q154:AB154))</f>
        <v/>
      </c>
      <c r="AD154" s="76">
        <f>IF($B154="","",SUM(P154,AC154))</f>
        <v/>
      </c>
      <c r="AE154" s="77">
        <f>IF($B154="","",AD154*N(C154))</f>
        <v/>
      </c>
      <c r="AF154" s="76">
        <f>IF($B154="","",Krankheitstage!E154)</f>
        <v/>
      </c>
      <c r="AG154" s="77">
        <f>IF($B154="","",AF154*N(C154))</f>
        <v/>
      </c>
    </row>
    <row r="155">
      <c r="A155" s="74">
        <f>IF(Mitarbeiter!B155="","",Mitarbeiter!A155)</f>
        <v/>
      </c>
      <c r="B155" s="6">
        <f>IF(Mitarbeiter!B155="","",Mitarbeiter!B155)</f>
        <v/>
      </c>
      <c r="C155" s="75">
        <f>IF(Mitarbeiter!B155="","",Mitarbeiter!F155)</f>
        <v/>
      </c>
      <c r="D155" s="76">
        <f>N(INDEX(Krankheitstage!$G155:$DV155,1,(Einstellungen!$C$3-2026)*24+1))</f>
        <v/>
      </c>
      <c r="E155" s="76">
        <f>N(INDEX(Krankheitstage!$G155:$DV155,1,(Einstellungen!$C$3-2026)*24+2))</f>
        <v/>
      </c>
      <c r="F155" s="76">
        <f>N(INDEX(Krankheitstage!$G155:$DV155,1,(Einstellungen!$C$3-2026)*24+3))</f>
        <v/>
      </c>
      <c r="G155" s="76">
        <f>N(INDEX(Krankheitstage!$G155:$DV155,1,(Einstellungen!$C$3-2026)*24+4))</f>
        <v/>
      </c>
      <c r="H155" s="76">
        <f>N(INDEX(Krankheitstage!$G155:$DV155,1,(Einstellungen!$C$3-2026)*24+5))</f>
        <v/>
      </c>
      <c r="I155" s="76">
        <f>N(INDEX(Krankheitstage!$G155:$DV155,1,(Einstellungen!$C$3-2026)*24+6))</f>
        <v/>
      </c>
      <c r="J155" s="76">
        <f>N(INDEX(Krankheitstage!$G155:$DV155,1,(Einstellungen!$C$3-2026)*24+7))</f>
        <v/>
      </c>
      <c r="K155" s="76">
        <f>N(INDEX(Krankheitstage!$G155:$DV155,1,(Einstellungen!$C$3-2026)*24+8))</f>
        <v/>
      </c>
      <c r="L155" s="76">
        <f>N(INDEX(Krankheitstage!$G155:$DV155,1,(Einstellungen!$C$3-2026)*24+9))</f>
        <v/>
      </c>
      <c r="M155" s="76">
        <f>N(INDEX(Krankheitstage!$G155:$DV155,1,(Einstellungen!$C$3-2026)*24+10))</f>
        <v/>
      </c>
      <c r="N155" s="76">
        <f>N(INDEX(Krankheitstage!$G155:$DV155,1,(Einstellungen!$C$3-2026)*24+11))</f>
        <v/>
      </c>
      <c r="O155" s="76">
        <f>N(INDEX(Krankheitstage!$G155:$DV155,1,(Einstellungen!$C$3-2026)*24+12))</f>
        <v/>
      </c>
      <c r="P155" s="76">
        <f>IF($B155="","",SUM(D155:O155))</f>
        <v/>
      </c>
      <c r="Q155" s="76">
        <f>N(INDEX(Krankheitstage!$G155:$DV155,1,(Einstellungen!$C$3-2026)*24+13))</f>
        <v/>
      </c>
      <c r="R155" s="76">
        <f>N(INDEX(Krankheitstage!$G155:$DV155,1,(Einstellungen!$C$3-2026)*24+14))</f>
        <v/>
      </c>
      <c r="S155" s="76">
        <f>N(INDEX(Krankheitstage!$G155:$DV155,1,(Einstellungen!$C$3-2026)*24+15))</f>
        <v/>
      </c>
      <c r="T155" s="76">
        <f>N(INDEX(Krankheitstage!$G155:$DV155,1,(Einstellungen!$C$3-2026)*24+16))</f>
        <v/>
      </c>
      <c r="U155" s="76">
        <f>N(INDEX(Krankheitstage!$G155:$DV155,1,(Einstellungen!$C$3-2026)*24+17))</f>
        <v/>
      </c>
      <c r="V155" s="76">
        <f>N(INDEX(Krankheitstage!$G155:$DV155,1,(Einstellungen!$C$3-2026)*24+18))</f>
        <v/>
      </c>
      <c r="W155" s="76">
        <f>N(INDEX(Krankheitstage!$G155:$DV155,1,(Einstellungen!$C$3-2026)*24+19))</f>
        <v/>
      </c>
      <c r="X155" s="76">
        <f>N(INDEX(Krankheitstage!$G155:$DV155,1,(Einstellungen!$C$3-2026)*24+20))</f>
        <v/>
      </c>
      <c r="Y155" s="76">
        <f>N(INDEX(Krankheitstage!$G155:$DV155,1,(Einstellungen!$C$3-2026)*24+21))</f>
        <v/>
      </c>
      <c r="Z155" s="76">
        <f>N(INDEX(Krankheitstage!$G155:$DV155,1,(Einstellungen!$C$3-2026)*24+22))</f>
        <v/>
      </c>
      <c r="AA155" s="76">
        <f>N(INDEX(Krankheitstage!$G155:$DV155,1,(Einstellungen!$C$3-2026)*24+23))</f>
        <v/>
      </c>
      <c r="AB155" s="76">
        <f>N(INDEX(Krankheitstage!$G155:$DV155,1,(Einstellungen!$C$3-2026)*24+24))</f>
        <v/>
      </c>
      <c r="AC155" s="76">
        <f>IF($B155="","",SUM(Q155:AB155))</f>
        <v/>
      </c>
      <c r="AD155" s="76">
        <f>IF($B155="","",SUM(P155,AC155))</f>
        <v/>
      </c>
      <c r="AE155" s="77">
        <f>IF($B155="","",AD155*N(C155))</f>
        <v/>
      </c>
      <c r="AF155" s="76">
        <f>IF($B155="","",Krankheitstage!E155)</f>
        <v/>
      </c>
      <c r="AG155" s="77">
        <f>IF($B155="","",AF155*N(C155))</f>
        <v/>
      </c>
    </row>
    <row r="156">
      <c r="A156" s="74">
        <f>IF(Mitarbeiter!B156="","",Mitarbeiter!A156)</f>
        <v/>
      </c>
      <c r="B156" s="6">
        <f>IF(Mitarbeiter!B156="","",Mitarbeiter!B156)</f>
        <v/>
      </c>
      <c r="C156" s="75">
        <f>IF(Mitarbeiter!B156="","",Mitarbeiter!F156)</f>
        <v/>
      </c>
      <c r="D156" s="76">
        <f>N(INDEX(Krankheitstage!$G156:$DV156,1,(Einstellungen!$C$3-2026)*24+1))</f>
        <v/>
      </c>
      <c r="E156" s="76">
        <f>N(INDEX(Krankheitstage!$G156:$DV156,1,(Einstellungen!$C$3-2026)*24+2))</f>
        <v/>
      </c>
      <c r="F156" s="76">
        <f>N(INDEX(Krankheitstage!$G156:$DV156,1,(Einstellungen!$C$3-2026)*24+3))</f>
        <v/>
      </c>
      <c r="G156" s="76">
        <f>N(INDEX(Krankheitstage!$G156:$DV156,1,(Einstellungen!$C$3-2026)*24+4))</f>
        <v/>
      </c>
      <c r="H156" s="76">
        <f>N(INDEX(Krankheitstage!$G156:$DV156,1,(Einstellungen!$C$3-2026)*24+5))</f>
        <v/>
      </c>
      <c r="I156" s="76">
        <f>N(INDEX(Krankheitstage!$G156:$DV156,1,(Einstellungen!$C$3-2026)*24+6))</f>
        <v/>
      </c>
      <c r="J156" s="76">
        <f>N(INDEX(Krankheitstage!$G156:$DV156,1,(Einstellungen!$C$3-2026)*24+7))</f>
        <v/>
      </c>
      <c r="K156" s="76">
        <f>N(INDEX(Krankheitstage!$G156:$DV156,1,(Einstellungen!$C$3-2026)*24+8))</f>
        <v/>
      </c>
      <c r="L156" s="76">
        <f>N(INDEX(Krankheitstage!$G156:$DV156,1,(Einstellungen!$C$3-2026)*24+9))</f>
        <v/>
      </c>
      <c r="M156" s="76">
        <f>N(INDEX(Krankheitstage!$G156:$DV156,1,(Einstellungen!$C$3-2026)*24+10))</f>
        <v/>
      </c>
      <c r="N156" s="76">
        <f>N(INDEX(Krankheitstage!$G156:$DV156,1,(Einstellungen!$C$3-2026)*24+11))</f>
        <v/>
      </c>
      <c r="O156" s="76">
        <f>N(INDEX(Krankheitstage!$G156:$DV156,1,(Einstellungen!$C$3-2026)*24+12))</f>
        <v/>
      </c>
      <c r="P156" s="76">
        <f>IF($B156="","",SUM(D156:O156))</f>
        <v/>
      </c>
      <c r="Q156" s="76">
        <f>N(INDEX(Krankheitstage!$G156:$DV156,1,(Einstellungen!$C$3-2026)*24+13))</f>
        <v/>
      </c>
      <c r="R156" s="76">
        <f>N(INDEX(Krankheitstage!$G156:$DV156,1,(Einstellungen!$C$3-2026)*24+14))</f>
        <v/>
      </c>
      <c r="S156" s="76">
        <f>N(INDEX(Krankheitstage!$G156:$DV156,1,(Einstellungen!$C$3-2026)*24+15))</f>
        <v/>
      </c>
      <c r="T156" s="76">
        <f>N(INDEX(Krankheitstage!$G156:$DV156,1,(Einstellungen!$C$3-2026)*24+16))</f>
        <v/>
      </c>
      <c r="U156" s="76">
        <f>N(INDEX(Krankheitstage!$G156:$DV156,1,(Einstellungen!$C$3-2026)*24+17))</f>
        <v/>
      </c>
      <c r="V156" s="76">
        <f>N(INDEX(Krankheitstage!$G156:$DV156,1,(Einstellungen!$C$3-2026)*24+18))</f>
        <v/>
      </c>
      <c r="W156" s="76">
        <f>N(INDEX(Krankheitstage!$G156:$DV156,1,(Einstellungen!$C$3-2026)*24+19))</f>
        <v/>
      </c>
      <c r="X156" s="76">
        <f>N(INDEX(Krankheitstage!$G156:$DV156,1,(Einstellungen!$C$3-2026)*24+20))</f>
        <v/>
      </c>
      <c r="Y156" s="76">
        <f>N(INDEX(Krankheitstage!$G156:$DV156,1,(Einstellungen!$C$3-2026)*24+21))</f>
        <v/>
      </c>
      <c r="Z156" s="76">
        <f>N(INDEX(Krankheitstage!$G156:$DV156,1,(Einstellungen!$C$3-2026)*24+22))</f>
        <v/>
      </c>
      <c r="AA156" s="76">
        <f>N(INDEX(Krankheitstage!$G156:$DV156,1,(Einstellungen!$C$3-2026)*24+23))</f>
        <v/>
      </c>
      <c r="AB156" s="76">
        <f>N(INDEX(Krankheitstage!$G156:$DV156,1,(Einstellungen!$C$3-2026)*24+24))</f>
        <v/>
      </c>
      <c r="AC156" s="76">
        <f>IF($B156="","",SUM(Q156:AB156))</f>
        <v/>
      </c>
      <c r="AD156" s="76">
        <f>IF($B156="","",SUM(P156,AC156))</f>
        <v/>
      </c>
      <c r="AE156" s="77">
        <f>IF($B156="","",AD156*N(C156))</f>
        <v/>
      </c>
      <c r="AF156" s="76">
        <f>IF($B156="","",Krankheitstage!E156)</f>
        <v/>
      </c>
      <c r="AG156" s="77">
        <f>IF($B156="","",AF156*N(C156))</f>
        <v/>
      </c>
    </row>
    <row r="157">
      <c r="A157" s="74">
        <f>IF(Mitarbeiter!B157="","",Mitarbeiter!A157)</f>
        <v/>
      </c>
      <c r="B157" s="6">
        <f>IF(Mitarbeiter!B157="","",Mitarbeiter!B157)</f>
        <v/>
      </c>
      <c r="C157" s="75">
        <f>IF(Mitarbeiter!B157="","",Mitarbeiter!F157)</f>
        <v/>
      </c>
      <c r="D157" s="76">
        <f>N(INDEX(Krankheitstage!$G157:$DV157,1,(Einstellungen!$C$3-2026)*24+1))</f>
        <v/>
      </c>
      <c r="E157" s="76">
        <f>N(INDEX(Krankheitstage!$G157:$DV157,1,(Einstellungen!$C$3-2026)*24+2))</f>
        <v/>
      </c>
      <c r="F157" s="76">
        <f>N(INDEX(Krankheitstage!$G157:$DV157,1,(Einstellungen!$C$3-2026)*24+3))</f>
        <v/>
      </c>
      <c r="G157" s="76">
        <f>N(INDEX(Krankheitstage!$G157:$DV157,1,(Einstellungen!$C$3-2026)*24+4))</f>
        <v/>
      </c>
      <c r="H157" s="76">
        <f>N(INDEX(Krankheitstage!$G157:$DV157,1,(Einstellungen!$C$3-2026)*24+5))</f>
        <v/>
      </c>
      <c r="I157" s="76">
        <f>N(INDEX(Krankheitstage!$G157:$DV157,1,(Einstellungen!$C$3-2026)*24+6))</f>
        <v/>
      </c>
      <c r="J157" s="76">
        <f>N(INDEX(Krankheitstage!$G157:$DV157,1,(Einstellungen!$C$3-2026)*24+7))</f>
        <v/>
      </c>
      <c r="K157" s="76">
        <f>N(INDEX(Krankheitstage!$G157:$DV157,1,(Einstellungen!$C$3-2026)*24+8))</f>
        <v/>
      </c>
      <c r="L157" s="76">
        <f>N(INDEX(Krankheitstage!$G157:$DV157,1,(Einstellungen!$C$3-2026)*24+9))</f>
        <v/>
      </c>
      <c r="M157" s="76">
        <f>N(INDEX(Krankheitstage!$G157:$DV157,1,(Einstellungen!$C$3-2026)*24+10))</f>
        <v/>
      </c>
      <c r="N157" s="76">
        <f>N(INDEX(Krankheitstage!$G157:$DV157,1,(Einstellungen!$C$3-2026)*24+11))</f>
        <v/>
      </c>
      <c r="O157" s="76">
        <f>N(INDEX(Krankheitstage!$G157:$DV157,1,(Einstellungen!$C$3-2026)*24+12))</f>
        <v/>
      </c>
      <c r="P157" s="76">
        <f>IF($B157="","",SUM(D157:O157))</f>
        <v/>
      </c>
      <c r="Q157" s="76">
        <f>N(INDEX(Krankheitstage!$G157:$DV157,1,(Einstellungen!$C$3-2026)*24+13))</f>
        <v/>
      </c>
      <c r="R157" s="76">
        <f>N(INDEX(Krankheitstage!$G157:$DV157,1,(Einstellungen!$C$3-2026)*24+14))</f>
        <v/>
      </c>
      <c r="S157" s="76">
        <f>N(INDEX(Krankheitstage!$G157:$DV157,1,(Einstellungen!$C$3-2026)*24+15))</f>
        <v/>
      </c>
      <c r="T157" s="76">
        <f>N(INDEX(Krankheitstage!$G157:$DV157,1,(Einstellungen!$C$3-2026)*24+16))</f>
        <v/>
      </c>
      <c r="U157" s="76">
        <f>N(INDEX(Krankheitstage!$G157:$DV157,1,(Einstellungen!$C$3-2026)*24+17))</f>
        <v/>
      </c>
      <c r="V157" s="76">
        <f>N(INDEX(Krankheitstage!$G157:$DV157,1,(Einstellungen!$C$3-2026)*24+18))</f>
        <v/>
      </c>
      <c r="W157" s="76">
        <f>N(INDEX(Krankheitstage!$G157:$DV157,1,(Einstellungen!$C$3-2026)*24+19))</f>
        <v/>
      </c>
      <c r="X157" s="76">
        <f>N(INDEX(Krankheitstage!$G157:$DV157,1,(Einstellungen!$C$3-2026)*24+20))</f>
        <v/>
      </c>
      <c r="Y157" s="76">
        <f>N(INDEX(Krankheitstage!$G157:$DV157,1,(Einstellungen!$C$3-2026)*24+21))</f>
        <v/>
      </c>
      <c r="Z157" s="76">
        <f>N(INDEX(Krankheitstage!$G157:$DV157,1,(Einstellungen!$C$3-2026)*24+22))</f>
        <v/>
      </c>
      <c r="AA157" s="76">
        <f>N(INDEX(Krankheitstage!$G157:$DV157,1,(Einstellungen!$C$3-2026)*24+23))</f>
        <v/>
      </c>
      <c r="AB157" s="76">
        <f>N(INDEX(Krankheitstage!$G157:$DV157,1,(Einstellungen!$C$3-2026)*24+24))</f>
        <v/>
      </c>
      <c r="AC157" s="76">
        <f>IF($B157="","",SUM(Q157:AB157))</f>
        <v/>
      </c>
      <c r="AD157" s="76">
        <f>IF($B157="","",SUM(P157,AC157))</f>
        <v/>
      </c>
      <c r="AE157" s="77">
        <f>IF($B157="","",AD157*N(C157))</f>
        <v/>
      </c>
      <c r="AF157" s="76">
        <f>IF($B157="","",Krankheitstage!E157)</f>
        <v/>
      </c>
      <c r="AG157" s="77">
        <f>IF($B157="","",AF157*N(C157))</f>
        <v/>
      </c>
    </row>
    <row r="158">
      <c r="A158" s="74">
        <f>IF(Mitarbeiter!B158="","",Mitarbeiter!A158)</f>
        <v/>
      </c>
      <c r="B158" s="6">
        <f>IF(Mitarbeiter!B158="","",Mitarbeiter!B158)</f>
        <v/>
      </c>
      <c r="C158" s="75">
        <f>IF(Mitarbeiter!B158="","",Mitarbeiter!F158)</f>
        <v/>
      </c>
      <c r="D158" s="76">
        <f>N(INDEX(Krankheitstage!$G158:$DV158,1,(Einstellungen!$C$3-2026)*24+1))</f>
        <v/>
      </c>
      <c r="E158" s="76">
        <f>N(INDEX(Krankheitstage!$G158:$DV158,1,(Einstellungen!$C$3-2026)*24+2))</f>
        <v/>
      </c>
      <c r="F158" s="76">
        <f>N(INDEX(Krankheitstage!$G158:$DV158,1,(Einstellungen!$C$3-2026)*24+3))</f>
        <v/>
      </c>
      <c r="G158" s="76">
        <f>N(INDEX(Krankheitstage!$G158:$DV158,1,(Einstellungen!$C$3-2026)*24+4))</f>
        <v/>
      </c>
      <c r="H158" s="76">
        <f>N(INDEX(Krankheitstage!$G158:$DV158,1,(Einstellungen!$C$3-2026)*24+5))</f>
        <v/>
      </c>
      <c r="I158" s="76">
        <f>N(INDEX(Krankheitstage!$G158:$DV158,1,(Einstellungen!$C$3-2026)*24+6))</f>
        <v/>
      </c>
      <c r="J158" s="76">
        <f>N(INDEX(Krankheitstage!$G158:$DV158,1,(Einstellungen!$C$3-2026)*24+7))</f>
        <v/>
      </c>
      <c r="K158" s="76">
        <f>N(INDEX(Krankheitstage!$G158:$DV158,1,(Einstellungen!$C$3-2026)*24+8))</f>
        <v/>
      </c>
      <c r="L158" s="76">
        <f>N(INDEX(Krankheitstage!$G158:$DV158,1,(Einstellungen!$C$3-2026)*24+9))</f>
        <v/>
      </c>
      <c r="M158" s="76">
        <f>N(INDEX(Krankheitstage!$G158:$DV158,1,(Einstellungen!$C$3-2026)*24+10))</f>
        <v/>
      </c>
      <c r="N158" s="76">
        <f>N(INDEX(Krankheitstage!$G158:$DV158,1,(Einstellungen!$C$3-2026)*24+11))</f>
        <v/>
      </c>
      <c r="O158" s="76">
        <f>N(INDEX(Krankheitstage!$G158:$DV158,1,(Einstellungen!$C$3-2026)*24+12))</f>
        <v/>
      </c>
      <c r="P158" s="76">
        <f>IF($B158="","",SUM(D158:O158))</f>
        <v/>
      </c>
      <c r="Q158" s="76">
        <f>N(INDEX(Krankheitstage!$G158:$DV158,1,(Einstellungen!$C$3-2026)*24+13))</f>
        <v/>
      </c>
      <c r="R158" s="76">
        <f>N(INDEX(Krankheitstage!$G158:$DV158,1,(Einstellungen!$C$3-2026)*24+14))</f>
        <v/>
      </c>
      <c r="S158" s="76">
        <f>N(INDEX(Krankheitstage!$G158:$DV158,1,(Einstellungen!$C$3-2026)*24+15))</f>
        <v/>
      </c>
      <c r="T158" s="76">
        <f>N(INDEX(Krankheitstage!$G158:$DV158,1,(Einstellungen!$C$3-2026)*24+16))</f>
        <v/>
      </c>
      <c r="U158" s="76">
        <f>N(INDEX(Krankheitstage!$G158:$DV158,1,(Einstellungen!$C$3-2026)*24+17))</f>
        <v/>
      </c>
      <c r="V158" s="76">
        <f>N(INDEX(Krankheitstage!$G158:$DV158,1,(Einstellungen!$C$3-2026)*24+18))</f>
        <v/>
      </c>
      <c r="W158" s="76">
        <f>N(INDEX(Krankheitstage!$G158:$DV158,1,(Einstellungen!$C$3-2026)*24+19))</f>
        <v/>
      </c>
      <c r="X158" s="76">
        <f>N(INDEX(Krankheitstage!$G158:$DV158,1,(Einstellungen!$C$3-2026)*24+20))</f>
        <v/>
      </c>
      <c r="Y158" s="76">
        <f>N(INDEX(Krankheitstage!$G158:$DV158,1,(Einstellungen!$C$3-2026)*24+21))</f>
        <v/>
      </c>
      <c r="Z158" s="76">
        <f>N(INDEX(Krankheitstage!$G158:$DV158,1,(Einstellungen!$C$3-2026)*24+22))</f>
        <v/>
      </c>
      <c r="AA158" s="76">
        <f>N(INDEX(Krankheitstage!$G158:$DV158,1,(Einstellungen!$C$3-2026)*24+23))</f>
        <v/>
      </c>
      <c r="AB158" s="76">
        <f>N(INDEX(Krankheitstage!$G158:$DV158,1,(Einstellungen!$C$3-2026)*24+24))</f>
        <v/>
      </c>
      <c r="AC158" s="76">
        <f>IF($B158="","",SUM(Q158:AB158))</f>
        <v/>
      </c>
      <c r="AD158" s="76">
        <f>IF($B158="","",SUM(P158,AC158))</f>
        <v/>
      </c>
      <c r="AE158" s="77">
        <f>IF($B158="","",AD158*N(C158))</f>
        <v/>
      </c>
      <c r="AF158" s="76">
        <f>IF($B158="","",Krankheitstage!E158)</f>
        <v/>
      </c>
      <c r="AG158" s="77">
        <f>IF($B158="","",AF158*N(C158))</f>
        <v/>
      </c>
    </row>
    <row r="159">
      <c r="A159" s="74">
        <f>IF(Mitarbeiter!B159="","",Mitarbeiter!A159)</f>
        <v/>
      </c>
      <c r="B159" s="6">
        <f>IF(Mitarbeiter!B159="","",Mitarbeiter!B159)</f>
        <v/>
      </c>
      <c r="C159" s="75">
        <f>IF(Mitarbeiter!B159="","",Mitarbeiter!F159)</f>
        <v/>
      </c>
      <c r="D159" s="76">
        <f>N(INDEX(Krankheitstage!$G159:$DV159,1,(Einstellungen!$C$3-2026)*24+1))</f>
        <v/>
      </c>
      <c r="E159" s="76">
        <f>N(INDEX(Krankheitstage!$G159:$DV159,1,(Einstellungen!$C$3-2026)*24+2))</f>
        <v/>
      </c>
      <c r="F159" s="76">
        <f>N(INDEX(Krankheitstage!$G159:$DV159,1,(Einstellungen!$C$3-2026)*24+3))</f>
        <v/>
      </c>
      <c r="G159" s="76">
        <f>N(INDEX(Krankheitstage!$G159:$DV159,1,(Einstellungen!$C$3-2026)*24+4))</f>
        <v/>
      </c>
      <c r="H159" s="76">
        <f>N(INDEX(Krankheitstage!$G159:$DV159,1,(Einstellungen!$C$3-2026)*24+5))</f>
        <v/>
      </c>
      <c r="I159" s="76">
        <f>N(INDEX(Krankheitstage!$G159:$DV159,1,(Einstellungen!$C$3-2026)*24+6))</f>
        <v/>
      </c>
      <c r="J159" s="76">
        <f>N(INDEX(Krankheitstage!$G159:$DV159,1,(Einstellungen!$C$3-2026)*24+7))</f>
        <v/>
      </c>
      <c r="K159" s="76">
        <f>N(INDEX(Krankheitstage!$G159:$DV159,1,(Einstellungen!$C$3-2026)*24+8))</f>
        <v/>
      </c>
      <c r="L159" s="76">
        <f>N(INDEX(Krankheitstage!$G159:$DV159,1,(Einstellungen!$C$3-2026)*24+9))</f>
        <v/>
      </c>
      <c r="M159" s="76">
        <f>N(INDEX(Krankheitstage!$G159:$DV159,1,(Einstellungen!$C$3-2026)*24+10))</f>
        <v/>
      </c>
      <c r="N159" s="76">
        <f>N(INDEX(Krankheitstage!$G159:$DV159,1,(Einstellungen!$C$3-2026)*24+11))</f>
        <v/>
      </c>
      <c r="O159" s="76">
        <f>N(INDEX(Krankheitstage!$G159:$DV159,1,(Einstellungen!$C$3-2026)*24+12))</f>
        <v/>
      </c>
      <c r="P159" s="76">
        <f>IF($B159="","",SUM(D159:O159))</f>
        <v/>
      </c>
      <c r="Q159" s="76">
        <f>N(INDEX(Krankheitstage!$G159:$DV159,1,(Einstellungen!$C$3-2026)*24+13))</f>
        <v/>
      </c>
      <c r="R159" s="76">
        <f>N(INDEX(Krankheitstage!$G159:$DV159,1,(Einstellungen!$C$3-2026)*24+14))</f>
        <v/>
      </c>
      <c r="S159" s="76">
        <f>N(INDEX(Krankheitstage!$G159:$DV159,1,(Einstellungen!$C$3-2026)*24+15))</f>
        <v/>
      </c>
      <c r="T159" s="76">
        <f>N(INDEX(Krankheitstage!$G159:$DV159,1,(Einstellungen!$C$3-2026)*24+16))</f>
        <v/>
      </c>
      <c r="U159" s="76">
        <f>N(INDEX(Krankheitstage!$G159:$DV159,1,(Einstellungen!$C$3-2026)*24+17))</f>
        <v/>
      </c>
      <c r="V159" s="76">
        <f>N(INDEX(Krankheitstage!$G159:$DV159,1,(Einstellungen!$C$3-2026)*24+18))</f>
        <v/>
      </c>
      <c r="W159" s="76">
        <f>N(INDEX(Krankheitstage!$G159:$DV159,1,(Einstellungen!$C$3-2026)*24+19))</f>
        <v/>
      </c>
      <c r="X159" s="76">
        <f>N(INDEX(Krankheitstage!$G159:$DV159,1,(Einstellungen!$C$3-2026)*24+20))</f>
        <v/>
      </c>
      <c r="Y159" s="76">
        <f>N(INDEX(Krankheitstage!$G159:$DV159,1,(Einstellungen!$C$3-2026)*24+21))</f>
        <v/>
      </c>
      <c r="Z159" s="76">
        <f>N(INDEX(Krankheitstage!$G159:$DV159,1,(Einstellungen!$C$3-2026)*24+22))</f>
        <v/>
      </c>
      <c r="AA159" s="76">
        <f>N(INDEX(Krankheitstage!$G159:$DV159,1,(Einstellungen!$C$3-2026)*24+23))</f>
        <v/>
      </c>
      <c r="AB159" s="76">
        <f>N(INDEX(Krankheitstage!$G159:$DV159,1,(Einstellungen!$C$3-2026)*24+24))</f>
        <v/>
      </c>
      <c r="AC159" s="76">
        <f>IF($B159="","",SUM(Q159:AB159))</f>
        <v/>
      </c>
      <c r="AD159" s="76">
        <f>IF($B159="","",SUM(P159,AC159))</f>
        <v/>
      </c>
      <c r="AE159" s="77">
        <f>IF($B159="","",AD159*N(C159))</f>
        <v/>
      </c>
      <c r="AF159" s="76">
        <f>IF($B159="","",Krankheitstage!E159)</f>
        <v/>
      </c>
      <c r="AG159" s="77">
        <f>IF($B159="","",AF159*N(C159))</f>
        <v/>
      </c>
    </row>
    <row r="160">
      <c r="A160" s="74">
        <f>IF(Mitarbeiter!B160="","",Mitarbeiter!A160)</f>
        <v/>
      </c>
      <c r="B160" s="6">
        <f>IF(Mitarbeiter!B160="","",Mitarbeiter!B160)</f>
        <v/>
      </c>
      <c r="C160" s="75">
        <f>IF(Mitarbeiter!B160="","",Mitarbeiter!F160)</f>
        <v/>
      </c>
      <c r="D160" s="76">
        <f>N(INDEX(Krankheitstage!$G160:$DV160,1,(Einstellungen!$C$3-2026)*24+1))</f>
        <v/>
      </c>
      <c r="E160" s="76">
        <f>N(INDEX(Krankheitstage!$G160:$DV160,1,(Einstellungen!$C$3-2026)*24+2))</f>
        <v/>
      </c>
      <c r="F160" s="76">
        <f>N(INDEX(Krankheitstage!$G160:$DV160,1,(Einstellungen!$C$3-2026)*24+3))</f>
        <v/>
      </c>
      <c r="G160" s="76">
        <f>N(INDEX(Krankheitstage!$G160:$DV160,1,(Einstellungen!$C$3-2026)*24+4))</f>
        <v/>
      </c>
      <c r="H160" s="76">
        <f>N(INDEX(Krankheitstage!$G160:$DV160,1,(Einstellungen!$C$3-2026)*24+5))</f>
        <v/>
      </c>
      <c r="I160" s="76">
        <f>N(INDEX(Krankheitstage!$G160:$DV160,1,(Einstellungen!$C$3-2026)*24+6))</f>
        <v/>
      </c>
      <c r="J160" s="76">
        <f>N(INDEX(Krankheitstage!$G160:$DV160,1,(Einstellungen!$C$3-2026)*24+7))</f>
        <v/>
      </c>
      <c r="K160" s="76">
        <f>N(INDEX(Krankheitstage!$G160:$DV160,1,(Einstellungen!$C$3-2026)*24+8))</f>
        <v/>
      </c>
      <c r="L160" s="76">
        <f>N(INDEX(Krankheitstage!$G160:$DV160,1,(Einstellungen!$C$3-2026)*24+9))</f>
        <v/>
      </c>
      <c r="M160" s="76">
        <f>N(INDEX(Krankheitstage!$G160:$DV160,1,(Einstellungen!$C$3-2026)*24+10))</f>
        <v/>
      </c>
      <c r="N160" s="76">
        <f>N(INDEX(Krankheitstage!$G160:$DV160,1,(Einstellungen!$C$3-2026)*24+11))</f>
        <v/>
      </c>
      <c r="O160" s="76">
        <f>N(INDEX(Krankheitstage!$G160:$DV160,1,(Einstellungen!$C$3-2026)*24+12))</f>
        <v/>
      </c>
      <c r="P160" s="76">
        <f>IF($B160="","",SUM(D160:O160))</f>
        <v/>
      </c>
      <c r="Q160" s="76">
        <f>N(INDEX(Krankheitstage!$G160:$DV160,1,(Einstellungen!$C$3-2026)*24+13))</f>
        <v/>
      </c>
      <c r="R160" s="76">
        <f>N(INDEX(Krankheitstage!$G160:$DV160,1,(Einstellungen!$C$3-2026)*24+14))</f>
        <v/>
      </c>
      <c r="S160" s="76">
        <f>N(INDEX(Krankheitstage!$G160:$DV160,1,(Einstellungen!$C$3-2026)*24+15))</f>
        <v/>
      </c>
      <c r="T160" s="76">
        <f>N(INDEX(Krankheitstage!$G160:$DV160,1,(Einstellungen!$C$3-2026)*24+16))</f>
        <v/>
      </c>
      <c r="U160" s="76">
        <f>N(INDEX(Krankheitstage!$G160:$DV160,1,(Einstellungen!$C$3-2026)*24+17))</f>
        <v/>
      </c>
      <c r="V160" s="76">
        <f>N(INDEX(Krankheitstage!$G160:$DV160,1,(Einstellungen!$C$3-2026)*24+18))</f>
        <v/>
      </c>
      <c r="W160" s="76">
        <f>N(INDEX(Krankheitstage!$G160:$DV160,1,(Einstellungen!$C$3-2026)*24+19))</f>
        <v/>
      </c>
      <c r="X160" s="76">
        <f>N(INDEX(Krankheitstage!$G160:$DV160,1,(Einstellungen!$C$3-2026)*24+20))</f>
        <v/>
      </c>
      <c r="Y160" s="76">
        <f>N(INDEX(Krankheitstage!$G160:$DV160,1,(Einstellungen!$C$3-2026)*24+21))</f>
        <v/>
      </c>
      <c r="Z160" s="76">
        <f>N(INDEX(Krankheitstage!$G160:$DV160,1,(Einstellungen!$C$3-2026)*24+22))</f>
        <v/>
      </c>
      <c r="AA160" s="76">
        <f>N(INDEX(Krankheitstage!$G160:$DV160,1,(Einstellungen!$C$3-2026)*24+23))</f>
        <v/>
      </c>
      <c r="AB160" s="76">
        <f>N(INDEX(Krankheitstage!$G160:$DV160,1,(Einstellungen!$C$3-2026)*24+24))</f>
        <v/>
      </c>
      <c r="AC160" s="76">
        <f>IF($B160="","",SUM(Q160:AB160))</f>
        <v/>
      </c>
      <c r="AD160" s="76">
        <f>IF($B160="","",SUM(P160,AC160))</f>
        <v/>
      </c>
      <c r="AE160" s="77">
        <f>IF($B160="","",AD160*N(C160))</f>
        <v/>
      </c>
      <c r="AF160" s="76">
        <f>IF($B160="","",Krankheitstage!E160)</f>
        <v/>
      </c>
      <c r="AG160" s="77">
        <f>IF($B160="","",AF160*N(C160))</f>
        <v/>
      </c>
    </row>
    <row r="161">
      <c r="A161" s="74">
        <f>IF(Mitarbeiter!B161="","",Mitarbeiter!A161)</f>
        <v/>
      </c>
      <c r="B161" s="6">
        <f>IF(Mitarbeiter!B161="","",Mitarbeiter!B161)</f>
        <v/>
      </c>
      <c r="C161" s="75">
        <f>IF(Mitarbeiter!B161="","",Mitarbeiter!F161)</f>
        <v/>
      </c>
      <c r="D161" s="76">
        <f>N(INDEX(Krankheitstage!$G161:$DV161,1,(Einstellungen!$C$3-2026)*24+1))</f>
        <v/>
      </c>
      <c r="E161" s="76">
        <f>N(INDEX(Krankheitstage!$G161:$DV161,1,(Einstellungen!$C$3-2026)*24+2))</f>
        <v/>
      </c>
      <c r="F161" s="76">
        <f>N(INDEX(Krankheitstage!$G161:$DV161,1,(Einstellungen!$C$3-2026)*24+3))</f>
        <v/>
      </c>
      <c r="G161" s="76">
        <f>N(INDEX(Krankheitstage!$G161:$DV161,1,(Einstellungen!$C$3-2026)*24+4))</f>
        <v/>
      </c>
      <c r="H161" s="76">
        <f>N(INDEX(Krankheitstage!$G161:$DV161,1,(Einstellungen!$C$3-2026)*24+5))</f>
        <v/>
      </c>
      <c r="I161" s="76">
        <f>N(INDEX(Krankheitstage!$G161:$DV161,1,(Einstellungen!$C$3-2026)*24+6))</f>
        <v/>
      </c>
      <c r="J161" s="76">
        <f>N(INDEX(Krankheitstage!$G161:$DV161,1,(Einstellungen!$C$3-2026)*24+7))</f>
        <v/>
      </c>
      <c r="K161" s="76">
        <f>N(INDEX(Krankheitstage!$G161:$DV161,1,(Einstellungen!$C$3-2026)*24+8))</f>
        <v/>
      </c>
      <c r="L161" s="76">
        <f>N(INDEX(Krankheitstage!$G161:$DV161,1,(Einstellungen!$C$3-2026)*24+9))</f>
        <v/>
      </c>
      <c r="M161" s="76">
        <f>N(INDEX(Krankheitstage!$G161:$DV161,1,(Einstellungen!$C$3-2026)*24+10))</f>
        <v/>
      </c>
      <c r="N161" s="76">
        <f>N(INDEX(Krankheitstage!$G161:$DV161,1,(Einstellungen!$C$3-2026)*24+11))</f>
        <v/>
      </c>
      <c r="O161" s="76">
        <f>N(INDEX(Krankheitstage!$G161:$DV161,1,(Einstellungen!$C$3-2026)*24+12))</f>
        <v/>
      </c>
      <c r="P161" s="76">
        <f>IF($B161="","",SUM(D161:O161))</f>
        <v/>
      </c>
      <c r="Q161" s="76">
        <f>N(INDEX(Krankheitstage!$G161:$DV161,1,(Einstellungen!$C$3-2026)*24+13))</f>
        <v/>
      </c>
      <c r="R161" s="76">
        <f>N(INDEX(Krankheitstage!$G161:$DV161,1,(Einstellungen!$C$3-2026)*24+14))</f>
        <v/>
      </c>
      <c r="S161" s="76">
        <f>N(INDEX(Krankheitstage!$G161:$DV161,1,(Einstellungen!$C$3-2026)*24+15))</f>
        <v/>
      </c>
      <c r="T161" s="76">
        <f>N(INDEX(Krankheitstage!$G161:$DV161,1,(Einstellungen!$C$3-2026)*24+16))</f>
        <v/>
      </c>
      <c r="U161" s="76">
        <f>N(INDEX(Krankheitstage!$G161:$DV161,1,(Einstellungen!$C$3-2026)*24+17))</f>
        <v/>
      </c>
      <c r="V161" s="76">
        <f>N(INDEX(Krankheitstage!$G161:$DV161,1,(Einstellungen!$C$3-2026)*24+18))</f>
        <v/>
      </c>
      <c r="W161" s="76">
        <f>N(INDEX(Krankheitstage!$G161:$DV161,1,(Einstellungen!$C$3-2026)*24+19))</f>
        <v/>
      </c>
      <c r="X161" s="76">
        <f>N(INDEX(Krankheitstage!$G161:$DV161,1,(Einstellungen!$C$3-2026)*24+20))</f>
        <v/>
      </c>
      <c r="Y161" s="76">
        <f>N(INDEX(Krankheitstage!$G161:$DV161,1,(Einstellungen!$C$3-2026)*24+21))</f>
        <v/>
      </c>
      <c r="Z161" s="76">
        <f>N(INDEX(Krankheitstage!$G161:$DV161,1,(Einstellungen!$C$3-2026)*24+22))</f>
        <v/>
      </c>
      <c r="AA161" s="76">
        <f>N(INDEX(Krankheitstage!$G161:$DV161,1,(Einstellungen!$C$3-2026)*24+23))</f>
        <v/>
      </c>
      <c r="AB161" s="76">
        <f>N(INDEX(Krankheitstage!$G161:$DV161,1,(Einstellungen!$C$3-2026)*24+24))</f>
        <v/>
      </c>
      <c r="AC161" s="76">
        <f>IF($B161="","",SUM(Q161:AB161))</f>
        <v/>
      </c>
      <c r="AD161" s="76">
        <f>IF($B161="","",SUM(P161,AC161))</f>
        <v/>
      </c>
      <c r="AE161" s="77">
        <f>IF($B161="","",AD161*N(C161))</f>
        <v/>
      </c>
      <c r="AF161" s="76">
        <f>IF($B161="","",Krankheitstage!E161)</f>
        <v/>
      </c>
      <c r="AG161" s="77">
        <f>IF($B161="","",AF161*N(C161))</f>
        <v/>
      </c>
    </row>
    <row r="162">
      <c r="A162" s="74">
        <f>IF(Mitarbeiter!B162="","",Mitarbeiter!A162)</f>
        <v/>
      </c>
      <c r="B162" s="6">
        <f>IF(Mitarbeiter!B162="","",Mitarbeiter!B162)</f>
        <v/>
      </c>
      <c r="C162" s="75">
        <f>IF(Mitarbeiter!B162="","",Mitarbeiter!F162)</f>
        <v/>
      </c>
      <c r="D162" s="76">
        <f>N(INDEX(Krankheitstage!$G162:$DV162,1,(Einstellungen!$C$3-2026)*24+1))</f>
        <v/>
      </c>
      <c r="E162" s="76">
        <f>N(INDEX(Krankheitstage!$G162:$DV162,1,(Einstellungen!$C$3-2026)*24+2))</f>
        <v/>
      </c>
      <c r="F162" s="76">
        <f>N(INDEX(Krankheitstage!$G162:$DV162,1,(Einstellungen!$C$3-2026)*24+3))</f>
        <v/>
      </c>
      <c r="G162" s="76">
        <f>N(INDEX(Krankheitstage!$G162:$DV162,1,(Einstellungen!$C$3-2026)*24+4))</f>
        <v/>
      </c>
      <c r="H162" s="76">
        <f>N(INDEX(Krankheitstage!$G162:$DV162,1,(Einstellungen!$C$3-2026)*24+5))</f>
        <v/>
      </c>
      <c r="I162" s="76">
        <f>N(INDEX(Krankheitstage!$G162:$DV162,1,(Einstellungen!$C$3-2026)*24+6))</f>
        <v/>
      </c>
      <c r="J162" s="76">
        <f>N(INDEX(Krankheitstage!$G162:$DV162,1,(Einstellungen!$C$3-2026)*24+7))</f>
        <v/>
      </c>
      <c r="K162" s="76">
        <f>N(INDEX(Krankheitstage!$G162:$DV162,1,(Einstellungen!$C$3-2026)*24+8))</f>
        <v/>
      </c>
      <c r="L162" s="76">
        <f>N(INDEX(Krankheitstage!$G162:$DV162,1,(Einstellungen!$C$3-2026)*24+9))</f>
        <v/>
      </c>
      <c r="M162" s="76">
        <f>N(INDEX(Krankheitstage!$G162:$DV162,1,(Einstellungen!$C$3-2026)*24+10))</f>
        <v/>
      </c>
      <c r="N162" s="76">
        <f>N(INDEX(Krankheitstage!$G162:$DV162,1,(Einstellungen!$C$3-2026)*24+11))</f>
        <v/>
      </c>
      <c r="O162" s="76">
        <f>N(INDEX(Krankheitstage!$G162:$DV162,1,(Einstellungen!$C$3-2026)*24+12))</f>
        <v/>
      </c>
      <c r="P162" s="76">
        <f>IF($B162="","",SUM(D162:O162))</f>
        <v/>
      </c>
      <c r="Q162" s="76">
        <f>N(INDEX(Krankheitstage!$G162:$DV162,1,(Einstellungen!$C$3-2026)*24+13))</f>
        <v/>
      </c>
      <c r="R162" s="76">
        <f>N(INDEX(Krankheitstage!$G162:$DV162,1,(Einstellungen!$C$3-2026)*24+14))</f>
        <v/>
      </c>
      <c r="S162" s="76">
        <f>N(INDEX(Krankheitstage!$G162:$DV162,1,(Einstellungen!$C$3-2026)*24+15))</f>
        <v/>
      </c>
      <c r="T162" s="76">
        <f>N(INDEX(Krankheitstage!$G162:$DV162,1,(Einstellungen!$C$3-2026)*24+16))</f>
        <v/>
      </c>
      <c r="U162" s="76">
        <f>N(INDEX(Krankheitstage!$G162:$DV162,1,(Einstellungen!$C$3-2026)*24+17))</f>
        <v/>
      </c>
      <c r="V162" s="76">
        <f>N(INDEX(Krankheitstage!$G162:$DV162,1,(Einstellungen!$C$3-2026)*24+18))</f>
        <v/>
      </c>
      <c r="W162" s="76">
        <f>N(INDEX(Krankheitstage!$G162:$DV162,1,(Einstellungen!$C$3-2026)*24+19))</f>
        <v/>
      </c>
      <c r="X162" s="76">
        <f>N(INDEX(Krankheitstage!$G162:$DV162,1,(Einstellungen!$C$3-2026)*24+20))</f>
        <v/>
      </c>
      <c r="Y162" s="76">
        <f>N(INDEX(Krankheitstage!$G162:$DV162,1,(Einstellungen!$C$3-2026)*24+21))</f>
        <v/>
      </c>
      <c r="Z162" s="76">
        <f>N(INDEX(Krankheitstage!$G162:$DV162,1,(Einstellungen!$C$3-2026)*24+22))</f>
        <v/>
      </c>
      <c r="AA162" s="76">
        <f>N(INDEX(Krankheitstage!$G162:$DV162,1,(Einstellungen!$C$3-2026)*24+23))</f>
        <v/>
      </c>
      <c r="AB162" s="76">
        <f>N(INDEX(Krankheitstage!$G162:$DV162,1,(Einstellungen!$C$3-2026)*24+24))</f>
        <v/>
      </c>
      <c r="AC162" s="76">
        <f>IF($B162="","",SUM(Q162:AB162))</f>
        <v/>
      </c>
      <c r="AD162" s="76">
        <f>IF($B162="","",SUM(P162,AC162))</f>
        <v/>
      </c>
      <c r="AE162" s="77">
        <f>IF($B162="","",AD162*N(C162))</f>
        <v/>
      </c>
      <c r="AF162" s="76">
        <f>IF($B162="","",Krankheitstage!E162)</f>
        <v/>
      </c>
      <c r="AG162" s="77">
        <f>IF($B162="","",AF162*N(C162))</f>
        <v/>
      </c>
    </row>
    <row r="163">
      <c r="A163" s="74">
        <f>IF(Mitarbeiter!B163="","",Mitarbeiter!A163)</f>
        <v/>
      </c>
      <c r="B163" s="6">
        <f>IF(Mitarbeiter!B163="","",Mitarbeiter!B163)</f>
        <v/>
      </c>
      <c r="C163" s="75">
        <f>IF(Mitarbeiter!B163="","",Mitarbeiter!F163)</f>
        <v/>
      </c>
      <c r="D163" s="76">
        <f>N(INDEX(Krankheitstage!$G163:$DV163,1,(Einstellungen!$C$3-2026)*24+1))</f>
        <v/>
      </c>
      <c r="E163" s="76">
        <f>N(INDEX(Krankheitstage!$G163:$DV163,1,(Einstellungen!$C$3-2026)*24+2))</f>
        <v/>
      </c>
      <c r="F163" s="76">
        <f>N(INDEX(Krankheitstage!$G163:$DV163,1,(Einstellungen!$C$3-2026)*24+3))</f>
        <v/>
      </c>
      <c r="G163" s="76">
        <f>N(INDEX(Krankheitstage!$G163:$DV163,1,(Einstellungen!$C$3-2026)*24+4))</f>
        <v/>
      </c>
      <c r="H163" s="76">
        <f>N(INDEX(Krankheitstage!$G163:$DV163,1,(Einstellungen!$C$3-2026)*24+5))</f>
        <v/>
      </c>
      <c r="I163" s="76">
        <f>N(INDEX(Krankheitstage!$G163:$DV163,1,(Einstellungen!$C$3-2026)*24+6))</f>
        <v/>
      </c>
      <c r="J163" s="76">
        <f>N(INDEX(Krankheitstage!$G163:$DV163,1,(Einstellungen!$C$3-2026)*24+7))</f>
        <v/>
      </c>
      <c r="K163" s="76">
        <f>N(INDEX(Krankheitstage!$G163:$DV163,1,(Einstellungen!$C$3-2026)*24+8))</f>
        <v/>
      </c>
      <c r="L163" s="76">
        <f>N(INDEX(Krankheitstage!$G163:$DV163,1,(Einstellungen!$C$3-2026)*24+9))</f>
        <v/>
      </c>
      <c r="M163" s="76">
        <f>N(INDEX(Krankheitstage!$G163:$DV163,1,(Einstellungen!$C$3-2026)*24+10))</f>
        <v/>
      </c>
      <c r="N163" s="76">
        <f>N(INDEX(Krankheitstage!$G163:$DV163,1,(Einstellungen!$C$3-2026)*24+11))</f>
        <v/>
      </c>
      <c r="O163" s="76">
        <f>N(INDEX(Krankheitstage!$G163:$DV163,1,(Einstellungen!$C$3-2026)*24+12))</f>
        <v/>
      </c>
      <c r="P163" s="76">
        <f>IF($B163="","",SUM(D163:O163))</f>
        <v/>
      </c>
      <c r="Q163" s="76">
        <f>N(INDEX(Krankheitstage!$G163:$DV163,1,(Einstellungen!$C$3-2026)*24+13))</f>
        <v/>
      </c>
      <c r="R163" s="76">
        <f>N(INDEX(Krankheitstage!$G163:$DV163,1,(Einstellungen!$C$3-2026)*24+14))</f>
        <v/>
      </c>
      <c r="S163" s="76">
        <f>N(INDEX(Krankheitstage!$G163:$DV163,1,(Einstellungen!$C$3-2026)*24+15))</f>
        <v/>
      </c>
      <c r="T163" s="76">
        <f>N(INDEX(Krankheitstage!$G163:$DV163,1,(Einstellungen!$C$3-2026)*24+16))</f>
        <v/>
      </c>
      <c r="U163" s="76">
        <f>N(INDEX(Krankheitstage!$G163:$DV163,1,(Einstellungen!$C$3-2026)*24+17))</f>
        <v/>
      </c>
      <c r="V163" s="76">
        <f>N(INDEX(Krankheitstage!$G163:$DV163,1,(Einstellungen!$C$3-2026)*24+18))</f>
        <v/>
      </c>
      <c r="W163" s="76">
        <f>N(INDEX(Krankheitstage!$G163:$DV163,1,(Einstellungen!$C$3-2026)*24+19))</f>
        <v/>
      </c>
      <c r="X163" s="76">
        <f>N(INDEX(Krankheitstage!$G163:$DV163,1,(Einstellungen!$C$3-2026)*24+20))</f>
        <v/>
      </c>
      <c r="Y163" s="76">
        <f>N(INDEX(Krankheitstage!$G163:$DV163,1,(Einstellungen!$C$3-2026)*24+21))</f>
        <v/>
      </c>
      <c r="Z163" s="76">
        <f>N(INDEX(Krankheitstage!$G163:$DV163,1,(Einstellungen!$C$3-2026)*24+22))</f>
        <v/>
      </c>
      <c r="AA163" s="76">
        <f>N(INDEX(Krankheitstage!$G163:$DV163,1,(Einstellungen!$C$3-2026)*24+23))</f>
        <v/>
      </c>
      <c r="AB163" s="76">
        <f>N(INDEX(Krankheitstage!$G163:$DV163,1,(Einstellungen!$C$3-2026)*24+24))</f>
        <v/>
      </c>
      <c r="AC163" s="76">
        <f>IF($B163="","",SUM(Q163:AB163))</f>
        <v/>
      </c>
      <c r="AD163" s="76">
        <f>IF($B163="","",SUM(P163,AC163))</f>
        <v/>
      </c>
      <c r="AE163" s="77">
        <f>IF($B163="","",AD163*N(C163))</f>
        <v/>
      </c>
      <c r="AF163" s="76">
        <f>IF($B163="","",Krankheitstage!E163)</f>
        <v/>
      </c>
      <c r="AG163" s="77">
        <f>IF($B163="","",AF163*N(C163))</f>
        <v/>
      </c>
    </row>
    <row r="164">
      <c r="A164" s="74">
        <f>IF(Mitarbeiter!B164="","",Mitarbeiter!A164)</f>
        <v/>
      </c>
      <c r="B164" s="6">
        <f>IF(Mitarbeiter!B164="","",Mitarbeiter!B164)</f>
        <v/>
      </c>
      <c r="C164" s="75">
        <f>IF(Mitarbeiter!B164="","",Mitarbeiter!F164)</f>
        <v/>
      </c>
      <c r="D164" s="76">
        <f>N(INDEX(Krankheitstage!$G164:$DV164,1,(Einstellungen!$C$3-2026)*24+1))</f>
        <v/>
      </c>
      <c r="E164" s="76">
        <f>N(INDEX(Krankheitstage!$G164:$DV164,1,(Einstellungen!$C$3-2026)*24+2))</f>
        <v/>
      </c>
      <c r="F164" s="76">
        <f>N(INDEX(Krankheitstage!$G164:$DV164,1,(Einstellungen!$C$3-2026)*24+3))</f>
        <v/>
      </c>
      <c r="G164" s="76">
        <f>N(INDEX(Krankheitstage!$G164:$DV164,1,(Einstellungen!$C$3-2026)*24+4))</f>
        <v/>
      </c>
      <c r="H164" s="76">
        <f>N(INDEX(Krankheitstage!$G164:$DV164,1,(Einstellungen!$C$3-2026)*24+5))</f>
        <v/>
      </c>
      <c r="I164" s="76">
        <f>N(INDEX(Krankheitstage!$G164:$DV164,1,(Einstellungen!$C$3-2026)*24+6))</f>
        <v/>
      </c>
      <c r="J164" s="76">
        <f>N(INDEX(Krankheitstage!$G164:$DV164,1,(Einstellungen!$C$3-2026)*24+7))</f>
        <v/>
      </c>
      <c r="K164" s="76">
        <f>N(INDEX(Krankheitstage!$G164:$DV164,1,(Einstellungen!$C$3-2026)*24+8))</f>
        <v/>
      </c>
      <c r="L164" s="76">
        <f>N(INDEX(Krankheitstage!$G164:$DV164,1,(Einstellungen!$C$3-2026)*24+9))</f>
        <v/>
      </c>
      <c r="M164" s="76">
        <f>N(INDEX(Krankheitstage!$G164:$DV164,1,(Einstellungen!$C$3-2026)*24+10))</f>
        <v/>
      </c>
      <c r="N164" s="76">
        <f>N(INDEX(Krankheitstage!$G164:$DV164,1,(Einstellungen!$C$3-2026)*24+11))</f>
        <v/>
      </c>
      <c r="O164" s="76">
        <f>N(INDEX(Krankheitstage!$G164:$DV164,1,(Einstellungen!$C$3-2026)*24+12))</f>
        <v/>
      </c>
      <c r="P164" s="76">
        <f>IF($B164="","",SUM(D164:O164))</f>
        <v/>
      </c>
      <c r="Q164" s="76">
        <f>N(INDEX(Krankheitstage!$G164:$DV164,1,(Einstellungen!$C$3-2026)*24+13))</f>
        <v/>
      </c>
      <c r="R164" s="76">
        <f>N(INDEX(Krankheitstage!$G164:$DV164,1,(Einstellungen!$C$3-2026)*24+14))</f>
        <v/>
      </c>
      <c r="S164" s="76">
        <f>N(INDEX(Krankheitstage!$G164:$DV164,1,(Einstellungen!$C$3-2026)*24+15))</f>
        <v/>
      </c>
      <c r="T164" s="76">
        <f>N(INDEX(Krankheitstage!$G164:$DV164,1,(Einstellungen!$C$3-2026)*24+16))</f>
        <v/>
      </c>
      <c r="U164" s="76">
        <f>N(INDEX(Krankheitstage!$G164:$DV164,1,(Einstellungen!$C$3-2026)*24+17))</f>
        <v/>
      </c>
      <c r="V164" s="76">
        <f>N(INDEX(Krankheitstage!$G164:$DV164,1,(Einstellungen!$C$3-2026)*24+18))</f>
        <v/>
      </c>
      <c r="W164" s="76">
        <f>N(INDEX(Krankheitstage!$G164:$DV164,1,(Einstellungen!$C$3-2026)*24+19))</f>
        <v/>
      </c>
      <c r="X164" s="76">
        <f>N(INDEX(Krankheitstage!$G164:$DV164,1,(Einstellungen!$C$3-2026)*24+20))</f>
        <v/>
      </c>
      <c r="Y164" s="76">
        <f>N(INDEX(Krankheitstage!$G164:$DV164,1,(Einstellungen!$C$3-2026)*24+21))</f>
        <v/>
      </c>
      <c r="Z164" s="76">
        <f>N(INDEX(Krankheitstage!$G164:$DV164,1,(Einstellungen!$C$3-2026)*24+22))</f>
        <v/>
      </c>
      <c r="AA164" s="76">
        <f>N(INDEX(Krankheitstage!$G164:$DV164,1,(Einstellungen!$C$3-2026)*24+23))</f>
        <v/>
      </c>
      <c r="AB164" s="76">
        <f>N(INDEX(Krankheitstage!$G164:$DV164,1,(Einstellungen!$C$3-2026)*24+24))</f>
        <v/>
      </c>
      <c r="AC164" s="76">
        <f>IF($B164="","",SUM(Q164:AB164))</f>
        <v/>
      </c>
      <c r="AD164" s="76">
        <f>IF($B164="","",SUM(P164,AC164))</f>
        <v/>
      </c>
      <c r="AE164" s="77">
        <f>IF($B164="","",AD164*N(C164))</f>
        <v/>
      </c>
      <c r="AF164" s="76">
        <f>IF($B164="","",Krankheitstage!E164)</f>
        <v/>
      </c>
      <c r="AG164" s="77">
        <f>IF($B164="","",AF164*N(C164))</f>
        <v/>
      </c>
    </row>
    <row r="165">
      <c r="A165" s="74">
        <f>IF(Mitarbeiter!B165="","",Mitarbeiter!A165)</f>
        <v/>
      </c>
      <c r="B165" s="6">
        <f>IF(Mitarbeiter!B165="","",Mitarbeiter!B165)</f>
        <v/>
      </c>
      <c r="C165" s="75">
        <f>IF(Mitarbeiter!B165="","",Mitarbeiter!F165)</f>
        <v/>
      </c>
      <c r="D165" s="76">
        <f>N(INDEX(Krankheitstage!$G165:$DV165,1,(Einstellungen!$C$3-2026)*24+1))</f>
        <v/>
      </c>
      <c r="E165" s="76">
        <f>N(INDEX(Krankheitstage!$G165:$DV165,1,(Einstellungen!$C$3-2026)*24+2))</f>
        <v/>
      </c>
      <c r="F165" s="76">
        <f>N(INDEX(Krankheitstage!$G165:$DV165,1,(Einstellungen!$C$3-2026)*24+3))</f>
        <v/>
      </c>
      <c r="G165" s="76">
        <f>N(INDEX(Krankheitstage!$G165:$DV165,1,(Einstellungen!$C$3-2026)*24+4))</f>
        <v/>
      </c>
      <c r="H165" s="76">
        <f>N(INDEX(Krankheitstage!$G165:$DV165,1,(Einstellungen!$C$3-2026)*24+5))</f>
        <v/>
      </c>
      <c r="I165" s="76">
        <f>N(INDEX(Krankheitstage!$G165:$DV165,1,(Einstellungen!$C$3-2026)*24+6))</f>
        <v/>
      </c>
      <c r="J165" s="76">
        <f>N(INDEX(Krankheitstage!$G165:$DV165,1,(Einstellungen!$C$3-2026)*24+7))</f>
        <v/>
      </c>
      <c r="K165" s="76">
        <f>N(INDEX(Krankheitstage!$G165:$DV165,1,(Einstellungen!$C$3-2026)*24+8))</f>
        <v/>
      </c>
      <c r="L165" s="76">
        <f>N(INDEX(Krankheitstage!$G165:$DV165,1,(Einstellungen!$C$3-2026)*24+9))</f>
        <v/>
      </c>
      <c r="M165" s="76">
        <f>N(INDEX(Krankheitstage!$G165:$DV165,1,(Einstellungen!$C$3-2026)*24+10))</f>
        <v/>
      </c>
      <c r="N165" s="76">
        <f>N(INDEX(Krankheitstage!$G165:$DV165,1,(Einstellungen!$C$3-2026)*24+11))</f>
        <v/>
      </c>
      <c r="O165" s="76">
        <f>N(INDEX(Krankheitstage!$G165:$DV165,1,(Einstellungen!$C$3-2026)*24+12))</f>
        <v/>
      </c>
      <c r="P165" s="76">
        <f>IF($B165="","",SUM(D165:O165))</f>
        <v/>
      </c>
      <c r="Q165" s="76">
        <f>N(INDEX(Krankheitstage!$G165:$DV165,1,(Einstellungen!$C$3-2026)*24+13))</f>
        <v/>
      </c>
      <c r="R165" s="76">
        <f>N(INDEX(Krankheitstage!$G165:$DV165,1,(Einstellungen!$C$3-2026)*24+14))</f>
        <v/>
      </c>
      <c r="S165" s="76">
        <f>N(INDEX(Krankheitstage!$G165:$DV165,1,(Einstellungen!$C$3-2026)*24+15))</f>
        <v/>
      </c>
      <c r="T165" s="76">
        <f>N(INDEX(Krankheitstage!$G165:$DV165,1,(Einstellungen!$C$3-2026)*24+16))</f>
        <v/>
      </c>
      <c r="U165" s="76">
        <f>N(INDEX(Krankheitstage!$G165:$DV165,1,(Einstellungen!$C$3-2026)*24+17))</f>
        <v/>
      </c>
      <c r="V165" s="76">
        <f>N(INDEX(Krankheitstage!$G165:$DV165,1,(Einstellungen!$C$3-2026)*24+18))</f>
        <v/>
      </c>
      <c r="W165" s="76">
        <f>N(INDEX(Krankheitstage!$G165:$DV165,1,(Einstellungen!$C$3-2026)*24+19))</f>
        <v/>
      </c>
      <c r="X165" s="76">
        <f>N(INDEX(Krankheitstage!$G165:$DV165,1,(Einstellungen!$C$3-2026)*24+20))</f>
        <v/>
      </c>
      <c r="Y165" s="76">
        <f>N(INDEX(Krankheitstage!$G165:$DV165,1,(Einstellungen!$C$3-2026)*24+21))</f>
        <v/>
      </c>
      <c r="Z165" s="76">
        <f>N(INDEX(Krankheitstage!$G165:$DV165,1,(Einstellungen!$C$3-2026)*24+22))</f>
        <v/>
      </c>
      <c r="AA165" s="76">
        <f>N(INDEX(Krankheitstage!$G165:$DV165,1,(Einstellungen!$C$3-2026)*24+23))</f>
        <v/>
      </c>
      <c r="AB165" s="76">
        <f>N(INDEX(Krankheitstage!$G165:$DV165,1,(Einstellungen!$C$3-2026)*24+24))</f>
        <v/>
      </c>
      <c r="AC165" s="76">
        <f>IF($B165="","",SUM(Q165:AB165))</f>
        <v/>
      </c>
      <c r="AD165" s="76">
        <f>IF($B165="","",SUM(P165,AC165))</f>
        <v/>
      </c>
      <c r="AE165" s="77">
        <f>IF($B165="","",AD165*N(C165))</f>
        <v/>
      </c>
      <c r="AF165" s="76">
        <f>IF($B165="","",Krankheitstage!E165)</f>
        <v/>
      </c>
      <c r="AG165" s="77">
        <f>IF($B165="","",AF165*N(C165))</f>
        <v/>
      </c>
    </row>
    <row r="166">
      <c r="A166" s="74">
        <f>IF(Mitarbeiter!B166="","",Mitarbeiter!A166)</f>
        <v/>
      </c>
      <c r="B166" s="6">
        <f>IF(Mitarbeiter!B166="","",Mitarbeiter!B166)</f>
        <v/>
      </c>
      <c r="C166" s="75">
        <f>IF(Mitarbeiter!B166="","",Mitarbeiter!F166)</f>
        <v/>
      </c>
      <c r="D166" s="76">
        <f>N(INDEX(Krankheitstage!$G166:$DV166,1,(Einstellungen!$C$3-2026)*24+1))</f>
        <v/>
      </c>
      <c r="E166" s="76">
        <f>N(INDEX(Krankheitstage!$G166:$DV166,1,(Einstellungen!$C$3-2026)*24+2))</f>
        <v/>
      </c>
      <c r="F166" s="76">
        <f>N(INDEX(Krankheitstage!$G166:$DV166,1,(Einstellungen!$C$3-2026)*24+3))</f>
        <v/>
      </c>
      <c r="G166" s="76">
        <f>N(INDEX(Krankheitstage!$G166:$DV166,1,(Einstellungen!$C$3-2026)*24+4))</f>
        <v/>
      </c>
      <c r="H166" s="76">
        <f>N(INDEX(Krankheitstage!$G166:$DV166,1,(Einstellungen!$C$3-2026)*24+5))</f>
        <v/>
      </c>
      <c r="I166" s="76">
        <f>N(INDEX(Krankheitstage!$G166:$DV166,1,(Einstellungen!$C$3-2026)*24+6))</f>
        <v/>
      </c>
      <c r="J166" s="76">
        <f>N(INDEX(Krankheitstage!$G166:$DV166,1,(Einstellungen!$C$3-2026)*24+7))</f>
        <v/>
      </c>
      <c r="K166" s="76">
        <f>N(INDEX(Krankheitstage!$G166:$DV166,1,(Einstellungen!$C$3-2026)*24+8))</f>
        <v/>
      </c>
      <c r="L166" s="76">
        <f>N(INDEX(Krankheitstage!$G166:$DV166,1,(Einstellungen!$C$3-2026)*24+9))</f>
        <v/>
      </c>
      <c r="M166" s="76">
        <f>N(INDEX(Krankheitstage!$G166:$DV166,1,(Einstellungen!$C$3-2026)*24+10))</f>
        <v/>
      </c>
      <c r="N166" s="76">
        <f>N(INDEX(Krankheitstage!$G166:$DV166,1,(Einstellungen!$C$3-2026)*24+11))</f>
        <v/>
      </c>
      <c r="O166" s="76">
        <f>N(INDEX(Krankheitstage!$G166:$DV166,1,(Einstellungen!$C$3-2026)*24+12))</f>
        <v/>
      </c>
      <c r="P166" s="76">
        <f>IF($B166="","",SUM(D166:O166))</f>
        <v/>
      </c>
      <c r="Q166" s="76">
        <f>N(INDEX(Krankheitstage!$G166:$DV166,1,(Einstellungen!$C$3-2026)*24+13))</f>
        <v/>
      </c>
      <c r="R166" s="76">
        <f>N(INDEX(Krankheitstage!$G166:$DV166,1,(Einstellungen!$C$3-2026)*24+14))</f>
        <v/>
      </c>
      <c r="S166" s="76">
        <f>N(INDEX(Krankheitstage!$G166:$DV166,1,(Einstellungen!$C$3-2026)*24+15))</f>
        <v/>
      </c>
      <c r="T166" s="76">
        <f>N(INDEX(Krankheitstage!$G166:$DV166,1,(Einstellungen!$C$3-2026)*24+16))</f>
        <v/>
      </c>
      <c r="U166" s="76">
        <f>N(INDEX(Krankheitstage!$G166:$DV166,1,(Einstellungen!$C$3-2026)*24+17))</f>
        <v/>
      </c>
      <c r="V166" s="76">
        <f>N(INDEX(Krankheitstage!$G166:$DV166,1,(Einstellungen!$C$3-2026)*24+18))</f>
        <v/>
      </c>
      <c r="W166" s="76">
        <f>N(INDEX(Krankheitstage!$G166:$DV166,1,(Einstellungen!$C$3-2026)*24+19))</f>
        <v/>
      </c>
      <c r="X166" s="76">
        <f>N(INDEX(Krankheitstage!$G166:$DV166,1,(Einstellungen!$C$3-2026)*24+20))</f>
        <v/>
      </c>
      <c r="Y166" s="76">
        <f>N(INDEX(Krankheitstage!$G166:$DV166,1,(Einstellungen!$C$3-2026)*24+21))</f>
        <v/>
      </c>
      <c r="Z166" s="76">
        <f>N(INDEX(Krankheitstage!$G166:$DV166,1,(Einstellungen!$C$3-2026)*24+22))</f>
        <v/>
      </c>
      <c r="AA166" s="76">
        <f>N(INDEX(Krankheitstage!$G166:$DV166,1,(Einstellungen!$C$3-2026)*24+23))</f>
        <v/>
      </c>
      <c r="AB166" s="76">
        <f>N(INDEX(Krankheitstage!$G166:$DV166,1,(Einstellungen!$C$3-2026)*24+24))</f>
        <v/>
      </c>
      <c r="AC166" s="76">
        <f>IF($B166="","",SUM(Q166:AB166))</f>
        <v/>
      </c>
      <c r="AD166" s="76">
        <f>IF($B166="","",SUM(P166,AC166))</f>
        <v/>
      </c>
      <c r="AE166" s="77">
        <f>IF($B166="","",AD166*N(C166))</f>
        <v/>
      </c>
      <c r="AF166" s="76">
        <f>IF($B166="","",Krankheitstage!E166)</f>
        <v/>
      </c>
      <c r="AG166" s="77">
        <f>IF($B166="","",AF166*N(C166))</f>
        <v/>
      </c>
    </row>
    <row r="167">
      <c r="A167" s="74">
        <f>IF(Mitarbeiter!B167="","",Mitarbeiter!A167)</f>
        <v/>
      </c>
      <c r="B167" s="6">
        <f>IF(Mitarbeiter!B167="","",Mitarbeiter!B167)</f>
        <v/>
      </c>
      <c r="C167" s="75">
        <f>IF(Mitarbeiter!B167="","",Mitarbeiter!F167)</f>
        <v/>
      </c>
      <c r="D167" s="76">
        <f>N(INDEX(Krankheitstage!$G167:$DV167,1,(Einstellungen!$C$3-2026)*24+1))</f>
        <v/>
      </c>
      <c r="E167" s="76">
        <f>N(INDEX(Krankheitstage!$G167:$DV167,1,(Einstellungen!$C$3-2026)*24+2))</f>
        <v/>
      </c>
      <c r="F167" s="76">
        <f>N(INDEX(Krankheitstage!$G167:$DV167,1,(Einstellungen!$C$3-2026)*24+3))</f>
        <v/>
      </c>
      <c r="G167" s="76">
        <f>N(INDEX(Krankheitstage!$G167:$DV167,1,(Einstellungen!$C$3-2026)*24+4))</f>
        <v/>
      </c>
      <c r="H167" s="76">
        <f>N(INDEX(Krankheitstage!$G167:$DV167,1,(Einstellungen!$C$3-2026)*24+5))</f>
        <v/>
      </c>
      <c r="I167" s="76">
        <f>N(INDEX(Krankheitstage!$G167:$DV167,1,(Einstellungen!$C$3-2026)*24+6))</f>
        <v/>
      </c>
      <c r="J167" s="76">
        <f>N(INDEX(Krankheitstage!$G167:$DV167,1,(Einstellungen!$C$3-2026)*24+7))</f>
        <v/>
      </c>
      <c r="K167" s="76">
        <f>N(INDEX(Krankheitstage!$G167:$DV167,1,(Einstellungen!$C$3-2026)*24+8))</f>
        <v/>
      </c>
      <c r="L167" s="76">
        <f>N(INDEX(Krankheitstage!$G167:$DV167,1,(Einstellungen!$C$3-2026)*24+9))</f>
        <v/>
      </c>
      <c r="M167" s="76">
        <f>N(INDEX(Krankheitstage!$G167:$DV167,1,(Einstellungen!$C$3-2026)*24+10))</f>
        <v/>
      </c>
      <c r="N167" s="76">
        <f>N(INDEX(Krankheitstage!$G167:$DV167,1,(Einstellungen!$C$3-2026)*24+11))</f>
        <v/>
      </c>
      <c r="O167" s="76">
        <f>N(INDEX(Krankheitstage!$G167:$DV167,1,(Einstellungen!$C$3-2026)*24+12))</f>
        <v/>
      </c>
      <c r="P167" s="76">
        <f>IF($B167="","",SUM(D167:O167))</f>
        <v/>
      </c>
      <c r="Q167" s="76">
        <f>N(INDEX(Krankheitstage!$G167:$DV167,1,(Einstellungen!$C$3-2026)*24+13))</f>
        <v/>
      </c>
      <c r="R167" s="76">
        <f>N(INDEX(Krankheitstage!$G167:$DV167,1,(Einstellungen!$C$3-2026)*24+14))</f>
        <v/>
      </c>
      <c r="S167" s="76">
        <f>N(INDEX(Krankheitstage!$G167:$DV167,1,(Einstellungen!$C$3-2026)*24+15))</f>
        <v/>
      </c>
      <c r="T167" s="76">
        <f>N(INDEX(Krankheitstage!$G167:$DV167,1,(Einstellungen!$C$3-2026)*24+16))</f>
        <v/>
      </c>
      <c r="U167" s="76">
        <f>N(INDEX(Krankheitstage!$G167:$DV167,1,(Einstellungen!$C$3-2026)*24+17))</f>
        <v/>
      </c>
      <c r="V167" s="76">
        <f>N(INDEX(Krankheitstage!$G167:$DV167,1,(Einstellungen!$C$3-2026)*24+18))</f>
        <v/>
      </c>
      <c r="W167" s="76">
        <f>N(INDEX(Krankheitstage!$G167:$DV167,1,(Einstellungen!$C$3-2026)*24+19))</f>
        <v/>
      </c>
      <c r="X167" s="76">
        <f>N(INDEX(Krankheitstage!$G167:$DV167,1,(Einstellungen!$C$3-2026)*24+20))</f>
        <v/>
      </c>
      <c r="Y167" s="76">
        <f>N(INDEX(Krankheitstage!$G167:$DV167,1,(Einstellungen!$C$3-2026)*24+21))</f>
        <v/>
      </c>
      <c r="Z167" s="76">
        <f>N(INDEX(Krankheitstage!$G167:$DV167,1,(Einstellungen!$C$3-2026)*24+22))</f>
        <v/>
      </c>
      <c r="AA167" s="76">
        <f>N(INDEX(Krankheitstage!$G167:$DV167,1,(Einstellungen!$C$3-2026)*24+23))</f>
        <v/>
      </c>
      <c r="AB167" s="76">
        <f>N(INDEX(Krankheitstage!$G167:$DV167,1,(Einstellungen!$C$3-2026)*24+24))</f>
        <v/>
      </c>
      <c r="AC167" s="76">
        <f>IF($B167="","",SUM(Q167:AB167))</f>
        <v/>
      </c>
      <c r="AD167" s="76">
        <f>IF($B167="","",SUM(P167,AC167))</f>
        <v/>
      </c>
      <c r="AE167" s="77">
        <f>IF($B167="","",AD167*N(C167))</f>
        <v/>
      </c>
      <c r="AF167" s="76">
        <f>IF($B167="","",Krankheitstage!E167)</f>
        <v/>
      </c>
      <c r="AG167" s="77">
        <f>IF($B167="","",AF167*N(C167))</f>
        <v/>
      </c>
    </row>
    <row r="168">
      <c r="A168" s="74">
        <f>IF(Mitarbeiter!B168="","",Mitarbeiter!A168)</f>
        <v/>
      </c>
      <c r="B168" s="6">
        <f>IF(Mitarbeiter!B168="","",Mitarbeiter!B168)</f>
        <v/>
      </c>
      <c r="C168" s="75">
        <f>IF(Mitarbeiter!B168="","",Mitarbeiter!F168)</f>
        <v/>
      </c>
      <c r="D168" s="76">
        <f>N(INDEX(Krankheitstage!$G168:$DV168,1,(Einstellungen!$C$3-2026)*24+1))</f>
        <v/>
      </c>
      <c r="E168" s="76">
        <f>N(INDEX(Krankheitstage!$G168:$DV168,1,(Einstellungen!$C$3-2026)*24+2))</f>
        <v/>
      </c>
      <c r="F168" s="76">
        <f>N(INDEX(Krankheitstage!$G168:$DV168,1,(Einstellungen!$C$3-2026)*24+3))</f>
        <v/>
      </c>
      <c r="G168" s="76">
        <f>N(INDEX(Krankheitstage!$G168:$DV168,1,(Einstellungen!$C$3-2026)*24+4))</f>
        <v/>
      </c>
      <c r="H168" s="76">
        <f>N(INDEX(Krankheitstage!$G168:$DV168,1,(Einstellungen!$C$3-2026)*24+5))</f>
        <v/>
      </c>
      <c r="I168" s="76">
        <f>N(INDEX(Krankheitstage!$G168:$DV168,1,(Einstellungen!$C$3-2026)*24+6))</f>
        <v/>
      </c>
      <c r="J168" s="76">
        <f>N(INDEX(Krankheitstage!$G168:$DV168,1,(Einstellungen!$C$3-2026)*24+7))</f>
        <v/>
      </c>
      <c r="K168" s="76">
        <f>N(INDEX(Krankheitstage!$G168:$DV168,1,(Einstellungen!$C$3-2026)*24+8))</f>
        <v/>
      </c>
      <c r="L168" s="76">
        <f>N(INDEX(Krankheitstage!$G168:$DV168,1,(Einstellungen!$C$3-2026)*24+9))</f>
        <v/>
      </c>
      <c r="M168" s="76">
        <f>N(INDEX(Krankheitstage!$G168:$DV168,1,(Einstellungen!$C$3-2026)*24+10))</f>
        <v/>
      </c>
      <c r="N168" s="76">
        <f>N(INDEX(Krankheitstage!$G168:$DV168,1,(Einstellungen!$C$3-2026)*24+11))</f>
        <v/>
      </c>
      <c r="O168" s="76">
        <f>N(INDEX(Krankheitstage!$G168:$DV168,1,(Einstellungen!$C$3-2026)*24+12))</f>
        <v/>
      </c>
      <c r="P168" s="76">
        <f>IF($B168="","",SUM(D168:O168))</f>
        <v/>
      </c>
      <c r="Q168" s="76">
        <f>N(INDEX(Krankheitstage!$G168:$DV168,1,(Einstellungen!$C$3-2026)*24+13))</f>
        <v/>
      </c>
      <c r="R168" s="76">
        <f>N(INDEX(Krankheitstage!$G168:$DV168,1,(Einstellungen!$C$3-2026)*24+14))</f>
        <v/>
      </c>
      <c r="S168" s="76">
        <f>N(INDEX(Krankheitstage!$G168:$DV168,1,(Einstellungen!$C$3-2026)*24+15))</f>
        <v/>
      </c>
      <c r="T168" s="76">
        <f>N(INDEX(Krankheitstage!$G168:$DV168,1,(Einstellungen!$C$3-2026)*24+16))</f>
        <v/>
      </c>
      <c r="U168" s="76">
        <f>N(INDEX(Krankheitstage!$G168:$DV168,1,(Einstellungen!$C$3-2026)*24+17))</f>
        <v/>
      </c>
      <c r="V168" s="76">
        <f>N(INDEX(Krankheitstage!$G168:$DV168,1,(Einstellungen!$C$3-2026)*24+18))</f>
        <v/>
      </c>
      <c r="W168" s="76">
        <f>N(INDEX(Krankheitstage!$G168:$DV168,1,(Einstellungen!$C$3-2026)*24+19))</f>
        <v/>
      </c>
      <c r="X168" s="76">
        <f>N(INDEX(Krankheitstage!$G168:$DV168,1,(Einstellungen!$C$3-2026)*24+20))</f>
        <v/>
      </c>
      <c r="Y168" s="76">
        <f>N(INDEX(Krankheitstage!$G168:$DV168,1,(Einstellungen!$C$3-2026)*24+21))</f>
        <v/>
      </c>
      <c r="Z168" s="76">
        <f>N(INDEX(Krankheitstage!$G168:$DV168,1,(Einstellungen!$C$3-2026)*24+22))</f>
        <v/>
      </c>
      <c r="AA168" s="76">
        <f>N(INDEX(Krankheitstage!$G168:$DV168,1,(Einstellungen!$C$3-2026)*24+23))</f>
        <v/>
      </c>
      <c r="AB168" s="76">
        <f>N(INDEX(Krankheitstage!$G168:$DV168,1,(Einstellungen!$C$3-2026)*24+24))</f>
        <v/>
      </c>
      <c r="AC168" s="76">
        <f>IF($B168="","",SUM(Q168:AB168))</f>
        <v/>
      </c>
      <c r="AD168" s="76">
        <f>IF($B168="","",SUM(P168,AC168))</f>
        <v/>
      </c>
      <c r="AE168" s="77">
        <f>IF($B168="","",AD168*N(C168))</f>
        <v/>
      </c>
      <c r="AF168" s="76">
        <f>IF($B168="","",Krankheitstage!E168)</f>
        <v/>
      </c>
      <c r="AG168" s="77">
        <f>IF($B168="","",AF168*N(C168))</f>
        <v/>
      </c>
    </row>
    <row r="169">
      <c r="A169" s="74">
        <f>IF(Mitarbeiter!B169="","",Mitarbeiter!A169)</f>
        <v/>
      </c>
      <c r="B169" s="6">
        <f>IF(Mitarbeiter!B169="","",Mitarbeiter!B169)</f>
        <v/>
      </c>
      <c r="C169" s="75">
        <f>IF(Mitarbeiter!B169="","",Mitarbeiter!F169)</f>
        <v/>
      </c>
      <c r="D169" s="76">
        <f>N(INDEX(Krankheitstage!$G169:$DV169,1,(Einstellungen!$C$3-2026)*24+1))</f>
        <v/>
      </c>
      <c r="E169" s="76">
        <f>N(INDEX(Krankheitstage!$G169:$DV169,1,(Einstellungen!$C$3-2026)*24+2))</f>
        <v/>
      </c>
      <c r="F169" s="76">
        <f>N(INDEX(Krankheitstage!$G169:$DV169,1,(Einstellungen!$C$3-2026)*24+3))</f>
        <v/>
      </c>
      <c r="G169" s="76">
        <f>N(INDEX(Krankheitstage!$G169:$DV169,1,(Einstellungen!$C$3-2026)*24+4))</f>
        <v/>
      </c>
      <c r="H169" s="76">
        <f>N(INDEX(Krankheitstage!$G169:$DV169,1,(Einstellungen!$C$3-2026)*24+5))</f>
        <v/>
      </c>
      <c r="I169" s="76">
        <f>N(INDEX(Krankheitstage!$G169:$DV169,1,(Einstellungen!$C$3-2026)*24+6))</f>
        <v/>
      </c>
      <c r="J169" s="76">
        <f>N(INDEX(Krankheitstage!$G169:$DV169,1,(Einstellungen!$C$3-2026)*24+7))</f>
        <v/>
      </c>
      <c r="K169" s="76">
        <f>N(INDEX(Krankheitstage!$G169:$DV169,1,(Einstellungen!$C$3-2026)*24+8))</f>
        <v/>
      </c>
      <c r="L169" s="76">
        <f>N(INDEX(Krankheitstage!$G169:$DV169,1,(Einstellungen!$C$3-2026)*24+9))</f>
        <v/>
      </c>
      <c r="M169" s="76">
        <f>N(INDEX(Krankheitstage!$G169:$DV169,1,(Einstellungen!$C$3-2026)*24+10))</f>
        <v/>
      </c>
      <c r="N169" s="76">
        <f>N(INDEX(Krankheitstage!$G169:$DV169,1,(Einstellungen!$C$3-2026)*24+11))</f>
        <v/>
      </c>
      <c r="O169" s="76">
        <f>N(INDEX(Krankheitstage!$G169:$DV169,1,(Einstellungen!$C$3-2026)*24+12))</f>
        <v/>
      </c>
      <c r="P169" s="76">
        <f>IF($B169="","",SUM(D169:O169))</f>
        <v/>
      </c>
      <c r="Q169" s="76">
        <f>N(INDEX(Krankheitstage!$G169:$DV169,1,(Einstellungen!$C$3-2026)*24+13))</f>
        <v/>
      </c>
      <c r="R169" s="76">
        <f>N(INDEX(Krankheitstage!$G169:$DV169,1,(Einstellungen!$C$3-2026)*24+14))</f>
        <v/>
      </c>
      <c r="S169" s="76">
        <f>N(INDEX(Krankheitstage!$G169:$DV169,1,(Einstellungen!$C$3-2026)*24+15))</f>
        <v/>
      </c>
      <c r="T169" s="76">
        <f>N(INDEX(Krankheitstage!$G169:$DV169,1,(Einstellungen!$C$3-2026)*24+16))</f>
        <v/>
      </c>
      <c r="U169" s="76">
        <f>N(INDEX(Krankheitstage!$G169:$DV169,1,(Einstellungen!$C$3-2026)*24+17))</f>
        <v/>
      </c>
      <c r="V169" s="76">
        <f>N(INDEX(Krankheitstage!$G169:$DV169,1,(Einstellungen!$C$3-2026)*24+18))</f>
        <v/>
      </c>
      <c r="W169" s="76">
        <f>N(INDEX(Krankheitstage!$G169:$DV169,1,(Einstellungen!$C$3-2026)*24+19))</f>
        <v/>
      </c>
      <c r="X169" s="76">
        <f>N(INDEX(Krankheitstage!$G169:$DV169,1,(Einstellungen!$C$3-2026)*24+20))</f>
        <v/>
      </c>
      <c r="Y169" s="76">
        <f>N(INDEX(Krankheitstage!$G169:$DV169,1,(Einstellungen!$C$3-2026)*24+21))</f>
        <v/>
      </c>
      <c r="Z169" s="76">
        <f>N(INDEX(Krankheitstage!$G169:$DV169,1,(Einstellungen!$C$3-2026)*24+22))</f>
        <v/>
      </c>
      <c r="AA169" s="76">
        <f>N(INDEX(Krankheitstage!$G169:$DV169,1,(Einstellungen!$C$3-2026)*24+23))</f>
        <v/>
      </c>
      <c r="AB169" s="76">
        <f>N(INDEX(Krankheitstage!$G169:$DV169,1,(Einstellungen!$C$3-2026)*24+24))</f>
        <v/>
      </c>
      <c r="AC169" s="76">
        <f>IF($B169="","",SUM(Q169:AB169))</f>
        <v/>
      </c>
      <c r="AD169" s="76">
        <f>IF($B169="","",SUM(P169,AC169))</f>
        <v/>
      </c>
      <c r="AE169" s="77">
        <f>IF($B169="","",AD169*N(C169))</f>
        <v/>
      </c>
      <c r="AF169" s="76">
        <f>IF($B169="","",Krankheitstage!E169)</f>
        <v/>
      </c>
      <c r="AG169" s="77">
        <f>IF($B169="","",AF169*N(C169))</f>
        <v/>
      </c>
    </row>
    <row r="170">
      <c r="A170" s="74">
        <f>IF(Mitarbeiter!B170="","",Mitarbeiter!A170)</f>
        <v/>
      </c>
      <c r="B170" s="6">
        <f>IF(Mitarbeiter!B170="","",Mitarbeiter!B170)</f>
        <v/>
      </c>
      <c r="C170" s="75">
        <f>IF(Mitarbeiter!B170="","",Mitarbeiter!F170)</f>
        <v/>
      </c>
      <c r="D170" s="76">
        <f>N(INDEX(Krankheitstage!$G170:$DV170,1,(Einstellungen!$C$3-2026)*24+1))</f>
        <v/>
      </c>
      <c r="E170" s="76">
        <f>N(INDEX(Krankheitstage!$G170:$DV170,1,(Einstellungen!$C$3-2026)*24+2))</f>
        <v/>
      </c>
      <c r="F170" s="76">
        <f>N(INDEX(Krankheitstage!$G170:$DV170,1,(Einstellungen!$C$3-2026)*24+3))</f>
        <v/>
      </c>
      <c r="G170" s="76">
        <f>N(INDEX(Krankheitstage!$G170:$DV170,1,(Einstellungen!$C$3-2026)*24+4))</f>
        <v/>
      </c>
      <c r="H170" s="76">
        <f>N(INDEX(Krankheitstage!$G170:$DV170,1,(Einstellungen!$C$3-2026)*24+5))</f>
        <v/>
      </c>
      <c r="I170" s="76">
        <f>N(INDEX(Krankheitstage!$G170:$DV170,1,(Einstellungen!$C$3-2026)*24+6))</f>
        <v/>
      </c>
      <c r="J170" s="76">
        <f>N(INDEX(Krankheitstage!$G170:$DV170,1,(Einstellungen!$C$3-2026)*24+7))</f>
        <v/>
      </c>
      <c r="K170" s="76">
        <f>N(INDEX(Krankheitstage!$G170:$DV170,1,(Einstellungen!$C$3-2026)*24+8))</f>
        <v/>
      </c>
      <c r="L170" s="76">
        <f>N(INDEX(Krankheitstage!$G170:$DV170,1,(Einstellungen!$C$3-2026)*24+9))</f>
        <v/>
      </c>
      <c r="M170" s="76">
        <f>N(INDEX(Krankheitstage!$G170:$DV170,1,(Einstellungen!$C$3-2026)*24+10))</f>
        <v/>
      </c>
      <c r="N170" s="76">
        <f>N(INDEX(Krankheitstage!$G170:$DV170,1,(Einstellungen!$C$3-2026)*24+11))</f>
        <v/>
      </c>
      <c r="O170" s="76">
        <f>N(INDEX(Krankheitstage!$G170:$DV170,1,(Einstellungen!$C$3-2026)*24+12))</f>
        <v/>
      </c>
      <c r="P170" s="76">
        <f>IF($B170="","",SUM(D170:O170))</f>
        <v/>
      </c>
      <c r="Q170" s="76">
        <f>N(INDEX(Krankheitstage!$G170:$DV170,1,(Einstellungen!$C$3-2026)*24+13))</f>
        <v/>
      </c>
      <c r="R170" s="76">
        <f>N(INDEX(Krankheitstage!$G170:$DV170,1,(Einstellungen!$C$3-2026)*24+14))</f>
        <v/>
      </c>
      <c r="S170" s="76">
        <f>N(INDEX(Krankheitstage!$G170:$DV170,1,(Einstellungen!$C$3-2026)*24+15))</f>
        <v/>
      </c>
      <c r="T170" s="76">
        <f>N(INDEX(Krankheitstage!$G170:$DV170,1,(Einstellungen!$C$3-2026)*24+16))</f>
        <v/>
      </c>
      <c r="U170" s="76">
        <f>N(INDEX(Krankheitstage!$G170:$DV170,1,(Einstellungen!$C$3-2026)*24+17))</f>
        <v/>
      </c>
      <c r="V170" s="76">
        <f>N(INDEX(Krankheitstage!$G170:$DV170,1,(Einstellungen!$C$3-2026)*24+18))</f>
        <v/>
      </c>
      <c r="W170" s="76">
        <f>N(INDEX(Krankheitstage!$G170:$DV170,1,(Einstellungen!$C$3-2026)*24+19))</f>
        <v/>
      </c>
      <c r="X170" s="76">
        <f>N(INDEX(Krankheitstage!$G170:$DV170,1,(Einstellungen!$C$3-2026)*24+20))</f>
        <v/>
      </c>
      <c r="Y170" s="76">
        <f>N(INDEX(Krankheitstage!$G170:$DV170,1,(Einstellungen!$C$3-2026)*24+21))</f>
        <v/>
      </c>
      <c r="Z170" s="76">
        <f>N(INDEX(Krankheitstage!$G170:$DV170,1,(Einstellungen!$C$3-2026)*24+22))</f>
        <v/>
      </c>
      <c r="AA170" s="76">
        <f>N(INDEX(Krankheitstage!$G170:$DV170,1,(Einstellungen!$C$3-2026)*24+23))</f>
        <v/>
      </c>
      <c r="AB170" s="76">
        <f>N(INDEX(Krankheitstage!$G170:$DV170,1,(Einstellungen!$C$3-2026)*24+24))</f>
        <v/>
      </c>
      <c r="AC170" s="76">
        <f>IF($B170="","",SUM(Q170:AB170))</f>
        <v/>
      </c>
      <c r="AD170" s="76">
        <f>IF($B170="","",SUM(P170,AC170))</f>
        <v/>
      </c>
      <c r="AE170" s="77">
        <f>IF($B170="","",AD170*N(C170))</f>
        <v/>
      </c>
      <c r="AF170" s="76">
        <f>IF($B170="","",Krankheitstage!E170)</f>
        <v/>
      </c>
      <c r="AG170" s="77">
        <f>IF($B170="","",AF170*N(C170))</f>
        <v/>
      </c>
    </row>
    <row r="171">
      <c r="A171" s="74">
        <f>IF(Mitarbeiter!B171="","",Mitarbeiter!A171)</f>
        <v/>
      </c>
      <c r="B171" s="6">
        <f>IF(Mitarbeiter!B171="","",Mitarbeiter!B171)</f>
        <v/>
      </c>
      <c r="C171" s="75">
        <f>IF(Mitarbeiter!B171="","",Mitarbeiter!F171)</f>
        <v/>
      </c>
      <c r="D171" s="76">
        <f>N(INDEX(Krankheitstage!$G171:$DV171,1,(Einstellungen!$C$3-2026)*24+1))</f>
        <v/>
      </c>
      <c r="E171" s="76">
        <f>N(INDEX(Krankheitstage!$G171:$DV171,1,(Einstellungen!$C$3-2026)*24+2))</f>
        <v/>
      </c>
      <c r="F171" s="76">
        <f>N(INDEX(Krankheitstage!$G171:$DV171,1,(Einstellungen!$C$3-2026)*24+3))</f>
        <v/>
      </c>
      <c r="G171" s="76">
        <f>N(INDEX(Krankheitstage!$G171:$DV171,1,(Einstellungen!$C$3-2026)*24+4))</f>
        <v/>
      </c>
      <c r="H171" s="76">
        <f>N(INDEX(Krankheitstage!$G171:$DV171,1,(Einstellungen!$C$3-2026)*24+5))</f>
        <v/>
      </c>
      <c r="I171" s="76">
        <f>N(INDEX(Krankheitstage!$G171:$DV171,1,(Einstellungen!$C$3-2026)*24+6))</f>
        <v/>
      </c>
      <c r="J171" s="76">
        <f>N(INDEX(Krankheitstage!$G171:$DV171,1,(Einstellungen!$C$3-2026)*24+7))</f>
        <v/>
      </c>
      <c r="K171" s="76">
        <f>N(INDEX(Krankheitstage!$G171:$DV171,1,(Einstellungen!$C$3-2026)*24+8))</f>
        <v/>
      </c>
      <c r="L171" s="76">
        <f>N(INDEX(Krankheitstage!$G171:$DV171,1,(Einstellungen!$C$3-2026)*24+9))</f>
        <v/>
      </c>
      <c r="M171" s="76">
        <f>N(INDEX(Krankheitstage!$G171:$DV171,1,(Einstellungen!$C$3-2026)*24+10))</f>
        <v/>
      </c>
      <c r="N171" s="76">
        <f>N(INDEX(Krankheitstage!$G171:$DV171,1,(Einstellungen!$C$3-2026)*24+11))</f>
        <v/>
      </c>
      <c r="O171" s="76">
        <f>N(INDEX(Krankheitstage!$G171:$DV171,1,(Einstellungen!$C$3-2026)*24+12))</f>
        <v/>
      </c>
      <c r="P171" s="76">
        <f>IF($B171="","",SUM(D171:O171))</f>
        <v/>
      </c>
      <c r="Q171" s="76">
        <f>N(INDEX(Krankheitstage!$G171:$DV171,1,(Einstellungen!$C$3-2026)*24+13))</f>
        <v/>
      </c>
      <c r="R171" s="76">
        <f>N(INDEX(Krankheitstage!$G171:$DV171,1,(Einstellungen!$C$3-2026)*24+14))</f>
        <v/>
      </c>
      <c r="S171" s="76">
        <f>N(INDEX(Krankheitstage!$G171:$DV171,1,(Einstellungen!$C$3-2026)*24+15))</f>
        <v/>
      </c>
      <c r="T171" s="76">
        <f>N(INDEX(Krankheitstage!$G171:$DV171,1,(Einstellungen!$C$3-2026)*24+16))</f>
        <v/>
      </c>
      <c r="U171" s="76">
        <f>N(INDEX(Krankheitstage!$G171:$DV171,1,(Einstellungen!$C$3-2026)*24+17))</f>
        <v/>
      </c>
      <c r="V171" s="76">
        <f>N(INDEX(Krankheitstage!$G171:$DV171,1,(Einstellungen!$C$3-2026)*24+18))</f>
        <v/>
      </c>
      <c r="W171" s="76">
        <f>N(INDEX(Krankheitstage!$G171:$DV171,1,(Einstellungen!$C$3-2026)*24+19))</f>
        <v/>
      </c>
      <c r="X171" s="76">
        <f>N(INDEX(Krankheitstage!$G171:$DV171,1,(Einstellungen!$C$3-2026)*24+20))</f>
        <v/>
      </c>
      <c r="Y171" s="76">
        <f>N(INDEX(Krankheitstage!$G171:$DV171,1,(Einstellungen!$C$3-2026)*24+21))</f>
        <v/>
      </c>
      <c r="Z171" s="76">
        <f>N(INDEX(Krankheitstage!$G171:$DV171,1,(Einstellungen!$C$3-2026)*24+22))</f>
        <v/>
      </c>
      <c r="AA171" s="76">
        <f>N(INDEX(Krankheitstage!$G171:$DV171,1,(Einstellungen!$C$3-2026)*24+23))</f>
        <v/>
      </c>
      <c r="AB171" s="76">
        <f>N(INDEX(Krankheitstage!$G171:$DV171,1,(Einstellungen!$C$3-2026)*24+24))</f>
        <v/>
      </c>
      <c r="AC171" s="76">
        <f>IF($B171="","",SUM(Q171:AB171))</f>
        <v/>
      </c>
      <c r="AD171" s="76">
        <f>IF($B171="","",SUM(P171,AC171))</f>
        <v/>
      </c>
      <c r="AE171" s="77">
        <f>IF($B171="","",AD171*N(C171))</f>
        <v/>
      </c>
      <c r="AF171" s="76">
        <f>IF($B171="","",Krankheitstage!E171)</f>
        <v/>
      </c>
      <c r="AG171" s="77">
        <f>IF($B171="","",AF171*N(C171))</f>
        <v/>
      </c>
    </row>
    <row r="172">
      <c r="A172" s="74">
        <f>IF(Mitarbeiter!B172="","",Mitarbeiter!A172)</f>
        <v/>
      </c>
      <c r="B172" s="6">
        <f>IF(Mitarbeiter!B172="","",Mitarbeiter!B172)</f>
        <v/>
      </c>
      <c r="C172" s="75">
        <f>IF(Mitarbeiter!B172="","",Mitarbeiter!F172)</f>
        <v/>
      </c>
      <c r="D172" s="76">
        <f>N(INDEX(Krankheitstage!$G172:$DV172,1,(Einstellungen!$C$3-2026)*24+1))</f>
        <v/>
      </c>
      <c r="E172" s="76">
        <f>N(INDEX(Krankheitstage!$G172:$DV172,1,(Einstellungen!$C$3-2026)*24+2))</f>
        <v/>
      </c>
      <c r="F172" s="76">
        <f>N(INDEX(Krankheitstage!$G172:$DV172,1,(Einstellungen!$C$3-2026)*24+3))</f>
        <v/>
      </c>
      <c r="G172" s="76">
        <f>N(INDEX(Krankheitstage!$G172:$DV172,1,(Einstellungen!$C$3-2026)*24+4))</f>
        <v/>
      </c>
      <c r="H172" s="76">
        <f>N(INDEX(Krankheitstage!$G172:$DV172,1,(Einstellungen!$C$3-2026)*24+5))</f>
        <v/>
      </c>
      <c r="I172" s="76">
        <f>N(INDEX(Krankheitstage!$G172:$DV172,1,(Einstellungen!$C$3-2026)*24+6))</f>
        <v/>
      </c>
      <c r="J172" s="76">
        <f>N(INDEX(Krankheitstage!$G172:$DV172,1,(Einstellungen!$C$3-2026)*24+7))</f>
        <v/>
      </c>
      <c r="K172" s="76">
        <f>N(INDEX(Krankheitstage!$G172:$DV172,1,(Einstellungen!$C$3-2026)*24+8))</f>
        <v/>
      </c>
      <c r="L172" s="76">
        <f>N(INDEX(Krankheitstage!$G172:$DV172,1,(Einstellungen!$C$3-2026)*24+9))</f>
        <v/>
      </c>
      <c r="M172" s="76">
        <f>N(INDEX(Krankheitstage!$G172:$DV172,1,(Einstellungen!$C$3-2026)*24+10))</f>
        <v/>
      </c>
      <c r="N172" s="76">
        <f>N(INDEX(Krankheitstage!$G172:$DV172,1,(Einstellungen!$C$3-2026)*24+11))</f>
        <v/>
      </c>
      <c r="O172" s="76">
        <f>N(INDEX(Krankheitstage!$G172:$DV172,1,(Einstellungen!$C$3-2026)*24+12))</f>
        <v/>
      </c>
      <c r="P172" s="76">
        <f>IF($B172="","",SUM(D172:O172))</f>
        <v/>
      </c>
      <c r="Q172" s="76">
        <f>N(INDEX(Krankheitstage!$G172:$DV172,1,(Einstellungen!$C$3-2026)*24+13))</f>
        <v/>
      </c>
      <c r="R172" s="76">
        <f>N(INDEX(Krankheitstage!$G172:$DV172,1,(Einstellungen!$C$3-2026)*24+14))</f>
        <v/>
      </c>
      <c r="S172" s="76">
        <f>N(INDEX(Krankheitstage!$G172:$DV172,1,(Einstellungen!$C$3-2026)*24+15))</f>
        <v/>
      </c>
      <c r="T172" s="76">
        <f>N(INDEX(Krankheitstage!$G172:$DV172,1,(Einstellungen!$C$3-2026)*24+16))</f>
        <v/>
      </c>
      <c r="U172" s="76">
        <f>N(INDEX(Krankheitstage!$G172:$DV172,1,(Einstellungen!$C$3-2026)*24+17))</f>
        <v/>
      </c>
      <c r="V172" s="76">
        <f>N(INDEX(Krankheitstage!$G172:$DV172,1,(Einstellungen!$C$3-2026)*24+18))</f>
        <v/>
      </c>
      <c r="W172" s="76">
        <f>N(INDEX(Krankheitstage!$G172:$DV172,1,(Einstellungen!$C$3-2026)*24+19))</f>
        <v/>
      </c>
      <c r="X172" s="76">
        <f>N(INDEX(Krankheitstage!$G172:$DV172,1,(Einstellungen!$C$3-2026)*24+20))</f>
        <v/>
      </c>
      <c r="Y172" s="76">
        <f>N(INDEX(Krankheitstage!$G172:$DV172,1,(Einstellungen!$C$3-2026)*24+21))</f>
        <v/>
      </c>
      <c r="Z172" s="76">
        <f>N(INDEX(Krankheitstage!$G172:$DV172,1,(Einstellungen!$C$3-2026)*24+22))</f>
        <v/>
      </c>
      <c r="AA172" s="76">
        <f>N(INDEX(Krankheitstage!$G172:$DV172,1,(Einstellungen!$C$3-2026)*24+23))</f>
        <v/>
      </c>
      <c r="AB172" s="76">
        <f>N(INDEX(Krankheitstage!$G172:$DV172,1,(Einstellungen!$C$3-2026)*24+24))</f>
        <v/>
      </c>
      <c r="AC172" s="76">
        <f>IF($B172="","",SUM(Q172:AB172))</f>
        <v/>
      </c>
      <c r="AD172" s="76">
        <f>IF($B172="","",SUM(P172,AC172))</f>
        <v/>
      </c>
      <c r="AE172" s="77">
        <f>IF($B172="","",AD172*N(C172))</f>
        <v/>
      </c>
      <c r="AF172" s="76">
        <f>IF($B172="","",Krankheitstage!E172)</f>
        <v/>
      </c>
      <c r="AG172" s="77">
        <f>IF($B172="","",AF172*N(C172))</f>
        <v/>
      </c>
    </row>
    <row r="173">
      <c r="A173" s="74">
        <f>IF(Mitarbeiter!B173="","",Mitarbeiter!A173)</f>
        <v/>
      </c>
      <c r="B173" s="6">
        <f>IF(Mitarbeiter!B173="","",Mitarbeiter!B173)</f>
        <v/>
      </c>
      <c r="C173" s="75">
        <f>IF(Mitarbeiter!B173="","",Mitarbeiter!F173)</f>
        <v/>
      </c>
      <c r="D173" s="76">
        <f>N(INDEX(Krankheitstage!$G173:$DV173,1,(Einstellungen!$C$3-2026)*24+1))</f>
        <v/>
      </c>
      <c r="E173" s="76">
        <f>N(INDEX(Krankheitstage!$G173:$DV173,1,(Einstellungen!$C$3-2026)*24+2))</f>
        <v/>
      </c>
      <c r="F173" s="76">
        <f>N(INDEX(Krankheitstage!$G173:$DV173,1,(Einstellungen!$C$3-2026)*24+3))</f>
        <v/>
      </c>
      <c r="G173" s="76">
        <f>N(INDEX(Krankheitstage!$G173:$DV173,1,(Einstellungen!$C$3-2026)*24+4))</f>
        <v/>
      </c>
      <c r="H173" s="76">
        <f>N(INDEX(Krankheitstage!$G173:$DV173,1,(Einstellungen!$C$3-2026)*24+5))</f>
        <v/>
      </c>
      <c r="I173" s="76">
        <f>N(INDEX(Krankheitstage!$G173:$DV173,1,(Einstellungen!$C$3-2026)*24+6))</f>
        <v/>
      </c>
      <c r="J173" s="76">
        <f>N(INDEX(Krankheitstage!$G173:$DV173,1,(Einstellungen!$C$3-2026)*24+7))</f>
        <v/>
      </c>
      <c r="K173" s="76">
        <f>N(INDEX(Krankheitstage!$G173:$DV173,1,(Einstellungen!$C$3-2026)*24+8))</f>
        <v/>
      </c>
      <c r="L173" s="76">
        <f>N(INDEX(Krankheitstage!$G173:$DV173,1,(Einstellungen!$C$3-2026)*24+9))</f>
        <v/>
      </c>
      <c r="M173" s="76">
        <f>N(INDEX(Krankheitstage!$G173:$DV173,1,(Einstellungen!$C$3-2026)*24+10))</f>
        <v/>
      </c>
      <c r="N173" s="76">
        <f>N(INDEX(Krankheitstage!$G173:$DV173,1,(Einstellungen!$C$3-2026)*24+11))</f>
        <v/>
      </c>
      <c r="O173" s="76">
        <f>N(INDEX(Krankheitstage!$G173:$DV173,1,(Einstellungen!$C$3-2026)*24+12))</f>
        <v/>
      </c>
      <c r="P173" s="76">
        <f>IF($B173="","",SUM(D173:O173))</f>
        <v/>
      </c>
      <c r="Q173" s="76">
        <f>N(INDEX(Krankheitstage!$G173:$DV173,1,(Einstellungen!$C$3-2026)*24+13))</f>
        <v/>
      </c>
      <c r="R173" s="76">
        <f>N(INDEX(Krankheitstage!$G173:$DV173,1,(Einstellungen!$C$3-2026)*24+14))</f>
        <v/>
      </c>
      <c r="S173" s="76">
        <f>N(INDEX(Krankheitstage!$G173:$DV173,1,(Einstellungen!$C$3-2026)*24+15))</f>
        <v/>
      </c>
      <c r="T173" s="76">
        <f>N(INDEX(Krankheitstage!$G173:$DV173,1,(Einstellungen!$C$3-2026)*24+16))</f>
        <v/>
      </c>
      <c r="U173" s="76">
        <f>N(INDEX(Krankheitstage!$G173:$DV173,1,(Einstellungen!$C$3-2026)*24+17))</f>
        <v/>
      </c>
      <c r="V173" s="76">
        <f>N(INDEX(Krankheitstage!$G173:$DV173,1,(Einstellungen!$C$3-2026)*24+18))</f>
        <v/>
      </c>
      <c r="W173" s="76">
        <f>N(INDEX(Krankheitstage!$G173:$DV173,1,(Einstellungen!$C$3-2026)*24+19))</f>
        <v/>
      </c>
      <c r="X173" s="76">
        <f>N(INDEX(Krankheitstage!$G173:$DV173,1,(Einstellungen!$C$3-2026)*24+20))</f>
        <v/>
      </c>
      <c r="Y173" s="76">
        <f>N(INDEX(Krankheitstage!$G173:$DV173,1,(Einstellungen!$C$3-2026)*24+21))</f>
        <v/>
      </c>
      <c r="Z173" s="76">
        <f>N(INDEX(Krankheitstage!$G173:$DV173,1,(Einstellungen!$C$3-2026)*24+22))</f>
        <v/>
      </c>
      <c r="AA173" s="76">
        <f>N(INDEX(Krankheitstage!$G173:$DV173,1,(Einstellungen!$C$3-2026)*24+23))</f>
        <v/>
      </c>
      <c r="AB173" s="76">
        <f>N(INDEX(Krankheitstage!$G173:$DV173,1,(Einstellungen!$C$3-2026)*24+24))</f>
        <v/>
      </c>
      <c r="AC173" s="76">
        <f>IF($B173="","",SUM(Q173:AB173))</f>
        <v/>
      </c>
      <c r="AD173" s="76">
        <f>IF($B173="","",SUM(P173,AC173))</f>
        <v/>
      </c>
      <c r="AE173" s="77">
        <f>IF($B173="","",AD173*N(C173))</f>
        <v/>
      </c>
      <c r="AF173" s="76">
        <f>IF($B173="","",Krankheitstage!E173)</f>
        <v/>
      </c>
      <c r="AG173" s="77">
        <f>IF($B173="","",AF173*N(C173))</f>
        <v/>
      </c>
    </row>
    <row r="174">
      <c r="A174" s="74">
        <f>IF(Mitarbeiter!B174="","",Mitarbeiter!A174)</f>
        <v/>
      </c>
      <c r="B174" s="6">
        <f>IF(Mitarbeiter!B174="","",Mitarbeiter!B174)</f>
        <v/>
      </c>
      <c r="C174" s="75">
        <f>IF(Mitarbeiter!B174="","",Mitarbeiter!F174)</f>
        <v/>
      </c>
      <c r="D174" s="76">
        <f>N(INDEX(Krankheitstage!$G174:$DV174,1,(Einstellungen!$C$3-2026)*24+1))</f>
        <v/>
      </c>
      <c r="E174" s="76">
        <f>N(INDEX(Krankheitstage!$G174:$DV174,1,(Einstellungen!$C$3-2026)*24+2))</f>
        <v/>
      </c>
      <c r="F174" s="76">
        <f>N(INDEX(Krankheitstage!$G174:$DV174,1,(Einstellungen!$C$3-2026)*24+3))</f>
        <v/>
      </c>
      <c r="G174" s="76">
        <f>N(INDEX(Krankheitstage!$G174:$DV174,1,(Einstellungen!$C$3-2026)*24+4))</f>
        <v/>
      </c>
      <c r="H174" s="76">
        <f>N(INDEX(Krankheitstage!$G174:$DV174,1,(Einstellungen!$C$3-2026)*24+5))</f>
        <v/>
      </c>
      <c r="I174" s="76">
        <f>N(INDEX(Krankheitstage!$G174:$DV174,1,(Einstellungen!$C$3-2026)*24+6))</f>
        <v/>
      </c>
      <c r="J174" s="76">
        <f>N(INDEX(Krankheitstage!$G174:$DV174,1,(Einstellungen!$C$3-2026)*24+7))</f>
        <v/>
      </c>
      <c r="K174" s="76">
        <f>N(INDEX(Krankheitstage!$G174:$DV174,1,(Einstellungen!$C$3-2026)*24+8))</f>
        <v/>
      </c>
      <c r="L174" s="76">
        <f>N(INDEX(Krankheitstage!$G174:$DV174,1,(Einstellungen!$C$3-2026)*24+9))</f>
        <v/>
      </c>
      <c r="M174" s="76">
        <f>N(INDEX(Krankheitstage!$G174:$DV174,1,(Einstellungen!$C$3-2026)*24+10))</f>
        <v/>
      </c>
      <c r="N174" s="76">
        <f>N(INDEX(Krankheitstage!$G174:$DV174,1,(Einstellungen!$C$3-2026)*24+11))</f>
        <v/>
      </c>
      <c r="O174" s="76">
        <f>N(INDEX(Krankheitstage!$G174:$DV174,1,(Einstellungen!$C$3-2026)*24+12))</f>
        <v/>
      </c>
      <c r="P174" s="76">
        <f>IF($B174="","",SUM(D174:O174))</f>
        <v/>
      </c>
      <c r="Q174" s="76">
        <f>N(INDEX(Krankheitstage!$G174:$DV174,1,(Einstellungen!$C$3-2026)*24+13))</f>
        <v/>
      </c>
      <c r="R174" s="76">
        <f>N(INDEX(Krankheitstage!$G174:$DV174,1,(Einstellungen!$C$3-2026)*24+14))</f>
        <v/>
      </c>
      <c r="S174" s="76">
        <f>N(INDEX(Krankheitstage!$G174:$DV174,1,(Einstellungen!$C$3-2026)*24+15))</f>
        <v/>
      </c>
      <c r="T174" s="76">
        <f>N(INDEX(Krankheitstage!$G174:$DV174,1,(Einstellungen!$C$3-2026)*24+16))</f>
        <v/>
      </c>
      <c r="U174" s="76">
        <f>N(INDEX(Krankheitstage!$G174:$DV174,1,(Einstellungen!$C$3-2026)*24+17))</f>
        <v/>
      </c>
      <c r="V174" s="76">
        <f>N(INDEX(Krankheitstage!$G174:$DV174,1,(Einstellungen!$C$3-2026)*24+18))</f>
        <v/>
      </c>
      <c r="W174" s="76">
        <f>N(INDEX(Krankheitstage!$G174:$DV174,1,(Einstellungen!$C$3-2026)*24+19))</f>
        <v/>
      </c>
      <c r="X174" s="76">
        <f>N(INDEX(Krankheitstage!$G174:$DV174,1,(Einstellungen!$C$3-2026)*24+20))</f>
        <v/>
      </c>
      <c r="Y174" s="76">
        <f>N(INDEX(Krankheitstage!$G174:$DV174,1,(Einstellungen!$C$3-2026)*24+21))</f>
        <v/>
      </c>
      <c r="Z174" s="76">
        <f>N(INDEX(Krankheitstage!$G174:$DV174,1,(Einstellungen!$C$3-2026)*24+22))</f>
        <v/>
      </c>
      <c r="AA174" s="76">
        <f>N(INDEX(Krankheitstage!$G174:$DV174,1,(Einstellungen!$C$3-2026)*24+23))</f>
        <v/>
      </c>
      <c r="AB174" s="76">
        <f>N(INDEX(Krankheitstage!$G174:$DV174,1,(Einstellungen!$C$3-2026)*24+24))</f>
        <v/>
      </c>
      <c r="AC174" s="76">
        <f>IF($B174="","",SUM(Q174:AB174))</f>
        <v/>
      </c>
      <c r="AD174" s="76">
        <f>IF($B174="","",SUM(P174,AC174))</f>
        <v/>
      </c>
      <c r="AE174" s="77">
        <f>IF($B174="","",AD174*N(C174))</f>
        <v/>
      </c>
      <c r="AF174" s="76">
        <f>IF($B174="","",Krankheitstage!E174)</f>
        <v/>
      </c>
      <c r="AG174" s="77">
        <f>IF($B174="","",AF174*N(C174))</f>
        <v/>
      </c>
    </row>
    <row r="175">
      <c r="A175" s="74">
        <f>IF(Mitarbeiter!B175="","",Mitarbeiter!A175)</f>
        <v/>
      </c>
      <c r="B175" s="6">
        <f>IF(Mitarbeiter!B175="","",Mitarbeiter!B175)</f>
        <v/>
      </c>
      <c r="C175" s="75">
        <f>IF(Mitarbeiter!B175="","",Mitarbeiter!F175)</f>
        <v/>
      </c>
      <c r="D175" s="76">
        <f>N(INDEX(Krankheitstage!$G175:$DV175,1,(Einstellungen!$C$3-2026)*24+1))</f>
        <v/>
      </c>
      <c r="E175" s="76">
        <f>N(INDEX(Krankheitstage!$G175:$DV175,1,(Einstellungen!$C$3-2026)*24+2))</f>
        <v/>
      </c>
      <c r="F175" s="76">
        <f>N(INDEX(Krankheitstage!$G175:$DV175,1,(Einstellungen!$C$3-2026)*24+3))</f>
        <v/>
      </c>
      <c r="G175" s="76">
        <f>N(INDEX(Krankheitstage!$G175:$DV175,1,(Einstellungen!$C$3-2026)*24+4))</f>
        <v/>
      </c>
      <c r="H175" s="76">
        <f>N(INDEX(Krankheitstage!$G175:$DV175,1,(Einstellungen!$C$3-2026)*24+5))</f>
        <v/>
      </c>
      <c r="I175" s="76">
        <f>N(INDEX(Krankheitstage!$G175:$DV175,1,(Einstellungen!$C$3-2026)*24+6))</f>
        <v/>
      </c>
      <c r="J175" s="76">
        <f>N(INDEX(Krankheitstage!$G175:$DV175,1,(Einstellungen!$C$3-2026)*24+7))</f>
        <v/>
      </c>
      <c r="K175" s="76">
        <f>N(INDEX(Krankheitstage!$G175:$DV175,1,(Einstellungen!$C$3-2026)*24+8))</f>
        <v/>
      </c>
      <c r="L175" s="76">
        <f>N(INDEX(Krankheitstage!$G175:$DV175,1,(Einstellungen!$C$3-2026)*24+9))</f>
        <v/>
      </c>
      <c r="M175" s="76">
        <f>N(INDEX(Krankheitstage!$G175:$DV175,1,(Einstellungen!$C$3-2026)*24+10))</f>
        <v/>
      </c>
      <c r="N175" s="76">
        <f>N(INDEX(Krankheitstage!$G175:$DV175,1,(Einstellungen!$C$3-2026)*24+11))</f>
        <v/>
      </c>
      <c r="O175" s="76">
        <f>N(INDEX(Krankheitstage!$G175:$DV175,1,(Einstellungen!$C$3-2026)*24+12))</f>
        <v/>
      </c>
      <c r="P175" s="76">
        <f>IF($B175="","",SUM(D175:O175))</f>
        <v/>
      </c>
      <c r="Q175" s="76">
        <f>N(INDEX(Krankheitstage!$G175:$DV175,1,(Einstellungen!$C$3-2026)*24+13))</f>
        <v/>
      </c>
      <c r="R175" s="76">
        <f>N(INDEX(Krankheitstage!$G175:$DV175,1,(Einstellungen!$C$3-2026)*24+14))</f>
        <v/>
      </c>
      <c r="S175" s="76">
        <f>N(INDEX(Krankheitstage!$G175:$DV175,1,(Einstellungen!$C$3-2026)*24+15))</f>
        <v/>
      </c>
      <c r="T175" s="76">
        <f>N(INDEX(Krankheitstage!$G175:$DV175,1,(Einstellungen!$C$3-2026)*24+16))</f>
        <v/>
      </c>
      <c r="U175" s="76">
        <f>N(INDEX(Krankheitstage!$G175:$DV175,1,(Einstellungen!$C$3-2026)*24+17))</f>
        <v/>
      </c>
      <c r="V175" s="76">
        <f>N(INDEX(Krankheitstage!$G175:$DV175,1,(Einstellungen!$C$3-2026)*24+18))</f>
        <v/>
      </c>
      <c r="W175" s="76">
        <f>N(INDEX(Krankheitstage!$G175:$DV175,1,(Einstellungen!$C$3-2026)*24+19))</f>
        <v/>
      </c>
      <c r="X175" s="76">
        <f>N(INDEX(Krankheitstage!$G175:$DV175,1,(Einstellungen!$C$3-2026)*24+20))</f>
        <v/>
      </c>
      <c r="Y175" s="76">
        <f>N(INDEX(Krankheitstage!$G175:$DV175,1,(Einstellungen!$C$3-2026)*24+21))</f>
        <v/>
      </c>
      <c r="Z175" s="76">
        <f>N(INDEX(Krankheitstage!$G175:$DV175,1,(Einstellungen!$C$3-2026)*24+22))</f>
        <v/>
      </c>
      <c r="AA175" s="76">
        <f>N(INDEX(Krankheitstage!$G175:$DV175,1,(Einstellungen!$C$3-2026)*24+23))</f>
        <v/>
      </c>
      <c r="AB175" s="76">
        <f>N(INDEX(Krankheitstage!$G175:$DV175,1,(Einstellungen!$C$3-2026)*24+24))</f>
        <v/>
      </c>
      <c r="AC175" s="76">
        <f>IF($B175="","",SUM(Q175:AB175))</f>
        <v/>
      </c>
      <c r="AD175" s="76">
        <f>IF($B175="","",SUM(P175,AC175))</f>
        <v/>
      </c>
      <c r="AE175" s="77">
        <f>IF($B175="","",AD175*N(C175))</f>
        <v/>
      </c>
      <c r="AF175" s="76">
        <f>IF($B175="","",Krankheitstage!E175)</f>
        <v/>
      </c>
      <c r="AG175" s="77">
        <f>IF($B175="","",AF175*N(C175))</f>
        <v/>
      </c>
    </row>
    <row r="176">
      <c r="A176" s="74">
        <f>IF(Mitarbeiter!B176="","",Mitarbeiter!A176)</f>
        <v/>
      </c>
      <c r="B176" s="6">
        <f>IF(Mitarbeiter!B176="","",Mitarbeiter!B176)</f>
        <v/>
      </c>
      <c r="C176" s="75">
        <f>IF(Mitarbeiter!B176="","",Mitarbeiter!F176)</f>
        <v/>
      </c>
      <c r="D176" s="76">
        <f>N(INDEX(Krankheitstage!$G176:$DV176,1,(Einstellungen!$C$3-2026)*24+1))</f>
        <v/>
      </c>
      <c r="E176" s="76">
        <f>N(INDEX(Krankheitstage!$G176:$DV176,1,(Einstellungen!$C$3-2026)*24+2))</f>
        <v/>
      </c>
      <c r="F176" s="76">
        <f>N(INDEX(Krankheitstage!$G176:$DV176,1,(Einstellungen!$C$3-2026)*24+3))</f>
        <v/>
      </c>
      <c r="G176" s="76">
        <f>N(INDEX(Krankheitstage!$G176:$DV176,1,(Einstellungen!$C$3-2026)*24+4))</f>
        <v/>
      </c>
      <c r="H176" s="76">
        <f>N(INDEX(Krankheitstage!$G176:$DV176,1,(Einstellungen!$C$3-2026)*24+5))</f>
        <v/>
      </c>
      <c r="I176" s="76">
        <f>N(INDEX(Krankheitstage!$G176:$DV176,1,(Einstellungen!$C$3-2026)*24+6))</f>
        <v/>
      </c>
      <c r="J176" s="76">
        <f>N(INDEX(Krankheitstage!$G176:$DV176,1,(Einstellungen!$C$3-2026)*24+7))</f>
        <v/>
      </c>
      <c r="K176" s="76">
        <f>N(INDEX(Krankheitstage!$G176:$DV176,1,(Einstellungen!$C$3-2026)*24+8))</f>
        <v/>
      </c>
      <c r="L176" s="76">
        <f>N(INDEX(Krankheitstage!$G176:$DV176,1,(Einstellungen!$C$3-2026)*24+9))</f>
        <v/>
      </c>
      <c r="M176" s="76">
        <f>N(INDEX(Krankheitstage!$G176:$DV176,1,(Einstellungen!$C$3-2026)*24+10))</f>
        <v/>
      </c>
      <c r="N176" s="76">
        <f>N(INDEX(Krankheitstage!$G176:$DV176,1,(Einstellungen!$C$3-2026)*24+11))</f>
        <v/>
      </c>
      <c r="O176" s="76">
        <f>N(INDEX(Krankheitstage!$G176:$DV176,1,(Einstellungen!$C$3-2026)*24+12))</f>
        <v/>
      </c>
      <c r="P176" s="76">
        <f>IF($B176="","",SUM(D176:O176))</f>
        <v/>
      </c>
      <c r="Q176" s="76">
        <f>N(INDEX(Krankheitstage!$G176:$DV176,1,(Einstellungen!$C$3-2026)*24+13))</f>
        <v/>
      </c>
      <c r="R176" s="76">
        <f>N(INDEX(Krankheitstage!$G176:$DV176,1,(Einstellungen!$C$3-2026)*24+14))</f>
        <v/>
      </c>
      <c r="S176" s="76">
        <f>N(INDEX(Krankheitstage!$G176:$DV176,1,(Einstellungen!$C$3-2026)*24+15))</f>
        <v/>
      </c>
      <c r="T176" s="76">
        <f>N(INDEX(Krankheitstage!$G176:$DV176,1,(Einstellungen!$C$3-2026)*24+16))</f>
        <v/>
      </c>
      <c r="U176" s="76">
        <f>N(INDEX(Krankheitstage!$G176:$DV176,1,(Einstellungen!$C$3-2026)*24+17))</f>
        <v/>
      </c>
      <c r="V176" s="76">
        <f>N(INDEX(Krankheitstage!$G176:$DV176,1,(Einstellungen!$C$3-2026)*24+18))</f>
        <v/>
      </c>
      <c r="W176" s="76">
        <f>N(INDEX(Krankheitstage!$G176:$DV176,1,(Einstellungen!$C$3-2026)*24+19))</f>
        <v/>
      </c>
      <c r="X176" s="76">
        <f>N(INDEX(Krankheitstage!$G176:$DV176,1,(Einstellungen!$C$3-2026)*24+20))</f>
        <v/>
      </c>
      <c r="Y176" s="76">
        <f>N(INDEX(Krankheitstage!$G176:$DV176,1,(Einstellungen!$C$3-2026)*24+21))</f>
        <v/>
      </c>
      <c r="Z176" s="76">
        <f>N(INDEX(Krankheitstage!$G176:$DV176,1,(Einstellungen!$C$3-2026)*24+22))</f>
        <v/>
      </c>
      <c r="AA176" s="76">
        <f>N(INDEX(Krankheitstage!$G176:$DV176,1,(Einstellungen!$C$3-2026)*24+23))</f>
        <v/>
      </c>
      <c r="AB176" s="76">
        <f>N(INDEX(Krankheitstage!$G176:$DV176,1,(Einstellungen!$C$3-2026)*24+24))</f>
        <v/>
      </c>
      <c r="AC176" s="76">
        <f>IF($B176="","",SUM(Q176:AB176))</f>
        <v/>
      </c>
      <c r="AD176" s="76">
        <f>IF($B176="","",SUM(P176,AC176))</f>
        <v/>
      </c>
      <c r="AE176" s="77">
        <f>IF($B176="","",AD176*N(C176))</f>
        <v/>
      </c>
      <c r="AF176" s="76">
        <f>IF($B176="","",Krankheitstage!E176)</f>
        <v/>
      </c>
      <c r="AG176" s="77">
        <f>IF($B176="","",AF176*N(C176))</f>
        <v/>
      </c>
    </row>
    <row r="177">
      <c r="A177" s="74">
        <f>IF(Mitarbeiter!B177="","",Mitarbeiter!A177)</f>
        <v/>
      </c>
      <c r="B177" s="6">
        <f>IF(Mitarbeiter!B177="","",Mitarbeiter!B177)</f>
        <v/>
      </c>
      <c r="C177" s="75">
        <f>IF(Mitarbeiter!B177="","",Mitarbeiter!F177)</f>
        <v/>
      </c>
      <c r="D177" s="76">
        <f>N(INDEX(Krankheitstage!$G177:$DV177,1,(Einstellungen!$C$3-2026)*24+1))</f>
        <v/>
      </c>
      <c r="E177" s="76">
        <f>N(INDEX(Krankheitstage!$G177:$DV177,1,(Einstellungen!$C$3-2026)*24+2))</f>
        <v/>
      </c>
      <c r="F177" s="76">
        <f>N(INDEX(Krankheitstage!$G177:$DV177,1,(Einstellungen!$C$3-2026)*24+3))</f>
        <v/>
      </c>
      <c r="G177" s="76">
        <f>N(INDEX(Krankheitstage!$G177:$DV177,1,(Einstellungen!$C$3-2026)*24+4))</f>
        <v/>
      </c>
      <c r="H177" s="76">
        <f>N(INDEX(Krankheitstage!$G177:$DV177,1,(Einstellungen!$C$3-2026)*24+5))</f>
        <v/>
      </c>
      <c r="I177" s="76">
        <f>N(INDEX(Krankheitstage!$G177:$DV177,1,(Einstellungen!$C$3-2026)*24+6))</f>
        <v/>
      </c>
      <c r="J177" s="76">
        <f>N(INDEX(Krankheitstage!$G177:$DV177,1,(Einstellungen!$C$3-2026)*24+7))</f>
        <v/>
      </c>
      <c r="K177" s="76">
        <f>N(INDEX(Krankheitstage!$G177:$DV177,1,(Einstellungen!$C$3-2026)*24+8))</f>
        <v/>
      </c>
      <c r="L177" s="76">
        <f>N(INDEX(Krankheitstage!$G177:$DV177,1,(Einstellungen!$C$3-2026)*24+9))</f>
        <v/>
      </c>
      <c r="M177" s="76">
        <f>N(INDEX(Krankheitstage!$G177:$DV177,1,(Einstellungen!$C$3-2026)*24+10))</f>
        <v/>
      </c>
      <c r="N177" s="76">
        <f>N(INDEX(Krankheitstage!$G177:$DV177,1,(Einstellungen!$C$3-2026)*24+11))</f>
        <v/>
      </c>
      <c r="O177" s="76">
        <f>N(INDEX(Krankheitstage!$G177:$DV177,1,(Einstellungen!$C$3-2026)*24+12))</f>
        <v/>
      </c>
      <c r="P177" s="76">
        <f>IF($B177="","",SUM(D177:O177))</f>
        <v/>
      </c>
      <c r="Q177" s="76">
        <f>N(INDEX(Krankheitstage!$G177:$DV177,1,(Einstellungen!$C$3-2026)*24+13))</f>
        <v/>
      </c>
      <c r="R177" s="76">
        <f>N(INDEX(Krankheitstage!$G177:$DV177,1,(Einstellungen!$C$3-2026)*24+14))</f>
        <v/>
      </c>
      <c r="S177" s="76">
        <f>N(INDEX(Krankheitstage!$G177:$DV177,1,(Einstellungen!$C$3-2026)*24+15))</f>
        <v/>
      </c>
      <c r="T177" s="76">
        <f>N(INDEX(Krankheitstage!$G177:$DV177,1,(Einstellungen!$C$3-2026)*24+16))</f>
        <v/>
      </c>
      <c r="U177" s="76">
        <f>N(INDEX(Krankheitstage!$G177:$DV177,1,(Einstellungen!$C$3-2026)*24+17))</f>
        <v/>
      </c>
      <c r="V177" s="76">
        <f>N(INDEX(Krankheitstage!$G177:$DV177,1,(Einstellungen!$C$3-2026)*24+18))</f>
        <v/>
      </c>
      <c r="W177" s="76">
        <f>N(INDEX(Krankheitstage!$G177:$DV177,1,(Einstellungen!$C$3-2026)*24+19))</f>
        <v/>
      </c>
      <c r="X177" s="76">
        <f>N(INDEX(Krankheitstage!$G177:$DV177,1,(Einstellungen!$C$3-2026)*24+20))</f>
        <v/>
      </c>
      <c r="Y177" s="76">
        <f>N(INDEX(Krankheitstage!$G177:$DV177,1,(Einstellungen!$C$3-2026)*24+21))</f>
        <v/>
      </c>
      <c r="Z177" s="76">
        <f>N(INDEX(Krankheitstage!$G177:$DV177,1,(Einstellungen!$C$3-2026)*24+22))</f>
        <v/>
      </c>
      <c r="AA177" s="76">
        <f>N(INDEX(Krankheitstage!$G177:$DV177,1,(Einstellungen!$C$3-2026)*24+23))</f>
        <v/>
      </c>
      <c r="AB177" s="76">
        <f>N(INDEX(Krankheitstage!$G177:$DV177,1,(Einstellungen!$C$3-2026)*24+24))</f>
        <v/>
      </c>
      <c r="AC177" s="76">
        <f>IF($B177="","",SUM(Q177:AB177))</f>
        <v/>
      </c>
      <c r="AD177" s="76">
        <f>IF($B177="","",SUM(P177,AC177))</f>
        <v/>
      </c>
      <c r="AE177" s="77">
        <f>IF($B177="","",AD177*N(C177))</f>
        <v/>
      </c>
      <c r="AF177" s="76">
        <f>IF($B177="","",Krankheitstage!E177)</f>
        <v/>
      </c>
      <c r="AG177" s="77">
        <f>IF($B177="","",AF177*N(C177))</f>
        <v/>
      </c>
    </row>
    <row r="178">
      <c r="A178" s="74">
        <f>IF(Mitarbeiter!B178="","",Mitarbeiter!A178)</f>
        <v/>
      </c>
      <c r="B178" s="6">
        <f>IF(Mitarbeiter!B178="","",Mitarbeiter!B178)</f>
        <v/>
      </c>
      <c r="C178" s="75">
        <f>IF(Mitarbeiter!B178="","",Mitarbeiter!F178)</f>
        <v/>
      </c>
      <c r="D178" s="76">
        <f>N(INDEX(Krankheitstage!$G178:$DV178,1,(Einstellungen!$C$3-2026)*24+1))</f>
        <v/>
      </c>
      <c r="E178" s="76">
        <f>N(INDEX(Krankheitstage!$G178:$DV178,1,(Einstellungen!$C$3-2026)*24+2))</f>
        <v/>
      </c>
      <c r="F178" s="76">
        <f>N(INDEX(Krankheitstage!$G178:$DV178,1,(Einstellungen!$C$3-2026)*24+3))</f>
        <v/>
      </c>
      <c r="G178" s="76">
        <f>N(INDEX(Krankheitstage!$G178:$DV178,1,(Einstellungen!$C$3-2026)*24+4))</f>
        <v/>
      </c>
      <c r="H178" s="76">
        <f>N(INDEX(Krankheitstage!$G178:$DV178,1,(Einstellungen!$C$3-2026)*24+5))</f>
        <v/>
      </c>
      <c r="I178" s="76">
        <f>N(INDEX(Krankheitstage!$G178:$DV178,1,(Einstellungen!$C$3-2026)*24+6))</f>
        <v/>
      </c>
      <c r="J178" s="76">
        <f>N(INDEX(Krankheitstage!$G178:$DV178,1,(Einstellungen!$C$3-2026)*24+7))</f>
        <v/>
      </c>
      <c r="K178" s="76">
        <f>N(INDEX(Krankheitstage!$G178:$DV178,1,(Einstellungen!$C$3-2026)*24+8))</f>
        <v/>
      </c>
      <c r="L178" s="76">
        <f>N(INDEX(Krankheitstage!$G178:$DV178,1,(Einstellungen!$C$3-2026)*24+9))</f>
        <v/>
      </c>
      <c r="M178" s="76">
        <f>N(INDEX(Krankheitstage!$G178:$DV178,1,(Einstellungen!$C$3-2026)*24+10))</f>
        <v/>
      </c>
      <c r="N178" s="76">
        <f>N(INDEX(Krankheitstage!$G178:$DV178,1,(Einstellungen!$C$3-2026)*24+11))</f>
        <v/>
      </c>
      <c r="O178" s="76">
        <f>N(INDEX(Krankheitstage!$G178:$DV178,1,(Einstellungen!$C$3-2026)*24+12))</f>
        <v/>
      </c>
      <c r="P178" s="76">
        <f>IF($B178="","",SUM(D178:O178))</f>
        <v/>
      </c>
      <c r="Q178" s="76">
        <f>N(INDEX(Krankheitstage!$G178:$DV178,1,(Einstellungen!$C$3-2026)*24+13))</f>
        <v/>
      </c>
      <c r="R178" s="76">
        <f>N(INDEX(Krankheitstage!$G178:$DV178,1,(Einstellungen!$C$3-2026)*24+14))</f>
        <v/>
      </c>
      <c r="S178" s="76">
        <f>N(INDEX(Krankheitstage!$G178:$DV178,1,(Einstellungen!$C$3-2026)*24+15))</f>
        <v/>
      </c>
      <c r="T178" s="76">
        <f>N(INDEX(Krankheitstage!$G178:$DV178,1,(Einstellungen!$C$3-2026)*24+16))</f>
        <v/>
      </c>
      <c r="U178" s="76">
        <f>N(INDEX(Krankheitstage!$G178:$DV178,1,(Einstellungen!$C$3-2026)*24+17))</f>
        <v/>
      </c>
      <c r="V178" s="76">
        <f>N(INDEX(Krankheitstage!$G178:$DV178,1,(Einstellungen!$C$3-2026)*24+18))</f>
        <v/>
      </c>
      <c r="W178" s="76">
        <f>N(INDEX(Krankheitstage!$G178:$DV178,1,(Einstellungen!$C$3-2026)*24+19))</f>
        <v/>
      </c>
      <c r="X178" s="76">
        <f>N(INDEX(Krankheitstage!$G178:$DV178,1,(Einstellungen!$C$3-2026)*24+20))</f>
        <v/>
      </c>
      <c r="Y178" s="76">
        <f>N(INDEX(Krankheitstage!$G178:$DV178,1,(Einstellungen!$C$3-2026)*24+21))</f>
        <v/>
      </c>
      <c r="Z178" s="76">
        <f>N(INDEX(Krankheitstage!$G178:$DV178,1,(Einstellungen!$C$3-2026)*24+22))</f>
        <v/>
      </c>
      <c r="AA178" s="76">
        <f>N(INDEX(Krankheitstage!$G178:$DV178,1,(Einstellungen!$C$3-2026)*24+23))</f>
        <v/>
      </c>
      <c r="AB178" s="76">
        <f>N(INDEX(Krankheitstage!$G178:$DV178,1,(Einstellungen!$C$3-2026)*24+24))</f>
        <v/>
      </c>
      <c r="AC178" s="76">
        <f>IF($B178="","",SUM(Q178:AB178))</f>
        <v/>
      </c>
      <c r="AD178" s="76">
        <f>IF($B178="","",SUM(P178,AC178))</f>
        <v/>
      </c>
      <c r="AE178" s="77">
        <f>IF($B178="","",AD178*N(C178))</f>
        <v/>
      </c>
      <c r="AF178" s="76">
        <f>IF($B178="","",Krankheitstage!E178)</f>
        <v/>
      </c>
      <c r="AG178" s="77">
        <f>IF($B178="","",AF178*N(C178))</f>
        <v/>
      </c>
    </row>
    <row r="179">
      <c r="A179" s="74">
        <f>IF(Mitarbeiter!B179="","",Mitarbeiter!A179)</f>
        <v/>
      </c>
      <c r="B179" s="6">
        <f>IF(Mitarbeiter!B179="","",Mitarbeiter!B179)</f>
        <v/>
      </c>
      <c r="C179" s="75">
        <f>IF(Mitarbeiter!B179="","",Mitarbeiter!F179)</f>
        <v/>
      </c>
      <c r="D179" s="76">
        <f>N(INDEX(Krankheitstage!$G179:$DV179,1,(Einstellungen!$C$3-2026)*24+1))</f>
        <v/>
      </c>
      <c r="E179" s="76">
        <f>N(INDEX(Krankheitstage!$G179:$DV179,1,(Einstellungen!$C$3-2026)*24+2))</f>
        <v/>
      </c>
      <c r="F179" s="76">
        <f>N(INDEX(Krankheitstage!$G179:$DV179,1,(Einstellungen!$C$3-2026)*24+3))</f>
        <v/>
      </c>
      <c r="G179" s="76">
        <f>N(INDEX(Krankheitstage!$G179:$DV179,1,(Einstellungen!$C$3-2026)*24+4))</f>
        <v/>
      </c>
      <c r="H179" s="76">
        <f>N(INDEX(Krankheitstage!$G179:$DV179,1,(Einstellungen!$C$3-2026)*24+5))</f>
        <v/>
      </c>
      <c r="I179" s="76">
        <f>N(INDEX(Krankheitstage!$G179:$DV179,1,(Einstellungen!$C$3-2026)*24+6))</f>
        <v/>
      </c>
      <c r="J179" s="76">
        <f>N(INDEX(Krankheitstage!$G179:$DV179,1,(Einstellungen!$C$3-2026)*24+7))</f>
        <v/>
      </c>
      <c r="K179" s="76">
        <f>N(INDEX(Krankheitstage!$G179:$DV179,1,(Einstellungen!$C$3-2026)*24+8))</f>
        <v/>
      </c>
      <c r="L179" s="76">
        <f>N(INDEX(Krankheitstage!$G179:$DV179,1,(Einstellungen!$C$3-2026)*24+9))</f>
        <v/>
      </c>
      <c r="M179" s="76">
        <f>N(INDEX(Krankheitstage!$G179:$DV179,1,(Einstellungen!$C$3-2026)*24+10))</f>
        <v/>
      </c>
      <c r="N179" s="76">
        <f>N(INDEX(Krankheitstage!$G179:$DV179,1,(Einstellungen!$C$3-2026)*24+11))</f>
        <v/>
      </c>
      <c r="O179" s="76">
        <f>N(INDEX(Krankheitstage!$G179:$DV179,1,(Einstellungen!$C$3-2026)*24+12))</f>
        <v/>
      </c>
      <c r="P179" s="76">
        <f>IF($B179="","",SUM(D179:O179))</f>
        <v/>
      </c>
      <c r="Q179" s="76">
        <f>N(INDEX(Krankheitstage!$G179:$DV179,1,(Einstellungen!$C$3-2026)*24+13))</f>
        <v/>
      </c>
      <c r="R179" s="76">
        <f>N(INDEX(Krankheitstage!$G179:$DV179,1,(Einstellungen!$C$3-2026)*24+14))</f>
        <v/>
      </c>
      <c r="S179" s="76">
        <f>N(INDEX(Krankheitstage!$G179:$DV179,1,(Einstellungen!$C$3-2026)*24+15))</f>
        <v/>
      </c>
      <c r="T179" s="76">
        <f>N(INDEX(Krankheitstage!$G179:$DV179,1,(Einstellungen!$C$3-2026)*24+16))</f>
        <v/>
      </c>
      <c r="U179" s="76">
        <f>N(INDEX(Krankheitstage!$G179:$DV179,1,(Einstellungen!$C$3-2026)*24+17))</f>
        <v/>
      </c>
      <c r="V179" s="76">
        <f>N(INDEX(Krankheitstage!$G179:$DV179,1,(Einstellungen!$C$3-2026)*24+18))</f>
        <v/>
      </c>
      <c r="W179" s="76">
        <f>N(INDEX(Krankheitstage!$G179:$DV179,1,(Einstellungen!$C$3-2026)*24+19))</f>
        <v/>
      </c>
      <c r="X179" s="76">
        <f>N(INDEX(Krankheitstage!$G179:$DV179,1,(Einstellungen!$C$3-2026)*24+20))</f>
        <v/>
      </c>
      <c r="Y179" s="76">
        <f>N(INDEX(Krankheitstage!$G179:$DV179,1,(Einstellungen!$C$3-2026)*24+21))</f>
        <v/>
      </c>
      <c r="Z179" s="76">
        <f>N(INDEX(Krankheitstage!$G179:$DV179,1,(Einstellungen!$C$3-2026)*24+22))</f>
        <v/>
      </c>
      <c r="AA179" s="76">
        <f>N(INDEX(Krankheitstage!$G179:$DV179,1,(Einstellungen!$C$3-2026)*24+23))</f>
        <v/>
      </c>
      <c r="AB179" s="76">
        <f>N(INDEX(Krankheitstage!$G179:$DV179,1,(Einstellungen!$C$3-2026)*24+24))</f>
        <v/>
      </c>
      <c r="AC179" s="76">
        <f>IF($B179="","",SUM(Q179:AB179))</f>
        <v/>
      </c>
      <c r="AD179" s="76">
        <f>IF($B179="","",SUM(P179,AC179))</f>
        <v/>
      </c>
      <c r="AE179" s="77">
        <f>IF($B179="","",AD179*N(C179))</f>
        <v/>
      </c>
      <c r="AF179" s="76">
        <f>IF($B179="","",Krankheitstage!E179)</f>
        <v/>
      </c>
      <c r="AG179" s="77">
        <f>IF($B179="","",AF179*N(C179))</f>
        <v/>
      </c>
    </row>
    <row r="180">
      <c r="A180" s="74">
        <f>IF(Mitarbeiter!B180="","",Mitarbeiter!A180)</f>
        <v/>
      </c>
      <c r="B180" s="6">
        <f>IF(Mitarbeiter!B180="","",Mitarbeiter!B180)</f>
        <v/>
      </c>
      <c r="C180" s="75">
        <f>IF(Mitarbeiter!B180="","",Mitarbeiter!F180)</f>
        <v/>
      </c>
      <c r="D180" s="76">
        <f>N(INDEX(Krankheitstage!$G180:$DV180,1,(Einstellungen!$C$3-2026)*24+1))</f>
        <v/>
      </c>
      <c r="E180" s="76">
        <f>N(INDEX(Krankheitstage!$G180:$DV180,1,(Einstellungen!$C$3-2026)*24+2))</f>
        <v/>
      </c>
      <c r="F180" s="76">
        <f>N(INDEX(Krankheitstage!$G180:$DV180,1,(Einstellungen!$C$3-2026)*24+3))</f>
        <v/>
      </c>
      <c r="G180" s="76">
        <f>N(INDEX(Krankheitstage!$G180:$DV180,1,(Einstellungen!$C$3-2026)*24+4))</f>
        <v/>
      </c>
      <c r="H180" s="76">
        <f>N(INDEX(Krankheitstage!$G180:$DV180,1,(Einstellungen!$C$3-2026)*24+5))</f>
        <v/>
      </c>
      <c r="I180" s="76">
        <f>N(INDEX(Krankheitstage!$G180:$DV180,1,(Einstellungen!$C$3-2026)*24+6))</f>
        <v/>
      </c>
      <c r="J180" s="76">
        <f>N(INDEX(Krankheitstage!$G180:$DV180,1,(Einstellungen!$C$3-2026)*24+7))</f>
        <v/>
      </c>
      <c r="K180" s="76">
        <f>N(INDEX(Krankheitstage!$G180:$DV180,1,(Einstellungen!$C$3-2026)*24+8))</f>
        <v/>
      </c>
      <c r="L180" s="76">
        <f>N(INDEX(Krankheitstage!$G180:$DV180,1,(Einstellungen!$C$3-2026)*24+9))</f>
        <v/>
      </c>
      <c r="M180" s="76">
        <f>N(INDEX(Krankheitstage!$G180:$DV180,1,(Einstellungen!$C$3-2026)*24+10))</f>
        <v/>
      </c>
      <c r="N180" s="76">
        <f>N(INDEX(Krankheitstage!$G180:$DV180,1,(Einstellungen!$C$3-2026)*24+11))</f>
        <v/>
      </c>
      <c r="O180" s="76">
        <f>N(INDEX(Krankheitstage!$G180:$DV180,1,(Einstellungen!$C$3-2026)*24+12))</f>
        <v/>
      </c>
      <c r="P180" s="76">
        <f>IF($B180="","",SUM(D180:O180))</f>
        <v/>
      </c>
      <c r="Q180" s="76">
        <f>N(INDEX(Krankheitstage!$G180:$DV180,1,(Einstellungen!$C$3-2026)*24+13))</f>
        <v/>
      </c>
      <c r="R180" s="76">
        <f>N(INDEX(Krankheitstage!$G180:$DV180,1,(Einstellungen!$C$3-2026)*24+14))</f>
        <v/>
      </c>
      <c r="S180" s="76">
        <f>N(INDEX(Krankheitstage!$G180:$DV180,1,(Einstellungen!$C$3-2026)*24+15))</f>
        <v/>
      </c>
      <c r="T180" s="76">
        <f>N(INDEX(Krankheitstage!$G180:$DV180,1,(Einstellungen!$C$3-2026)*24+16))</f>
        <v/>
      </c>
      <c r="U180" s="76">
        <f>N(INDEX(Krankheitstage!$G180:$DV180,1,(Einstellungen!$C$3-2026)*24+17))</f>
        <v/>
      </c>
      <c r="V180" s="76">
        <f>N(INDEX(Krankheitstage!$G180:$DV180,1,(Einstellungen!$C$3-2026)*24+18))</f>
        <v/>
      </c>
      <c r="W180" s="76">
        <f>N(INDEX(Krankheitstage!$G180:$DV180,1,(Einstellungen!$C$3-2026)*24+19))</f>
        <v/>
      </c>
      <c r="X180" s="76">
        <f>N(INDEX(Krankheitstage!$G180:$DV180,1,(Einstellungen!$C$3-2026)*24+20))</f>
        <v/>
      </c>
      <c r="Y180" s="76">
        <f>N(INDEX(Krankheitstage!$G180:$DV180,1,(Einstellungen!$C$3-2026)*24+21))</f>
        <v/>
      </c>
      <c r="Z180" s="76">
        <f>N(INDEX(Krankheitstage!$G180:$DV180,1,(Einstellungen!$C$3-2026)*24+22))</f>
        <v/>
      </c>
      <c r="AA180" s="76">
        <f>N(INDEX(Krankheitstage!$G180:$DV180,1,(Einstellungen!$C$3-2026)*24+23))</f>
        <v/>
      </c>
      <c r="AB180" s="76">
        <f>N(INDEX(Krankheitstage!$G180:$DV180,1,(Einstellungen!$C$3-2026)*24+24))</f>
        <v/>
      </c>
      <c r="AC180" s="76">
        <f>IF($B180="","",SUM(Q180:AB180))</f>
        <v/>
      </c>
      <c r="AD180" s="76">
        <f>IF($B180="","",SUM(P180,AC180))</f>
        <v/>
      </c>
      <c r="AE180" s="77">
        <f>IF($B180="","",AD180*N(C180))</f>
        <v/>
      </c>
      <c r="AF180" s="76">
        <f>IF($B180="","",Krankheitstage!E180)</f>
        <v/>
      </c>
      <c r="AG180" s="77">
        <f>IF($B180="","",AF180*N(C180))</f>
        <v/>
      </c>
    </row>
    <row r="181">
      <c r="A181" s="74">
        <f>IF(Mitarbeiter!B181="","",Mitarbeiter!A181)</f>
        <v/>
      </c>
      <c r="B181" s="6">
        <f>IF(Mitarbeiter!B181="","",Mitarbeiter!B181)</f>
        <v/>
      </c>
      <c r="C181" s="75">
        <f>IF(Mitarbeiter!B181="","",Mitarbeiter!F181)</f>
        <v/>
      </c>
      <c r="D181" s="76">
        <f>N(INDEX(Krankheitstage!$G181:$DV181,1,(Einstellungen!$C$3-2026)*24+1))</f>
        <v/>
      </c>
      <c r="E181" s="76">
        <f>N(INDEX(Krankheitstage!$G181:$DV181,1,(Einstellungen!$C$3-2026)*24+2))</f>
        <v/>
      </c>
      <c r="F181" s="76">
        <f>N(INDEX(Krankheitstage!$G181:$DV181,1,(Einstellungen!$C$3-2026)*24+3))</f>
        <v/>
      </c>
      <c r="G181" s="76">
        <f>N(INDEX(Krankheitstage!$G181:$DV181,1,(Einstellungen!$C$3-2026)*24+4))</f>
        <v/>
      </c>
      <c r="H181" s="76">
        <f>N(INDEX(Krankheitstage!$G181:$DV181,1,(Einstellungen!$C$3-2026)*24+5))</f>
        <v/>
      </c>
      <c r="I181" s="76">
        <f>N(INDEX(Krankheitstage!$G181:$DV181,1,(Einstellungen!$C$3-2026)*24+6))</f>
        <v/>
      </c>
      <c r="J181" s="76">
        <f>N(INDEX(Krankheitstage!$G181:$DV181,1,(Einstellungen!$C$3-2026)*24+7))</f>
        <v/>
      </c>
      <c r="K181" s="76">
        <f>N(INDEX(Krankheitstage!$G181:$DV181,1,(Einstellungen!$C$3-2026)*24+8))</f>
        <v/>
      </c>
      <c r="L181" s="76">
        <f>N(INDEX(Krankheitstage!$G181:$DV181,1,(Einstellungen!$C$3-2026)*24+9))</f>
        <v/>
      </c>
      <c r="M181" s="76">
        <f>N(INDEX(Krankheitstage!$G181:$DV181,1,(Einstellungen!$C$3-2026)*24+10))</f>
        <v/>
      </c>
      <c r="N181" s="76">
        <f>N(INDEX(Krankheitstage!$G181:$DV181,1,(Einstellungen!$C$3-2026)*24+11))</f>
        <v/>
      </c>
      <c r="O181" s="76">
        <f>N(INDEX(Krankheitstage!$G181:$DV181,1,(Einstellungen!$C$3-2026)*24+12))</f>
        <v/>
      </c>
      <c r="P181" s="76">
        <f>IF($B181="","",SUM(D181:O181))</f>
        <v/>
      </c>
      <c r="Q181" s="76">
        <f>N(INDEX(Krankheitstage!$G181:$DV181,1,(Einstellungen!$C$3-2026)*24+13))</f>
        <v/>
      </c>
      <c r="R181" s="76">
        <f>N(INDEX(Krankheitstage!$G181:$DV181,1,(Einstellungen!$C$3-2026)*24+14))</f>
        <v/>
      </c>
      <c r="S181" s="76">
        <f>N(INDEX(Krankheitstage!$G181:$DV181,1,(Einstellungen!$C$3-2026)*24+15))</f>
        <v/>
      </c>
      <c r="T181" s="76">
        <f>N(INDEX(Krankheitstage!$G181:$DV181,1,(Einstellungen!$C$3-2026)*24+16))</f>
        <v/>
      </c>
      <c r="U181" s="76">
        <f>N(INDEX(Krankheitstage!$G181:$DV181,1,(Einstellungen!$C$3-2026)*24+17))</f>
        <v/>
      </c>
      <c r="V181" s="76">
        <f>N(INDEX(Krankheitstage!$G181:$DV181,1,(Einstellungen!$C$3-2026)*24+18))</f>
        <v/>
      </c>
      <c r="W181" s="76">
        <f>N(INDEX(Krankheitstage!$G181:$DV181,1,(Einstellungen!$C$3-2026)*24+19))</f>
        <v/>
      </c>
      <c r="X181" s="76">
        <f>N(INDEX(Krankheitstage!$G181:$DV181,1,(Einstellungen!$C$3-2026)*24+20))</f>
        <v/>
      </c>
      <c r="Y181" s="76">
        <f>N(INDEX(Krankheitstage!$G181:$DV181,1,(Einstellungen!$C$3-2026)*24+21))</f>
        <v/>
      </c>
      <c r="Z181" s="76">
        <f>N(INDEX(Krankheitstage!$G181:$DV181,1,(Einstellungen!$C$3-2026)*24+22))</f>
        <v/>
      </c>
      <c r="AA181" s="76">
        <f>N(INDEX(Krankheitstage!$G181:$DV181,1,(Einstellungen!$C$3-2026)*24+23))</f>
        <v/>
      </c>
      <c r="AB181" s="76">
        <f>N(INDEX(Krankheitstage!$G181:$DV181,1,(Einstellungen!$C$3-2026)*24+24))</f>
        <v/>
      </c>
      <c r="AC181" s="76">
        <f>IF($B181="","",SUM(Q181:AB181))</f>
        <v/>
      </c>
      <c r="AD181" s="76">
        <f>IF($B181="","",SUM(P181,AC181))</f>
        <v/>
      </c>
      <c r="AE181" s="77">
        <f>IF($B181="","",AD181*N(C181))</f>
        <v/>
      </c>
      <c r="AF181" s="76">
        <f>IF($B181="","",Krankheitstage!E181)</f>
        <v/>
      </c>
      <c r="AG181" s="77">
        <f>IF($B181="","",AF181*N(C181))</f>
        <v/>
      </c>
    </row>
    <row r="182">
      <c r="A182" s="74">
        <f>IF(Mitarbeiter!B182="","",Mitarbeiter!A182)</f>
        <v/>
      </c>
      <c r="B182" s="6">
        <f>IF(Mitarbeiter!B182="","",Mitarbeiter!B182)</f>
        <v/>
      </c>
      <c r="C182" s="75">
        <f>IF(Mitarbeiter!B182="","",Mitarbeiter!F182)</f>
        <v/>
      </c>
      <c r="D182" s="76">
        <f>N(INDEX(Krankheitstage!$G182:$DV182,1,(Einstellungen!$C$3-2026)*24+1))</f>
        <v/>
      </c>
      <c r="E182" s="76">
        <f>N(INDEX(Krankheitstage!$G182:$DV182,1,(Einstellungen!$C$3-2026)*24+2))</f>
        <v/>
      </c>
      <c r="F182" s="76">
        <f>N(INDEX(Krankheitstage!$G182:$DV182,1,(Einstellungen!$C$3-2026)*24+3))</f>
        <v/>
      </c>
      <c r="G182" s="76">
        <f>N(INDEX(Krankheitstage!$G182:$DV182,1,(Einstellungen!$C$3-2026)*24+4))</f>
        <v/>
      </c>
      <c r="H182" s="76">
        <f>N(INDEX(Krankheitstage!$G182:$DV182,1,(Einstellungen!$C$3-2026)*24+5))</f>
        <v/>
      </c>
      <c r="I182" s="76">
        <f>N(INDEX(Krankheitstage!$G182:$DV182,1,(Einstellungen!$C$3-2026)*24+6))</f>
        <v/>
      </c>
      <c r="J182" s="76">
        <f>N(INDEX(Krankheitstage!$G182:$DV182,1,(Einstellungen!$C$3-2026)*24+7))</f>
        <v/>
      </c>
      <c r="K182" s="76">
        <f>N(INDEX(Krankheitstage!$G182:$DV182,1,(Einstellungen!$C$3-2026)*24+8))</f>
        <v/>
      </c>
      <c r="L182" s="76">
        <f>N(INDEX(Krankheitstage!$G182:$DV182,1,(Einstellungen!$C$3-2026)*24+9))</f>
        <v/>
      </c>
      <c r="M182" s="76">
        <f>N(INDEX(Krankheitstage!$G182:$DV182,1,(Einstellungen!$C$3-2026)*24+10))</f>
        <v/>
      </c>
      <c r="N182" s="76">
        <f>N(INDEX(Krankheitstage!$G182:$DV182,1,(Einstellungen!$C$3-2026)*24+11))</f>
        <v/>
      </c>
      <c r="O182" s="76">
        <f>N(INDEX(Krankheitstage!$G182:$DV182,1,(Einstellungen!$C$3-2026)*24+12))</f>
        <v/>
      </c>
      <c r="P182" s="76">
        <f>IF($B182="","",SUM(D182:O182))</f>
        <v/>
      </c>
      <c r="Q182" s="76">
        <f>N(INDEX(Krankheitstage!$G182:$DV182,1,(Einstellungen!$C$3-2026)*24+13))</f>
        <v/>
      </c>
      <c r="R182" s="76">
        <f>N(INDEX(Krankheitstage!$G182:$DV182,1,(Einstellungen!$C$3-2026)*24+14))</f>
        <v/>
      </c>
      <c r="S182" s="76">
        <f>N(INDEX(Krankheitstage!$G182:$DV182,1,(Einstellungen!$C$3-2026)*24+15))</f>
        <v/>
      </c>
      <c r="T182" s="76">
        <f>N(INDEX(Krankheitstage!$G182:$DV182,1,(Einstellungen!$C$3-2026)*24+16))</f>
        <v/>
      </c>
      <c r="U182" s="76">
        <f>N(INDEX(Krankheitstage!$G182:$DV182,1,(Einstellungen!$C$3-2026)*24+17))</f>
        <v/>
      </c>
      <c r="V182" s="76">
        <f>N(INDEX(Krankheitstage!$G182:$DV182,1,(Einstellungen!$C$3-2026)*24+18))</f>
        <v/>
      </c>
      <c r="W182" s="76">
        <f>N(INDEX(Krankheitstage!$G182:$DV182,1,(Einstellungen!$C$3-2026)*24+19))</f>
        <v/>
      </c>
      <c r="X182" s="76">
        <f>N(INDEX(Krankheitstage!$G182:$DV182,1,(Einstellungen!$C$3-2026)*24+20))</f>
        <v/>
      </c>
      <c r="Y182" s="76">
        <f>N(INDEX(Krankheitstage!$G182:$DV182,1,(Einstellungen!$C$3-2026)*24+21))</f>
        <v/>
      </c>
      <c r="Z182" s="76">
        <f>N(INDEX(Krankheitstage!$G182:$DV182,1,(Einstellungen!$C$3-2026)*24+22))</f>
        <v/>
      </c>
      <c r="AA182" s="76">
        <f>N(INDEX(Krankheitstage!$G182:$DV182,1,(Einstellungen!$C$3-2026)*24+23))</f>
        <v/>
      </c>
      <c r="AB182" s="76">
        <f>N(INDEX(Krankheitstage!$G182:$DV182,1,(Einstellungen!$C$3-2026)*24+24))</f>
        <v/>
      </c>
      <c r="AC182" s="76">
        <f>IF($B182="","",SUM(Q182:AB182))</f>
        <v/>
      </c>
      <c r="AD182" s="76">
        <f>IF($B182="","",SUM(P182,AC182))</f>
        <v/>
      </c>
      <c r="AE182" s="77">
        <f>IF($B182="","",AD182*N(C182))</f>
        <v/>
      </c>
      <c r="AF182" s="76">
        <f>IF($B182="","",Krankheitstage!E182)</f>
        <v/>
      </c>
      <c r="AG182" s="77">
        <f>IF($B182="","",AF182*N(C182))</f>
        <v/>
      </c>
    </row>
    <row r="183">
      <c r="A183" s="74">
        <f>IF(Mitarbeiter!B183="","",Mitarbeiter!A183)</f>
        <v/>
      </c>
      <c r="B183" s="6">
        <f>IF(Mitarbeiter!B183="","",Mitarbeiter!B183)</f>
        <v/>
      </c>
      <c r="C183" s="75">
        <f>IF(Mitarbeiter!B183="","",Mitarbeiter!F183)</f>
        <v/>
      </c>
      <c r="D183" s="76">
        <f>N(INDEX(Krankheitstage!$G183:$DV183,1,(Einstellungen!$C$3-2026)*24+1))</f>
        <v/>
      </c>
      <c r="E183" s="76">
        <f>N(INDEX(Krankheitstage!$G183:$DV183,1,(Einstellungen!$C$3-2026)*24+2))</f>
        <v/>
      </c>
      <c r="F183" s="76">
        <f>N(INDEX(Krankheitstage!$G183:$DV183,1,(Einstellungen!$C$3-2026)*24+3))</f>
        <v/>
      </c>
      <c r="G183" s="76">
        <f>N(INDEX(Krankheitstage!$G183:$DV183,1,(Einstellungen!$C$3-2026)*24+4))</f>
        <v/>
      </c>
      <c r="H183" s="76">
        <f>N(INDEX(Krankheitstage!$G183:$DV183,1,(Einstellungen!$C$3-2026)*24+5))</f>
        <v/>
      </c>
      <c r="I183" s="76">
        <f>N(INDEX(Krankheitstage!$G183:$DV183,1,(Einstellungen!$C$3-2026)*24+6))</f>
        <v/>
      </c>
      <c r="J183" s="76">
        <f>N(INDEX(Krankheitstage!$G183:$DV183,1,(Einstellungen!$C$3-2026)*24+7))</f>
        <v/>
      </c>
      <c r="K183" s="76">
        <f>N(INDEX(Krankheitstage!$G183:$DV183,1,(Einstellungen!$C$3-2026)*24+8))</f>
        <v/>
      </c>
      <c r="L183" s="76">
        <f>N(INDEX(Krankheitstage!$G183:$DV183,1,(Einstellungen!$C$3-2026)*24+9))</f>
        <v/>
      </c>
      <c r="M183" s="76">
        <f>N(INDEX(Krankheitstage!$G183:$DV183,1,(Einstellungen!$C$3-2026)*24+10))</f>
        <v/>
      </c>
      <c r="N183" s="76">
        <f>N(INDEX(Krankheitstage!$G183:$DV183,1,(Einstellungen!$C$3-2026)*24+11))</f>
        <v/>
      </c>
      <c r="O183" s="76">
        <f>N(INDEX(Krankheitstage!$G183:$DV183,1,(Einstellungen!$C$3-2026)*24+12))</f>
        <v/>
      </c>
      <c r="P183" s="76">
        <f>IF($B183="","",SUM(D183:O183))</f>
        <v/>
      </c>
      <c r="Q183" s="76">
        <f>N(INDEX(Krankheitstage!$G183:$DV183,1,(Einstellungen!$C$3-2026)*24+13))</f>
        <v/>
      </c>
      <c r="R183" s="76">
        <f>N(INDEX(Krankheitstage!$G183:$DV183,1,(Einstellungen!$C$3-2026)*24+14))</f>
        <v/>
      </c>
      <c r="S183" s="76">
        <f>N(INDEX(Krankheitstage!$G183:$DV183,1,(Einstellungen!$C$3-2026)*24+15))</f>
        <v/>
      </c>
      <c r="T183" s="76">
        <f>N(INDEX(Krankheitstage!$G183:$DV183,1,(Einstellungen!$C$3-2026)*24+16))</f>
        <v/>
      </c>
      <c r="U183" s="76">
        <f>N(INDEX(Krankheitstage!$G183:$DV183,1,(Einstellungen!$C$3-2026)*24+17))</f>
        <v/>
      </c>
      <c r="V183" s="76">
        <f>N(INDEX(Krankheitstage!$G183:$DV183,1,(Einstellungen!$C$3-2026)*24+18))</f>
        <v/>
      </c>
      <c r="W183" s="76">
        <f>N(INDEX(Krankheitstage!$G183:$DV183,1,(Einstellungen!$C$3-2026)*24+19))</f>
        <v/>
      </c>
      <c r="X183" s="76">
        <f>N(INDEX(Krankheitstage!$G183:$DV183,1,(Einstellungen!$C$3-2026)*24+20))</f>
        <v/>
      </c>
      <c r="Y183" s="76">
        <f>N(INDEX(Krankheitstage!$G183:$DV183,1,(Einstellungen!$C$3-2026)*24+21))</f>
        <v/>
      </c>
      <c r="Z183" s="76">
        <f>N(INDEX(Krankheitstage!$G183:$DV183,1,(Einstellungen!$C$3-2026)*24+22))</f>
        <v/>
      </c>
      <c r="AA183" s="76">
        <f>N(INDEX(Krankheitstage!$G183:$DV183,1,(Einstellungen!$C$3-2026)*24+23))</f>
        <v/>
      </c>
      <c r="AB183" s="76">
        <f>N(INDEX(Krankheitstage!$G183:$DV183,1,(Einstellungen!$C$3-2026)*24+24))</f>
        <v/>
      </c>
      <c r="AC183" s="76">
        <f>IF($B183="","",SUM(Q183:AB183))</f>
        <v/>
      </c>
      <c r="AD183" s="76">
        <f>IF($B183="","",SUM(P183,AC183))</f>
        <v/>
      </c>
      <c r="AE183" s="77">
        <f>IF($B183="","",AD183*N(C183))</f>
        <v/>
      </c>
      <c r="AF183" s="76">
        <f>IF($B183="","",Krankheitstage!E183)</f>
        <v/>
      </c>
      <c r="AG183" s="77">
        <f>IF($B183="","",AF183*N(C183))</f>
        <v/>
      </c>
    </row>
    <row r="184">
      <c r="A184" s="74">
        <f>IF(Mitarbeiter!B184="","",Mitarbeiter!A184)</f>
        <v/>
      </c>
      <c r="B184" s="6">
        <f>IF(Mitarbeiter!B184="","",Mitarbeiter!B184)</f>
        <v/>
      </c>
      <c r="C184" s="75">
        <f>IF(Mitarbeiter!B184="","",Mitarbeiter!F184)</f>
        <v/>
      </c>
      <c r="D184" s="76">
        <f>N(INDEX(Krankheitstage!$G184:$DV184,1,(Einstellungen!$C$3-2026)*24+1))</f>
        <v/>
      </c>
      <c r="E184" s="76">
        <f>N(INDEX(Krankheitstage!$G184:$DV184,1,(Einstellungen!$C$3-2026)*24+2))</f>
        <v/>
      </c>
      <c r="F184" s="76">
        <f>N(INDEX(Krankheitstage!$G184:$DV184,1,(Einstellungen!$C$3-2026)*24+3))</f>
        <v/>
      </c>
      <c r="G184" s="76">
        <f>N(INDEX(Krankheitstage!$G184:$DV184,1,(Einstellungen!$C$3-2026)*24+4))</f>
        <v/>
      </c>
      <c r="H184" s="76">
        <f>N(INDEX(Krankheitstage!$G184:$DV184,1,(Einstellungen!$C$3-2026)*24+5))</f>
        <v/>
      </c>
      <c r="I184" s="76">
        <f>N(INDEX(Krankheitstage!$G184:$DV184,1,(Einstellungen!$C$3-2026)*24+6))</f>
        <v/>
      </c>
      <c r="J184" s="76">
        <f>N(INDEX(Krankheitstage!$G184:$DV184,1,(Einstellungen!$C$3-2026)*24+7))</f>
        <v/>
      </c>
      <c r="K184" s="76">
        <f>N(INDEX(Krankheitstage!$G184:$DV184,1,(Einstellungen!$C$3-2026)*24+8))</f>
        <v/>
      </c>
      <c r="L184" s="76">
        <f>N(INDEX(Krankheitstage!$G184:$DV184,1,(Einstellungen!$C$3-2026)*24+9))</f>
        <v/>
      </c>
      <c r="M184" s="76">
        <f>N(INDEX(Krankheitstage!$G184:$DV184,1,(Einstellungen!$C$3-2026)*24+10))</f>
        <v/>
      </c>
      <c r="N184" s="76">
        <f>N(INDEX(Krankheitstage!$G184:$DV184,1,(Einstellungen!$C$3-2026)*24+11))</f>
        <v/>
      </c>
      <c r="O184" s="76">
        <f>N(INDEX(Krankheitstage!$G184:$DV184,1,(Einstellungen!$C$3-2026)*24+12))</f>
        <v/>
      </c>
      <c r="P184" s="76">
        <f>IF($B184="","",SUM(D184:O184))</f>
        <v/>
      </c>
      <c r="Q184" s="76">
        <f>N(INDEX(Krankheitstage!$G184:$DV184,1,(Einstellungen!$C$3-2026)*24+13))</f>
        <v/>
      </c>
      <c r="R184" s="76">
        <f>N(INDEX(Krankheitstage!$G184:$DV184,1,(Einstellungen!$C$3-2026)*24+14))</f>
        <v/>
      </c>
      <c r="S184" s="76">
        <f>N(INDEX(Krankheitstage!$G184:$DV184,1,(Einstellungen!$C$3-2026)*24+15))</f>
        <v/>
      </c>
      <c r="T184" s="76">
        <f>N(INDEX(Krankheitstage!$G184:$DV184,1,(Einstellungen!$C$3-2026)*24+16))</f>
        <v/>
      </c>
      <c r="U184" s="76">
        <f>N(INDEX(Krankheitstage!$G184:$DV184,1,(Einstellungen!$C$3-2026)*24+17))</f>
        <v/>
      </c>
      <c r="V184" s="76">
        <f>N(INDEX(Krankheitstage!$G184:$DV184,1,(Einstellungen!$C$3-2026)*24+18))</f>
        <v/>
      </c>
      <c r="W184" s="76">
        <f>N(INDEX(Krankheitstage!$G184:$DV184,1,(Einstellungen!$C$3-2026)*24+19))</f>
        <v/>
      </c>
      <c r="X184" s="76">
        <f>N(INDEX(Krankheitstage!$G184:$DV184,1,(Einstellungen!$C$3-2026)*24+20))</f>
        <v/>
      </c>
      <c r="Y184" s="76">
        <f>N(INDEX(Krankheitstage!$G184:$DV184,1,(Einstellungen!$C$3-2026)*24+21))</f>
        <v/>
      </c>
      <c r="Z184" s="76">
        <f>N(INDEX(Krankheitstage!$G184:$DV184,1,(Einstellungen!$C$3-2026)*24+22))</f>
        <v/>
      </c>
      <c r="AA184" s="76">
        <f>N(INDEX(Krankheitstage!$G184:$DV184,1,(Einstellungen!$C$3-2026)*24+23))</f>
        <v/>
      </c>
      <c r="AB184" s="76">
        <f>N(INDEX(Krankheitstage!$G184:$DV184,1,(Einstellungen!$C$3-2026)*24+24))</f>
        <v/>
      </c>
      <c r="AC184" s="76">
        <f>IF($B184="","",SUM(Q184:AB184))</f>
        <v/>
      </c>
      <c r="AD184" s="76">
        <f>IF($B184="","",SUM(P184,AC184))</f>
        <v/>
      </c>
      <c r="AE184" s="77">
        <f>IF($B184="","",AD184*N(C184))</f>
        <v/>
      </c>
      <c r="AF184" s="76">
        <f>IF($B184="","",Krankheitstage!E184)</f>
        <v/>
      </c>
      <c r="AG184" s="77">
        <f>IF($B184="","",AF184*N(C184))</f>
        <v/>
      </c>
    </row>
    <row r="185">
      <c r="A185" s="74">
        <f>IF(Mitarbeiter!B185="","",Mitarbeiter!A185)</f>
        <v/>
      </c>
      <c r="B185" s="6">
        <f>IF(Mitarbeiter!B185="","",Mitarbeiter!B185)</f>
        <v/>
      </c>
      <c r="C185" s="75">
        <f>IF(Mitarbeiter!B185="","",Mitarbeiter!F185)</f>
        <v/>
      </c>
      <c r="D185" s="76">
        <f>N(INDEX(Krankheitstage!$G185:$DV185,1,(Einstellungen!$C$3-2026)*24+1))</f>
        <v/>
      </c>
      <c r="E185" s="76">
        <f>N(INDEX(Krankheitstage!$G185:$DV185,1,(Einstellungen!$C$3-2026)*24+2))</f>
        <v/>
      </c>
      <c r="F185" s="76">
        <f>N(INDEX(Krankheitstage!$G185:$DV185,1,(Einstellungen!$C$3-2026)*24+3))</f>
        <v/>
      </c>
      <c r="G185" s="76">
        <f>N(INDEX(Krankheitstage!$G185:$DV185,1,(Einstellungen!$C$3-2026)*24+4))</f>
        <v/>
      </c>
      <c r="H185" s="76">
        <f>N(INDEX(Krankheitstage!$G185:$DV185,1,(Einstellungen!$C$3-2026)*24+5))</f>
        <v/>
      </c>
      <c r="I185" s="76">
        <f>N(INDEX(Krankheitstage!$G185:$DV185,1,(Einstellungen!$C$3-2026)*24+6))</f>
        <v/>
      </c>
      <c r="J185" s="76">
        <f>N(INDEX(Krankheitstage!$G185:$DV185,1,(Einstellungen!$C$3-2026)*24+7))</f>
        <v/>
      </c>
      <c r="K185" s="76">
        <f>N(INDEX(Krankheitstage!$G185:$DV185,1,(Einstellungen!$C$3-2026)*24+8))</f>
        <v/>
      </c>
      <c r="L185" s="76">
        <f>N(INDEX(Krankheitstage!$G185:$DV185,1,(Einstellungen!$C$3-2026)*24+9))</f>
        <v/>
      </c>
      <c r="M185" s="76">
        <f>N(INDEX(Krankheitstage!$G185:$DV185,1,(Einstellungen!$C$3-2026)*24+10))</f>
        <v/>
      </c>
      <c r="N185" s="76">
        <f>N(INDEX(Krankheitstage!$G185:$DV185,1,(Einstellungen!$C$3-2026)*24+11))</f>
        <v/>
      </c>
      <c r="O185" s="76">
        <f>N(INDEX(Krankheitstage!$G185:$DV185,1,(Einstellungen!$C$3-2026)*24+12))</f>
        <v/>
      </c>
      <c r="P185" s="76">
        <f>IF($B185="","",SUM(D185:O185))</f>
        <v/>
      </c>
      <c r="Q185" s="76">
        <f>N(INDEX(Krankheitstage!$G185:$DV185,1,(Einstellungen!$C$3-2026)*24+13))</f>
        <v/>
      </c>
      <c r="R185" s="76">
        <f>N(INDEX(Krankheitstage!$G185:$DV185,1,(Einstellungen!$C$3-2026)*24+14))</f>
        <v/>
      </c>
      <c r="S185" s="76">
        <f>N(INDEX(Krankheitstage!$G185:$DV185,1,(Einstellungen!$C$3-2026)*24+15))</f>
        <v/>
      </c>
      <c r="T185" s="76">
        <f>N(INDEX(Krankheitstage!$G185:$DV185,1,(Einstellungen!$C$3-2026)*24+16))</f>
        <v/>
      </c>
      <c r="U185" s="76">
        <f>N(INDEX(Krankheitstage!$G185:$DV185,1,(Einstellungen!$C$3-2026)*24+17))</f>
        <v/>
      </c>
      <c r="V185" s="76">
        <f>N(INDEX(Krankheitstage!$G185:$DV185,1,(Einstellungen!$C$3-2026)*24+18))</f>
        <v/>
      </c>
      <c r="W185" s="76">
        <f>N(INDEX(Krankheitstage!$G185:$DV185,1,(Einstellungen!$C$3-2026)*24+19))</f>
        <v/>
      </c>
      <c r="X185" s="76">
        <f>N(INDEX(Krankheitstage!$G185:$DV185,1,(Einstellungen!$C$3-2026)*24+20))</f>
        <v/>
      </c>
      <c r="Y185" s="76">
        <f>N(INDEX(Krankheitstage!$G185:$DV185,1,(Einstellungen!$C$3-2026)*24+21))</f>
        <v/>
      </c>
      <c r="Z185" s="76">
        <f>N(INDEX(Krankheitstage!$G185:$DV185,1,(Einstellungen!$C$3-2026)*24+22))</f>
        <v/>
      </c>
      <c r="AA185" s="76">
        <f>N(INDEX(Krankheitstage!$G185:$DV185,1,(Einstellungen!$C$3-2026)*24+23))</f>
        <v/>
      </c>
      <c r="AB185" s="76">
        <f>N(INDEX(Krankheitstage!$G185:$DV185,1,(Einstellungen!$C$3-2026)*24+24))</f>
        <v/>
      </c>
      <c r="AC185" s="76">
        <f>IF($B185="","",SUM(Q185:AB185))</f>
        <v/>
      </c>
      <c r="AD185" s="76">
        <f>IF($B185="","",SUM(P185,AC185))</f>
        <v/>
      </c>
      <c r="AE185" s="77">
        <f>IF($B185="","",AD185*N(C185))</f>
        <v/>
      </c>
      <c r="AF185" s="76">
        <f>IF($B185="","",Krankheitstage!E185)</f>
        <v/>
      </c>
      <c r="AG185" s="77">
        <f>IF($B185="","",AF185*N(C185))</f>
        <v/>
      </c>
    </row>
    <row r="186">
      <c r="A186" s="74">
        <f>IF(Mitarbeiter!B186="","",Mitarbeiter!A186)</f>
        <v/>
      </c>
      <c r="B186" s="6">
        <f>IF(Mitarbeiter!B186="","",Mitarbeiter!B186)</f>
        <v/>
      </c>
      <c r="C186" s="75">
        <f>IF(Mitarbeiter!B186="","",Mitarbeiter!F186)</f>
        <v/>
      </c>
      <c r="D186" s="76">
        <f>N(INDEX(Krankheitstage!$G186:$DV186,1,(Einstellungen!$C$3-2026)*24+1))</f>
        <v/>
      </c>
      <c r="E186" s="76">
        <f>N(INDEX(Krankheitstage!$G186:$DV186,1,(Einstellungen!$C$3-2026)*24+2))</f>
        <v/>
      </c>
      <c r="F186" s="76">
        <f>N(INDEX(Krankheitstage!$G186:$DV186,1,(Einstellungen!$C$3-2026)*24+3))</f>
        <v/>
      </c>
      <c r="G186" s="76">
        <f>N(INDEX(Krankheitstage!$G186:$DV186,1,(Einstellungen!$C$3-2026)*24+4))</f>
        <v/>
      </c>
      <c r="H186" s="76">
        <f>N(INDEX(Krankheitstage!$G186:$DV186,1,(Einstellungen!$C$3-2026)*24+5))</f>
        <v/>
      </c>
      <c r="I186" s="76">
        <f>N(INDEX(Krankheitstage!$G186:$DV186,1,(Einstellungen!$C$3-2026)*24+6))</f>
        <v/>
      </c>
      <c r="J186" s="76">
        <f>N(INDEX(Krankheitstage!$G186:$DV186,1,(Einstellungen!$C$3-2026)*24+7))</f>
        <v/>
      </c>
      <c r="K186" s="76">
        <f>N(INDEX(Krankheitstage!$G186:$DV186,1,(Einstellungen!$C$3-2026)*24+8))</f>
        <v/>
      </c>
      <c r="L186" s="76">
        <f>N(INDEX(Krankheitstage!$G186:$DV186,1,(Einstellungen!$C$3-2026)*24+9))</f>
        <v/>
      </c>
      <c r="M186" s="76">
        <f>N(INDEX(Krankheitstage!$G186:$DV186,1,(Einstellungen!$C$3-2026)*24+10))</f>
        <v/>
      </c>
      <c r="N186" s="76">
        <f>N(INDEX(Krankheitstage!$G186:$DV186,1,(Einstellungen!$C$3-2026)*24+11))</f>
        <v/>
      </c>
      <c r="O186" s="76">
        <f>N(INDEX(Krankheitstage!$G186:$DV186,1,(Einstellungen!$C$3-2026)*24+12))</f>
        <v/>
      </c>
      <c r="P186" s="76">
        <f>IF($B186="","",SUM(D186:O186))</f>
        <v/>
      </c>
      <c r="Q186" s="76">
        <f>N(INDEX(Krankheitstage!$G186:$DV186,1,(Einstellungen!$C$3-2026)*24+13))</f>
        <v/>
      </c>
      <c r="R186" s="76">
        <f>N(INDEX(Krankheitstage!$G186:$DV186,1,(Einstellungen!$C$3-2026)*24+14))</f>
        <v/>
      </c>
      <c r="S186" s="76">
        <f>N(INDEX(Krankheitstage!$G186:$DV186,1,(Einstellungen!$C$3-2026)*24+15))</f>
        <v/>
      </c>
      <c r="T186" s="76">
        <f>N(INDEX(Krankheitstage!$G186:$DV186,1,(Einstellungen!$C$3-2026)*24+16))</f>
        <v/>
      </c>
      <c r="U186" s="76">
        <f>N(INDEX(Krankheitstage!$G186:$DV186,1,(Einstellungen!$C$3-2026)*24+17))</f>
        <v/>
      </c>
      <c r="V186" s="76">
        <f>N(INDEX(Krankheitstage!$G186:$DV186,1,(Einstellungen!$C$3-2026)*24+18))</f>
        <v/>
      </c>
      <c r="W186" s="76">
        <f>N(INDEX(Krankheitstage!$G186:$DV186,1,(Einstellungen!$C$3-2026)*24+19))</f>
        <v/>
      </c>
      <c r="X186" s="76">
        <f>N(INDEX(Krankheitstage!$G186:$DV186,1,(Einstellungen!$C$3-2026)*24+20))</f>
        <v/>
      </c>
      <c r="Y186" s="76">
        <f>N(INDEX(Krankheitstage!$G186:$DV186,1,(Einstellungen!$C$3-2026)*24+21))</f>
        <v/>
      </c>
      <c r="Z186" s="76">
        <f>N(INDEX(Krankheitstage!$G186:$DV186,1,(Einstellungen!$C$3-2026)*24+22))</f>
        <v/>
      </c>
      <c r="AA186" s="76">
        <f>N(INDEX(Krankheitstage!$G186:$DV186,1,(Einstellungen!$C$3-2026)*24+23))</f>
        <v/>
      </c>
      <c r="AB186" s="76">
        <f>N(INDEX(Krankheitstage!$G186:$DV186,1,(Einstellungen!$C$3-2026)*24+24))</f>
        <v/>
      </c>
      <c r="AC186" s="76">
        <f>IF($B186="","",SUM(Q186:AB186))</f>
        <v/>
      </c>
      <c r="AD186" s="76">
        <f>IF($B186="","",SUM(P186,AC186))</f>
        <v/>
      </c>
      <c r="AE186" s="77">
        <f>IF($B186="","",AD186*N(C186))</f>
        <v/>
      </c>
      <c r="AF186" s="76">
        <f>IF($B186="","",Krankheitstage!E186)</f>
        <v/>
      </c>
      <c r="AG186" s="77">
        <f>IF($B186="","",AF186*N(C186))</f>
        <v/>
      </c>
    </row>
    <row r="187">
      <c r="A187" s="74">
        <f>IF(Mitarbeiter!B187="","",Mitarbeiter!A187)</f>
        <v/>
      </c>
      <c r="B187" s="6">
        <f>IF(Mitarbeiter!B187="","",Mitarbeiter!B187)</f>
        <v/>
      </c>
      <c r="C187" s="75">
        <f>IF(Mitarbeiter!B187="","",Mitarbeiter!F187)</f>
        <v/>
      </c>
      <c r="D187" s="76">
        <f>N(INDEX(Krankheitstage!$G187:$DV187,1,(Einstellungen!$C$3-2026)*24+1))</f>
        <v/>
      </c>
      <c r="E187" s="76">
        <f>N(INDEX(Krankheitstage!$G187:$DV187,1,(Einstellungen!$C$3-2026)*24+2))</f>
        <v/>
      </c>
      <c r="F187" s="76">
        <f>N(INDEX(Krankheitstage!$G187:$DV187,1,(Einstellungen!$C$3-2026)*24+3))</f>
        <v/>
      </c>
      <c r="G187" s="76">
        <f>N(INDEX(Krankheitstage!$G187:$DV187,1,(Einstellungen!$C$3-2026)*24+4))</f>
        <v/>
      </c>
      <c r="H187" s="76">
        <f>N(INDEX(Krankheitstage!$G187:$DV187,1,(Einstellungen!$C$3-2026)*24+5))</f>
        <v/>
      </c>
      <c r="I187" s="76">
        <f>N(INDEX(Krankheitstage!$G187:$DV187,1,(Einstellungen!$C$3-2026)*24+6))</f>
        <v/>
      </c>
      <c r="J187" s="76">
        <f>N(INDEX(Krankheitstage!$G187:$DV187,1,(Einstellungen!$C$3-2026)*24+7))</f>
        <v/>
      </c>
      <c r="K187" s="76">
        <f>N(INDEX(Krankheitstage!$G187:$DV187,1,(Einstellungen!$C$3-2026)*24+8))</f>
        <v/>
      </c>
      <c r="L187" s="76">
        <f>N(INDEX(Krankheitstage!$G187:$DV187,1,(Einstellungen!$C$3-2026)*24+9))</f>
        <v/>
      </c>
      <c r="M187" s="76">
        <f>N(INDEX(Krankheitstage!$G187:$DV187,1,(Einstellungen!$C$3-2026)*24+10))</f>
        <v/>
      </c>
      <c r="N187" s="76">
        <f>N(INDEX(Krankheitstage!$G187:$DV187,1,(Einstellungen!$C$3-2026)*24+11))</f>
        <v/>
      </c>
      <c r="O187" s="76">
        <f>N(INDEX(Krankheitstage!$G187:$DV187,1,(Einstellungen!$C$3-2026)*24+12))</f>
        <v/>
      </c>
      <c r="P187" s="76">
        <f>IF($B187="","",SUM(D187:O187))</f>
        <v/>
      </c>
      <c r="Q187" s="76">
        <f>N(INDEX(Krankheitstage!$G187:$DV187,1,(Einstellungen!$C$3-2026)*24+13))</f>
        <v/>
      </c>
      <c r="R187" s="76">
        <f>N(INDEX(Krankheitstage!$G187:$DV187,1,(Einstellungen!$C$3-2026)*24+14))</f>
        <v/>
      </c>
      <c r="S187" s="76">
        <f>N(INDEX(Krankheitstage!$G187:$DV187,1,(Einstellungen!$C$3-2026)*24+15))</f>
        <v/>
      </c>
      <c r="T187" s="76">
        <f>N(INDEX(Krankheitstage!$G187:$DV187,1,(Einstellungen!$C$3-2026)*24+16))</f>
        <v/>
      </c>
      <c r="U187" s="76">
        <f>N(INDEX(Krankheitstage!$G187:$DV187,1,(Einstellungen!$C$3-2026)*24+17))</f>
        <v/>
      </c>
      <c r="V187" s="76">
        <f>N(INDEX(Krankheitstage!$G187:$DV187,1,(Einstellungen!$C$3-2026)*24+18))</f>
        <v/>
      </c>
      <c r="W187" s="76">
        <f>N(INDEX(Krankheitstage!$G187:$DV187,1,(Einstellungen!$C$3-2026)*24+19))</f>
        <v/>
      </c>
      <c r="X187" s="76">
        <f>N(INDEX(Krankheitstage!$G187:$DV187,1,(Einstellungen!$C$3-2026)*24+20))</f>
        <v/>
      </c>
      <c r="Y187" s="76">
        <f>N(INDEX(Krankheitstage!$G187:$DV187,1,(Einstellungen!$C$3-2026)*24+21))</f>
        <v/>
      </c>
      <c r="Z187" s="76">
        <f>N(INDEX(Krankheitstage!$G187:$DV187,1,(Einstellungen!$C$3-2026)*24+22))</f>
        <v/>
      </c>
      <c r="AA187" s="76">
        <f>N(INDEX(Krankheitstage!$G187:$DV187,1,(Einstellungen!$C$3-2026)*24+23))</f>
        <v/>
      </c>
      <c r="AB187" s="76">
        <f>N(INDEX(Krankheitstage!$G187:$DV187,1,(Einstellungen!$C$3-2026)*24+24))</f>
        <v/>
      </c>
      <c r="AC187" s="76">
        <f>IF($B187="","",SUM(Q187:AB187))</f>
        <v/>
      </c>
      <c r="AD187" s="76">
        <f>IF($B187="","",SUM(P187,AC187))</f>
        <v/>
      </c>
      <c r="AE187" s="77">
        <f>IF($B187="","",AD187*N(C187))</f>
        <v/>
      </c>
      <c r="AF187" s="76">
        <f>IF($B187="","",Krankheitstage!E187)</f>
        <v/>
      </c>
      <c r="AG187" s="77">
        <f>IF($B187="","",AF187*N(C187))</f>
        <v/>
      </c>
    </row>
    <row r="188">
      <c r="A188" s="74">
        <f>IF(Mitarbeiter!B188="","",Mitarbeiter!A188)</f>
        <v/>
      </c>
      <c r="B188" s="6">
        <f>IF(Mitarbeiter!B188="","",Mitarbeiter!B188)</f>
        <v/>
      </c>
      <c r="C188" s="75">
        <f>IF(Mitarbeiter!B188="","",Mitarbeiter!F188)</f>
        <v/>
      </c>
      <c r="D188" s="76">
        <f>N(INDEX(Krankheitstage!$G188:$DV188,1,(Einstellungen!$C$3-2026)*24+1))</f>
        <v/>
      </c>
      <c r="E188" s="76">
        <f>N(INDEX(Krankheitstage!$G188:$DV188,1,(Einstellungen!$C$3-2026)*24+2))</f>
        <v/>
      </c>
      <c r="F188" s="76">
        <f>N(INDEX(Krankheitstage!$G188:$DV188,1,(Einstellungen!$C$3-2026)*24+3))</f>
        <v/>
      </c>
      <c r="G188" s="76">
        <f>N(INDEX(Krankheitstage!$G188:$DV188,1,(Einstellungen!$C$3-2026)*24+4))</f>
        <v/>
      </c>
      <c r="H188" s="76">
        <f>N(INDEX(Krankheitstage!$G188:$DV188,1,(Einstellungen!$C$3-2026)*24+5))</f>
        <v/>
      </c>
      <c r="I188" s="76">
        <f>N(INDEX(Krankheitstage!$G188:$DV188,1,(Einstellungen!$C$3-2026)*24+6))</f>
        <v/>
      </c>
      <c r="J188" s="76">
        <f>N(INDEX(Krankheitstage!$G188:$DV188,1,(Einstellungen!$C$3-2026)*24+7))</f>
        <v/>
      </c>
      <c r="K188" s="76">
        <f>N(INDEX(Krankheitstage!$G188:$DV188,1,(Einstellungen!$C$3-2026)*24+8))</f>
        <v/>
      </c>
      <c r="L188" s="76">
        <f>N(INDEX(Krankheitstage!$G188:$DV188,1,(Einstellungen!$C$3-2026)*24+9))</f>
        <v/>
      </c>
      <c r="M188" s="76">
        <f>N(INDEX(Krankheitstage!$G188:$DV188,1,(Einstellungen!$C$3-2026)*24+10))</f>
        <v/>
      </c>
      <c r="N188" s="76">
        <f>N(INDEX(Krankheitstage!$G188:$DV188,1,(Einstellungen!$C$3-2026)*24+11))</f>
        <v/>
      </c>
      <c r="O188" s="76">
        <f>N(INDEX(Krankheitstage!$G188:$DV188,1,(Einstellungen!$C$3-2026)*24+12))</f>
        <v/>
      </c>
      <c r="P188" s="76">
        <f>IF($B188="","",SUM(D188:O188))</f>
        <v/>
      </c>
      <c r="Q188" s="76">
        <f>N(INDEX(Krankheitstage!$G188:$DV188,1,(Einstellungen!$C$3-2026)*24+13))</f>
        <v/>
      </c>
      <c r="R188" s="76">
        <f>N(INDEX(Krankheitstage!$G188:$DV188,1,(Einstellungen!$C$3-2026)*24+14))</f>
        <v/>
      </c>
      <c r="S188" s="76">
        <f>N(INDEX(Krankheitstage!$G188:$DV188,1,(Einstellungen!$C$3-2026)*24+15))</f>
        <v/>
      </c>
      <c r="T188" s="76">
        <f>N(INDEX(Krankheitstage!$G188:$DV188,1,(Einstellungen!$C$3-2026)*24+16))</f>
        <v/>
      </c>
      <c r="U188" s="76">
        <f>N(INDEX(Krankheitstage!$G188:$DV188,1,(Einstellungen!$C$3-2026)*24+17))</f>
        <v/>
      </c>
      <c r="V188" s="76">
        <f>N(INDEX(Krankheitstage!$G188:$DV188,1,(Einstellungen!$C$3-2026)*24+18))</f>
        <v/>
      </c>
      <c r="W188" s="76">
        <f>N(INDEX(Krankheitstage!$G188:$DV188,1,(Einstellungen!$C$3-2026)*24+19))</f>
        <v/>
      </c>
      <c r="X188" s="76">
        <f>N(INDEX(Krankheitstage!$G188:$DV188,1,(Einstellungen!$C$3-2026)*24+20))</f>
        <v/>
      </c>
      <c r="Y188" s="76">
        <f>N(INDEX(Krankheitstage!$G188:$DV188,1,(Einstellungen!$C$3-2026)*24+21))</f>
        <v/>
      </c>
      <c r="Z188" s="76">
        <f>N(INDEX(Krankheitstage!$G188:$DV188,1,(Einstellungen!$C$3-2026)*24+22))</f>
        <v/>
      </c>
      <c r="AA188" s="76">
        <f>N(INDEX(Krankheitstage!$G188:$DV188,1,(Einstellungen!$C$3-2026)*24+23))</f>
        <v/>
      </c>
      <c r="AB188" s="76">
        <f>N(INDEX(Krankheitstage!$G188:$DV188,1,(Einstellungen!$C$3-2026)*24+24))</f>
        <v/>
      </c>
      <c r="AC188" s="76">
        <f>IF($B188="","",SUM(Q188:AB188))</f>
        <v/>
      </c>
      <c r="AD188" s="76">
        <f>IF($B188="","",SUM(P188,AC188))</f>
        <v/>
      </c>
      <c r="AE188" s="77">
        <f>IF($B188="","",AD188*N(C188))</f>
        <v/>
      </c>
      <c r="AF188" s="76">
        <f>IF($B188="","",Krankheitstage!E188)</f>
        <v/>
      </c>
      <c r="AG188" s="77">
        <f>IF($B188="","",AF188*N(C188))</f>
        <v/>
      </c>
    </row>
    <row r="189">
      <c r="A189" s="74">
        <f>IF(Mitarbeiter!B189="","",Mitarbeiter!A189)</f>
        <v/>
      </c>
      <c r="B189" s="6">
        <f>IF(Mitarbeiter!B189="","",Mitarbeiter!B189)</f>
        <v/>
      </c>
      <c r="C189" s="75">
        <f>IF(Mitarbeiter!B189="","",Mitarbeiter!F189)</f>
        <v/>
      </c>
      <c r="D189" s="76">
        <f>N(INDEX(Krankheitstage!$G189:$DV189,1,(Einstellungen!$C$3-2026)*24+1))</f>
        <v/>
      </c>
      <c r="E189" s="76">
        <f>N(INDEX(Krankheitstage!$G189:$DV189,1,(Einstellungen!$C$3-2026)*24+2))</f>
        <v/>
      </c>
      <c r="F189" s="76">
        <f>N(INDEX(Krankheitstage!$G189:$DV189,1,(Einstellungen!$C$3-2026)*24+3))</f>
        <v/>
      </c>
      <c r="G189" s="76">
        <f>N(INDEX(Krankheitstage!$G189:$DV189,1,(Einstellungen!$C$3-2026)*24+4))</f>
        <v/>
      </c>
      <c r="H189" s="76">
        <f>N(INDEX(Krankheitstage!$G189:$DV189,1,(Einstellungen!$C$3-2026)*24+5))</f>
        <v/>
      </c>
      <c r="I189" s="76">
        <f>N(INDEX(Krankheitstage!$G189:$DV189,1,(Einstellungen!$C$3-2026)*24+6))</f>
        <v/>
      </c>
      <c r="J189" s="76">
        <f>N(INDEX(Krankheitstage!$G189:$DV189,1,(Einstellungen!$C$3-2026)*24+7))</f>
        <v/>
      </c>
      <c r="K189" s="76">
        <f>N(INDEX(Krankheitstage!$G189:$DV189,1,(Einstellungen!$C$3-2026)*24+8))</f>
        <v/>
      </c>
      <c r="L189" s="76">
        <f>N(INDEX(Krankheitstage!$G189:$DV189,1,(Einstellungen!$C$3-2026)*24+9))</f>
        <v/>
      </c>
      <c r="M189" s="76">
        <f>N(INDEX(Krankheitstage!$G189:$DV189,1,(Einstellungen!$C$3-2026)*24+10))</f>
        <v/>
      </c>
      <c r="N189" s="76">
        <f>N(INDEX(Krankheitstage!$G189:$DV189,1,(Einstellungen!$C$3-2026)*24+11))</f>
        <v/>
      </c>
      <c r="O189" s="76">
        <f>N(INDEX(Krankheitstage!$G189:$DV189,1,(Einstellungen!$C$3-2026)*24+12))</f>
        <v/>
      </c>
      <c r="P189" s="76">
        <f>IF($B189="","",SUM(D189:O189))</f>
        <v/>
      </c>
      <c r="Q189" s="76">
        <f>N(INDEX(Krankheitstage!$G189:$DV189,1,(Einstellungen!$C$3-2026)*24+13))</f>
        <v/>
      </c>
      <c r="R189" s="76">
        <f>N(INDEX(Krankheitstage!$G189:$DV189,1,(Einstellungen!$C$3-2026)*24+14))</f>
        <v/>
      </c>
      <c r="S189" s="76">
        <f>N(INDEX(Krankheitstage!$G189:$DV189,1,(Einstellungen!$C$3-2026)*24+15))</f>
        <v/>
      </c>
      <c r="T189" s="76">
        <f>N(INDEX(Krankheitstage!$G189:$DV189,1,(Einstellungen!$C$3-2026)*24+16))</f>
        <v/>
      </c>
      <c r="U189" s="76">
        <f>N(INDEX(Krankheitstage!$G189:$DV189,1,(Einstellungen!$C$3-2026)*24+17))</f>
        <v/>
      </c>
      <c r="V189" s="76">
        <f>N(INDEX(Krankheitstage!$G189:$DV189,1,(Einstellungen!$C$3-2026)*24+18))</f>
        <v/>
      </c>
      <c r="W189" s="76">
        <f>N(INDEX(Krankheitstage!$G189:$DV189,1,(Einstellungen!$C$3-2026)*24+19))</f>
        <v/>
      </c>
      <c r="X189" s="76">
        <f>N(INDEX(Krankheitstage!$G189:$DV189,1,(Einstellungen!$C$3-2026)*24+20))</f>
        <v/>
      </c>
      <c r="Y189" s="76">
        <f>N(INDEX(Krankheitstage!$G189:$DV189,1,(Einstellungen!$C$3-2026)*24+21))</f>
        <v/>
      </c>
      <c r="Z189" s="76">
        <f>N(INDEX(Krankheitstage!$G189:$DV189,1,(Einstellungen!$C$3-2026)*24+22))</f>
        <v/>
      </c>
      <c r="AA189" s="76">
        <f>N(INDEX(Krankheitstage!$G189:$DV189,1,(Einstellungen!$C$3-2026)*24+23))</f>
        <v/>
      </c>
      <c r="AB189" s="76">
        <f>N(INDEX(Krankheitstage!$G189:$DV189,1,(Einstellungen!$C$3-2026)*24+24))</f>
        <v/>
      </c>
      <c r="AC189" s="76">
        <f>IF($B189="","",SUM(Q189:AB189))</f>
        <v/>
      </c>
      <c r="AD189" s="76">
        <f>IF($B189="","",SUM(P189,AC189))</f>
        <v/>
      </c>
      <c r="AE189" s="77">
        <f>IF($B189="","",AD189*N(C189))</f>
        <v/>
      </c>
      <c r="AF189" s="76">
        <f>IF($B189="","",Krankheitstage!E189)</f>
        <v/>
      </c>
      <c r="AG189" s="77">
        <f>IF($B189="","",AF189*N(C189))</f>
        <v/>
      </c>
    </row>
    <row r="190">
      <c r="A190" s="74">
        <f>IF(Mitarbeiter!B190="","",Mitarbeiter!A190)</f>
        <v/>
      </c>
      <c r="B190" s="6">
        <f>IF(Mitarbeiter!B190="","",Mitarbeiter!B190)</f>
        <v/>
      </c>
      <c r="C190" s="75">
        <f>IF(Mitarbeiter!B190="","",Mitarbeiter!F190)</f>
        <v/>
      </c>
      <c r="D190" s="76">
        <f>N(INDEX(Krankheitstage!$G190:$DV190,1,(Einstellungen!$C$3-2026)*24+1))</f>
        <v/>
      </c>
      <c r="E190" s="76">
        <f>N(INDEX(Krankheitstage!$G190:$DV190,1,(Einstellungen!$C$3-2026)*24+2))</f>
        <v/>
      </c>
      <c r="F190" s="76">
        <f>N(INDEX(Krankheitstage!$G190:$DV190,1,(Einstellungen!$C$3-2026)*24+3))</f>
        <v/>
      </c>
      <c r="G190" s="76">
        <f>N(INDEX(Krankheitstage!$G190:$DV190,1,(Einstellungen!$C$3-2026)*24+4))</f>
        <v/>
      </c>
      <c r="H190" s="76">
        <f>N(INDEX(Krankheitstage!$G190:$DV190,1,(Einstellungen!$C$3-2026)*24+5))</f>
        <v/>
      </c>
      <c r="I190" s="76">
        <f>N(INDEX(Krankheitstage!$G190:$DV190,1,(Einstellungen!$C$3-2026)*24+6))</f>
        <v/>
      </c>
      <c r="J190" s="76">
        <f>N(INDEX(Krankheitstage!$G190:$DV190,1,(Einstellungen!$C$3-2026)*24+7))</f>
        <v/>
      </c>
      <c r="K190" s="76">
        <f>N(INDEX(Krankheitstage!$G190:$DV190,1,(Einstellungen!$C$3-2026)*24+8))</f>
        <v/>
      </c>
      <c r="L190" s="76">
        <f>N(INDEX(Krankheitstage!$G190:$DV190,1,(Einstellungen!$C$3-2026)*24+9))</f>
        <v/>
      </c>
      <c r="M190" s="76">
        <f>N(INDEX(Krankheitstage!$G190:$DV190,1,(Einstellungen!$C$3-2026)*24+10))</f>
        <v/>
      </c>
      <c r="N190" s="76">
        <f>N(INDEX(Krankheitstage!$G190:$DV190,1,(Einstellungen!$C$3-2026)*24+11))</f>
        <v/>
      </c>
      <c r="O190" s="76">
        <f>N(INDEX(Krankheitstage!$G190:$DV190,1,(Einstellungen!$C$3-2026)*24+12))</f>
        <v/>
      </c>
      <c r="P190" s="76">
        <f>IF($B190="","",SUM(D190:O190))</f>
        <v/>
      </c>
      <c r="Q190" s="76">
        <f>N(INDEX(Krankheitstage!$G190:$DV190,1,(Einstellungen!$C$3-2026)*24+13))</f>
        <v/>
      </c>
      <c r="R190" s="76">
        <f>N(INDEX(Krankheitstage!$G190:$DV190,1,(Einstellungen!$C$3-2026)*24+14))</f>
        <v/>
      </c>
      <c r="S190" s="76">
        <f>N(INDEX(Krankheitstage!$G190:$DV190,1,(Einstellungen!$C$3-2026)*24+15))</f>
        <v/>
      </c>
      <c r="T190" s="76">
        <f>N(INDEX(Krankheitstage!$G190:$DV190,1,(Einstellungen!$C$3-2026)*24+16))</f>
        <v/>
      </c>
      <c r="U190" s="76">
        <f>N(INDEX(Krankheitstage!$G190:$DV190,1,(Einstellungen!$C$3-2026)*24+17))</f>
        <v/>
      </c>
      <c r="V190" s="76">
        <f>N(INDEX(Krankheitstage!$G190:$DV190,1,(Einstellungen!$C$3-2026)*24+18))</f>
        <v/>
      </c>
      <c r="W190" s="76">
        <f>N(INDEX(Krankheitstage!$G190:$DV190,1,(Einstellungen!$C$3-2026)*24+19))</f>
        <v/>
      </c>
      <c r="X190" s="76">
        <f>N(INDEX(Krankheitstage!$G190:$DV190,1,(Einstellungen!$C$3-2026)*24+20))</f>
        <v/>
      </c>
      <c r="Y190" s="76">
        <f>N(INDEX(Krankheitstage!$G190:$DV190,1,(Einstellungen!$C$3-2026)*24+21))</f>
        <v/>
      </c>
      <c r="Z190" s="76">
        <f>N(INDEX(Krankheitstage!$G190:$DV190,1,(Einstellungen!$C$3-2026)*24+22))</f>
        <v/>
      </c>
      <c r="AA190" s="76">
        <f>N(INDEX(Krankheitstage!$G190:$DV190,1,(Einstellungen!$C$3-2026)*24+23))</f>
        <v/>
      </c>
      <c r="AB190" s="76">
        <f>N(INDEX(Krankheitstage!$G190:$DV190,1,(Einstellungen!$C$3-2026)*24+24))</f>
        <v/>
      </c>
      <c r="AC190" s="76">
        <f>IF($B190="","",SUM(Q190:AB190))</f>
        <v/>
      </c>
      <c r="AD190" s="76">
        <f>IF($B190="","",SUM(P190,AC190))</f>
        <v/>
      </c>
      <c r="AE190" s="77">
        <f>IF($B190="","",AD190*N(C190))</f>
        <v/>
      </c>
      <c r="AF190" s="76">
        <f>IF($B190="","",Krankheitstage!E190)</f>
        <v/>
      </c>
      <c r="AG190" s="77">
        <f>IF($B190="","",AF190*N(C190))</f>
        <v/>
      </c>
    </row>
    <row r="191">
      <c r="A191" s="74">
        <f>IF(Mitarbeiter!B191="","",Mitarbeiter!A191)</f>
        <v/>
      </c>
      <c r="B191" s="6">
        <f>IF(Mitarbeiter!B191="","",Mitarbeiter!B191)</f>
        <v/>
      </c>
      <c r="C191" s="75">
        <f>IF(Mitarbeiter!B191="","",Mitarbeiter!F191)</f>
        <v/>
      </c>
      <c r="D191" s="76">
        <f>N(INDEX(Krankheitstage!$G191:$DV191,1,(Einstellungen!$C$3-2026)*24+1))</f>
        <v/>
      </c>
      <c r="E191" s="76">
        <f>N(INDEX(Krankheitstage!$G191:$DV191,1,(Einstellungen!$C$3-2026)*24+2))</f>
        <v/>
      </c>
      <c r="F191" s="76">
        <f>N(INDEX(Krankheitstage!$G191:$DV191,1,(Einstellungen!$C$3-2026)*24+3))</f>
        <v/>
      </c>
      <c r="G191" s="76">
        <f>N(INDEX(Krankheitstage!$G191:$DV191,1,(Einstellungen!$C$3-2026)*24+4))</f>
        <v/>
      </c>
      <c r="H191" s="76">
        <f>N(INDEX(Krankheitstage!$G191:$DV191,1,(Einstellungen!$C$3-2026)*24+5))</f>
        <v/>
      </c>
      <c r="I191" s="76">
        <f>N(INDEX(Krankheitstage!$G191:$DV191,1,(Einstellungen!$C$3-2026)*24+6))</f>
        <v/>
      </c>
      <c r="J191" s="76">
        <f>N(INDEX(Krankheitstage!$G191:$DV191,1,(Einstellungen!$C$3-2026)*24+7))</f>
        <v/>
      </c>
      <c r="K191" s="76">
        <f>N(INDEX(Krankheitstage!$G191:$DV191,1,(Einstellungen!$C$3-2026)*24+8))</f>
        <v/>
      </c>
      <c r="L191" s="76">
        <f>N(INDEX(Krankheitstage!$G191:$DV191,1,(Einstellungen!$C$3-2026)*24+9))</f>
        <v/>
      </c>
      <c r="M191" s="76">
        <f>N(INDEX(Krankheitstage!$G191:$DV191,1,(Einstellungen!$C$3-2026)*24+10))</f>
        <v/>
      </c>
      <c r="N191" s="76">
        <f>N(INDEX(Krankheitstage!$G191:$DV191,1,(Einstellungen!$C$3-2026)*24+11))</f>
        <v/>
      </c>
      <c r="O191" s="76">
        <f>N(INDEX(Krankheitstage!$G191:$DV191,1,(Einstellungen!$C$3-2026)*24+12))</f>
        <v/>
      </c>
      <c r="P191" s="76">
        <f>IF($B191="","",SUM(D191:O191))</f>
        <v/>
      </c>
      <c r="Q191" s="76">
        <f>N(INDEX(Krankheitstage!$G191:$DV191,1,(Einstellungen!$C$3-2026)*24+13))</f>
        <v/>
      </c>
      <c r="R191" s="76">
        <f>N(INDEX(Krankheitstage!$G191:$DV191,1,(Einstellungen!$C$3-2026)*24+14))</f>
        <v/>
      </c>
      <c r="S191" s="76">
        <f>N(INDEX(Krankheitstage!$G191:$DV191,1,(Einstellungen!$C$3-2026)*24+15))</f>
        <v/>
      </c>
      <c r="T191" s="76">
        <f>N(INDEX(Krankheitstage!$G191:$DV191,1,(Einstellungen!$C$3-2026)*24+16))</f>
        <v/>
      </c>
      <c r="U191" s="76">
        <f>N(INDEX(Krankheitstage!$G191:$DV191,1,(Einstellungen!$C$3-2026)*24+17))</f>
        <v/>
      </c>
      <c r="V191" s="76">
        <f>N(INDEX(Krankheitstage!$G191:$DV191,1,(Einstellungen!$C$3-2026)*24+18))</f>
        <v/>
      </c>
      <c r="W191" s="76">
        <f>N(INDEX(Krankheitstage!$G191:$DV191,1,(Einstellungen!$C$3-2026)*24+19))</f>
        <v/>
      </c>
      <c r="X191" s="76">
        <f>N(INDEX(Krankheitstage!$G191:$DV191,1,(Einstellungen!$C$3-2026)*24+20))</f>
        <v/>
      </c>
      <c r="Y191" s="76">
        <f>N(INDEX(Krankheitstage!$G191:$DV191,1,(Einstellungen!$C$3-2026)*24+21))</f>
        <v/>
      </c>
      <c r="Z191" s="76">
        <f>N(INDEX(Krankheitstage!$G191:$DV191,1,(Einstellungen!$C$3-2026)*24+22))</f>
        <v/>
      </c>
      <c r="AA191" s="76">
        <f>N(INDEX(Krankheitstage!$G191:$DV191,1,(Einstellungen!$C$3-2026)*24+23))</f>
        <v/>
      </c>
      <c r="AB191" s="76">
        <f>N(INDEX(Krankheitstage!$G191:$DV191,1,(Einstellungen!$C$3-2026)*24+24))</f>
        <v/>
      </c>
      <c r="AC191" s="76">
        <f>IF($B191="","",SUM(Q191:AB191))</f>
        <v/>
      </c>
      <c r="AD191" s="76">
        <f>IF($B191="","",SUM(P191,AC191))</f>
        <v/>
      </c>
      <c r="AE191" s="77">
        <f>IF($B191="","",AD191*N(C191))</f>
        <v/>
      </c>
      <c r="AF191" s="76">
        <f>IF($B191="","",Krankheitstage!E191)</f>
        <v/>
      </c>
      <c r="AG191" s="77">
        <f>IF($B191="","",AF191*N(C191))</f>
        <v/>
      </c>
    </row>
    <row r="192">
      <c r="A192" s="74">
        <f>IF(Mitarbeiter!B192="","",Mitarbeiter!A192)</f>
        <v/>
      </c>
      <c r="B192" s="6">
        <f>IF(Mitarbeiter!B192="","",Mitarbeiter!B192)</f>
        <v/>
      </c>
      <c r="C192" s="75">
        <f>IF(Mitarbeiter!B192="","",Mitarbeiter!F192)</f>
        <v/>
      </c>
      <c r="D192" s="76">
        <f>N(INDEX(Krankheitstage!$G192:$DV192,1,(Einstellungen!$C$3-2026)*24+1))</f>
        <v/>
      </c>
      <c r="E192" s="76">
        <f>N(INDEX(Krankheitstage!$G192:$DV192,1,(Einstellungen!$C$3-2026)*24+2))</f>
        <v/>
      </c>
      <c r="F192" s="76">
        <f>N(INDEX(Krankheitstage!$G192:$DV192,1,(Einstellungen!$C$3-2026)*24+3))</f>
        <v/>
      </c>
      <c r="G192" s="76">
        <f>N(INDEX(Krankheitstage!$G192:$DV192,1,(Einstellungen!$C$3-2026)*24+4))</f>
        <v/>
      </c>
      <c r="H192" s="76">
        <f>N(INDEX(Krankheitstage!$G192:$DV192,1,(Einstellungen!$C$3-2026)*24+5))</f>
        <v/>
      </c>
      <c r="I192" s="76">
        <f>N(INDEX(Krankheitstage!$G192:$DV192,1,(Einstellungen!$C$3-2026)*24+6))</f>
        <v/>
      </c>
      <c r="J192" s="76">
        <f>N(INDEX(Krankheitstage!$G192:$DV192,1,(Einstellungen!$C$3-2026)*24+7))</f>
        <v/>
      </c>
      <c r="K192" s="76">
        <f>N(INDEX(Krankheitstage!$G192:$DV192,1,(Einstellungen!$C$3-2026)*24+8))</f>
        <v/>
      </c>
      <c r="L192" s="76">
        <f>N(INDEX(Krankheitstage!$G192:$DV192,1,(Einstellungen!$C$3-2026)*24+9))</f>
        <v/>
      </c>
      <c r="M192" s="76">
        <f>N(INDEX(Krankheitstage!$G192:$DV192,1,(Einstellungen!$C$3-2026)*24+10))</f>
        <v/>
      </c>
      <c r="N192" s="76">
        <f>N(INDEX(Krankheitstage!$G192:$DV192,1,(Einstellungen!$C$3-2026)*24+11))</f>
        <v/>
      </c>
      <c r="O192" s="76">
        <f>N(INDEX(Krankheitstage!$G192:$DV192,1,(Einstellungen!$C$3-2026)*24+12))</f>
        <v/>
      </c>
      <c r="P192" s="76">
        <f>IF($B192="","",SUM(D192:O192))</f>
        <v/>
      </c>
      <c r="Q192" s="76">
        <f>N(INDEX(Krankheitstage!$G192:$DV192,1,(Einstellungen!$C$3-2026)*24+13))</f>
        <v/>
      </c>
      <c r="R192" s="76">
        <f>N(INDEX(Krankheitstage!$G192:$DV192,1,(Einstellungen!$C$3-2026)*24+14))</f>
        <v/>
      </c>
      <c r="S192" s="76">
        <f>N(INDEX(Krankheitstage!$G192:$DV192,1,(Einstellungen!$C$3-2026)*24+15))</f>
        <v/>
      </c>
      <c r="T192" s="76">
        <f>N(INDEX(Krankheitstage!$G192:$DV192,1,(Einstellungen!$C$3-2026)*24+16))</f>
        <v/>
      </c>
      <c r="U192" s="76">
        <f>N(INDEX(Krankheitstage!$G192:$DV192,1,(Einstellungen!$C$3-2026)*24+17))</f>
        <v/>
      </c>
      <c r="V192" s="76">
        <f>N(INDEX(Krankheitstage!$G192:$DV192,1,(Einstellungen!$C$3-2026)*24+18))</f>
        <v/>
      </c>
      <c r="W192" s="76">
        <f>N(INDEX(Krankheitstage!$G192:$DV192,1,(Einstellungen!$C$3-2026)*24+19))</f>
        <v/>
      </c>
      <c r="X192" s="76">
        <f>N(INDEX(Krankheitstage!$G192:$DV192,1,(Einstellungen!$C$3-2026)*24+20))</f>
        <v/>
      </c>
      <c r="Y192" s="76">
        <f>N(INDEX(Krankheitstage!$G192:$DV192,1,(Einstellungen!$C$3-2026)*24+21))</f>
        <v/>
      </c>
      <c r="Z192" s="76">
        <f>N(INDEX(Krankheitstage!$G192:$DV192,1,(Einstellungen!$C$3-2026)*24+22))</f>
        <v/>
      </c>
      <c r="AA192" s="76">
        <f>N(INDEX(Krankheitstage!$G192:$DV192,1,(Einstellungen!$C$3-2026)*24+23))</f>
        <v/>
      </c>
      <c r="AB192" s="76">
        <f>N(INDEX(Krankheitstage!$G192:$DV192,1,(Einstellungen!$C$3-2026)*24+24))</f>
        <v/>
      </c>
      <c r="AC192" s="76">
        <f>IF($B192="","",SUM(Q192:AB192))</f>
        <v/>
      </c>
      <c r="AD192" s="76">
        <f>IF($B192="","",SUM(P192,AC192))</f>
        <v/>
      </c>
      <c r="AE192" s="77">
        <f>IF($B192="","",AD192*N(C192))</f>
        <v/>
      </c>
      <c r="AF192" s="76">
        <f>IF($B192="","",Krankheitstage!E192)</f>
        <v/>
      </c>
      <c r="AG192" s="77">
        <f>IF($B192="","",AF192*N(C192))</f>
        <v/>
      </c>
    </row>
    <row r="193">
      <c r="A193" s="74">
        <f>IF(Mitarbeiter!B193="","",Mitarbeiter!A193)</f>
        <v/>
      </c>
      <c r="B193" s="6">
        <f>IF(Mitarbeiter!B193="","",Mitarbeiter!B193)</f>
        <v/>
      </c>
      <c r="C193" s="75">
        <f>IF(Mitarbeiter!B193="","",Mitarbeiter!F193)</f>
        <v/>
      </c>
      <c r="D193" s="76">
        <f>N(INDEX(Krankheitstage!$G193:$DV193,1,(Einstellungen!$C$3-2026)*24+1))</f>
        <v/>
      </c>
      <c r="E193" s="76">
        <f>N(INDEX(Krankheitstage!$G193:$DV193,1,(Einstellungen!$C$3-2026)*24+2))</f>
        <v/>
      </c>
      <c r="F193" s="76">
        <f>N(INDEX(Krankheitstage!$G193:$DV193,1,(Einstellungen!$C$3-2026)*24+3))</f>
        <v/>
      </c>
      <c r="G193" s="76">
        <f>N(INDEX(Krankheitstage!$G193:$DV193,1,(Einstellungen!$C$3-2026)*24+4))</f>
        <v/>
      </c>
      <c r="H193" s="76">
        <f>N(INDEX(Krankheitstage!$G193:$DV193,1,(Einstellungen!$C$3-2026)*24+5))</f>
        <v/>
      </c>
      <c r="I193" s="76">
        <f>N(INDEX(Krankheitstage!$G193:$DV193,1,(Einstellungen!$C$3-2026)*24+6))</f>
        <v/>
      </c>
      <c r="J193" s="76">
        <f>N(INDEX(Krankheitstage!$G193:$DV193,1,(Einstellungen!$C$3-2026)*24+7))</f>
        <v/>
      </c>
      <c r="K193" s="76">
        <f>N(INDEX(Krankheitstage!$G193:$DV193,1,(Einstellungen!$C$3-2026)*24+8))</f>
        <v/>
      </c>
      <c r="L193" s="76">
        <f>N(INDEX(Krankheitstage!$G193:$DV193,1,(Einstellungen!$C$3-2026)*24+9))</f>
        <v/>
      </c>
      <c r="M193" s="76">
        <f>N(INDEX(Krankheitstage!$G193:$DV193,1,(Einstellungen!$C$3-2026)*24+10))</f>
        <v/>
      </c>
      <c r="N193" s="76">
        <f>N(INDEX(Krankheitstage!$G193:$DV193,1,(Einstellungen!$C$3-2026)*24+11))</f>
        <v/>
      </c>
      <c r="O193" s="76">
        <f>N(INDEX(Krankheitstage!$G193:$DV193,1,(Einstellungen!$C$3-2026)*24+12))</f>
        <v/>
      </c>
      <c r="P193" s="76">
        <f>IF($B193="","",SUM(D193:O193))</f>
        <v/>
      </c>
      <c r="Q193" s="76">
        <f>N(INDEX(Krankheitstage!$G193:$DV193,1,(Einstellungen!$C$3-2026)*24+13))</f>
        <v/>
      </c>
      <c r="R193" s="76">
        <f>N(INDEX(Krankheitstage!$G193:$DV193,1,(Einstellungen!$C$3-2026)*24+14))</f>
        <v/>
      </c>
      <c r="S193" s="76">
        <f>N(INDEX(Krankheitstage!$G193:$DV193,1,(Einstellungen!$C$3-2026)*24+15))</f>
        <v/>
      </c>
      <c r="T193" s="76">
        <f>N(INDEX(Krankheitstage!$G193:$DV193,1,(Einstellungen!$C$3-2026)*24+16))</f>
        <v/>
      </c>
      <c r="U193" s="76">
        <f>N(INDEX(Krankheitstage!$G193:$DV193,1,(Einstellungen!$C$3-2026)*24+17))</f>
        <v/>
      </c>
      <c r="V193" s="76">
        <f>N(INDEX(Krankheitstage!$G193:$DV193,1,(Einstellungen!$C$3-2026)*24+18))</f>
        <v/>
      </c>
      <c r="W193" s="76">
        <f>N(INDEX(Krankheitstage!$G193:$DV193,1,(Einstellungen!$C$3-2026)*24+19))</f>
        <v/>
      </c>
      <c r="X193" s="76">
        <f>N(INDEX(Krankheitstage!$G193:$DV193,1,(Einstellungen!$C$3-2026)*24+20))</f>
        <v/>
      </c>
      <c r="Y193" s="76">
        <f>N(INDEX(Krankheitstage!$G193:$DV193,1,(Einstellungen!$C$3-2026)*24+21))</f>
        <v/>
      </c>
      <c r="Z193" s="76">
        <f>N(INDEX(Krankheitstage!$G193:$DV193,1,(Einstellungen!$C$3-2026)*24+22))</f>
        <v/>
      </c>
      <c r="AA193" s="76">
        <f>N(INDEX(Krankheitstage!$G193:$DV193,1,(Einstellungen!$C$3-2026)*24+23))</f>
        <v/>
      </c>
      <c r="AB193" s="76">
        <f>N(INDEX(Krankheitstage!$G193:$DV193,1,(Einstellungen!$C$3-2026)*24+24))</f>
        <v/>
      </c>
      <c r="AC193" s="76">
        <f>IF($B193="","",SUM(Q193:AB193))</f>
        <v/>
      </c>
      <c r="AD193" s="76">
        <f>IF($B193="","",SUM(P193,AC193))</f>
        <v/>
      </c>
      <c r="AE193" s="77">
        <f>IF($B193="","",AD193*N(C193))</f>
        <v/>
      </c>
      <c r="AF193" s="76">
        <f>IF($B193="","",Krankheitstage!E193)</f>
        <v/>
      </c>
      <c r="AG193" s="77">
        <f>IF($B193="","",AF193*N(C193))</f>
        <v/>
      </c>
    </row>
    <row r="194">
      <c r="A194" s="74">
        <f>IF(Mitarbeiter!B194="","",Mitarbeiter!A194)</f>
        <v/>
      </c>
      <c r="B194" s="6">
        <f>IF(Mitarbeiter!B194="","",Mitarbeiter!B194)</f>
        <v/>
      </c>
      <c r="C194" s="75">
        <f>IF(Mitarbeiter!B194="","",Mitarbeiter!F194)</f>
        <v/>
      </c>
      <c r="D194" s="76">
        <f>N(INDEX(Krankheitstage!$G194:$DV194,1,(Einstellungen!$C$3-2026)*24+1))</f>
        <v/>
      </c>
      <c r="E194" s="76">
        <f>N(INDEX(Krankheitstage!$G194:$DV194,1,(Einstellungen!$C$3-2026)*24+2))</f>
        <v/>
      </c>
      <c r="F194" s="76">
        <f>N(INDEX(Krankheitstage!$G194:$DV194,1,(Einstellungen!$C$3-2026)*24+3))</f>
        <v/>
      </c>
      <c r="G194" s="76">
        <f>N(INDEX(Krankheitstage!$G194:$DV194,1,(Einstellungen!$C$3-2026)*24+4))</f>
        <v/>
      </c>
      <c r="H194" s="76">
        <f>N(INDEX(Krankheitstage!$G194:$DV194,1,(Einstellungen!$C$3-2026)*24+5))</f>
        <v/>
      </c>
      <c r="I194" s="76">
        <f>N(INDEX(Krankheitstage!$G194:$DV194,1,(Einstellungen!$C$3-2026)*24+6))</f>
        <v/>
      </c>
      <c r="J194" s="76">
        <f>N(INDEX(Krankheitstage!$G194:$DV194,1,(Einstellungen!$C$3-2026)*24+7))</f>
        <v/>
      </c>
      <c r="K194" s="76">
        <f>N(INDEX(Krankheitstage!$G194:$DV194,1,(Einstellungen!$C$3-2026)*24+8))</f>
        <v/>
      </c>
      <c r="L194" s="76">
        <f>N(INDEX(Krankheitstage!$G194:$DV194,1,(Einstellungen!$C$3-2026)*24+9))</f>
        <v/>
      </c>
      <c r="M194" s="76">
        <f>N(INDEX(Krankheitstage!$G194:$DV194,1,(Einstellungen!$C$3-2026)*24+10))</f>
        <v/>
      </c>
      <c r="N194" s="76">
        <f>N(INDEX(Krankheitstage!$G194:$DV194,1,(Einstellungen!$C$3-2026)*24+11))</f>
        <v/>
      </c>
      <c r="O194" s="76">
        <f>N(INDEX(Krankheitstage!$G194:$DV194,1,(Einstellungen!$C$3-2026)*24+12))</f>
        <v/>
      </c>
      <c r="P194" s="76">
        <f>IF($B194="","",SUM(D194:O194))</f>
        <v/>
      </c>
      <c r="Q194" s="76">
        <f>N(INDEX(Krankheitstage!$G194:$DV194,1,(Einstellungen!$C$3-2026)*24+13))</f>
        <v/>
      </c>
      <c r="R194" s="76">
        <f>N(INDEX(Krankheitstage!$G194:$DV194,1,(Einstellungen!$C$3-2026)*24+14))</f>
        <v/>
      </c>
      <c r="S194" s="76">
        <f>N(INDEX(Krankheitstage!$G194:$DV194,1,(Einstellungen!$C$3-2026)*24+15))</f>
        <v/>
      </c>
      <c r="T194" s="76">
        <f>N(INDEX(Krankheitstage!$G194:$DV194,1,(Einstellungen!$C$3-2026)*24+16))</f>
        <v/>
      </c>
      <c r="U194" s="76">
        <f>N(INDEX(Krankheitstage!$G194:$DV194,1,(Einstellungen!$C$3-2026)*24+17))</f>
        <v/>
      </c>
      <c r="V194" s="76">
        <f>N(INDEX(Krankheitstage!$G194:$DV194,1,(Einstellungen!$C$3-2026)*24+18))</f>
        <v/>
      </c>
      <c r="W194" s="76">
        <f>N(INDEX(Krankheitstage!$G194:$DV194,1,(Einstellungen!$C$3-2026)*24+19))</f>
        <v/>
      </c>
      <c r="X194" s="76">
        <f>N(INDEX(Krankheitstage!$G194:$DV194,1,(Einstellungen!$C$3-2026)*24+20))</f>
        <v/>
      </c>
      <c r="Y194" s="76">
        <f>N(INDEX(Krankheitstage!$G194:$DV194,1,(Einstellungen!$C$3-2026)*24+21))</f>
        <v/>
      </c>
      <c r="Z194" s="76">
        <f>N(INDEX(Krankheitstage!$G194:$DV194,1,(Einstellungen!$C$3-2026)*24+22))</f>
        <v/>
      </c>
      <c r="AA194" s="76">
        <f>N(INDEX(Krankheitstage!$G194:$DV194,1,(Einstellungen!$C$3-2026)*24+23))</f>
        <v/>
      </c>
      <c r="AB194" s="76">
        <f>N(INDEX(Krankheitstage!$G194:$DV194,1,(Einstellungen!$C$3-2026)*24+24))</f>
        <v/>
      </c>
      <c r="AC194" s="76">
        <f>IF($B194="","",SUM(Q194:AB194))</f>
        <v/>
      </c>
      <c r="AD194" s="76">
        <f>IF($B194="","",SUM(P194,AC194))</f>
        <v/>
      </c>
      <c r="AE194" s="77">
        <f>IF($B194="","",AD194*N(C194))</f>
        <v/>
      </c>
      <c r="AF194" s="76">
        <f>IF($B194="","",Krankheitstage!E194)</f>
        <v/>
      </c>
      <c r="AG194" s="77">
        <f>IF($B194="","",AF194*N(C194))</f>
        <v/>
      </c>
    </row>
    <row r="195">
      <c r="A195" s="74">
        <f>IF(Mitarbeiter!B195="","",Mitarbeiter!A195)</f>
        <v/>
      </c>
      <c r="B195" s="6">
        <f>IF(Mitarbeiter!B195="","",Mitarbeiter!B195)</f>
        <v/>
      </c>
      <c r="C195" s="75">
        <f>IF(Mitarbeiter!B195="","",Mitarbeiter!F195)</f>
        <v/>
      </c>
      <c r="D195" s="76">
        <f>N(INDEX(Krankheitstage!$G195:$DV195,1,(Einstellungen!$C$3-2026)*24+1))</f>
        <v/>
      </c>
      <c r="E195" s="76">
        <f>N(INDEX(Krankheitstage!$G195:$DV195,1,(Einstellungen!$C$3-2026)*24+2))</f>
        <v/>
      </c>
      <c r="F195" s="76">
        <f>N(INDEX(Krankheitstage!$G195:$DV195,1,(Einstellungen!$C$3-2026)*24+3))</f>
        <v/>
      </c>
      <c r="G195" s="76">
        <f>N(INDEX(Krankheitstage!$G195:$DV195,1,(Einstellungen!$C$3-2026)*24+4))</f>
        <v/>
      </c>
      <c r="H195" s="76">
        <f>N(INDEX(Krankheitstage!$G195:$DV195,1,(Einstellungen!$C$3-2026)*24+5))</f>
        <v/>
      </c>
      <c r="I195" s="76">
        <f>N(INDEX(Krankheitstage!$G195:$DV195,1,(Einstellungen!$C$3-2026)*24+6))</f>
        <v/>
      </c>
      <c r="J195" s="76">
        <f>N(INDEX(Krankheitstage!$G195:$DV195,1,(Einstellungen!$C$3-2026)*24+7))</f>
        <v/>
      </c>
      <c r="K195" s="76">
        <f>N(INDEX(Krankheitstage!$G195:$DV195,1,(Einstellungen!$C$3-2026)*24+8))</f>
        <v/>
      </c>
      <c r="L195" s="76">
        <f>N(INDEX(Krankheitstage!$G195:$DV195,1,(Einstellungen!$C$3-2026)*24+9))</f>
        <v/>
      </c>
      <c r="M195" s="76">
        <f>N(INDEX(Krankheitstage!$G195:$DV195,1,(Einstellungen!$C$3-2026)*24+10))</f>
        <v/>
      </c>
      <c r="N195" s="76">
        <f>N(INDEX(Krankheitstage!$G195:$DV195,1,(Einstellungen!$C$3-2026)*24+11))</f>
        <v/>
      </c>
      <c r="O195" s="76">
        <f>N(INDEX(Krankheitstage!$G195:$DV195,1,(Einstellungen!$C$3-2026)*24+12))</f>
        <v/>
      </c>
      <c r="P195" s="76">
        <f>IF($B195="","",SUM(D195:O195))</f>
        <v/>
      </c>
      <c r="Q195" s="76">
        <f>N(INDEX(Krankheitstage!$G195:$DV195,1,(Einstellungen!$C$3-2026)*24+13))</f>
        <v/>
      </c>
      <c r="R195" s="76">
        <f>N(INDEX(Krankheitstage!$G195:$DV195,1,(Einstellungen!$C$3-2026)*24+14))</f>
        <v/>
      </c>
      <c r="S195" s="76">
        <f>N(INDEX(Krankheitstage!$G195:$DV195,1,(Einstellungen!$C$3-2026)*24+15))</f>
        <v/>
      </c>
      <c r="T195" s="76">
        <f>N(INDEX(Krankheitstage!$G195:$DV195,1,(Einstellungen!$C$3-2026)*24+16))</f>
        <v/>
      </c>
      <c r="U195" s="76">
        <f>N(INDEX(Krankheitstage!$G195:$DV195,1,(Einstellungen!$C$3-2026)*24+17))</f>
        <v/>
      </c>
      <c r="V195" s="76">
        <f>N(INDEX(Krankheitstage!$G195:$DV195,1,(Einstellungen!$C$3-2026)*24+18))</f>
        <v/>
      </c>
      <c r="W195" s="76">
        <f>N(INDEX(Krankheitstage!$G195:$DV195,1,(Einstellungen!$C$3-2026)*24+19))</f>
        <v/>
      </c>
      <c r="X195" s="76">
        <f>N(INDEX(Krankheitstage!$G195:$DV195,1,(Einstellungen!$C$3-2026)*24+20))</f>
        <v/>
      </c>
      <c r="Y195" s="76">
        <f>N(INDEX(Krankheitstage!$G195:$DV195,1,(Einstellungen!$C$3-2026)*24+21))</f>
        <v/>
      </c>
      <c r="Z195" s="76">
        <f>N(INDEX(Krankheitstage!$G195:$DV195,1,(Einstellungen!$C$3-2026)*24+22))</f>
        <v/>
      </c>
      <c r="AA195" s="76">
        <f>N(INDEX(Krankheitstage!$G195:$DV195,1,(Einstellungen!$C$3-2026)*24+23))</f>
        <v/>
      </c>
      <c r="AB195" s="76">
        <f>N(INDEX(Krankheitstage!$G195:$DV195,1,(Einstellungen!$C$3-2026)*24+24))</f>
        <v/>
      </c>
      <c r="AC195" s="76">
        <f>IF($B195="","",SUM(Q195:AB195))</f>
        <v/>
      </c>
      <c r="AD195" s="76">
        <f>IF($B195="","",SUM(P195,AC195))</f>
        <v/>
      </c>
      <c r="AE195" s="77">
        <f>IF($B195="","",AD195*N(C195))</f>
        <v/>
      </c>
      <c r="AF195" s="76">
        <f>IF($B195="","",Krankheitstage!E195)</f>
        <v/>
      </c>
      <c r="AG195" s="77">
        <f>IF($B195="","",AF195*N(C195))</f>
        <v/>
      </c>
    </row>
    <row r="196">
      <c r="A196" s="74">
        <f>IF(Mitarbeiter!B196="","",Mitarbeiter!A196)</f>
        <v/>
      </c>
      <c r="B196" s="6">
        <f>IF(Mitarbeiter!B196="","",Mitarbeiter!B196)</f>
        <v/>
      </c>
      <c r="C196" s="75">
        <f>IF(Mitarbeiter!B196="","",Mitarbeiter!F196)</f>
        <v/>
      </c>
      <c r="D196" s="76">
        <f>N(INDEX(Krankheitstage!$G196:$DV196,1,(Einstellungen!$C$3-2026)*24+1))</f>
        <v/>
      </c>
      <c r="E196" s="76">
        <f>N(INDEX(Krankheitstage!$G196:$DV196,1,(Einstellungen!$C$3-2026)*24+2))</f>
        <v/>
      </c>
      <c r="F196" s="76">
        <f>N(INDEX(Krankheitstage!$G196:$DV196,1,(Einstellungen!$C$3-2026)*24+3))</f>
        <v/>
      </c>
      <c r="G196" s="76">
        <f>N(INDEX(Krankheitstage!$G196:$DV196,1,(Einstellungen!$C$3-2026)*24+4))</f>
        <v/>
      </c>
      <c r="H196" s="76">
        <f>N(INDEX(Krankheitstage!$G196:$DV196,1,(Einstellungen!$C$3-2026)*24+5))</f>
        <v/>
      </c>
      <c r="I196" s="76">
        <f>N(INDEX(Krankheitstage!$G196:$DV196,1,(Einstellungen!$C$3-2026)*24+6))</f>
        <v/>
      </c>
      <c r="J196" s="76">
        <f>N(INDEX(Krankheitstage!$G196:$DV196,1,(Einstellungen!$C$3-2026)*24+7))</f>
        <v/>
      </c>
      <c r="K196" s="76">
        <f>N(INDEX(Krankheitstage!$G196:$DV196,1,(Einstellungen!$C$3-2026)*24+8))</f>
        <v/>
      </c>
      <c r="L196" s="76">
        <f>N(INDEX(Krankheitstage!$G196:$DV196,1,(Einstellungen!$C$3-2026)*24+9))</f>
        <v/>
      </c>
      <c r="M196" s="76">
        <f>N(INDEX(Krankheitstage!$G196:$DV196,1,(Einstellungen!$C$3-2026)*24+10))</f>
        <v/>
      </c>
      <c r="N196" s="76">
        <f>N(INDEX(Krankheitstage!$G196:$DV196,1,(Einstellungen!$C$3-2026)*24+11))</f>
        <v/>
      </c>
      <c r="O196" s="76">
        <f>N(INDEX(Krankheitstage!$G196:$DV196,1,(Einstellungen!$C$3-2026)*24+12))</f>
        <v/>
      </c>
      <c r="P196" s="76">
        <f>IF($B196="","",SUM(D196:O196))</f>
        <v/>
      </c>
      <c r="Q196" s="76">
        <f>N(INDEX(Krankheitstage!$G196:$DV196,1,(Einstellungen!$C$3-2026)*24+13))</f>
        <v/>
      </c>
      <c r="R196" s="76">
        <f>N(INDEX(Krankheitstage!$G196:$DV196,1,(Einstellungen!$C$3-2026)*24+14))</f>
        <v/>
      </c>
      <c r="S196" s="76">
        <f>N(INDEX(Krankheitstage!$G196:$DV196,1,(Einstellungen!$C$3-2026)*24+15))</f>
        <v/>
      </c>
      <c r="T196" s="76">
        <f>N(INDEX(Krankheitstage!$G196:$DV196,1,(Einstellungen!$C$3-2026)*24+16))</f>
        <v/>
      </c>
      <c r="U196" s="76">
        <f>N(INDEX(Krankheitstage!$G196:$DV196,1,(Einstellungen!$C$3-2026)*24+17))</f>
        <v/>
      </c>
      <c r="V196" s="76">
        <f>N(INDEX(Krankheitstage!$G196:$DV196,1,(Einstellungen!$C$3-2026)*24+18))</f>
        <v/>
      </c>
      <c r="W196" s="76">
        <f>N(INDEX(Krankheitstage!$G196:$DV196,1,(Einstellungen!$C$3-2026)*24+19))</f>
        <v/>
      </c>
      <c r="X196" s="76">
        <f>N(INDEX(Krankheitstage!$G196:$DV196,1,(Einstellungen!$C$3-2026)*24+20))</f>
        <v/>
      </c>
      <c r="Y196" s="76">
        <f>N(INDEX(Krankheitstage!$G196:$DV196,1,(Einstellungen!$C$3-2026)*24+21))</f>
        <v/>
      </c>
      <c r="Z196" s="76">
        <f>N(INDEX(Krankheitstage!$G196:$DV196,1,(Einstellungen!$C$3-2026)*24+22))</f>
        <v/>
      </c>
      <c r="AA196" s="76">
        <f>N(INDEX(Krankheitstage!$G196:$DV196,1,(Einstellungen!$C$3-2026)*24+23))</f>
        <v/>
      </c>
      <c r="AB196" s="76">
        <f>N(INDEX(Krankheitstage!$G196:$DV196,1,(Einstellungen!$C$3-2026)*24+24))</f>
        <v/>
      </c>
      <c r="AC196" s="76">
        <f>IF($B196="","",SUM(Q196:AB196))</f>
        <v/>
      </c>
      <c r="AD196" s="76">
        <f>IF($B196="","",SUM(P196,AC196))</f>
        <v/>
      </c>
      <c r="AE196" s="77">
        <f>IF($B196="","",AD196*N(C196))</f>
        <v/>
      </c>
      <c r="AF196" s="76">
        <f>IF($B196="","",Krankheitstage!E196)</f>
        <v/>
      </c>
      <c r="AG196" s="77">
        <f>IF($B196="","",AF196*N(C196))</f>
        <v/>
      </c>
    </row>
    <row r="197">
      <c r="A197" s="74">
        <f>IF(Mitarbeiter!B197="","",Mitarbeiter!A197)</f>
        <v/>
      </c>
      <c r="B197" s="6">
        <f>IF(Mitarbeiter!B197="","",Mitarbeiter!B197)</f>
        <v/>
      </c>
      <c r="C197" s="75">
        <f>IF(Mitarbeiter!B197="","",Mitarbeiter!F197)</f>
        <v/>
      </c>
      <c r="D197" s="76">
        <f>N(INDEX(Krankheitstage!$G197:$DV197,1,(Einstellungen!$C$3-2026)*24+1))</f>
        <v/>
      </c>
      <c r="E197" s="76">
        <f>N(INDEX(Krankheitstage!$G197:$DV197,1,(Einstellungen!$C$3-2026)*24+2))</f>
        <v/>
      </c>
      <c r="F197" s="76">
        <f>N(INDEX(Krankheitstage!$G197:$DV197,1,(Einstellungen!$C$3-2026)*24+3))</f>
        <v/>
      </c>
      <c r="G197" s="76">
        <f>N(INDEX(Krankheitstage!$G197:$DV197,1,(Einstellungen!$C$3-2026)*24+4))</f>
        <v/>
      </c>
      <c r="H197" s="76">
        <f>N(INDEX(Krankheitstage!$G197:$DV197,1,(Einstellungen!$C$3-2026)*24+5))</f>
        <v/>
      </c>
      <c r="I197" s="76">
        <f>N(INDEX(Krankheitstage!$G197:$DV197,1,(Einstellungen!$C$3-2026)*24+6))</f>
        <v/>
      </c>
      <c r="J197" s="76">
        <f>N(INDEX(Krankheitstage!$G197:$DV197,1,(Einstellungen!$C$3-2026)*24+7))</f>
        <v/>
      </c>
      <c r="K197" s="76">
        <f>N(INDEX(Krankheitstage!$G197:$DV197,1,(Einstellungen!$C$3-2026)*24+8))</f>
        <v/>
      </c>
      <c r="L197" s="76">
        <f>N(INDEX(Krankheitstage!$G197:$DV197,1,(Einstellungen!$C$3-2026)*24+9))</f>
        <v/>
      </c>
      <c r="M197" s="76">
        <f>N(INDEX(Krankheitstage!$G197:$DV197,1,(Einstellungen!$C$3-2026)*24+10))</f>
        <v/>
      </c>
      <c r="N197" s="76">
        <f>N(INDEX(Krankheitstage!$G197:$DV197,1,(Einstellungen!$C$3-2026)*24+11))</f>
        <v/>
      </c>
      <c r="O197" s="76">
        <f>N(INDEX(Krankheitstage!$G197:$DV197,1,(Einstellungen!$C$3-2026)*24+12))</f>
        <v/>
      </c>
      <c r="P197" s="76">
        <f>IF($B197="","",SUM(D197:O197))</f>
        <v/>
      </c>
      <c r="Q197" s="76">
        <f>N(INDEX(Krankheitstage!$G197:$DV197,1,(Einstellungen!$C$3-2026)*24+13))</f>
        <v/>
      </c>
      <c r="R197" s="76">
        <f>N(INDEX(Krankheitstage!$G197:$DV197,1,(Einstellungen!$C$3-2026)*24+14))</f>
        <v/>
      </c>
      <c r="S197" s="76">
        <f>N(INDEX(Krankheitstage!$G197:$DV197,1,(Einstellungen!$C$3-2026)*24+15))</f>
        <v/>
      </c>
      <c r="T197" s="76">
        <f>N(INDEX(Krankheitstage!$G197:$DV197,1,(Einstellungen!$C$3-2026)*24+16))</f>
        <v/>
      </c>
      <c r="U197" s="76">
        <f>N(INDEX(Krankheitstage!$G197:$DV197,1,(Einstellungen!$C$3-2026)*24+17))</f>
        <v/>
      </c>
      <c r="V197" s="76">
        <f>N(INDEX(Krankheitstage!$G197:$DV197,1,(Einstellungen!$C$3-2026)*24+18))</f>
        <v/>
      </c>
      <c r="W197" s="76">
        <f>N(INDEX(Krankheitstage!$G197:$DV197,1,(Einstellungen!$C$3-2026)*24+19))</f>
        <v/>
      </c>
      <c r="X197" s="76">
        <f>N(INDEX(Krankheitstage!$G197:$DV197,1,(Einstellungen!$C$3-2026)*24+20))</f>
        <v/>
      </c>
      <c r="Y197" s="76">
        <f>N(INDEX(Krankheitstage!$G197:$DV197,1,(Einstellungen!$C$3-2026)*24+21))</f>
        <v/>
      </c>
      <c r="Z197" s="76">
        <f>N(INDEX(Krankheitstage!$G197:$DV197,1,(Einstellungen!$C$3-2026)*24+22))</f>
        <v/>
      </c>
      <c r="AA197" s="76">
        <f>N(INDEX(Krankheitstage!$G197:$DV197,1,(Einstellungen!$C$3-2026)*24+23))</f>
        <v/>
      </c>
      <c r="AB197" s="76">
        <f>N(INDEX(Krankheitstage!$G197:$DV197,1,(Einstellungen!$C$3-2026)*24+24))</f>
        <v/>
      </c>
      <c r="AC197" s="76">
        <f>IF($B197="","",SUM(Q197:AB197))</f>
        <v/>
      </c>
      <c r="AD197" s="76">
        <f>IF($B197="","",SUM(P197,AC197))</f>
        <v/>
      </c>
      <c r="AE197" s="77">
        <f>IF($B197="","",AD197*N(C197))</f>
        <v/>
      </c>
      <c r="AF197" s="76">
        <f>IF($B197="","",Krankheitstage!E197)</f>
        <v/>
      </c>
      <c r="AG197" s="77">
        <f>IF($B197="","",AF197*N(C197))</f>
        <v/>
      </c>
    </row>
    <row r="198">
      <c r="A198" s="74">
        <f>IF(Mitarbeiter!B198="","",Mitarbeiter!A198)</f>
        <v/>
      </c>
      <c r="B198" s="6">
        <f>IF(Mitarbeiter!B198="","",Mitarbeiter!B198)</f>
        <v/>
      </c>
      <c r="C198" s="75">
        <f>IF(Mitarbeiter!B198="","",Mitarbeiter!F198)</f>
        <v/>
      </c>
      <c r="D198" s="76">
        <f>N(INDEX(Krankheitstage!$G198:$DV198,1,(Einstellungen!$C$3-2026)*24+1))</f>
        <v/>
      </c>
      <c r="E198" s="76">
        <f>N(INDEX(Krankheitstage!$G198:$DV198,1,(Einstellungen!$C$3-2026)*24+2))</f>
        <v/>
      </c>
      <c r="F198" s="76">
        <f>N(INDEX(Krankheitstage!$G198:$DV198,1,(Einstellungen!$C$3-2026)*24+3))</f>
        <v/>
      </c>
      <c r="G198" s="76">
        <f>N(INDEX(Krankheitstage!$G198:$DV198,1,(Einstellungen!$C$3-2026)*24+4))</f>
        <v/>
      </c>
      <c r="H198" s="76">
        <f>N(INDEX(Krankheitstage!$G198:$DV198,1,(Einstellungen!$C$3-2026)*24+5))</f>
        <v/>
      </c>
      <c r="I198" s="76">
        <f>N(INDEX(Krankheitstage!$G198:$DV198,1,(Einstellungen!$C$3-2026)*24+6))</f>
        <v/>
      </c>
      <c r="J198" s="76">
        <f>N(INDEX(Krankheitstage!$G198:$DV198,1,(Einstellungen!$C$3-2026)*24+7))</f>
        <v/>
      </c>
      <c r="K198" s="76">
        <f>N(INDEX(Krankheitstage!$G198:$DV198,1,(Einstellungen!$C$3-2026)*24+8))</f>
        <v/>
      </c>
      <c r="L198" s="76">
        <f>N(INDEX(Krankheitstage!$G198:$DV198,1,(Einstellungen!$C$3-2026)*24+9))</f>
        <v/>
      </c>
      <c r="M198" s="76">
        <f>N(INDEX(Krankheitstage!$G198:$DV198,1,(Einstellungen!$C$3-2026)*24+10))</f>
        <v/>
      </c>
      <c r="N198" s="76">
        <f>N(INDEX(Krankheitstage!$G198:$DV198,1,(Einstellungen!$C$3-2026)*24+11))</f>
        <v/>
      </c>
      <c r="O198" s="76">
        <f>N(INDEX(Krankheitstage!$G198:$DV198,1,(Einstellungen!$C$3-2026)*24+12))</f>
        <v/>
      </c>
      <c r="P198" s="76">
        <f>IF($B198="","",SUM(D198:O198))</f>
        <v/>
      </c>
      <c r="Q198" s="76">
        <f>N(INDEX(Krankheitstage!$G198:$DV198,1,(Einstellungen!$C$3-2026)*24+13))</f>
        <v/>
      </c>
      <c r="R198" s="76">
        <f>N(INDEX(Krankheitstage!$G198:$DV198,1,(Einstellungen!$C$3-2026)*24+14))</f>
        <v/>
      </c>
      <c r="S198" s="76">
        <f>N(INDEX(Krankheitstage!$G198:$DV198,1,(Einstellungen!$C$3-2026)*24+15))</f>
        <v/>
      </c>
      <c r="T198" s="76">
        <f>N(INDEX(Krankheitstage!$G198:$DV198,1,(Einstellungen!$C$3-2026)*24+16))</f>
        <v/>
      </c>
      <c r="U198" s="76">
        <f>N(INDEX(Krankheitstage!$G198:$DV198,1,(Einstellungen!$C$3-2026)*24+17))</f>
        <v/>
      </c>
      <c r="V198" s="76">
        <f>N(INDEX(Krankheitstage!$G198:$DV198,1,(Einstellungen!$C$3-2026)*24+18))</f>
        <v/>
      </c>
      <c r="W198" s="76">
        <f>N(INDEX(Krankheitstage!$G198:$DV198,1,(Einstellungen!$C$3-2026)*24+19))</f>
        <v/>
      </c>
      <c r="X198" s="76">
        <f>N(INDEX(Krankheitstage!$G198:$DV198,1,(Einstellungen!$C$3-2026)*24+20))</f>
        <v/>
      </c>
      <c r="Y198" s="76">
        <f>N(INDEX(Krankheitstage!$G198:$DV198,1,(Einstellungen!$C$3-2026)*24+21))</f>
        <v/>
      </c>
      <c r="Z198" s="76">
        <f>N(INDEX(Krankheitstage!$G198:$DV198,1,(Einstellungen!$C$3-2026)*24+22))</f>
        <v/>
      </c>
      <c r="AA198" s="76">
        <f>N(INDEX(Krankheitstage!$G198:$DV198,1,(Einstellungen!$C$3-2026)*24+23))</f>
        <v/>
      </c>
      <c r="AB198" s="76">
        <f>N(INDEX(Krankheitstage!$G198:$DV198,1,(Einstellungen!$C$3-2026)*24+24))</f>
        <v/>
      </c>
      <c r="AC198" s="76">
        <f>IF($B198="","",SUM(Q198:AB198))</f>
        <v/>
      </c>
      <c r="AD198" s="76">
        <f>IF($B198="","",SUM(P198,AC198))</f>
        <v/>
      </c>
      <c r="AE198" s="77">
        <f>IF($B198="","",AD198*N(C198))</f>
        <v/>
      </c>
      <c r="AF198" s="76">
        <f>IF($B198="","",Krankheitstage!E198)</f>
        <v/>
      </c>
      <c r="AG198" s="77">
        <f>IF($B198="","",AF198*N(C198))</f>
        <v/>
      </c>
    </row>
    <row r="199">
      <c r="A199" s="74">
        <f>IF(Mitarbeiter!B199="","",Mitarbeiter!A199)</f>
        <v/>
      </c>
      <c r="B199" s="6">
        <f>IF(Mitarbeiter!B199="","",Mitarbeiter!B199)</f>
        <v/>
      </c>
      <c r="C199" s="75">
        <f>IF(Mitarbeiter!B199="","",Mitarbeiter!F199)</f>
        <v/>
      </c>
      <c r="D199" s="76">
        <f>N(INDEX(Krankheitstage!$G199:$DV199,1,(Einstellungen!$C$3-2026)*24+1))</f>
        <v/>
      </c>
      <c r="E199" s="76">
        <f>N(INDEX(Krankheitstage!$G199:$DV199,1,(Einstellungen!$C$3-2026)*24+2))</f>
        <v/>
      </c>
      <c r="F199" s="76">
        <f>N(INDEX(Krankheitstage!$G199:$DV199,1,(Einstellungen!$C$3-2026)*24+3))</f>
        <v/>
      </c>
      <c r="G199" s="76">
        <f>N(INDEX(Krankheitstage!$G199:$DV199,1,(Einstellungen!$C$3-2026)*24+4))</f>
        <v/>
      </c>
      <c r="H199" s="76">
        <f>N(INDEX(Krankheitstage!$G199:$DV199,1,(Einstellungen!$C$3-2026)*24+5))</f>
        <v/>
      </c>
      <c r="I199" s="76">
        <f>N(INDEX(Krankheitstage!$G199:$DV199,1,(Einstellungen!$C$3-2026)*24+6))</f>
        <v/>
      </c>
      <c r="J199" s="76">
        <f>N(INDEX(Krankheitstage!$G199:$DV199,1,(Einstellungen!$C$3-2026)*24+7))</f>
        <v/>
      </c>
      <c r="K199" s="76">
        <f>N(INDEX(Krankheitstage!$G199:$DV199,1,(Einstellungen!$C$3-2026)*24+8))</f>
        <v/>
      </c>
      <c r="L199" s="76">
        <f>N(INDEX(Krankheitstage!$G199:$DV199,1,(Einstellungen!$C$3-2026)*24+9))</f>
        <v/>
      </c>
      <c r="M199" s="76">
        <f>N(INDEX(Krankheitstage!$G199:$DV199,1,(Einstellungen!$C$3-2026)*24+10))</f>
        <v/>
      </c>
      <c r="N199" s="76">
        <f>N(INDEX(Krankheitstage!$G199:$DV199,1,(Einstellungen!$C$3-2026)*24+11))</f>
        <v/>
      </c>
      <c r="O199" s="76">
        <f>N(INDEX(Krankheitstage!$G199:$DV199,1,(Einstellungen!$C$3-2026)*24+12))</f>
        <v/>
      </c>
      <c r="P199" s="76">
        <f>IF($B199="","",SUM(D199:O199))</f>
        <v/>
      </c>
      <c r="Q199" s="76">
        <f>N(INDEX(Krankheitstage!$G199:$DV199,1,(Einstellungen!$C$3-2026)*24+13))</f>
        <v/>
      </c>
      <c r="R199" s="76">
        <f>N(INDEX(Krankheitstage!$G199:$DV199,1,(Einstellungen!$C$3-2026)*24+14))</f>
        <v/>
      </c>
      <c r="S199" s="76">
        <f>N(INDEX(Krankheitstage!$G199:$DV199,1,(Einstellungen!$C$3-2026)*24+15))</f>
        <v/>
      </c>
      <c r="T199" s="76">
        <f>N(INDEX(Krankheitstage!$G199:$DV199,1,(Einstellungen!$C$3-2026)*24+16))</f>
        <v/>
      </c>
      <c r="U199" s="76">
        <f>N(INDEX(Krankheitstage!$G199:$DV199,1,(Einstellungen!$C$3-2026)*24+17))</f>
        <v/>
      </c>
      <c r="V199" s="76">
        <f>N(INDEX(Krankheitstage!$G199:$DV199,1,(Einstellungen!$C$3-2026)*24+18))</f>
        <v/>
      </c>
      <c r="W199" s="76">
        <f>N(INDEX(Krankheitstage!$G199:$DV199,1,(Einstellungen!$C$3-2026)*24+19))</f>
        <v/>
      </c>
      <c r="X199" s="76">
        <f>N(INDEX(Krankheitstage!$G199:$DV199,1,(Einstellungen!$C$3-2026)*24+20))</f>
        <v/>
      </c>
      <c r="Y199" s="76">
        <f>N(INDEX(Krankheitstage!$G199:$DV199,1,(Einstellungen!$C$3-2026)*24+21))</f>
        <v/>
      </c>
      <c r="Z199" s="76">
        <f>N(INDEX(Krankheitstage!$G199:$DV199,1,(Einstellungen!$C$3-2026)*24+22))</f>
        <v/>
      </c>
      <c r="AA199" s="76">
        <f>N(INDEX(Krankheitstage!$G199:$DV199,1,(Einstellungen!$C$3-2026)*24+23))</f>
        <v/>
      </c>
      <c r="AB199" s="76">
        <f>N(INDEX(Krankheitstage!$G199:$DV199,1,(Einstellungen!$C$3-2026)*24+24))</f>
        <v/>
      </c>
      <c r="AC199" s="76">
        <f>IF($B199="","",SUM(Q199:AB199))</f>
        <v/>
      </c>
      <c r="AD199" s="76">
        <f>IF($B199="","",SUM(P199,AC199))</f>
        <v/>
      </c>
      <c r="AE199" s="77">
        <f>IF($B199="","",AD199*N(C199))</f>
        <v/>
      </c>
      <c r="AF199" s="76">
        <f>IF($B199="","",Krankheitstage!E199)</f>
        <v/>
      </c>
      <c r="AG199" s="77">
        <f>IF($B199="","",AF199*N(C199))</f>
        <v/>
      </c>
    </row>
    <row r="200">
      <c r="A200" s="74">
        <f>IF(Mitarbeiter!B200="","",Mitarbeiter!A200)</f>
        <v/>
      </c>
      <c r="B200" s="6">
        <f>IF(Mitarbeiter!B200="","",Mitarbeiter!B200)</f>
        <v/>
      </c>
      <c r="C200" s="75">
        <f>IF(Mitarbeiter!B200="","",Mitarbeiter!F200)</f>
        <v/>
      </c>
      <c r="D200" s="76">
        <f>N(INDEX(Krankheitstage!$G200:$DV200,1,(Einstellungen!$C$3-2026)*24+1))</f>
        <v/>
      </c>
      <c r="E200" s="76">
        <f>N(INDEX(Krankheitstage!$G200:$DV200,1,(Einstellungen!$C$3-2026)*24+2))</f>
        <v/>
      </c>
      <c r="F200" s="76">
        <f>N(INDEX(Krankheitstage!$G200:$DV200,1,(Einstellungen!$C$3-2026)*24+3))</f>
        <v/>
      </c>
      <c r="G200" s="76">
        <f>N(INDEX(Krankheitstage!$G200:$DV200,1,(Einstellungen!$C$3-2026)*24+4))</f>
        <v/>
      </c>
      <c r="H200" s="76">
        <f>N(INDEX(Krankheitstage!$G200:$DV200,1,(Einstellungen!$C$3-2026)*24+5))</f>
        <v/>
      </c>
      <c r="I200" s="76">
        <f>N(INDEX(Krankheitstage!$G200:$DV200,1,(Einstellungen!$C$3-2026)*24+6))</f>
        <v/>
      </c>
      <c r="J200" s="76">
        <f>N(INDEX(Krankheitstage!$G200:$DV200,1,(Einstellungen!$C$3-2026)*24+7))</f>
        <v/>
      </c>
      <c r="K200" s="76">
        <f>N(INDEX(Krankheitstage!$G200:$DV200,1,(Einstellungen!$C$3-2026)*24+8))</f>
        <v/>
      </c>
      <c r="L200" s="76">
        <f>N(INDEX(Krankheitstage!$G200:$DV200,1,(Einstellungen!$C$3-2026)*24+9))</f>
        <v/>
      </c>
      <c r="M200" s="76">
        <f>N(INDEX(Krankheitstage!$G200:$DV200,1,(Einstellungen!$C$3-2026)*24+10))</f>
        <v/>
      </c>
      <c r="N200" s="76">
        <f>N(INDEX(Krankheitstage!$G200:$DV200,1,(Einstellungen!$C$3-2026)*24+11))</f>
        <v/>
      </c>
      <c r="O200" s="76">
        <f>N(INDEX(Krankheitstage!$G200:$DV200,1,(Einstellungen!$C$3-2026)*24+12))</f>
        <v/>
      </c>
      <c r="P200" s="76">
        <f>IF($B200="","",SUM(D200:O200))</f>
        <v/>
      </c>
      <c r="Q200" s="76">
        <f>N(INDEX(Krankheitstage!$G200:$DV200,1,(Einstellungen!$C$3-2026)*24+13))</f>
        <v/>
      </c>
      <c r="R200" s="76">
        <f>N(INDEX(Krankheitstage!$G200:$DV200,1,(Einstellungen!$C$3-2026)*24+14))</f>
        <v/>
      </c>
      <c r="S200" s="76">
        <f>N(INDEX(Krankheitstage!$G200:$DV200,1,(Einstellungen!$C$3-2026)*24+15))</f>
        <v/>
      </c>
      <c r="T200" s="76">
        <f>N(INDEX(Krankheitstage!$G200:$DV200,1,(Einstellungen!$C$3-2026)*24+16))</f>
        <v/>
      </c>
      <c r="U200" s="76">
        <f>N(INDEX(Krankheitstage!$G200:$DV200,1,(Einstellungen!$C$3-2026)*24+17))</f>
        <v/>
      </c>
      <c r="V200" s="76">
        <f>N(INDEX(Krankheitstage!$G200:$DV200,1,(Einstellungen!$C$3-2026)*24+18))</f>
        <v/>
      </c>
      <c r="W200" s="76">
        <f>N(INDEX(Krankheitstage!$G200:$DV200,1,(Einstellungen!$C$3-2026)*24+19))</f>
        <v/>
      </c>
      <c r="X200" s="76">
        <f>N(INDEX(Krankheitstage!$G200:$DV200,1,(Einstellungen!$C$3-2026)*24+20))</f>
        <v/>
      </c>
      <c r="Y200" s="76">
        <f>N(INDEX(Krankheitstage!$G200:$DV200,1,(Einstellungen!$C$3-2026)*24+21))</f>
        <v/>
      </c>
      <c r="Z200" s="76">
        <f>N(INDEX(Krankheitstage!$G200:$DV200,1,(Einstellungen!$C$3-2026)*24+22))</f>
        <v/>
      </c>
      <c r="AA200" s="76">
        <f>N(INDEX(Krankheitstage!$G200:$DV200,1,(Einstellungen!$C$3-2026)*24+23))</f>
        <v/>
      </c>
      <c r="AB200" s="76">
        <f>N(INDEX(Krankheitstage!$G200:$DV200,1,(Einstellungen!$C$3-2026)*24+24))</f>
        <v/>
      </c>
      <c r="AC200" s="76">
        <f>IF($B200="","",SUM(Q200:AB200))</f>
        <v/>
      </c>
      <c r="AD200" s="76">
        <f>IF($B200="","",SUM(P200,AC200))</f>
        <v/>
      </c>
      <c r="AE200" s="77">
        <f>IF($B200="","",AD200*N(C200))</f>
        <v/>
      </c>
      <c r="AF200" s="76">
        <f>IF($B200="","",Krankheitstage!E200)</f>
        <v/>
      </c>
      <c r="AG200" s="77">
        <f>IF($B200="","",AF200*N(C200))</f>
        <v/>
      </c>
    </row>
    <row r="201">
      <c r="A201" s="74">
        <f>IF(Mitarbeiter!B201="","",Mitarbeiter!A201)</f>
        <v/>
      </c>
      <c r="B201" s="6">
        <f>IF(Mitarbeiter!B201="","",Mitarbeiter!B201)</f>
        <v/>
      </c>
      <c r="C201" s="75">
        <f>IF(Mitarbeiter!B201="","",Mitarbeiter!F201)</f>
        <v/>
      </c>
      <c r="D201" s="76">
        <f>N(INDEX(Krankheitstage!$G201:$DV201,1,(Einstellungen!$C$3-2026)*24+1))</f>
        <v/>
      </c>
      <c r="E201" s="76">
        <f>N(INDEX(Krankheitstage!$G201:$DV201,1,(Einstellungen!$C$3-2026)*24+2))</f>
        <v/>
      </c>
      <c r="F201" s="76">
        <f>N(INDEX(Krankheitstage!$G201:$DV201,1,(Einstellungen!$C$3-2026)*24+3))</f>
        <v/>
      </c>
      <c r="G201" s="76">
        <f>N(INDEX(Krankheitstage!$G201:$DV201,1,(Einstellungen!$C$3-2026)*24+4))</f>
        <v/>
      </c>
      <c r="H201" s="76">
        <f>N(INDEX(Krankheitstage!$G201:$DV201,1,(Einstellungen!$C$3-2026)*24+5))</f>
        <v/>
      </c>
      <c r="I201" s="76">
        <f>N(INDEX(Krankheitstage!$G201:$DV201,1,(Einstellungen!$C$3-2026)*24+6))</f>
        <v/>
      </c>
      <c r="J201" s="76">
        <f>N(INDEX(Krankheitstage!$G201:$DV201,1,(Einstellungen!$C$3-2026)*24+7))</f>
        <v/>
      </c>
      <c r="K201" s="76">
        <f>N(INDEX(Krankheitstage!$G201:$DV201,1,(Einstellungen!$C$3-2026)*24+8))</f>
        <v/>
      </c>
      <c r="L201" s="76">
        <f>N(INDEX(Krankheitstage!$G201:$DV201,1,(Einstellungen!$C$3-2026)*24+9))</f>
        <v/>
      </c>
      <c r="M201" s="76">
        <f>N(INDEX(Krankheitstage!$G201:$DV201,1,(Einstellungen!$C$3-2026)*24+10))</f>
        <v/>
      </c>
      <c r="N201" s="76">
        <f>N(INDEX(Krankheitstage!$G201:$DV201,1,(Einstellungen!$C$3-2026)*24+11))</f>
        <v/>
      </c>
      <c r="O201" s="76">
        <f>N(INDEX(Krankheitstage!$G201:$DV201,1,(Einstellungen!$C$3-2026)*24+12))</f>
        <v/>
      </c>
      <c r="P201" s="76">
        <f>IF($B201="","",SUM(D201:O201))</f>
        <v/>
      </c>
      <c r="Q201" s="76">
        <f>N(INDEX(Krankheitstage!$G201:$DV201,1,(Einstellungen!$C$3-2026)*24+13))</f>
        <v/>
      </c>
      <c r="R201" s="76">
        <f>N(INDEX(Krankheitstage!$G201:$DV201,1,(Einstellungen!$C$3-2026)*24+14))</f>
        <v/>
      </c>
      <c r="S201" s="76">
        <f>N(INDEX(Krankheitstage!$G201:$DV201,1,(Einstellungen!$C$3-2026)*24+15))</f>
        <v/>
      </c>
      <c r="T201" s="76">
        <f>N(INDEX(Krankheitstage!$G201:$DV201,1,(Einstellungen!$C$3-2026)*24+16))</f>
        <v/>
      </c>
      <c r="U201" s="76">
        <f>N(INDEX(Krankheitstage!$G201:$DV201,1,(Einstellungen!$C$3-2026)*24+17))</f>
        <v/>
      </c>
      <c r="V201" s="76">
        <f>N(INDEX(Krankheitstage!$G201:$DV201,1,(Einstellungen!$C$3-2026)*24+18))</f>
        <v/>
      </c>
      <c r="W201" s="76">
        <f>N(INDEX(Krankheitstage!$G201:$DV201,1,(Einstellungen!$C$3-2026)*24+19))</f>
        <v/>
      </c>
      <c r="X201" s="76">
        <f>N(INDEX(Krankheitstage!$G201:$DV201,1,(Einstellungen!$C$3-2026)*24+20))</f>
        <v/>
      </c>
      <c r="Y201" s="76">
        <f>N(INDEX(Krankheitstage!$G201:$DV201,1,(Einstellungen!$C$3-2026)*24+21))</f>
        <v/>
      </c>
      <c r="Z201" s="76">
        <f>N(INDEX(Krankheitstage!$G201:$DV201,1,(Einstellungen!$C$3-2026)*24+22))</f>
        <v/>
      </c>
      <c r="AA201" s="76">
        <f>N(INDEX(Krankheitstage!$G201:$DV201,1,(Einstellungen!$C$3-2026)*24+23))</f>
        <v/>
      </c>
      <c r="AB201" s="76">
        <f>N(INDEX(Krankheitstage!$G201:$DV201,1,(Einstellungen!$C$3-2026)*24+24))</f>
        <v/>
      </c>
      <c r="AC201" s="76">
        <f>IF($B201="","",SUM(Q201:AB201))</f>
        <v/>
      </c>
      <c r="AD201" s="76">
        <f>IF($B201="","",SUM(P201,AC201))</f>
        <v/>
      </c>
      <c r="AE201" s="77">
        <f>IF($B201="","",AD201*N(C201))</f>
        <v/>
      </c>
      <c r="AF201" s="76">
        <f>IF($B201="","",Krankheitstage!E201)</f>
        <v/>
      </c>
      <c r="AG201" s="77">
        <f>IF($B201="","",AF201*N(C201))</f>
        <v/>
      </c>
    </row>
    <row r="202">
      <c r="A202" s="74">
        <f>IF(Mitarbeiter!B202="","",Mitarbeiter!A202)</f>
        <v/>
      </c>
      <c r="B202" s="6">
        <f>IF(Mitarbeiter!B202="","",Mitarbeiter!B202)</f>
        <v/>
      </c>
      <c r="C202" s="75">
        <f>IF(Mitarbeiter!B202="","",Mitarbeiter!F202)</f>
        <v/>
      </c>
      <c r="D202" s="76">
        <f>N(INDEX(Krankheitstage!$G202:$DV202,1,(Einstellungen!$C$3-2026)*24+1))</f>
        <v/>
      </c>
      <c r="E202" s="76">
        <f>N(INDEX(Krankheitstage!$G202:$DV202,1,(Einstellungen!$C$3-2026)*24+2))</f>
        <v/>
      </c>
      <c r="F202" s="76">
        <f>N(INDEX(Krankheitstage!$G202:$DV202,1,(Einstellungen!$C$3-2026)*24+3))</f>
        <v/>
      </c>
      <c r="G202" s="76">
        <f>N(INDEX(Krankheitstage!$G202:$DV202,1,(Einstellungen!$C$3-2026)*24+4))</f>
        <v/>
      </c>
      <c r="H202" s="76">
        <f>N(INDEX(Krankheitstage!$G202:$DV202,1,(Einstellungen!$C$3-2026)*24+5))</f>
        <v/>
      </c>
      <c r="I202" s="76">
        <f>N(INDEX(Krankheitstage!$G202:$DV202,1,(Einstellungen!$C$3-2026)*24+6))</f>
        <v/>
      </c>
      <c r="J202" s="76">
        <f>N(INDEX(Krankheitstage!$G202:$DV202,1,(Einstellungen!$C$3-2026)*24+7))</f>
        <v/>
      </c>
      <c r="K202" s="76">
        <f>N(INDEX(Krankheitstage!$G202:$DV202,1,(Einstellungen!$C$3-2026)*24+8))</f>
        <v/>
      </c>
      <c r="L202" s="76">
        <f>N(INDEX(Krankheitstage!$G202:$DV202,1,(Einstellungen!$C$3-2026)*24+9))</f>
        <v/>
      </c>
      <c r="M202" s="76">
        <f>N(INDEX(Krankheitstage!$G202:$DV202,1,(Einstellungen!$C$3-2026)*24+10))</f>
        <v/>
      </c>
      <c r="N202" s="76">
        <f>N(INDEX(Krankheitstage!$G202:$DV202,1,(Einstellungen!$C$3-2026)*24+11))</f>
        <v/>
      </c>
      <c r="O202" s="76">
        <f>N(INDEX(Krankheitstage!$G202:$DV202,1,(Einstellungen!$C$3-2026)*24+12))</f>
        <v/>
      </c>
      <c r="P202" s="76">
        <f>IF($B202="","",SUM(D202:O202))</f>
        <v/>
      </c>
      <c r="Q202" s="76">
        <f>N(INDEX(Krankheitstage!$G202:$DV202,1,(Einstellungen!$C$3-2026)*24+13))</f>
        <v/>
      </c>
      <c r="R202" s="76">
        <f>N(INDEX(Krankheitstage!$G202:$DV202,1,(Einstellungen!$C$3-2026)*24+14))</f>
        <v/>
      </c>
      <c r="S202" s="76">
        <f>N(INDEX(Krankheitstage!$G202:$DV202,1,(Einstellungen!$C$3-2026)*24+15))</f>
        <v/>
      </c>
      <c r="T202" s="76">
        <f>N(INDEX(Krankheitstage!$G202:$DV202,1,(Einstellungen!$C$3-2026)*24+16))</f>
        <v/>
      </c>
      <c r="U202" s="76">
        <f>N(INDEX(Krankheitstage!$G202:$DV202,1,(Einstellungen!$C$3-2026)*24+17))</f>
        <v/>
      </c>
      <c r="V202" s="76">
        <f>N(INDEX(Krankheitstage!$G202:$DV202,1,(Einstellungen!$C$3-2026)*24+18))</f>
        <v/>
      </c>
      <c r="W202" s="76">
        <f>N(INDEX(Krankheitstage!$G202:$DV202,1,(Einstellungen!$C$3-2026)*24+19))</f>
        <v/>
      </c>
      <c r="X202" s="76">
        <f>N(INDEX(Krankheitstage!$G202:$DV202,1,(Einstellungen!$C$3-2026)*24+20))</f>
        <v/>
      </c>
      <c r="Y202" s="76">
        <f>N(INDEX(Krankheitstage!$G202:$DV202,1,(Einstellungen!$C$3-2026)*24+21))</f>
        <v/>
      </c>
      <c r="Z202" s="76">
        <f>N(INDEX(Krankheitstage!$G202:$DV202,1,(Einstellungen!$C$3-2026)*24+22))</f>
        <v/>
      </c>
      <c r="AA202" s="76">
        <f>N(INDEX(Krankheitstage!$G202:$DV202,1,(Einstellungen!$C$3-2026)*24+23))</f>
        <v/>
      </c>
      <c r="AB202" s="76">
        <f>N(INDEX(Krankheitstage!$G202:$DV202,1,(Einstellungen!$C$3-2026)*24+24))</f>
        <v/>
      </c>
      <c r="AC202" s="76">
        <f>IF($B202="","",SUM(Q202:AB202))</f>
        <v/>
      </c>
      <c r="AD202" s="76">
        <f>IF($B202="","",SUM(P202,AC202))</f>
        <v/>
      </c>
      <c r="AE202" s="77">
        <f>IF($B202="","",AD202*N(C202))</f>
        <v/>
      </c>
      <c r="AF202" s="76">
        <f>IF($B202="","",Krankheitstage!E202)</f>
        <v/>
      </c>
      <c r="AG202" s="77">
        <f>IF($B202="","",AF202*N(C202))</f>
        <v/>
      </c>
    </row>
    <row r="203">
      <c r="A203" s="74">
        <f>IF(Mitarbeiter!B203="","",Mitarbeiter!A203)</f>
        <v/>
      </c>
      <c r="B203" s="6">
        <f>IF(Mitarbeiter!B203="","",Mitarbeiter!B203)</f>
        <v/>
      </c>
      <c r="C203" s="75">
        <f>IF(Mitarbeiter!B203="","",Mitarbeiter!F203)</f>
        <v/>
      </c>
      <c r="D203" s="76">
        <f>N(INDEX(Krankheitstage!$G203:$DV203,1,(Einstellungen!$C$3-2026)*24+1))</f>
        <v/>
      </c>
      <c r="E203" s="76">
        <f>N(INDEX(Krankheitstage!$G203:$DV203,1,(Einstellungen!$C$3-2026)*24+2))</f>
        <v/>
      </c>
      <c r="F203" s="76">
        <f>N(INDEX(Krankheitstage!$G203:$DV203,1,(Einstellungen!$C$3-2026)*24+3))</f>
        <v/>
      </c>
      <c r="G203" s="76">
        <f>N(INDEX(Krankheitstage!$G203:$DV203,1,(Einstellungen!$C$3-2026)*24+4))</f>
        <v/>
      </c>
      <c r="H203" s="76">
        <f>N(INDEX(Krankheitstage!$G203:$DV203,1,(Einstellungen!$C$3-2026)*24+5))</f>
        <v/>
      </c>
      <c r="I203" s="76">
        <f>N(INDEX(Krankheitstage!$G203:$DV203,1,(Einstellungen!$C$3-2026)*24+6))</f>
        <v/>
      </c>
      <c r="J203" s="76">
        <f>N(INDEX(Krankheitstage!$G203:$DV203,1,(Einstellungen!$C$3-2026)*24+7))</f>
        <v/>
      </c>
      <c r="K203" s="76">
        <f>N(INDEX(Krankheitstage!$G203:$DV203,1,(Einstellungen!$C$3-2026)*24+8))</f>
        <v/>
      </c>
      <c r="L203" s="76">
        <f>N(INDEX(Krankheitstage!$G203:$DV203,1,(Einstellungen!$C$3-2026)*24+9))</f>
        <v/>
      </c>
      <c r="M203" s="76">
        <f>N(INDEX(Krankheitstage!$G203:$DV203,1,(Einstellungen!$C$3-2026)*24+10))</f>
        <v/>
      </c>
      <c r="N203" s="76">
        <f>N(INDEX(Krankheitstage!$G203:$DV203,1,(Einstellungen!$C$3-2026)*24+11))</f>
        <v/>
      </c>
      <c r="O203" s="76">
        <f>N(INDEX(Krankheitstage!$G203:$DV203,1,(Einstellungen!$C$3-2026)*24+12))</f>
        <v/>
      </c>
      <c r="P203" s="76">
        <f>IF($B203="","",SUM(D203:O203))</f>
        <v/>
      </c>
      <c r="Q203" s="76">
        <f>N(INDEX(Krankheitstage!$G203:$DV203,1,(Einstellungen!$C$3-2026)*24+13))</f>
        <v/>
      </c>
      <c r="R203" s="76">
        <f>N(INDEX(Krankheitstage!$G203:$DV203,1,(Einstellungen!$C$3-2026)*24+14))</f>
        <v/>
      </c>
      <c r="S203" s="76">
        <f>N(INDEX(Krankheitstage!$G203:$DV203,1,(Einstellungen!$C$3-2026)*24+15))</f>
        <v/>
      </c>
      <c r="T203" s="76">
        <f>N(INDEX(Krankheitstage!$G203:$DV203,1,(Einstellungen!$C$3-2026)*24+16))</f>
        <v/>
      </c>
      <c r="U203" s="76">
        <f>N(INDEX(Krankheitstage!$G203:$DV203,1,(Einstellungen!$C$3-2026)*24+17))</f>
        <v/>
      </c>
      <c r="V203" s="76">
        <f>N(INDEX(Krankheitstage!$G203:$DV203,1,(Einstellungen!$C$3-2026)*24+18))</f>
        <v/>
      </c>
      <c r="W203" s="76">
        <f>N(INDEX(Krankheitstage!$G203:$DV203,1,(Einstellungen!$C$3-2026)*24+19))</f>
        <v/>
      </c>
      <c r="X203" s="76">
        <f>N(INDEX(Krankheitstage!$G203:$DV203,1,(Einstellungen!$C$3-2026)*24+20))</f>
        <v/>
      </c>
      <c r="Y203" s="76">
        <f>N(INDEX(Krankheitstage!$G203:$DV203,1,(Einstellungen!$C$3-2026)*24+21))</f>
        <v/>
      </c>
      <c r="Z203" s="76">
        <f>N(INDEX(Krankheitstage!$G203:$DV203,1,(Einstellungen!$C$3-2026)*24+22))</f>
        <v/>
      </c>
      <c r="AA203" s="76">
        <f>N(INDEX(Krankheitstage!$G203:$DV203,1,(Einstellungen!$C$3-2026)*24+23))</f>
        <v/>
      </c>
      <c r="AB203" s="76">
        <f>N(INDEX(Krankheitstage!$G203:$DV203,1,(Einstellungen!$C$3-2026)*24+24))</f>
        <v/>
      </c>
      <c r="AC203" s="76">
        <f>IF($B203="","",SUM(Q203:AB203))</f>
        <v/>
      </c>
      <c r="AD203" s="76">
        <f>IF($B203="","",SUM(P203,AC203))</f>
        <v/>
      </c>
      <c r="AE203" s="77">
        <f>IF($B203="","",AD203*N(C203))</f>
        <v/>
      </c>
      <c r="AF203" s="76">
        <f>IF($B203="","",Krankheitstage!E203)</f>
        <v/>
      </c>
      <c r="AG203" s="77">
        <f>IF($B203="","",AF203*N(C203))</f>
        <v/>
      </c>
    </row>
    <row r="204">
      <c r="A204" s="74">
        <f>IF(Mitarbeiter!B204="","",Mitarbeiter!A204)</f>
        <v/>
      </c>
      <c r="B204" s="6">
        <f>IF(Mitarbeiter!B204="","",Mitarbeiter!B204)</f>
        <v/>
      </c>
      <c r="C204" s="75">
        <f>IF(Mitarbeiter!B204="","",Mitarbeiter!F204)</f>
        <v/>
      </c>
      <c r="D204" s="76">
        <f>N(INDEX(Krankheitstage!$G204:$DV204,1,(Einstellungen!$C$3-2026)*24+1))</f>
        <v/>
      </c>
      <c r="E204" s="76">
        <f>N(INDEX(Krankheitstage!$G204:$DV204,1,(Einstellungen!$C$3-2026)*24+2))</f>
        <v/>
      </c>
      <c r="F204" s="76">
        <f>N(INDEX(Krankheitstage!$G204:$DV204,1,(Einstellungen!$C$3-2026)*24+3))</f>
        <v/>
      </c>
      <c r="G204" s="76">
        <f>N(INDEX(Krankheitstage!$G204:$DV204,1,(Einstellungen!$C$3-2026)*24+4))</f>
        <v/>
      </c>
      <c r="H204" s="76">
        <f>N(INDEX(Krankheitstage!$G204:$DV204,1,(Einstellungen!$C$3-2026)*24+5))</f>
        <v/>
      </c>
      <c r="I204" s="76">
        <f>N(INDEX(Krankheitstage!$G204:$DV204,1,(Einstellungen!$C$3-2026)*24+6))</f>
        <v/>
      </c>
      <c r="J204" s="76">
        <f>N(INDEX(Krankheitstage!$G204:$DV204,1,(Einstellungen!$C$3-2026)*24+7))</f>
        <v/>
      </c>
      <c r="K204" s="76">
        <f>N(INDEX(Krankheitstage!$G204:$DV204,1,(Einstellungen!$C$3-2026)*24+8))</f>
        <v/>
      </c>
      <c r="L204" s="76">
        <f>N(INDEX(Krankheitstage!$G204:$DV204,1,(Einstellungen!$C$3-2026)*24+9))</f>
        <v/>
      </c>
      <c r="M204" s="76">
        <f>N(INDEX(Krankheitstage!$G204:$DV204,1,(Einstellungen!$C$3-2026)*24+10))</f>
        <v/>
      </c>
      <c r="N204" s="76">
        <f>N(INDEX(Krankheitstage!$G204:$DV204,1,(Einstellungen!$C$3-2026)*24+11))</f>
        <v/>
      </c>
      <c r="O204" s="76">
        <f>N(INDEX(Krankheitstage!$G204:$DV204,1,(Einstellungen!$C$3-2026)*24+12))</f>
        <v/>
      </c>
      <c r="P204" s="76">
        <f>IF($B204="","",SUM(D204:O204))</f>
        <v/>
      </c>
      <c r="Q204" s="76">
        <f>N(INDEX(Krankheitstage!$G204:$DV204,1,(Einstellungen!$C$3-2026)*24+13))</f>
        <v/>
      </c>
      <c r="R204" s="76">
        <f>N(INDEX(Krankheitstage!$G204:$DV204,1,(Einstellungen!$C$3-2026)*24+14))</f>
        <v/>
      </c>
      <c r="S204" s="76">
        <f>N(INDEX(Krankheitstage!$G204:$DV204,1,(Einstellungen!$C$3-2026)*24+15))</f>
        <v/>
      </c>
      <c r="T204" s="76">
        <f>N(INDEX(Krankheitstage!$G204:$DV204,1,(Einstellungen!$C$3-2026)*24+16))</f>
        <v/>
      </c>
      <c r="U204" s="76">
        <f>N(INDEX(Krankheitstage!$G204:$DV204,1,(Einstellungen!$C$3-2026)*24+17))</f>
        <v/>
      </c>
      <c r="V204" s="76">
        <f>N(INDEX(Krankheitstage!$G204:$DV204,1,(Einstellungen!$C$3-2026)*24+18))</f>
        <v/>
      </c>
      <c r="W204" s="76">
        <f>N(INDEX(Krankheitstage!$G204:$DV204,1,(Einstellungen!$C$3-2026)*24+19))</f>
        <v/>
      </c>
      <c r="X204" s="76">
        <f>N(INDEX(Krankheitstage!$G204:$DV204,1,(Einstellungen!$C$3-2026)*24+20))</f>
        <v/>
      </c>
      <c r="Y204" s="76">
        <f>N(INDEX(Krankheitstage!$G204:$DV204,1,(Einstellungen!$C$3-2026)*24+21))</f>
        <v/>
      </c>
      <c r="Z204" s="76">
        <f>N(INDEX(Krankheitstage!$G204:$DV204,1,(Einstellungen!$C$3-2026)*24+22))</f>
        <v/>
      </c>
      <c r="AA204" s="76">
        <f>N(INDEX(Krankheitstage!$G204:$DV204,1,(Einstellungen!$C$3-2026)*24+23))</f>
        <v/>
      </c>
      <c r="AB204" s="76">
        <f>N(INDEX(Krankheitstage!$G204:$DV204,1,(Einstellungen!$C$3-2026)*24+24))</f>
        <v/>
      </c>
      <c r="AC204" s="76">
        <f>IF($B204="","",SUM(Q204:AB204))</f>
        <v/>
      </c>
      <c r="AD204" s="76">
        <f>IF($B204="","",SUM(P204,AC204))</f>
        <v/>
      </c>
      <c r="AE204" s="77">
        <f>IF($B204="","",AD204*N(C204))</f>
        <v/>
      </c>
      <c r="AF204" s="76">
        <f>IF($B204="","",Krankheitstage!E204)</f>
        <v/>
      </c>
      <c r="AG204" s="77">
        <f>IF($B204="","",AF204*N(C204))</f>
        <v/>
      </c>
    </row>
    <row r="205">
      <c r="A205" s="74">
        <f>IF(Mitarbeiter!B205="","",Mitarbeiter!A205)</f>
        <v/>
      </c>
      <c r="B205" s="6">
        <f>IF(Mitarbeiter!B205="","",Mitarbeiter!B205)</f>
        <v/>
      </c>
      <c r="C205" s="75">
        <f>IF(Mitarbeiter!B205="","",Mitarbeiter!F205)</f>
        <v/>
      </c>
      <c r="D205" s="76">
        <f>N(INDEX(Krankheitstage!$G205:$DV205,1,(Einstellungen!$C$3-2026)*24+1))</f>
        <v/>
      </c>
      <c r="E205" s="76">
        <f>N(INDEX(Krankheitstage!$G205:$DV205,1,(Einstellungen!$C$3-2026)*24+2))</f>
        <v/>
      </c>
      <c r="F205" s="76">
        <f>N(INDEX(Krankheitstage!$G205:$DV205,1,(Einstellungen!$C$3-2026)*24+3))</f>
        <v/>
      </c>
      <c r="G205" s="76">
        <f>N(INDEX(Krankheitstage!$G205:$DV205,1,(Einstellungen!$C$3-2026)*24+4))</f>
        <v/>
      </c>
      <c r="H205" s="76">
        <f>N(INDEX(Krankheitstage!$G205:$DV205,1,(Einstellungen!$C$3-2026)*24+5))</f>
        <v/>
      </c>
      <c r="I205" s="76">
        <f>N(INDEX(Krankheitstage!$G205:$DV205,1,(Einstellungen!$C$3-2026)*24+6))</f>
        <v/>
      </c>
      <c r="J205" s="76">
        <f>N(INDEX(Krankheitstage!$G205:$DV205,1,(Einstellungen!$C$3-2026)*24+7))</f>
        <v/>
      </c>
      <c r="K205" s="76">
        <f>N(INDEX(Krankheitstage!$G205:$DV205,1,(Einstellungen!$C$3-2026)*24+8))</f>
        <v/>
      </c>
      <c r="L205" s="76">
        <f>N(INDEX(Krankheitstage!$G205:$DV205,1,(Einstellungen!$C$3-2026)*24+9))</f>
        <v/>
      </c>
      <c r="M205" s="76">
        <f>N(INDEX(Krankheitstage!$G205:$DV205,1,(Einstellungen!$C$3-2026)*24+10))</f>
        <v/>
      </c>
      <c r="N205" s="76">
        <f>N(INDEX(Krankheitstage!$G205:$DV205,1,(Einstellungen!$C$3-2026)*24+11))</f>
        <v/>
      </c>
      <c r="O205" s="76">
        <f>N(INDEX(Krankheitstage!$G205:$DV205,1,(Einstellungen!$C$3-2026)*24+12))</f>
        <v/>
      </c>
      <c r="P205" s="76">
        <f>IF($B205="","",SUM(D205:O205))</f>
        <v/>
      </c>
      <c r="Q205" s="76">
        <f>N(INDEX(Krankheitstage!$G205:$DV205,1,(Einstellungen!$C$3-2026)*24+13))</f>
        <v/>
      </c>
      <c r="R205" s="76">
        <f>N(INDEX(Krankheitstage!$G205:$DV205,1,(Einstellungen!$C$3-2026)*24+14))</f>
        <v/>
      </c>
      <c r="S205" s="76">
        <f>N(INDEX(Krankheitstage!$G205:$DV205,1,(Einstellungen!$C$3-2026)*24+15))</f>
        <v/>
      </c>
      <c r="T205" s="76">
        <f>N(INDEX(Krankheitstage!$G205:$DV205,1,(Einstellungen!$C$3-2026)*24+16))</f>
        <v/>
      </c>
      <c r="U205" s="76">
        <f>N(INDEX(Krankheitstage!$G205:$DV205,1,(Einstellungen!$C$3-2026)*24+17))</f>
        <v/>
      </c>
      <c r="V205" s="76">
        <f>N(INDEX(Krankheitstage!$G205:$DV205,1,(Einstellungen!$C$3-2026)*24+18))</f>
        <v/>
      </c>
      <c r="W205" s="76">
        <f>N(INDEX(Krankheitstage!$G205:$DV205,1,(Einstellungen!$C$3-2026)*24+19))</f>
        <v/>
      </c>
      <c r="X205" s="76">
        <f>N(INDEX(Krankheitstage!$G205:$DV205,1,(Einstellungen!$C$3-2026)*24+20))</f>
        <v/>
      </c>
      <c r="Y205" s="76">
        <f>N(INDEX(Krankheitstage!$G205:$DV205,1,(Einstellungen!$C$3-2026)*24+21))</f>
        <v/>
      </c>
      <c r="Z205" s="76">
        <f>N(INDEX(Krankheitstage!$G205:$DV205,1,(Einstellungen!$C$3-2026)*24+22))</f>
        <v/>
      </c>
      <c r="AA205" s="76">
        <f>N(INDEX(Krankheitstage!$G205:$DV205,1,(Einstellungen!$C$3-2026)*24+23))</f>
        <v/>
      </c>
      <c r="AB205" s="76">
        <f>N(INDEX(Krankheitstage!$G205:$DV205,1,(Einstellungen!$C$3-2026)*24+24))</f>
        <v/>
      </c>
      <c r="AC205" s="76">
        <f>IF($B205="","",SUM(Q205:AB205))</f>
        <v/>
      </c>
      <c r="AD205" s="76">
        <f>IF($B205="","",SUM(P205,AC205))</f>
        <v/>
      </c>
      <c r="AE205" s="77">
        <f>IF($B205="","",AD205*N(C205))</f>
        <v/>
      </c>
      <c r="AF205" s="76">
        <f>IF($B205="","",Krankheitstage!E205)</f>
        <v/>
      </c>
      <c r="AG205" s="77">
        <f>IF($B205="","",AF205*N(C205))</f>
        <v/>
      </c>
    </row>
    <row r="206">
      <c r="A206" s="74">
        <f>IF(Mitarbeiter!B206="","",Mitarbeiter!A206)</f>
        <v/>
      </c>
      <c r="B206" s="6">
        <f>IF(Mitarbeiter!B206="","",Mitarbeiter!B206)</f>
        <v/>
      </c>
      <c r="C206" s="75">
        <f>IF(Mitarbeiter!B206="","",Mitarbeiter!F206)</f>
        <v/>
      </c>
      <c r="D206" s="76">
        <f>N(INDEX(Krankheitstage!$G206:$DV206,1,(Einstellungen!$C$3-2026)*24+1))</f>
        <v/>
      </c>
      <c r="E206" s="76">
        <f>N(INDEX(Krankheitstage!$G206:$DV206,1,(Einstellungen!$C$3-2026)*24+2))</f>
        <v/>
      </c>
      <c r="F206" s="76">
        <f>N(INDEX(Krankheitstage!$G206:$DV206,1,(Einstellungen!$C$3-2026)*24+3))</f>
        <v/>
      </c>
      <c r="G206" s="76">
        <f>N(INDEX(Krankheitstage!$G206:$DV206,1,(Einstellungen!$C$3-2026)*24+4))</f>
        <v/>
      </c>
      <c r="H206" s="76">
        <f>N(INDEX(Krankheitstage!$G206:$DV206,1,(Einstellungen!$C$3-2026)*24+5))</f>
        <v/>
      </c>
      <c r="I206" s="76">
        <f>N(INDEX(Krankheitstage!$G206:$DV206,1,(Einstellungen!$C$3-2026)*24+6))</f>
        <v/>
      </c>
      <c r="J206" s="76">
        <f>N(INDEX(Krankheitstage!$G206:$DV206,1,(Einstellungen!$C$3-2026)*24+7))</f>
        <v/>
      </c>
      <c r="K206" s="76">
        <f>N(INDEX(Krankheitstage!$G206:$DV206,1,(Einstellungen!$C$3-2026)*24+8))</f>
        <v/>
      </c>
      <c r="L206" s="76">
        <f>N(INDEX(Krankheitstage!$G206:$DV206,1,(Einstellungen!$C$3-2026)*24+9))</f>
        <v/>
      </c>
      <c r="M206" s="76">
        <f>N(INDEX(Krankheitstage!$G206:$DV206,1,(Einstellungen!$C$3-2026)*24+10))</f>
        <v/>
      </c>
      <c r="N206" s="76">
        <f>N(INDEX(Krankheitstage!$G206:$DV206,1,(Einstellungen!$C$3-2026)*24+11))</f>
        <v/>
      </c>
      <c r="O206" s="76">
        <f>N(INDEX(Krankheitstage!$G206:$DV206,1,(Einstellungen!$C$3-2026)*24+12))</f>
        <v/>
      </c>
      <c r="P206" s="76">
        <f>IF($B206="","",SUM(D206:O206))</f>
        <v/>
      </c>
      <c r="Q206" s="76">
        <f>N(INDEX(Krankheitstage!$G206:$DV206,1,(Einstellungen!$C$3-2026)*24+13))</f>
        <v/>
      </c>
      <c r="R206" s="76">
        <f>N(INDEX(Krankheitstage!$G206:$DV206,1,(Einstellungen!$C$3-2026)*24+14))</f>
        <v/>
      </c>
      <c r="S206" s="76">
        <f>N(INDEX(Krankheitstage!$G206:$DV206,1,(Einstellungen!$C$3-2026)*24+15))</f>
        <v/>
      </c>
      <c r="T206" s="76">
        <f>N(INDEX(Krankheitstage!$G206:$DV206,1,(Einstellungen!$C$3-2026)*24+16))</f>
        <v/>
      </c>
      <c r="U206" s="76">
        <f>N(INDEX(Krankheitstage!$G206:$DV206,1,(Einstellungen!$C$3-2026)*24+17))</f>
        <v/>
      </c>
      <c r="V206" s="76">
        <f>N(INDEX(Krankheitstage!$G206:$DV206,1,(Einstellungen!$C$3-2026)*24+18))</f>
        <v/>
      </c>
      <c r="W206" s="76">
        <f>N(INDEX(Krankheitstage!$G206:$DV206,1,(Einstellungen!$C$3-2026)*24+19))</f>
        <v/>
      </c>
      <c r="X206" s="76">
        <f>N(INDEX(Krankheitstage!$G206:$DV206,1,(Einstellungen!$C$3-2026)*24+20))</f>
        <v/>
      </c>
      <c r="Y206" s="76">
        <f>N(INDEX(Krankheitstage!$G206:$DV206,1,(Einstellungen!$C$3-2026)*24+21))</f>
        <v/>
      </c>
      <c r="Z206" s="76">
        <f>N(INDEX(Krankheitstage!$G206:$DV206,1,(Einstellungen!$C$3-2026)*24+22))</f>
        <v/>
      </c>
      <c r="AA206" s="76">
        <f>N(INDEX(Krankheitstage!$G206:$DV206,1,(Einstellungen!$C$3-2026)*24+23))</f>
        <v/>
      </c>
      <c r="AB206" s="76">
        <f>N(INDEX(Krankheitstage!$G206:$DV206,1,(Einstellungen!$C$3-2026)*24+24))</f>
        <v/>
      </c>
      <c r="AC206" s="76">
        <f>IF($B206="","",SUM(Q206:AB206))</f>
        <v/>
      </c>
      <c r="AD206" s="76">
        <f>IF($B206="","",SUM(P206,AC206))</f>
        <v/>
      </c>
      <c r="AE206" s="77">
        <f>IF($B206="","",AD206*N(C206))</f>
        <v/>
      </c>
      <c r="AF206" s="76">
        <f>IF($B206="","",Krankheitstage!E206)</f>
        <v/>
      </c>
      <c r="AG206" s="77">
        <f>IF($B206="","",AF206*N(C206))</f>
        <v/>
      </c>
    </row>
    <row r="207">
      <c r="A207" s="74">
        <f>IF(Mitarbeiter!B207="","",Mitarbeiter!A207)</f>
        <v/>
      </c>
      <c r="B207" s="6">
        <f>IF(Mitarbeiter!B207="","",Mitarbeiter!B207)</f>
        <v/>
      </c>
      <c r="C207" s="75">
        <f>IF(Mitarbeiter!B207="","",Mitarbeiter!F207)</f>
        <v/>
      </c>
      <c r="D207" s="76">
        <f>N(INDEX(Krankheitstage!$G207:$DV207,1,(Einstellungen!$C$3-2026)*24+1))</f>
        <v/>
      </c>
      <c r="E207" s="76">
        <f>N(INDEX(Krankheitstage!$G207:$DV207,1,(Einstellungen!$C$3-2026)*24+2))</f>
        <v/>
      </c>
      <c r="F207" s="76">
        <f>N(INDEX(Krankheitstage!$G207:$DV207,1,(Einstellungen!$C$3-2026)*24+3))</f>
        <v/>
      </c>
      <c r="G207" s="76">
        <f>N(INDEX(Krankheitstage!$G207:$DV207,1,(Einstellungen!$C$3-2026)*24+4))</f>
        <v/>
      </c>
      <c r="H207" s="76">
        <f>N(INDEX(Krankheitstage!$G207:$DV207,1,(Einstellungen!$C$3-2026)*24+5))</f>
        <v/>
      </c>
      <c r="I207" s="76">
        <f>N(INDEX(Krankheitstage!$G207:$DV207,1,(Einstellungen!$C$3-2026)*24+6))</f>
        <v/>
      </c>
      <c r="J207" s="76">
        <f>N(INDEX(Krankheitstage!$G207:$DV207,1,(Einstellungen!$C$3-2026)*24+7))</f>
        <v/>
      </c>
      <c r="K207" s="76">
        <f>N(INDEX(Krankheitstage!$G207:$DV207,1,(Einstellungen!$C$3-2026)*24+8))</f>
        <v/>
      </c>
      <c r="L207" s="76">
        <f>N(INDEX(Krankheitstage!$G207:$DV207,1,(Einstellungen!$C$3-2026)*24+9))</f>
        <v/>
      </c>
      <c r="M207" s="76">
        <f>N(INDEX(Krankheitstage!$G207:$DV207,1,(Einstellungen!$C$3-2026)*24+10))</f>
        <v/>
      </c>
      <c r="N207" s="76">
        <f>N(INDEX(Krankheitstage!$G207:$DV207,1,(Einstellungen!$C$3-2026)*24+11))</f>
        <v/>
      </c>
      <c r="O207" s="76">
        <f>N(INDEX(Krankheitstage!$G207:$DV207,1,(Einstellungen!$C$3-2026)*24+12))</f>
        <v/>
      </c>
      <c r="P207" s="76">
        <f>IF($B207="","",SUM(D207:O207))</f>
        <v/>
      </c>
      <c r="Q207" s="76">
        <f>N(INDEX(Krankheitstage!$G207:$DV207,1,(Einstellungen!$C$3-2026)*24+13))</f>
        <v/>
      </c>
      <c r="R207" s="76">
        <f>N(INDEX(Krankheitstage!$G207:$DV207,1,(Einstellungen!$C$3-2026)*24+14))</f>
        <v/>
      </c>
      <c r="S207" s="76">
        <f>N(INDEX(Krankheitstage!$G207:$DV207,1,(Einstellungen!$C$3-2026)*24+15))</f>
        <v/>
      </c>
      <c r="T207" s="76">
        <f>N(INDEX(Krankheitstage!$G207:$DV207,1,(Einstellungen!$C$3-2026)*24+16))</f>
        <v/>
      </c>
      <c r="U207" s="76">
        <f>N(INDEX(Krankheitstage!$G207:$DV207,1,(Einstellungen!$C$3-2026)*24+17))</f>
        <v/>
      </c>
      <c r="V207" s="76">
        <f>N(INDEX(Krankheitstage!$G207:$DV207,1,(Einstellungen!$C$3-2026)*24+18))</f>
        <v/>
      </c>
      <c r="W207" s="76">
        <f>N(INDEX(Krankheitstage!$G207:$DV207,1,(Einstellungen!$C$3-2026)*24+19))</f>
        <v/>
      </c>
      <c r="X207" s="76">
        <f>N(INDEX(Krankheitstage!$G207:$DV207,1,(Einstellungen!$C$3-2026)*24+20))</f>
        <v/>
      </c>
      <c r="Y207" s="76">
        <f>N(INDEX(Krankheitstage!$G207:$DV207,1,(Einstellungen!$C$3-2026)*24+21))</f>
        <v/>
      </c>
      <c r="Z207" s="76">
        <f>N(INDEX(Krankheitstage!$G207:$DV207,1,(Einstellungen!$C$3-2026)*24+22))</f>
        <v/>
      </c>
      <c r="AA207" s="76">
        <f>N(INDEX(Krankheitstage!$G207:$DV207,1,(Einstellungen!$C$3-2026)*24+23))</f>
        <v/>
      </c>
      <c r="AB207" s="76">
        <f>N(INDEX(Krankheitstage!$G207:$DV207,1,(Einstellungen!$C$3-2026)*24+24))</f>
        <v/>
      </c>
      <c r="AC207" s="76">
        <f>IF($B207="","",SUM(Q207:AB207))</f>
        <v/>
      </c>
      <c r="AD207" s="76">
        <f>IF($B207="","",SUM(P207,AC207))</f>
        <v/>
      </c>
      <c r="AE207" s="77">
        <f>IF($B207="","",AD207*N(C207))</f>
        <v/>
      </c>
      <c r="AF207" s="76">
        <f>IF($B207="","",Krankheitstage!E207)</f>
        <v/>
      </c>
      <c r="AG207" s="77">
        <f>IF($B207="","",AF207*N(C207))</f>
        <v/>
      </c>
    </row>
    <row r="208">
      <c r="A208" s="74">
        <f>IF(Mitarbeiter!B208="","",Mitarbeiter!A208)</f>
        <v/>
      </c>
      <c r="B208" s="6">
        <f>IF(Mitarbeiter!B208="","",Mitarbeiter!B208)</f>
        <v/>
      </c>
      <c r="C208" s="75">
        <f>IF(Mitarbeiter!B208="","",Mitarbeiter!F208)</f>
        <v/>
      </c>
      <c r="D208" s="76">
        <f>N(INDEX(Krankheitstage!$G208:$DV208,1,(Einstellungen!$C$3-2026)*24+1))</f>
        <v/>
      </c>
      <c r="E208" s="76">
        <f>N(INDEX(Krankheitstage!$G208:$DV208,1,(Einstellungen!$C$3-2026)*24+2))</f>
        <v/>
      </c>
      <c r="F208" s="76">
        <f>N(INDEX(Krankheitstage!$G208:$DV208,1,(Einstellungen!$C$3-2026)*24+3))</f>
        <v/>
      </c>
      <c r="G208" s="76">
        <f>N(INDEX(Krankheitstage!$G208:$DV208,1,(Einstellungen!$C$3-2026)*24+4))</f>
        <v/>
      </c>
      <c r="H208" s="76">
        <f>N(INDEX(Krankheitstage!$G208:$DV208,1,(Einstellungen!$C$3-2026)*24+5))</f>
        <v/>
      </c>
      <c r="I208" s="76">
        <f>N(INDEX(Krankheitstage!$G208:$DV208,1,(Einstellungen!$C$3-2026)*24+6))</f>
        <v/>
      </c>
      <c r="J208" s="76">
        <f>N(INDEX(Krankheitstage!$G208:$DV208,1,(Einstellungen!$C$3-2026)*24+7))</f>
        <v/>
      </c>
      <c r="K208" s="76">
        <f>N(INDEX(Krankheitstage!$G208:$DV208,1,(Einstellungen!$C$3-2026)*24+8))</f>
        <v/>
      </c>
      <c r="L208" s="76">
        <f>N(INDEX(Krankheitstage!$G208:$DV208,1,(Einstellungen!$C$3-2026)*24+9))</f>
        <v/>
      </c>
      <c r="M208" s="76">
        <f>N(INDEX(Krankheitstage!$G208:$DV208,1,(Einstellungen!$C$3-2026)*24+10))</f>
        <v/>
      </c>
      <c r="N208" s="76">
        <f>N(INDEX(Krankheitstage!$G208:$DV208,1,(Einstellungen!$C$3-2026)*24+11))</f>
        <v/>
      </c>
      <c r="O208" s="76">
        <f>N(INDEX(Krankheitstage!$G208:$DV208,1,(Einstellungen!$C$3-2026)*24+12))</f>
        <v/>
      </c>
      <c r="P208" s="76">
        <f>IF($B208="","",SUM(D208:O208))</f>
        <v/>
      </c>
      <c r="Q208" s="76">
        <f>N(INDEX(Krankheitstage!$G208:$DV208,1,(Einstellungen!$C$3-2026)*24+13))</f>
        <v/>
      </c>
      <c r="R208" s="76">
        <f>N(INDEX(Krankheitstage!$G208:$DV208,1,(Einstellungen!$C$3-2026)*24+14))</f>
        <v/>
      </c>
      <c r="S208" s="76">
        <f>N(INDEX(Krankheitstage!$G208:$DV208,1,(Einstellungen!$C$3-2026)*24+15))</f>
        <v/>
      </c>
      <c r="T208" s="76">
        <f>N(INDEX(Krankheitstage!$G208:$DV208,1,(Einstellungen!$C$3-2026)*24+16))</f>
        <v/>
      </c>
      <c r="U208" s="76">
        <f>N(INDEX(Krankheitstage!$G208:$DV208,1,(Einstellungen!$C$3-2026)*24+17))</f>
        <v/>
      </c>
      <c r="V208" s="76">
        <f>N(INDEX(Krankheitstage!$G208:$DV208,1,(Einstellungen!$C$3-2026)*24+18))</f>
        <v/>
      </c>
      <c r="W208" s="76">
        <f>N(INDEX(Krankheitstage!$G208:$DV208,1,(Einstellungen!$C$3-2026)*24+19))</f>
        <v/>
      </c>
      <c r="X208" s="76">
        <f>N(INDEX(Krankheitstage!$G208:$DV208,1,(Einstellungen!$C$3-2026)*24+20))</f>
        <v/>
      </c>
      <c r="Y208" s="76">
        <f>N(INDEX(Krankheitstage!$G208:$DV208,1,(Einstellungen!$C$3-2026)*24+21))</f>
        <v/>
      </c>
      <c r="Z208" s="76">
        <f>N(INDEX(Krankheitstage!$G208:$DV208,1,(Einstellungen!$C$3-2026)*24+22))</f>
        <v/>
      </c>
      <c r="AA208" s="76">
        <f>N(INDEX(Krankheitstage!$G208:$DV208,1,(Einstellungen!$C$3-2026)*24+23))</f>
        <v/>
      </c>
      <c r="AB208" s="76">
        <f>N(INDEX(Krankheitstage!$G208:$DV208,1,(Einstellungen!$C$3-2026)*24+24))</f>
        <v/>
      </c>
      <c r="AC208" s="76">
        <f>IF($B208="","",SUM(Q208:AB208))</f>
        <v/>
      </c>
      <c r="AD208" s="76">
        <f>IF($B208="","",SUM(P208,AC208))</f>
        <v/>
      </c>
      <c r="AE208" s="77">
        <f>IF($B208="","",AD208*N(C208))</f>
        <v/>
      </c>
      <c r="AF208" s="76">
        <f>IF($B208="","",Krankheitstage!E208)</f>
        <v/>
      </c>
      <c r="AG208" s="77">
        <f>IF($B208="","",AF208*N(C208))</f>
        <v/>
      </c>
    </row>
    <row r="209">
      <c r="A209" s="74">
        <f>IF(Mitarbeiter!B209="","",Mitarbeiter!A209)</f>
        <v/>
      </c>
      <c r="B209" s="6">
        <f>IF(Mitarbeiter!B209="","",Mitarbeiter!B209)</f>
        <v/>
      </c>
      <c r="C209" s="75">
        <f>IF(Mitarbeiter!B209="","",Mitarbeiter!F209)</f>
        <v/>
      </c>
      <c r="D209" s="76">
        <f>N(INDEX(Krankheitstage!$G209:$DV209,1,(Einstellungen!$C$3-2026)*24+1))</f>
        <v/>
      </c>
      <c r="E209" s="76">
        <f>N(INDEX(Krankheitstage!$G209:$DV209,1,(Einstellungen!$C$3-2026)*24+2))</f>
        <v/>
      </c>
      <c r="F209" s="76">
        <f>N(INDEX(Krankheitstage!$G209:$DV209,1,(Einstellungen!$C$3-2026)*24+3))</f>
        <v/>
      </c>
      <c r="G209" s="76">
        <f>N(INDEX(Krankheitstage!$G209:$DV209,1,(Einstellungen!$C$3-2026)*24+4))</f>
        <v/>
      </c>
      <c r="H209" s="76">
        <f>N(INDEX(Krankheitstage!$G209:$DV209,1,(Einstellungen!$C$3-2026)*24+5))</f>
        <v/>
      </c>
      <c r="I209" s="76">
        <f>N(INDEX(Krankheitstage!$G209:$DV209,1,(Einstellungen!$C$3-2026)*24+6))</f>
        <v/>
      </c>
      <c r="J209" s="76">
        <f>N(INDEX(Krankheitstage!$G209:$DV209,1,(Einstellungen!$C$3-2026)*24+7))</f>
        <v/>
      </c>
      <c r="K209" s="76">
        <f>N(INDEX(Krankheitstage!$G209:$DV209,1,(Einstellungen!$C$3-2026)*24+8))</f>
        <v/>
      </c>
      <c r="L209" s="76">
        <f>N(INDEX(Krankheitstage!$G209:$DV209,1,(Einstellungen!$C$3-2026)*24+9))</f>
        <v/>
      </c>
      <c r="M209" s="76">
        <f>N(INDEX(Krankheitstage!$G209:$DV209,1,(Einstellungen!$C$3-2026)*24+10))</f>
        <v/>
      </c>
      <c r="N209" s="76">
        <f>N(INDEX(Krankheitstage!$G209:$DV209,1,(Einstellungen!$C$3-2026)*24+11))</f>
        <v/>
      </c>
      <c r="O209" s="76">
        <f>N(INDEX(Krankheitstage!$G209:$DV209,1,(Einstellungen!$C$3-2026)*24+12))</f>
        <v/>
      </c>
      <c r="P209" s="76">
        <f>IF($B209="","",SUM(D209:O209))</f>
        <v/>
      </c>
      <c r="Q209" s="76">
        <f>N(INDEX(Krankheitstage!$G209:$DV209,1,(Einstellungen!$C$3-2026)*24+13))</f>
        <v/>
      </c>
      <c r="R209" s="76">
        <f>N(INDEX(Krankheitstage!$G209:$DV209,1,(Einstellungen!$C$3-2026)*24+14))</f>
        <v/>
      </c>
      <c r="S209" s="76">
        <f>N(INDEX(Krankheitstage!$G209:$DV209,1,(Einstellungen!$C$3-2026)*24+15))</f>
        <v/>
      </c>
      <c r="T209" s="76">
        <f>N(INDEX(Krankheitstage!$G209:$DV209,1,(Einstellungen!$C$3-2026)*24+16))</f>
        <v/>
      </c>
      <c r="U209" s="76">
        <f>N(INDEX(Krankheitstage!$G209:$DV209,1,(Einstellungen!$C$3-2026)*24+17))</f>
        <v/>
      </c>
      <c r="V209" s="76">
        <f>N(INDEX(Krankheitstage!$G209:$DV209,1,(Einstellungen!$C$3-2026)*24+18))</f>
        <v/>
      </c>
      <c r="W209" s="76">
        <f>N(INDEX(Krankheitstage!$G209:$DV209,1,(Einstellungen!$C$3-2026)*24+19))</f>
        <v/>
      </c>
      <c r="X209" s="76">
        <f>N(INDEX(Krankheitstage!$G209:$DV209,1,(Einstellungen!$C$3-2026)*24+20))</f>
        <v/>
      </c>
      <c r="Y209" s="76">
        <f>N(INDEX(Krankheitstage!$G209:$DV209,1,(Einstellungen!$C$3-2026)*24+21))</f>
        <v/>
      </c>
      <c r="Z209" s="76">
        <f>N(INDEX(Krankheitstage!$G209:$DV209,1,(Einstellungen!$C$3-2026)*24+22))</f>
        <v/>
      </c>
      <c r="AA209" s="76">
        <f>N(INDEX(Krankheitstage!$G209:$DV209,1,(Einstellungen!$C$3-2026)*24+23))</f>
        <v/>
      </c>
      <c r="AB209" s="76">
        <f>N(INDEX(Krankheitstage!$G209:$DV209,1,(Einstellungen!$C$3-2026)*24+24))</f>
        <v/>
      </c>
      <c r="AC209" s="76">
        <f>IF($B209="","",SUM(Q209:AB209))</f>
        <v/>
      </c>
      <c r="AD209" s="76">
        <f>IF($B209="","",SUM(P209,AC209))</f>
        <v/>
      </c>
      <c r="AE209" s="77">
        <f>IF($B209="","",AD209*N(C209))</f>
        <v/>
      </c>
      <c r="AF209" s="76">
        <f>IF($B209="","",Krankheitstage!E209)</f>
        <v/>
      </c>
      <c r="AG209" s="77">
        <f>IF($B209="","",AF209*N(C209))</f>
        <v/>
      </c>
    </row>
    <row r="210">
      <c r="A210" s="74">
        <f>IF(Mitarbeiter!B210="","",Mitarbeiter!A210)</f>
        <v/>
      </c>
      <c r="B210" s="6">
        <f>IF(Mitarbeiter!B210="","",Mitarbeiter!B210)</f>
        <v/>
      </c>
      <c r="C210" s="75">
        <f>IF(Mitarbeiter!B210="","",Mitarbeiter!F210)</f>
        <v/>
      </c>
      <c r="D210" s="76">
        <f>N(INDEX(Krankheitstage!$G210:$DV210,1,(Einstellungen!$C$3-2026)*24+1))</f>
        <v/>
      </c>
      <c r="E210" s="76">
        <f>N(INDEX(Krankheitstage!$G210:$DV210,1,(Einstellungen!$C$3-2026)*24+2))</f>
        <v/>
      </c>
      <c r="F210" s="76">
        <f>N(INDEX(Krankheitstage!$G210:$DV210,1,(Einstellungen!$C$3-2026)*24+3))</f>
        <v/>
      </c>
      <c r="G210" s="76">
        <f>N(INDEX(Krankheitstage!$G210:$DV210,1,(Einstellungen!$C$3-2026)*24+4))</f>
        <v/>
      </c>
      <c r="H210" s="76">
        <f>N(INDEX(Krankheitstage!$G210:$DV210,1,(Einstellungen!$C$3-2026)*24+5))</f>
        <v/>
      </c>
      <c r="I210" s="76">
        <f>N(INDEX(Krankheitstage!$G210:$DV210,1,(Einstellungen!$C$3-2026)*24+6))</f>
        <v/>
      </c>
      <c r="J210" s="76">
        <f>N(INDEX(Krankheitstage!$G210:$DV210,1,(Einstellungen!$C$3-2026)*24+7))</f>
        <v/>
      </c>
      <c r="K210" s="76">
        <f>N(INDEX(Krankheitstage!$G210:$DV210,1,(Einstellungen!$C$3-2026)*24+8))</f>
        <v/>
      </c>
      <c r="L210" s="76">
        <f>N(INDEX(Krankheitstage!$G210:$DV210,1,(Einstellungen!$C$3-2026)*24+9))</f>
        <v/>
      </c>
      <c r="M210" s="76">
        <f>N(INDEX(Krankheitstage!$G210:$DV210,1,(Einstellungen!$C$3-2026)*24+10))</f>
        <v/>
      </c>
      <c r="N210" s="76">
        <f>N(INDEX(Krankheitstage!$G210:$DV210,1,(Einstellungen!$C$3-2026)*24+11))</f>
        <v/>
      </c>
      <c r="O210" s="76">
        <f>N(INDEX(Krankheitstage!$G210:$DV210,1,(Einstellungen!$C$3-2026)*24+12))</f>
        <v/>
      </c>
      <c r="P210" s="76">
        <f>IF($B210="","",SUM(D210:O210))</f>
        <v/>
      </c>
      <c r="Q210" s="76">
        <f>N(INDEX(Krankheitstage!$G210:$DV210,1,(Einstellungen!$C$3-2026)*24+13))</f>
        <v/>
      </c>
      <c r="R210" s="76">
        <f>N(INDEX(Krankheitstage!$G210:$DV210,1,(Einstellungen!$C$3-2026)*24+14))</f>
        <v/>
      </c>
      <c r="S210" s="76">
        <f>N(INDEX(Krankheitstage!$G210:$DV210,1,(Einstellungen!$C$3-2026)*24+15))</f>
        <v/>
      </c>
      <c r="T210" s="76">
        <f>N(INDEX(Krankheitstage!$G210:$DV210,1,(Einstellungen!$C$3-2026)*24+16))</f>
        <v/>
      </c>
      <c r="U210" s="76">
        <f>N(INDEX(Krankheitstage!$G210:$DV210,1,(Einstellungen!$C$3-2026)*24+17))</f>
        <v/>
      </c>
      <c r="V210" s="76">
        <f>N(INDEX(Krankheitstage!$G210:$DV210,1,(Einstellungen!$C$3-2026)*24+18))</f>
        <v/>
      </c>
      <c r="W210" s="76">
        <f>N(INDEX(Krankheitstage!$G210:$DV210,1,(Einstellungen!$C$3-2026)*24+19))</f>
        <v/>
      </c>
      <c r="X210" s="76">
        <f>N(INDEX(Krankheitstage!$G210:$DV210,1,(Einstellungen!$C$3-2026)*24+20))</f>
        <v/>
      </c>
      <c r="Y210" s="76">
        <f>N(INDEX(Krankheitstage!$G210:$DV210,1,(Einstellungen!$C$3-2026)*24+21))</f>
        <v/>
      </c>
      <c r="Z210" s="76">
        <f>N(INDEX(Krankheitstage!$G210:$DV210,1,(Einstellungen!$C$3-2026)*24+22))</f>
        <v/>
      </c>
      <c r="AA210" s="76">
        <f>N(INDEX(Krankheitstage!$G210:$DV210,1,(Einstellungen!$C$3-2026)*24+23))</f>
        <v/>
      </c>
      <c r="AB210" s="76">
        <f>N(INDEX(Krankheitstage!$G210:$DV210,1,(Einstellungen!$C$3-2026)*24+24))</f>
        <v/>
      </c>
      <c r="AC210" s="76">
        <f>IF($B210="","",SUM(Q210:AB210))</f>
        <v/>
      </c>
      <c r="AD210" s="76">
        <f>IF($B210="","",SUM(P210,AC210))</f>
        <v/>
      </c>
      <c r="AE210" s="77">
        <f>IF($B210="","",AD210*N(C210))</f>
        <v/>
      </c>
      <c r="AF210" s="76">
        <f>IF($B210="","",Krankheitstage!E210)</f>
        <v/>
      </c>
      <c r="AG210" s="77">
        <f>IF($B210="","",AF210*N(C210))</f>
        <v/>
      </c>
    </row>
    <row r="211">
      <c r="A211" s="74">
        <f>IF(Mitarbeiter!B211="","",Mitarbeiter!A211)</f>
        <v/>
      </c>
      <c r="B211" s="6">
        <f>IF(Mitarbeiter!B211="","",Mitarbeiter!B211)</f>
        <v/>
      </c>
      <c r="C211" s="75">
        <f>IF(Mitarbeiter!B211="","",Mitarbeiter!F211)</f>
        <v/>
      </c>
      <c r="D211" s="76">
        <f>N(INDEX(Krankheitstage!$G211:$DV211,1,(Einstellungen!$C$3-2026)*24+1))</f>
        <v/>
      </c>
      <c r="E211" s="76">
        <f>N(INDEX(Krankheitstage!$G211:$DV211,1,(Einstellungen!$C$3-2026)*24+2))</f>
        <v/>
      </c>
      <c r="F211" s="76">
        <f>N(INDEX(Krankheitstage!$G211:$DV211,1,(Einstellungen!$C$3-2026)*24+3))</f>
        <v/>
      </c>
      <c r="G211" s="76">
        <f>N(INDEX(Krankheitstage!$G211:$DV211,1,(Einstellungen!$C$3-2026)*24+4))</f>
        <v/>
      </c>
      <c r="H211" s="76">
        <f>N(INDEX(Krankheitstage!$G211:$DV211,1,(Einstellungen!$C$3-2026)*24+5))</f>
        <v/>
      </c>
      <c r="I211" s="76">
        <f>N(INDEX(Krankheitstage!$G211:$DV211,1,(Einstellungen!$C$3-2026)*24+6))</f>
        <v/>
      </c>
      <c r="J211" s="76">
        <f>N(INDEX(Krankheitstage!$G211:$DV211,1,(Einstellungen!$C$3-2026)*24+7))</f>
        <v/>
      </c>
      <c r="K211" s="76">
        <f>N(INDEX(Krankheitstage!$G211:$DV211,1,(Einstellungen!$C$3-2026)*24+8))</f>
        <v/>
      </c>
      <c r="L211" s="76">
        <f>N(INDEX(Krankheitstage!$G211:$DV211,1,(Einstellungen!$C$3-2026)*24+9))</f>
        <v/>
      </c>
      <c r="M211" s="76">
        <f>N(INDEX(Krankheitstage!$G211:$DV211,1,(Einstellungen!$C$3-2026)*24+10))</f>
        <v/>
      </c>
      <c r="N211" s="76">
        <f>N(INDEX(Krankheitstage!$G211:$DV211,1,(Einstellungen!$C$3-2026)*24+11))</f>
        <v/>
      </c>
      <c r="O211" s="76">
        <f>N(INDEX(Krankheitstage!$G211:$DV211,1,(Einstellungen!$C$3-2026)*24+12))</f>
        <v/>
      </c>
      <c r="P211" s="76">
        <f>IF($B211="","",SUM(D211:O211))</f>
        <v/>
      </c>
      <c r="Q211" s="76">
        <f>N(INDEX(Krankheitstage!$G211:$DV211,1,(Einstellungen!$C$3-2026)*24+13))</f>
        <v/>
      </c>
      <c r="R211" s="76">
        <f>N(INDEX(Krankheitstage!$G211:$DV211,1,(Einstellungen!$C$3-2026)*24+14))</f>
        <v/>
      </c>
      <c r="S211" s="76">
        <f>N(INDEX(Krankheitstage!$G211:$DV211,1,(Einstellungen!$C$3-2026)*24+15))</f>
        <v/>
      </c>
      <c r="T211" s="76">
        <f>N(INDEX(Krankheitstage!$G211:$DV211,1,(Einstellungen!$C$3-2026)*24+16))</f>
        <v/>
      </c>
      <c r="U211" s="76">
        <f>N(INDEX(Krankheitstage!$G211:$DV211,1,(Einstellungen!$C$3-2026)*24+17))</f>
        <v/>
      </c>
      <c r="V211" s="76">
        <f>N(INDEX(Krankheitstage!$G211:$DV211,1,(Einstellungen!$C$3-2026)*24+18))</f>
        <v/>
      </c>
      <c r="W211" s="76">
        <f>N(INDEX(Krankheitstage!$G211:$DV211,1,(Einstellungen!$C$3-2026)*24+19))</f>
        <v/>
      </c>
      <c r="X211" s="76">
        <f>N(INDEX(Krankheitstage!$G211:$DV211,1,(Einstellungen!$C$3-2026)*24+20))</f>
        <v/>
      </c>
      <c r="Y211" s="76">
        <f>N(INDEX(Krankheitstage!$G211:$DV211,1,(Einstellungen!$C$3-2026)*24+21))</f>
        <v/>
      </c>
      <c r="Z211" s="76">
        <f>N(INDEX(Krankheitstage!$G211:$DV211,1,(Einstellungen!$C$3-2026)*24+22))</f>
        <v/>
      </c>
      <c r="AA211" s="76">
        <f>N(INDEX(Krankheitstage!$G211:$DV211,1,(Einstellungen!$C$3-2026)*24+23))</f>
        <v/>
      </c>
      <c r="AB211" s="76">
        <f>N(INDEX(Krankheitstage!$G211:$DV211,1,(Einstellungen!$C$3-2026)*24+24))</f>
        <v/>
      </c>
      <c r="AC211" s="76">
        <f>IF($B211="","",SUM(Q211:AB211))</f>
        <v/>
      </c>
      <c r="AD211" s="76">
        <f>IF($B211="","",SUM(P211,AC211))</f>
        <v/>
      </c>
      <c r="AE211" s="77">
        <f>IF($B211="","",AD211*N(C211))</f>
        <v/>
      </c>
      <c r="AF211" s="76">
        <f>IF($B211="","",Krankheitstage!E211)</f>
        <v/>
      </c>
      <c r="AG211" s="77">
        <f>IF($B211="","",AF211*N(C211))</f>
        <v/>
      </c>
    </row>
    <row r="212">
      <c r="A212" s="74">
        <f>IF(Mitarbeiter!B212="","",Mitarbeiter!A212)</f>
        <v/>
      </c>
      <c r="B212" s="6">
        <f>IF(Mitarbeiter!B212="","",Mitarbeiter!B212)</f>
        <v/>
      </c>
      <c r="C212" s="75">
        <f>IF(Mitarbeiter!B212="","",Mitarbeiter!F212)</f>
        <v/>
      </c>
      <c r="D212" s="76">
        <f>N(INDEX(Krankheitstage!$G212:$DV212,1,(Einstellungen!$C$3-2026)*24+1))</f>
        <v/>
      </c>
      <c r="E212" s="76">
        <f>N(INDEX(Krankheitstage!$G212:$DV212,1,(Einstellungen!$C$3-2026)*24+2))</f>
        <v/>
      </c>
      <c r="F212" s="76">
        <f>N(INDEX(Krankheitstage!$G212:$DV212,1,(Einstellungen!$C$3-2026)*24+3))</f>
        <v/>
      </c>
      <c r="G212" s="76">
        <f>N(INDEX(Krankheitstage!$G212:$DV212,1,(Einstellungen!$C$3-2026)*24+4))</f>
        <v/>
      </c>
      <c r="H212" s="76">
        <f>N(INDEX(Krankheitstage!$G212:$DV212,1,(Einstellungen!$C$3-2026)*24+5))</f>
        <v/>
      </c>
      <c r="I212" s="76">
        <f>N(INDEX(Krankheitstage!$G212:$DV212,1,(Einstellungen!$C$3-2026)*24+6))</f>
        <v/>
      </c>
      <c r="J212" s="76">
        <f>N(INDEX(Krankheitstage!$G212:$DV212,1,(Einstellungen!$C$3-2026)*24+7))</f>
        <v/>
      </c>
      <c r="K212" s="76">
        <f>N(INDEX(Krankheitstage!$G212:$DV212,1,(Einstellungen!$C$3-2026)*24+8))</f>
        <v/>
      </c>
      <c r="L212" s="76">
        <f>N(INDEX(Krankheitstage!$G212:$DV212,1,(Einstellungen!$C$3-2026)*24+9))</f>
        <v/>
      </c>
      <c r="M212" s="76">
        <f>N(INDEX(Krankheitstage!$G212:$DV212,1,(Einstellungen!$C$3-2026)*24+10))</f>
        <v/>
      </c>
      <c r="N212" s="76">
        <f>N(INDEX(Krankheitstage!$G212:$DV212,1,(Einstellungen!$C$3-2026)*24+11))</f>
        <v/>
      </c>
      <c r="O212" s="76">
        <f>N(INDEX(Krankheitstage!$G212:$DV212,1,(Einstellungen!$C$3-2026)*24+12))</f>
        <v/>
      </c>
      <c r="P212" s="76">
        <f>IF($B212="","",SUM(D212:O212))</f>
        <v/>
      </c>
      <c r="Q212" s="76">
        <f>N(INDEX(Krankheitstage!$G212:$DV212,1,(Einstellungen!$C$3-2026)*24+13))</f>
        <v/>
      </c>
      <c r="R212" s="76">
        <f>N(INDEX(Krankheitstage!$G212:$DV212,1,(Einstellungen!$C$3-2026)*24+14))</f>
        <v/>
      </c>
      <c r="S212" s="76">
        <f>N(INDEX(Krankheitstage!$G212:$DV212,1,(Einstellungen!$C$3-2026)*24+15))</f>
        <v/>
      </c>
      <c r="T212" s="76">
        <f>N(INDEX(Krankheitstage!$G212:$DV212,1,(Einstellungen!$C$3-2026)*24+16))</f>
        <v/>
      </c>
      <c r="U212" s="76">
        <f>N(INDEX(Krankheitstage!$G212:$DV212,1,(Einstellungen!$C$3-2026)*24+17))</f>
        <v/>
      </c>
      <c r="V212" s="76">
        <f>N(INDEX(Krankheitstage!$G212:$DV212,1,(Einstellungen!$C$3-2026)*24+18))</f>
        <v/>
      </c>
      <c r="W212" s="76">
        <f>N(INDEX(Krankheitstage!$G212:$DV212,1,(Einstellungen!$C$3-2026)*24+19))</f>
        <v/>
      </c>
      <c r="X212" s="76">
        <f>N(INDEX(Krankheitstage!$G212:$DV212,1,(Einstellungen!$C$3-2026)*24+20))</f>
        <v/>
      </c>
      <c r="Y212" s="76">
        <f>N(INDEX(Krankheitstage!$G212:$DV212,1,(Einstellungen!$C$3-2026)*24+21))</f>
        <v/>
      </c>
      <c r="Z212" s="76">
        <f>N(INDEX(Krankheitstage!$G212:$DV212,1,(Einstellungen!$C$3-2026)*24+22))</f>
        <v/>
      </c>
      <c r="AA212" s="76">
        <f>N(INDEX(Krankheitstage!$G212:$DV212,1,(Einstellungen!$C$3-2026)*24+23))</f>
        <v/>
      </c>
      <c r="AB212" s="76">
        <f>N(INDEX(Krankheitstage!$G212:$DV212,1,(Einstellungen!$C$3-2026)*24+24))</f>
        <v/>
      </c>
      <c r="AC212" s="76">
        <f>IF($B212="","",SUM(Q212:AB212))</f>
        <v/>
      </c>
      <c r="AD212" s="76">
        <f>IF($B212="","",SUM(P212,AC212))</f>
        <v/>
      </c>
      <c r="AE212" s="77">
        <f>IF($B212="","",AD212*N(C212))</f>
        <v/>
      </c>
      <c r="AF212" s="76">
        <f>IF($B212="","",Krankheitstage!E212)</f>
        <v/>
      </c>
      <c r="AG212" s="77">
        <f>IF($B212="","",AF212*N(C212))</f>
        <v/>
      </c>
    </row>
    <row r="213">
      <c r="A213" s="74">
        <f>IF(Mitarbeiter!B213="","",Mitarbeiter!A213)</f>
        <v/>
      </c>
      <c r="B213" s="6">
        <f>IF(Mitarbeiter!B213="","",Mitarbeiter!B213)</f>
        <v/>
      </c>
      <c r="C213" s="75">
        <f>IF(Mitarbeiter!B213="","",Mitarbeiter!F213)</f>
        <v/>
      </c>
      <c r="D213" s="76">
        <f>N(INDEX(Krankheitstage!$G213:$DV213,1,(Einstellungen!$C$3-2026)*24+1))</f>
        <v/>
      </c>
      <c r="E213" s="76">
        <f>N(INDEX(Krankheitstage!$G213:$DV213,1,(Einstellungen!$C$3-2026)*24+2))</f>
        <v/>
      </c>
      <c r="F213" s="76">
        <f>N(INDEX(Krankheitstage!$G213:$DV213,1,(Einstellungen!$C$3-2026)*24+3))</f>
        <v/>
      </c>
      <c r="G213" s="76">
        <f>N(INDEX(Krankheitstage!$G213:$DV213,1,(Einstellungen!$C$3-2026)*24+4))</f>
        <v/>
      </c>
      <c r="H213" s="76">
        <f>N(INDEX(Krankheitstage!$G213:$DV213,1,(Einstellungen!$C$3-2026)*24+5))</f>
        <v/>
      </c>
      <c r="I213" s="76">
        <f>N(INDEX(Krankheitstage!$G213:$DV213,1,(Einstellungen!$C$3-2026)*24+6))</f>
        <v/>
      </c>
      <c r="J213" s="76">
        <f>N(INDEX(Krankheitstage!$G213:$DV213,1,(Einstellungen!$C$3-2026)*24+7))</f>
        <v/>
      </c>
      <c r="K213" s="76">
        <f>N(INDEX(Krankheitstage!$G213:$DV213,1,(Einstellungen!$C$3-2026)*24+8))</f>
        <v/>
      </c>
      <c r="L213" s="76">
        <f>N(INDEX(Krankheitstage!$G213:$DV213,1,(Einstellungen!$C$3-2026)*24+9))</f>
        <v/>
      </c>
      <c r="M213" s="76">
        <f>N(INDEX(Krankheitstage!$G213:$DV213,1,(Einstellungen!$C$3-2026)*24+10))</f>
        <v/>
      </c>
      <c r="N213" s="76">
        <f>N(INDEX(Krankheitstage!$G213:$DV213,1,(Einstellungen!$C$3-2026)*24+11))</f>
        <v/>
      </c>
      <c r="O213" s="76">
        <f>N(INDEX(Krankheitstage!$G213:$DV213,1,(Einstellungen!$C$3-2026)*24+12))</f>
        <v/>
      </c>
      <c r="P213" s="76">
        <f>IF($B213="","",SUM(D213:O213))</f>
        <v/>
      </c>
      <c r="Q213" s="76">
        <f>N(INDEX(Krankheitstage!$G213:$DV213,1,(Einstellungen!$C$3-2026)*24+13))</f>
        <v/>
      </c>
      <c r="R213" s="76">
        <f>N(INDEX(Krankheitstage!$G213:$DV213,1,(Einstellungen!$C$3-2026)*24+14))</f>
        <v/>
      </c>
      <c r="S213" s="76">
        <f>N(INDEX(Krankheitstage!$G213:$DV213,1,(Einstellungen!$C$3-2026)*24+15))</f>
        <v/>
      </c>
      <c r="T213" s="76">
        <f>N(INDEX(Krankheitstage!$G213:$DV213,1,(Einstellungen!$C$3-2026)*24+16))</f>
        <v/>
      </c>
      <c r="U213" s="76">
        <f>N(INDEX(Krankheitstage!$G213:$DV213,1,(Einstellungen!$C$3-2026)*24+17))</f>
        <v/>
      </c>
      <c r="V213" s="76">
        <f>N(INDEX(Krankheitstage!$G213:$DV213,1,(Einstellungen!$C$3-2026)*24+18))</f>
        <v/>
      </c>
      <c r="W213" s="76">
        <f>N(INDEX(Krankheitstage!$G213:$DV213,1,(Einstellungen!$C$3-2026)*24+19))</f>
        <v/>
      </c>
      <c r="X213" s="76">
        <f>N(INDEX(Krankheitstage!$G213:$DV213,1,(Einstellungen!$C$3-2026)*24+20))</f>
        <v/>
      </c>
      <c r="Y213" s="76">
        <f>N(INDEX(Krankheitstage!$G213:$DV213,1,(Einstellungen!$C$3-2026)*24+21))</f>
        <v/>
      </c>
      <c r="Z213" s="76">
        <f>N(INDEX(Krankheitstage!$G213:$DV213,1,(Einstellungen!$C$3-2026)*24+22))</f>
        <v/>
      </c>
      <c r="AA213" s="76">
        <f>N(INDEX(Krankheitstage!$G213:$DV213,1,(Einstellungen!$C$3-2026)*24+23))</f>
        <v/>
      </c>
      <c r="AB213" s="76">
        <f>N(INDEX(Krankheitstage!$G213:$DV213,1,(Einstellungen!$C$3-2026)*24+24))</f>
        <v/>
      </c>
      <c r="AC213" s="76">
        <f>IF($B213="","",SUM(Q213:AB213))</f>
        <v/>
      </c>
      <c r="AD213" s="76">
        <f>IF($B213="","",SUM(P213,AC213))</f>
        <v/>
      </c>
      <c r="AE213" s="77">
        <f>IF($B213="","",AD213*N(C213))</f>
        <v/>
      </c>
      <c r="AF213" s="76">
        <f>IF($B213="","",Krankheitstage!E213)</f>
        <v/>
      </c>
      <c r="AG213" s="77">
        <f>IF($B213="","",AF213*N(C213))</f>
        <v/>
      </c>
    </row>
    <row r="214">
      <c r="A214" s="74">
        <f>IF(Mitarbeiter!B214="","",Mitarbeiter!A214)</f>
        <v/>
      </c>
      <c r="B214" s="6">
        <f>IF(Mitarbeiter!B214="","",Mitarbeiter!B214)</f>
        <v/>
      </c>
      <c r="C214" s="75">
        <f>IF(Mitarbeiter!B214="","",Mitarbeiter!F214)</f>
        <v/>
      </c>
      <c r="D214" s="76">
        <f>N(INDEX(Krankheitstage!$G214:$DV214,1,(Einstellungen!$C$3-2026)*24+1))</f>
        <v/>
      </c>
      <c r="E214" s="76">
        <f>N(INDEX(Krankheitstage!$G214:$DV214,1,(Einstellungen!$C$3-2026)*24+2))</f>
        <v/>
      </c>
      <c r="F214" s="76">
        <f>N(INDEX(Krankheitstage!$G214:$DV214,1,(Einstellungen!$C$3-2026)*24+3))</f>
        <v/>
      </c>
      <c r="G214" s="76">
        <f>N(INDEX(Krankheitstage!$G214:$DV214,1,(Einstellungen!$C$3-2026)*24+4))</f>
        <v/>
      </c>
      <c r="H214" s="76">
        <f>N(INDEX(Krankheitstage!$G214:$DV214,1,(Einstellungen!$C$3-2026)*24+5))</f>
        <v/>
      </c>
      <c r="I214" s="76">
        <f>N(INDEX(Krankheitstage!$G214:$DV214,1,(Einstellungen!$C$3-2026)*24+6))</f>
        <v/>
      </c>
      <c r="J214" s="76">
        <f>N(INDEX(Krankheitstage!$G214:$DV214,1,(Einstellungen!$C$3-2026)*24+7))</f>
        <v/>
      </c>
      <c r="K214" s="76">
        <f>N(INDEX(Krankheitstage!$G214:$DV214,1,(Einstellungen!$C$3-2026)*24+8))</f>
        <v/>
      </c>
      <c r="L214" s="76">
        <f>N(INDEX(Krankheitstage!$G214:$DV214,1,(Einstellungen!$C$3-2026)*24+9))</f>
        <v/>
      </c>
      <c r="M214" s="76">
        <f>N(INDEX(Krankheitstage!$G214:$DV214,1,(Einstellungen!$C$3-2026)*24+10))</f>
        <v/>
      </c>
      <c r="N214" s="76">
        <f>N(INDEX(Krankheitstage!$G214:$DV214,1,(Einstellungen!$C$3-2026)*24+11))</f>
        <v/>
      </c>
      <c r="O214" s="76">
        <f>N(INDEX(Krankheitstage!$G214:$DV214,1,(Einstellungen!$C$3-2026)*24+12))</f>
        <v/>
      </c>
      <c r="P214" s="76">
        <f>IF($B214="","",SUM(D214:O214))</f>
        <v/>
      </c>
      <c r="Q214" s="76">
        <f>N(INDEX(Krankheitstage!$G214:$DV214,1,(Einstellungen!$C$3-2026)*24+13))</f>
        <v/>
      </c>
      <c r="R214" s="76">
        <f>N(INDEX(Krankheitstage!$G214:$DV214,1,(Einstellungen!$C$3-2026)*24+14))</f>
        <v/>
      </c>
      <c r="S214" s="76">
        <f>N(INDEX(Krankheitstage!$G214:$DV214,1,(Einstellungen!$C$3-2026)*24+15))</f>
        <v/>
      </c>
      <c r="T214" s="76">
        <f>N(INDEX(Krankheitstage!$G214:$DV214,1,(Einstellungen!$C$3-2026)*24+16))</f>
        <v/>
      </c>
      <c r="U214" s="76">
        <f>N(INDEX(Krankheitstage!$G214:$DV214,1,(Einstellungen!$C$3-2026)*24+17))</f>
        <v/>
      </c>
      <c r="V214" s="76">
        <f>N(INDEX(Krankheitstage!$G214:$DV214,1,(Einstellungen!$C$3-2026)*24+18))</f>
        <v/>
      </c>
      <c r="W214" s="76">
        <f>N(INDEX(Krankheitstage!$G214:$DV214,1,(Einstellungen!$C$3-2026)*24+19))</f>
        <v/>
      </c>
      <c r="X214" s="76">
        <f>N(INDEX(Krankheitstage!$G214:$DV214,1,(Einstellungen!$C$3-2026)*24+20))</f>
        <v/>
      </c>
      <c r="Y214" s="76">
        <f>N(INDEX(Krankheitstage!$G214:$DV214,1,(Einstellungen!$C$3-2026)*24+21))</f>
        <v/>
      </c>
      <c r="Z214" s="76">
        <f>N(INDEX(Krankheitstage!$G214:$DV214,1,(Einstellungen!$C$3-2026)*24+22))</f>
        <v/>
      </c>
      <c r="AA214" s="76">
        <f>N(INDEX(Krankheitstage!$G214:$DV214,1,(Einstellungen!$C$3-2026)*24+23))</f>
        <v/>
      </c>
      <c r="AB214" s="76">
        <f>N(INDEX(Krankheitstage!$G214:$DV214,1,(Einstellungen!$C$3-2026)*24+24))</f>
        <v/>
      </c>
      <c r="AC214" s="76">
        <f>IF($B214="","",SUM(Q214:AB214))</f>
        <v/>
      </c>
      <c r="AD214" s="76">
        <f>IF($B214="","",SUM(P214,AC214))</f>
        <v/>
      </c>
      <c r="AE214" s="77">
        <f>IF($B214="","",AD214*N(C214))</f>
        <v/>
      </c>
      <c r="AF214" s="76">
        <f>IF($B214="","",Krankheitstage!E214)</f>
        <v/>
      </c>
      <c r="AG214" s="77">
        <f>IF($B214="","",AF214*N(C214))</f>
        <v/>
      </c>
    </row>
    <row r="215">
      <c r="A215" s="74">
        <f>IF(Mitarbeiter!B215="","",Mitarbeiter!A215)</f>
        <v/>
      </c>
      <c r="B215" s="6">
        <f>IF(Mitarbeiter!B215="","",Mitarbeiter!B215)</f>
        <v/>
      </c>
      <c r="C215" s="75">
        <f>IF(Mitarbeiter!B215="","",Mitarbeiter!F215)</f>
        <v/>
      </c>
      <c r="D215" s="76">
        <f>N(INDEX(Krankheitstage!$G215:$DV215,1,(Einstellungen!$C$3-2026)*24+1))</f>
        <v/>
      </c>
      <c r="E215" s="76">
        <f>N(INDEX(Krankheitstage!$G215:$DV215,1,(Einstellungen!$C$3-2026)*24+2))</f>
        <v/>
      </c>
      <c r="F215" s="76">
        <f>N(INDEX(Krankheitstage!$G215:$DV215,1,(Einstellungen!$C$3-2026)*24+3))</f>
        <v/>
      </c>
      <c r="G215" s="76">
        <f>N(INDEX(Krankheitstage!$G215:$DV215,1,(Einstellungen!$C$3-2026)*24+4))</f>
        <v/>
      </c>
      <c r="H215" s="76">
        <f>N(INDEX(Krankheitstage!$G215:$DV215,1,(Einstellungen!$C$3-2026)*24+5))</f>
        <v/>
      </c>
      <c r="I215" s="76">
        <f>N(INDEX(Krankheitstage!$G215:$DV215,1,(Einstellungen!$C$3-2026)*24+6))</f>
        <v/>
      </c>
      <c r="J215" s="76">
        <f>N(INDEX(Krankheitstage!$G215:$DV215,1,(Einstellungen!$C$3-2026)*24+7))</f>
        <v/>
      </c>
      <c r="K215" s="76">
        <f>N(INDEX(Krankheitstage!$G215:$DV215,1,(Einstellungen!$C$3-2026)*24+8))</f>
        <v/>
      </c>
      <c r="L215" s="76">
        <f>N(INDEX(Krankheitstage!$G215:$DV215,1,(Einstellungen!$C$3-2026)*24+9))</f>
        <v/>
      </c>
      <c r="M215" s="76">
        <f>N(INDEX(Krankheitstage!$G215:$DV215,1,(Einstellungen!$C$3-2026)*24+10))</f>
        <v/>
      </c>
      <c r="N215" s="76">
        <f>N(INDEX(Krankheitstage!$G215:$DV215,1,(Einstellungen!$C$3-2026)*24+11))</f>
        <v/>
      </c>
      <c r="O215" s="76">
        <f>N(INDEX(Krankheitstage!$G215:$DV215,1,(Einstellungen!$C$3-2026)*24+12))</f>
        <v/>
      </c>
      <c r="P215" s="76">
        <f>IF($B215="","",SUM(D215:O215))</f>
        <v/>
      </c>
      <c r="Q215" s="76">
        <f>N(INDEX(Krankheitstage!$G215:$DV215,1,(Einstellungen!$C$3-2026)*24+13))</f>
        <v/>
      </c>
      <c r="R215" s="76">
        <f>N(INDEX(Krankheitstage!$G215:$DV215,1,(Einstellungen!$C$3-2026)*24+14))</f>
        <v/>
      </c>
      <c r="S215" s="76">
        <f>N(INDEX(Krankheitstage!$G215:$DV215,1,(Einstellungen!$C$3-2026)*24+15))</f>
        <v/>
      </c>
      <c r="T215" s="76">
        <f>N(INDEX(Krankheitstage!$G215:$DV215,1,(Einstellungen!$C$3-2026)*24+16))</f>
        <v/>
      </c>
      <c r="U215" s="76">
        <f>N(INDEX(Krankheitstage!$G215:$DV215,1,(Einstellungen!$C$3-2026)*24+17))</f>
        <v/>
      </c>
      <c r="V215" s="76">
        <f>N(INDEX(Krankheitstage!$G215:$DV215,1,(Einstellungen!$C$3-2026)*24+18))</f>
        <v/>
      </c>
      <c r="W215" s="76">
        <f>N(INDEX(Krankheitstage!$G215:$DV215,1,(Einstellungen!$C$3-2026)*24+19))</f>
        <v/>
      </c>
      <c r="X215" s="76">
        <f>N(INDEX(Krankheitstage!$G215:$DV215,1,(Einstellungen!$C$3-2026)*24+20))</f>
        <v/>
      </c>
      <c r="Y215" s="76">
        <f>N(INDEX(Krankheitstage!$G215:$DV215,1,(Einstellungen!$C$3-2026)*24+21))</f>
        <v/>
      </c>
      <c r="Z215" s="76">
        <f>N(INDEX(Krankheitstage!$G215:$DV215,1,(Einstellungen!$C$3-2026)*24+22))</f>
        <v/>
      </c>
      <c r="AA215" s="76">
        <f>N(INDEX(Krankheitstage!$G215:$DV215,1,(Einstellungen!$C$3-2026)*24+23))</f>
        <v/>
      </c>
      <c r="AB215" s="76">
        <f>N(INDEX(Krankheitstage!$G215:$DV215,1,(Einstellungen!$C$3-2026)*24+24))</f>
        <v/>
      </c>
      <c r="AC215" s="76">
        <f>IF($B215="","",SUM(Q215:AB215))</f>
        <v/>
      </c>
      <c r="AD215" s="76">
        <f>IF($B215="","",SUM(P215,AC215))</f>
        <v/>
      </c>
      <c r="AE215" s="77">
        <f>IF($B215="","",AD215*N(C215))</f>
        <v/>
      </c>
      <c r="AF215" s="76">
        <f>IF($B215="","",Krankheitstage!E215)</f>
        <v/>
      </c>
      <c r="AG215" s="77">
        <f>IF($B215="","",AF215*N(C215))</f>
        <v/>
      </c>
    </row>
    <row r="216">
      <c r="A216" s="74">
        <f>IF(Mitarbeiter!B216="","",Mitarbeiter!A216)</f>
        <v/>
      </c>
      <c r="B216" s="6">
        <f>IF(Mitarbeiter!B216="","",Mitarbeiter!B216)</f>
        <v/>
      </c>
      <c r="C216" s="75">
        <f>IF(Mitarbeiter!B216="","",Mitarbeiter!F216)</f>
        <v/>
      </c>
      <c r="D216" s="76">
        <f>N(INDEX(Krankheitstage!$G216:$DV216,1,(Einstellungen!$C$3-2026)*24+1))</f>
        <v/>
      </c>
      <c r="E216" s="76">
        <f>N(INDEX(Krankheitstage!$G216:$DV216,1,(Einstellungen!$C$3-2026)*24+2))</f>
        <v/>
      </c>
      <c r="F216" s="76">
        <f>N(INDEX(Krankheitstage!$G216:$DV216,1,(Einstellungen!$C$3-2026)*24+3))</f>
        <v/>
      </c>
      <c r="G216" s="76">
        <f>N(INDEX(Krankheitstage!$G216:$DV216,1,(Einstellungen!$C$3-2026)*24+4))</f>
        <v/>
      </c>
      <c r="H216" s="76">
        <f>N(INDEX(Krankheitstage!$G216:$DV216,1,(Einstellungen!$C$3-2026)*24+5))</f>
        <v/>
      </c>
      <c r="I216" s="76">
        <f>N(INDEX(Krankheitstage!$G216:$DV216,1,(Einstellungen!$C$3-2026)*24+6))</f>
        <v/>
      </c>
      <c r="J216" s="76">
        <f>N(INDEX(Krankheitstage!$G216:$DV216,1,(Einstellungen!$C$3-2026)*24+7))</f>
        <v/>
      </c>
      <c r="K216" s="76">
        <f>N(INDEX(Krankheitstage!$G216:$DV216,1,(Einstellungen!$C$3-2026)*24+8))</f>
        <v/>
      </c>
      <c r="L216" s="76">
        <f>N(INDEX(Krankheitstage!$G216:$DV216,1,(Einstellungen!$C$3-2026)*24+9))</f>
        <v/>
      </c>
      <c r="M216" s="76">
        <f>N(INDEX(Krankheitstage!$G216:$DV216,1,(Einstellungen!$C$3-2026)*24+10))</f>
        <v/>
      </c>
      <c r="N216" s="76">
        <f>N(INDEX(Krankheitstage!$G216:$DV216,1,(Einstellungen!$C$3-2026)*24+11))</f>
        <v/>
      </c>
      <c r="O216" s="76">
        <f>N(INDEX(Krankheitstage!$G216:$DV216,1,(Einstellungen!$C$3-2026)*24+12))</f>
        <v/>
      </c>
      <c r="P216" s="76">
        <f>IF($B216="","",SUM(D216:O216))</f>
        <v/>
      </c>
      <c r="Q216" s="76">
        <f>N(INDEX(Krankheitstage!$G216:$DV216,1,(Einstellungen!$C$3-2026)*24+13))</f>
        <v/>
      </c>
      <c r="R216" s="76">
        <f>N(INDEX(Krankheitstage!$G216:$DV216,1,(Einstellungen!$C$3-2026)*24+14))</f>
        <v/>
      </c>
      <c r="S216" s="76">
        <f>N(INDEX(Krankheitstage!$G216:$DV216,1,(Einstellungen!$C$3-2026)*24+15))</f>
        <v/>
      </c>
      <c r="T216" s="76">
        <f>N(INDEX(Krankheitstage!$G216:$DV216,1,(Einstellungen!$C$3-2026)*24+16))</f>
        <v/>
      </c>
      <c r="U216" s="76">
        <f>N(INDEX(Krankheitstage!$G216:$DV216,1,(Einstellungen!$C$3-2026)*24+17))</f>
        <v/>
      </c>
      <c r="V216" s="76">
        <f>N(INDEX(Krankheitstage!$G216:$DV216,1,(Einstellungen!$C$3-2026)*24+18))</f>
        <v/>
      </c>
      <c r="W216" s="76">
        <f>N(INDEX(Krankheitstage!$G216:$DV216,1,(Einstellungen!$C$3-2026)*24+19))</f>
        <v/>
      </c>
      <c r="X216" s="76">
        <f>N(INDEX(Krankheitstage!$G216:$DV216,1,(Einstellungen!$C$3-2026)*24+20))</f>
        <v/>
      </c>
      <c r="Y216" s="76">
        <f>N(INDEX(Krankheitstage!$G216:$DV216,1,(Einstellungen!$C$3-2026)*24+21))</f>
        <v/>
      </c>
      <c r="Z216" s="76">
        <f>N(INDEX(Krankheitstage!$G216:$DV216,1,(Einstellungen!$C$3-2026)*24+22))</f>
        <v/>
      </c>
      <c r="AA216" s="76">
        <f>N(INDEX(Krankheitstage!$G216:$DV216,1,(Einstellungen!$C$3-2026)*24+23))</f>
        <v/>
      </c>
      <c r="AB216" s="76">
        <f>N(INDEX(Krankheitstage!$G216:$DV216,1,(Einstellungen!$C$3-2026)*24+24))</f>
        <v/>
      </c>
      <c r="AC216" s="76">
        <f>IF($B216="","",SUM(Q216:AB216))</f>
        <v/>
      </c>
      <c r="AD216" s="76">
        <f>IF($B216="","",SUM(P216,AC216))</f>
        <v/>
      </c>
      <c r="AE216" s="77">
        <f>IF($B216="","",AD216*N(C216))</f>
        <v/>
      </c>
      <c r="AF216" s="76">
        <f>IF($B216="","",Krankheitstage!E216)</f>
        <v/>
      </c>
      <c r="AG216" s="77">
        <f>IF($B216="","",AF216*N(C216))</f>
        <v/>
      </c>
    </row>
    <row r="217">
      <c r="A217" s="74">
        <f>IF(Mitarbeiter!B217="","",Mitarbeiter!A217)</f>
        <v/>
      </c>
      <c r="B217" s="6">
        <f>IF(Mitarbeiter!B217="","",Mitarbeiter!B217)</f>
        <v/>
      </c>
      <c r="C217" s="75">
        <f>IF(Mitarbeiter!B217="","",Mitarbeiter!F217)</f>
        <v/>
      </c>
      <c r="D217" s="76">
        <f>N(INDEX(Krankheitstage!$G217:$DV217,1,(Einstellungen!$C$3-2026)*24+1))</f>
        <v/>
      </c>
      <c r="E217" s="76">
        <f>N(INDEX(Krankheitstage!$G217:$DV217,1,(Einstellungen!$C$3-2026)*24+2))</f>
        <v/>
      </c>
      <c r="F217" s="76">
        <f>N(INDEX(Krankheitstage!$G217:$DV217,1,(Einstellungen!$C$3-2026)*24+3))</f>
        <v/>
      </c>
      <c r="G217" s="76">
        <f>N(INDEX(Krankheitstage!$G217:$DV217,1,(Einstellungen!$C$3-2026)*24+4))</f>
        <v/>
      </c>
      <c r="H217" s="76">
        <f>N(INDEX(Krankheitstage!$G217:$DV217,1,(Einstellungen!$C$3-2026)*24+5))</f>
        <v/>
      </c>
      <c r="I217" s="76">
        <f>N(INDEX(Krankheitstage!$G217:$DV217,1,(Einstellungen!$C$3-2026)*24+6))</f>
        <v/>
      </c>
      <c r="J217" s="76">
        <f>N(INDEX(Krankheitstage!$G217:$DV217,1,(Einstellungen!$C$3-2026)*24+7))</f>
        <v/>
      </c>
      <c r="K217" s="76">
        <f>N(INDEX(Krankheitstage!$G217:$DV217,1,(Einstellungen!$C$3-2026)*24+8))</f>
        <v/>
      </c>
      <c r="L217" s="76">
        <f>N(INDEX(Krankheitstage!$G217:$DV217,1,(Einstellungen!$C$3-2026)*24+9))</f>
        <v/>
      </c>
      <c r="M217" s="76">
        <f>N(INDEX(Krankheitstage!$G217:$DV217,1,(Einstellungen!$C$3-2026)*24+10))</f>
        <v/>
      </c>
      <c r="N217" s="76">
        <f>N(INDEX(Krankheitstage!$G217:$DV217,1,(Einstellungen!$C$3-2026)*24+11))</f>
        <v/>
      </c>
      <c r="O217" s="76">
        <f>N(INDEX(Krankheitstage!$G217:$DV217,1,(Einstellungen!$C$3-2026)*24+12))</f>
        <v/>
      </c>
      <c r="P217" s="76">
        <f>IF($B217="","",SUM(D217:O217))</f>
        <v/>
      </c>
      <c r="Q217" s="76">
        <f>N(INDEX(Krankheitstage!$G217:$DV217,1,(Einstellungen!$C$3-2026)*24+13))</f>
        <v/>
      </c>
      <c r="R217" s="76">
        <f>N(INDEX(Krankheitstage!$G217:$DV217,1,(Einstellungen!$C$3-2026)*24+14))</f>
        <v/>
      </c>
      <c r="S217" s="76">
        <f>N(INDEX(Krankheitstage!$G217:$DV217,1,(Einstellungen!$C$3-2026)*24+15))</f>
        <v/>
      </c>
      <c r="T217" s="76">
        <f>N(INDEX(Krankheitstage!$G217:$DV217,1,(Einstellungen!$C$3-2026)*24+16))</f>
        <v/>
      </c>
      <c r="U217" s="76">
        <f>N(INDEX(Krankheitstage!$G217:$DV217,1,(Einstellungen!$C$3-2026)*24+17))</f>
        <v/>
      </c>
      <c r="V217" s="76">
        <f>N(INDEX(Krankheitstage!$G217:$DV217,1,(Einstellungen!$C$3-2026)*24+18))</f>
        <v/>
      </c>
      <c r="W217" s="76">
        <f>N(INDEX(Krankheitstage!$G217:$DV217,1,(Einstellungen!$C$3-2026)*24+19))</f>
        <v/>
      </c>
      <c r="X217" s="76">
        <f>N(INDEX(Krankheitstage!$G217:$DV217,1,(Einstellungen!$C$3-2026)*24+20))</f>
        <v/>
      </c>
      <c r="Y217" s="76">
        <f>N(INDEX(Krankheitstage!$G217:$DV217,1,(Einstellungen!$C$3-2026)*24+21))</f>
        <v/>
      </c>
      <c r="Z217" s="76">
        <f>N(INDEX(Krankheitstage!$G217:$DV217,1,(Einstellungen!$C$3-2026)*24+22))</f>
        <v/>
      </c>
      <c r="AA217" s="76">
        <f>N(INDEX(Krankheitstage!$G217:$DV217,1,(Einstellungen!$C$3-2026)*24+23))</f>
        <v/>
      </c>
      <c r="AB217" s="76">
        <f>N(INDEX(Krankheitstage!$G217:$DV217,1,(Einstellungen!$C$3-2026)*24+24))</f>
        <v/>
      </c>
      <c r="AC217" s="76">
        <f>IF($B217="","",SUM(Q217:AB217))</f>
        <v/>
      </c>
      <c r="AD217" s="76">
        <f>IF($B217="","",SUM(P217,AC217))</f>
        <v/>
      </c>
      <c r="AE217" s="77">
        <f>IF($B217="","",AD217*N(C217))</f>
        <v/>
      </c>
      <c r="AF217" s="76">
        <f>IF($B217="","",Krankheitstage!E217)</f>
        <v/>
      </c>
      <c r="AG217" s="77">
        <f>IF($B217="","",AF217*N(C217))</f>
        <v/>
      </c>
    </row>
    <row r="218">
      <c r="A218" s="74">
        <f>IF(Mitarbeiter!B218="","",Mitarbeiter!A218)</f>
        <v/>
      </c>
      <c r="B218" s="6">
        <f>IF(Mitarbeiter!B218="","",Mitarbeiter!B218)</f>
        <v/>
      </c>
      <c r="C218" s="75">
        <f>IF(Mitarbeiter!B218="","",Mitarbeiter!F218)</f>
        <v/>
      </c>
      <c r="D218" s="76">
        <f>N(INDEX(Krankheitstage!$G218:$DV218,1,(Einstellungen!$C$3-2026)*24+1))</f>
        <v/>
      </c>
      <c r="E218" s="76">
        <f>N(INDEX(Krankheitstage!$G218:$DV218,1,(Einstellungen!$C$3-2026)*24+2))</f>
        <v/>
      </c>
      <c r="F218" s="76">
        <f>N(INDEX(Krankheitstage!$G218:$DV218,1,(Einstellungen!$C$3-2026)*24+3))</f>
        <v/>
      </c>
      <c r="G218" s="76">
        <f>N(INDEX(Krankheitstage!$G218:$DV218,1,(Einstellungen!$C$3-2026)*24+4))</f>
        <v/>
      </c>
      <c r="H218" s="76">
        <f>N(INDEX(Krankheitstage!$G218:$DV218,1,(Einstellungen!$C$3-2026)*24+5))</f>
        <v/>
      </c>
      <c r="I218" s="76">
        <f>N(INDEX(Krankheitstage!$G218:$DV218,1,(Einstellungen!$C$3-2026)*24+6))</f>
        <v/>
      </c>
      <c r="J218" s="76">
        <f>N(INDEX(Krankheitstage!$G218:$DV218,1,(Einstellungen!$C$3-2026)*24+7))</f>
        <v/>
      </c>
      <c r="K218" s="76">
        <f>N(INDEX(Krankheitstage!$G218:$DV218,1,(Einstellungen!$C$3-2026)*24+8))</f>
        <v/>
      </c>
      <c r="L218" s="76">
        <f>N(INDEX(Krankheitstage!$G218:$DV218,1,(Einstellungen!$C$3-2026)*24+9))</f>
        <v/>
      </c>
      <c r="M218" s="76">
        <f>N(INDEX(Krankheitstage!$G218:$DV218,1,(Einstellungen!$C$3-2026)*24+10))</f>
        <v/>
      </c>
      <c r="N218" s="76">
        <f>N(INDEX(Krankheitstage!$G218:$DV218,1,(Einstellungen!$C$3-2026)*24+11))</f>
        <v/>
      </c>
      <c r="O218" s="76">
        <f>N(INDEX(Krankheitstage!$G218:$DV218,1,(Einstellungen!$C$3-2026)*24+12))</f>
        <v/>
      </c>
      <c r="P218" s="76">
        <f>IF($B218="","",SUM(D218:O218))</f>
        <v/>
      </c>
      <c r="Q218" s="76">
        <f>N(INDEX(Krankheitstage!$G218:$DV218,1,(Einstellungen!$C$3-2026)*24+13))</f>
        <v/>
      </c>
      <c r="R218" s="76">
        <f>N(INDEX(Krankheitstage!$G218:$DV218,1,(Einstellungen!$C$3-2026)*24+14))</f>
        <v/>
      </c>
      <c r="S218" s="76">
        <f>N(INDEX(Krankheitstage!$G218:$DV218,1,(Einstellungen!$C$3-2026)*24+15))</f>
        <v/>
      </c>
      <c r="T218" s="76">
        <f>N(INDEX(Krankheitstage!$G218:$DV218,1,(Einstellungen!$C$3-2026)*24+16))</f>
        <v/>
      </c>
      <c r="U218" s="76">
        <f>N(INDEX(Krankheitstage!$G218:$DV218,1,(Einstellungen!$C$3-2026)*24+17))</f>
        <v/>
      </c>
      <c r="V218" s="76">
        <f>N(INDEX(Krankheitstage!$G218:$DV218,1,(Einstellungen!$C$3-2026)*24+18))</f>
        <v/>
      </c>
      <c r="W218" s="76">
        <f>N(INDEX(Krankheitstage!$G218:$DV218,1,(Einstellungen!$C$3-2026)*24+19))</f>
        <v/>
      </c>
      <c r="X218" s="76">
        <f>N(INDEX(Krankheitstage!$G218:$DV218,1,(Einstellungen!$C$3-2026)*24+20))</f>
        <v/>
      </c>
      <c r="Y218" s="76">
        <f>N(INDEX(Krankheitstage!$G218:$DV218,1,(Einstellungen!$C$3-2026)*24+21))</f>
        <v/>
      </c>
      <c r="Z218" s="76">
        <f>N(INDEX(Krankheitstage!$G218:$DV218,1,(Einstellungen!$C$3-2026)*24+22))</f>
        <v/>
      </c>
      <c r="AA218" s="76">
        <f>N(INDEX(Krankheitstage!$G218:$DV218,1,(Einstellungen!$C$3-2026)*24+23))</f>
        <v/>
      </c>
      <c r="AB218" s="76">
        <f>N(INDEX(Krankheitstage!$G218:$DV218,1,(Einstellungen!$C$3-2026)*24+24))</f>
        <v/>
      </c>
      <c r="AC218" s="76">
        <f>IF($B218="","",SUM(Q218:AB218))</f>
        <v/>
      </c>
      <c r="AD218" s="76">
        <f>IF($B218="","",SUM(P218,AC218))</f>
        <v/>
      </c>
      <c r="AE218" s="77">
        <f>IF($B218="","",AD218*N(C218))</f>
        <v/>
      </c>
      <c r="AF218" s="76">
        <f>IF($B218="","",Krankheitstage!E218)</f>
        <v/>
      </c>
      <c r="AG218" s="77">
        <f>IF($B218="","",AF218*N(C218))</f>
        <v/>
      </c>
    </row>
    <row r="219">
      <c r="A219" s="74">
        <f>IF(Mitarbeiter!B219="","",Mitarbeiter!A219)</f>
        <v/>
      </c>
      <c r="B219" s="6">
        <f>IF(Mitarbeiter!B219="","",Mitarbeiter!B219)</f>
        <v/>
      </c>
      <c r="C219" s="75">
        <f>IF(Mitarbeiter!B219="","",Mitarbeiter!F219)</f>
        <v/>
      </c>
      <c r="D219" s="76">
        <f>N(INDEX(Krankheitstage!$G219:$DV219,1,(Einstellungen!$C$3-2026)*24+1))</f>
        <v/>
      </c>
      <c r="E219" s="76">
        <f>N(INDEX(Krankheitstage!$G219:$DV219,1,(Einstellungen!$C$3-2026)*24+2))</f>
        <v/>
      </c>
      <c r="F219" s="76">
        <f>N(INDEX(Krankheitstage!$G219:$DV219,1,(Einstellungen!$C$3-2026)*24+3))</f>
        <v/>
      </c>
      <c r="G219" s="76">
        <f>N(INDEX(Krankheitstage!$G219:$DV219,1,(Einstellungen!$C$3-2026)*24+4))</f>
        <v/>
      </c>
      <c r="H219" s="76">
        <f>N(INDEX(Krankheitstage!$G219:$DV219,1,(Einstellungen!$C$3-2026)*24+5))</f>
        <v/>
      </c>
      <c r="I219" s="76">
        <f>N(INDEX(Krankheitstage!$G219:$DV219,1,(Einstellungen!$C$3-2026)*24+6))</f>
        <v/>
      </c>
      <c r="J219" s="76">
        <f>N(INDEX(Krankheitstage!$G219:$DV219,1,(Einstellungen!$C$3-2026)*24+7))</f>
        <v/>
      </c>
      <c r="K219" s="76">
        <f>N(INDEX(Krankheitstage!$G219:$DV219,1,(Einstellungen!$C$3-2026)*24+8))</f>
        <v/>
      </c>
      <c r="L219" s="76">
        <f>N(INDEX(Krankheitstage!$G219:$DV219,1,(Einstellungen!$C$3-2026)*24+9))</f>
        <v/>
      </c>
      <c r="M219" s="76">
        <f>N(INDEX(Krankheitstage!$G219:$DV219,1,(Einstellungen!$C$3-2026)*24+10))</f>
        <v/>
      </c>
      <c r="N219" s="76">
        <f>N(INDEX(Krankheitstage!$G219:$DV219,1,(Einstellungen!$C$3-2026)*24+11))</f>
        <v/>
      </c>
      <c r="O219" s="76">
        <f>N(INDEX(Krankheitstage!$G219:$DV219,1,(Einstellungen!$C$3-2026)*24+12))</f>
        <v/>
      </c>
      <c r="P219" s="76">
        <f>IF($B219="","",SUM(D219:O219))</f>
        <v/>
      </c>
      <c r="Q219" s="76">
        <f>N(INDEX(Krankheitstage!$G219:$DV219,1,(Einstellungen!$C$3-2026)*24+13))</f>
        <v/>
      </c>
      <c r="R219" s="76">
        <f>N(INDEX(Krankheitstage!$G219:$DV219,1,(Einstellungen!$C$3-2026)*24+14))</f>
        <v/>
      </c>
      <c r="S219" s="76">
        <f>N(INDEX(Krankheitstage!$G219:$DV219,1,(Einstellungen!$C$3-2026)*24+15))</f>
        <v/>
      </c>
      <c r="T219" s="76">
        <f>N(INDEX(Krankheitstage!$G219:$DV219,1,(Einstellungen!$C$3-2026)*24+16))</f>
        <v/>
      </c>
      <c r="U219" s="76">
        <f>N(INDEX(Krankheitstage!$G219:$DV219,1,(Einstellungen!$C$3-2026)*24+17))</f>
        <v/>
      </c>
      <c r="V219" s="76">
        <f>N(INDEX(Krankheitstage!$G219:$DV219,1,(Einstellungen!$C$3-2026)*24+18))</f>
        <v/>
      </c>
      <c r="W219" s="76">
        <f>N(INDEX(Krankheitstage!$G219:$DV219,1,(Einstellungen!$C$3-2026)*24+19))</f>
        <v/>
      </c>
      <c r="X219" s="76">
        <f>N(INDEX(Krankheitstage!$G219:$DV219,1,(Einstellungen!$C$3-2026)*24+20))</f>
        <v/>
      </c>
      <c r="Y219" s="76">
        <f>N(INDEX(Krankheitstage!$G219:$DV219,1,(Einstellungen!$C$3-2026)*24+21))</f>
        <v/>
      </c>
      <c r="Z219" s="76">
        <f>N(INDEX(Krankheitstage!$G219:$DV219,1,(Einstellungen!$C$3-2026)*24+22))</f>
        <v/>
      </c>
      <c r="AA219" s="76">
        <f>N(INDEX(Krankheitstage!$G219:$DV219,1,(Einstellungen!$C$3-2026)*24+23))</f>
        <v/>
      </c>
      <c r="AB219" s="76">
        <f>N(INDEX(Krankheitstage!$G219:$DV219,1,(Einstellungen!$C$3-2026)*24+24))</f>
        <v/>
      </c>
      <c r="AC219" s="76">
        <f>IF($B219="","",SUM(Q219:AB219))</f>
        <v/>
      </c>
      <c r="AD219" s="76">
        <f>IF($B219="","",SUM(P219,AC219))</f>
        <v/>
      </c>
      <c r="AE219" s="77">
        <f>IF($B219="","",AD219*N(C219))</f>
        <v/>
      </c>
      <c r="AF219" s="76">
        <f>IF($B219="","",Krankheitstage!E219)</f>
        <v/>
      </c>
      <c r="AG219" s="77">
        <f>IF($B219="","",AF219*N(C219))</f>
        <v/>
      </c>
    </row>
    <row r="220">
      <c r="A220" s="74">
        <f>IF(Mitarbeiter!B220="","",Mitarbeiter!A220)</f>
        <v/>
      </c>
      <c r="B220" s="6">
        <f>IF(Mitarbeiter!B220="","",Mitarbeiter!B220)</f>
        <v/>
      </c>
      <c r="C220" s="75">
        <f>IF(Mitarbeiter!B220="","",Mitarbeiter!F220)</f>
        <v/>
      </c>
      <c r="D220" s="76">
        <f>N(INDEX(Krankheitstage!$G220:$DV220,1,(Einstellungen!$C$3-2026)*24+1))</f>
        <v/>
      </c>
      <c r="E220" s="76">
        <f>N(INDEX(Krankheitstage!$G220:$DV220,1,(Einstellungen!$C$3-2026)*24+2))</f>
        <v/>
      </c>
      <c r="F220" s="76">
        <f>N(INDEX(Krankheitstage!$G220:$DV220,1,(Einstellungen!$C$3-2026)*24+3))</f>
        <v/>
      </c>
      <c r="G220" s="76">
        <f>N(INDEX(Krankheitstage!$G220:$DV220,1,(Einstellungen!$C$3-2026)*24+4))</f>
        <v/>
      </c>
      <c r="H220" s="76">
        <f>N(INDEX(Krankheitstage!$G220:$DV220,1,(Einstellungen!$C$3-2026)*24+5))</f>
        <v/>
      </c>
      <c r="I220" s="76">
        <f>N(INDEX(Krankheitstage!$G220:$DV220,1,(Einstellungen!$C$3-2026)*24+6))</f>
        <v/>
      </c>
      <c r="J220" s="76">
        <f>N(INDEX(Krankheitstage!$G220:$DV220,1,(Einstellungen!$C$3-2026)*24+7))</f>
        <v/>
      </c>
      <c r="K220" s="76">
        <f>N(INDEX(Krankheitstage!$G220:$DV220,1,(Einstellungen!$C$3-2026)*24+8))</f>
        <v/>
      </c>
      <c r="L220" s="76">
        <f>N(INDEX(Krankheitstage!$G220:$DV220,1,(Einstellungen!$C$3-2026)*24+9))</f>
        <v/>
      </c>
      <c r="M220" s="76">
        <f>N(INDEX(Krankheitstage!$G220:$DV220,1,(Einstellungen!$C$3-2026)*24+10))</f>
        <v/>
      </c>
      <c r="N220" s="76">
        <f>N(INDEX(Krankheitstage!$G220:$DV220,1,(Einstellungen!$C$3-2026)*24+11))</f>
        <v/>
      </c>
      <c r="O220" s="76">
        <f>N(INDEX(Krankheitstage!$G220:$DV220,1,(Einstellungen!$C$3-2026)*24+12))</f>
        <v/>
      </c>
      <c r="P220" s="76">
        <f>IF($B220="","",SUM(D220:O220))</f>
        <v/>
      </c>
      <c r="Q220" s="76">
        <f>N(INDEX(Krankheitstage!$G220:$DV220,1,(Einstellungen!$C$3-2026)*24+13))</f>
        <v/>
      </c>
      <c r="R220" s="76">
        <f>N(INDEX(Krankheitstage!$G220:$DV220,1,(Einstellungen!$C$3-2026)*24+14))</f>
        <v/>
      </c>
      <c r="S220" s="76">
        <f>N(INDEX(Krankheitstage!$G220:$DV220,1,(Einstellungen!$C$3-2026)*24+15))</f>
        <v/>
      </c>
      <c r="T220" s="76">
        <f>N(INDEX(Krankheitstage!$G220:$DV220,1,(Einstellungen!$C$3-2026)*24+16))</f>
        <v/>
      </c>
      <c r="U220" s="76">
        <f>N(INDEX(Krankheitstage!$G220:$DV220,1,(Einstellungen!$C$3-2026)*24+17))</f>
        <v/>
      </c>
      <c r="V220" s="76">
        <f>N(INDEX(Krankheitstage!$G220:$DV220,1,(Einstellungen!$C$3-2026)*24+18))</f>
        <v/>
      </c>
      <c r="W220" s="76">
        <f>N(INDEX(Krankheitstage!$G220:$DV220,1,(Einstellungen!$C$3-2026)*24+19))</f>
        <v/>
      </c>
      <c r="X220" s="76">
        <f>N(INDEX(Krankheitstage!$G220:$DV220,1,(Einstellungen!$C$3-2026)*24+20))</f>
        <v/>
      </c>
      <c r="Y220" s="76">
        <f>N(INDEX(Krankheitstage!$G220:$DV220,1,(Einstellungen!$C$3-2026)*24+21))</f>
        <v/>
      </c>
      <c r="Z220" s="76">
        <f>N(INDEX(Krankheitstage!$G220:$DV220,1,(Einstellungen!$C$3-2026)*24+22))</f>
        <v/>
      </c>
      <c r="AA220" s="76">
        <f>N(INDEX(Krankheitstage!$G220:$DV220,1,(Einstellungen!$C$3-2026)*24+23))</f>
        <v/>
      </c>
      <c r="AB220" s="76">
        <f>N(INDEX(Krankheitstage!$G220:$DV220,1,(Einstellungen!$C$3-2026)*24+24))</f>
        <v/>
      </c>
      <c r="AC220" s="76">
        <f>IF($B220="","",SUM(Q220:AB220))</f>
        <v/>
      </c>
      <c r="AD220" s="76">
        <f>IF($B220="","",SUM(P220,AC220))</f>
        <v/>
      </c>
      <c r="AE220" s="77">
        <f>IF($B220="","",AD220*N(C220))</f>
        <v/>
      </c>
      <c r="AF220" s="76">
        <f>IF($B220="","",Krankheitstage!E220)</f>
        <v/>
      </c>
      <c r="AG220" s="77">
        <f>IF($B220="","",AF220*N(C220))</f>
        <v/>
      </c>
    </row>
    <row r="221">
      <c r="A221" s="74">
        <f>IF(Mitarbeiter!B221="","",Mitarbeiter!A221)</f>
        <v/>
      </c>
      <c r="B221" s="6">
        <f>IF(Mitarbeiter!B221="","",Mitarbeiter!B221)</f>
        <v/>
      </c>
      <c r="C221" s="75">
        <f>IF(Mitarbeiter!B221="","",Mitarbeiter!F221)</f>
        <v/>
      </c>
      <c r="D221" s="76">
        <f>N(INDEX(Krankheitstage!$G221:$DV221,1,(Einstellungen!$C$3-2026)*24+1))</f>
        <v/>
      </c>
      <c r="E221" s="76">
        <f>N(INDEX(Krankheitstage!$G221:$DV221,1,(Einstellungen!$C$3-2026)*24+2))</f>
        <v/>
      </c>
      <c r="F221" s="76">
        <f>N(INDEX(Krankheitstage!$G221:$DV221,1,(Einstellungen!$C$3-2026)*24+3))</f>
        <v/>
      </c>
      <c r="G221" s="76">
        <f>N(INDEX(Krankheitstage!$G221:$DV221,1,(Einstellungen!$C$3-2026)*24+4))</f>
        <v/>
      </c>
      <c r="H221" s="76">
        <f>N(INDEX(Krankheitstage!$G221:$DV221,1,(Einstellungen!$C$3-2026)*24+5))</f>
        <v/>
      </c>
      <c r="I221" s="76">
        <f>N(INDEX(Krankheitstage!$G221:$DV221,1,(Einstellungen!$C$3-2026)*24+6))</f>
        <v/>
      </c>
      <c r="J221" s="76">
        <f>N(INDEX(Krankheitstage!$G221:$DV221,1,(Einstellungen!$C$3-2026)*24+7))</f>
        <v/>
      </c>
      <c r="K221" s="76">
        <f>N(INDEX(Krankheitstage!$G221:$DV221,1,(Einstellungen!$C$3-2026)*24+8))</f>
        <v/>
      </c>
      <c r="L221" s="76">
        <f>N(INDEX(Krankheitstage!$G221:$DV221,1,(Einstellungen!$C$3-2026)*24+9))</f>
        <v/>
      </c>
      <c r="M221" s="76">
        <f>N(INDEX(Krankheitstage!$G221:$DV221,1,(Einstellungen!$C$3-2026)*24+10))</f>
        <v/>
      </c>
      <c r="N221" s="76">
        <f>N(INDEX(Krankheitstage!$G221:$DV221,1,(Einstellungen!$C$3-2026)*24+11))</f>
        <v/>
      </c>
      <c r="O221" s="76">
        <f>N(INDEX(Krankheitstage!$G221:$DV221,1,(Einstellungen!$C$3-2026)*24+12))</f>
        <v/>
      </c>
      <c r="P221" s="76">
        <f>IF($B221="","",SUM(D221:O221))</f>
        <v/>
      </c>
      <c r="Q221" s="76">
        <f>N(INDEX(Krankheitstage!$G221:$DV221,1,(Einstellungen!$C$3-2026)*24+13))</f>
        <v/>
      </c>
      <c r="R221" s="76">
        <f>N(INDEX(Krankheitstage!$G221:$DV221,1,(Einstellungen!$C$3-2026)*24+14))</f>
        <v/>
      </c>
      <c r="S221" s="76">
        <f>N(INDEX(Krankheitstage!$G221:$DV221,1,(Einstellungen!$C$3-2026)*24+15))</f>
        <v/>
      </c>
      <c r="T221" s="76">
        <f>N(INDEX(Krankheitstage!$G221:$DV221,1,(Einstellungen!$C$3-2026)*24+16))</f>
        <v/>
      </c>
      <c r="U221" s="76">
        <f>N(INDEX(Krankheitstage!$G221:$DV221,1,(Einstellungen!$C$3-2026)*24+17))</f>
        <v/>
      </c>
      <c r="V221" s="76">
        <f>N(INDEX(Krankheitstage!$G221:$DV221,1,(Einstellungen!$C$3-2026)*24+18))</f>
        <v/>
      </c>
      <c r="W221" s="76">
        <f>N(INDEX(Krankheitstage!$G221:$DV221,1,(Einstellungen!$C$3-2026)*24+19))</f>
        <v/>
      </c>
      <c r="X221" s="76">
        <f>N(INDEX(Krankheitstage!$G221:$DV221,1,(Einstellungen!$C$3-2026)*24+20))</f>
        <v/>
      </c>
      <c r="Y221" s="76">
        <f>N(INDEX(Krankheitstage!$G221:$DV221,1,(Einstellungen!$C$3-2026)*24+21))</f>
        <v/>
      </c>
      <c r="Z221" s="76">
        <f>N(INDEX(Krankheitstage!$G221:$DV221,1,(Einstellungen!$C$3-2026)*24+22))</f>
        <v/>
      </c>
      <c r="AA221" s="76">
        <f>N(INDEX(Krankheitstage!$G221:$DV221,1,(Einstellungen!$C$3-2026)*24+23))</f>
        <v/>
      </c>
      <c r="AB221" s="76">
        <f>N(INDEX(Krankheitstage!$G221:$DV221,1,(Einstellungen!$C$3-2026)*24+24))</f>
        <v/>
      </c>
      <c r="AC221" s="76">
        <f>IF($B221="","",SUM(Q221:AB221))</f>
        <v/>
      </c>
      <c r="AD221" s="76">
        <f>IF($B221="","",SUM(P221,AC221))</f>
        <v/>
      </c>
      <c r="AE221" s="77">
        <f>IF($B221="","",AD221*N(C221))</f>
        <v/>
      </c>
      <c r="AF221" s="76">
        <f>IF($B221="","",Krankheitstage!E221)</f>
        <v/>
      </c>
      <c r="AG221" s="77">
        <f>IF($B221="","",AF221*N(C221))</f>
        <v/>
      </c>
    </row>
    <row r="222">
      <c r="A222" s="74">
        <f>IF(Mitarbeiter!B222="","",Mitarbeiter!A222)</f>
        <v/>
      </c>
      <c r="B222" s="6">
        <f>IF(Mitarbeiter!B222="","",Mitarbeiter!B222)</f>
        <v/>
      </c>
      <c r="C222" s="75">
        <f>IF(Mitarbeiter!B222="","",Mitarbeiter!F222)</f>
        <v/>
      </c>
      <c r="D222" s="76">
        <f>N(INDEX(Krankheitstage!$G222:$DV222,1,(Einstellungen!$C$3-2026)*24+1))</f>
        <v/>
      </c>
      <c r="E222" s="76">
        <f>N(INDEX(Krankheitstage!$G222:$DV222,1,(Einstellungen!$C$3-2026)*24+2))</f>
        <v/>
      </c>
      <c r="F222" s="76">
        <f>N(INDEX(Krankheitstage!$G222:$DV222,1,(Einstellungen!$C$3-2026)*24+3))</f>
        <v/>
      </c>
      <c r="G222" s="76">
        <f>N(INDEX(Krankheitstage!$G222:$DV222,1,(Einstellungen!$C$3-2026)*24+4))</f>
        <v/>
      </c>
      <c r="H222" s="76">
        <f>N(INDEX(Krankheitstage!$G222:$DV222,1,(Einstellungen!$C$3-2026)*24+5))</f>
        <v/>
      </c>
      <c r="I222" s="76">
        <f>N(INDEX(Krankheitstage!$G222:$DV222,1,(Einstellungen!$C$3-2026)*24+6))</f>
        <v/>
      </c>
      <c r="J222" s="76">
        <f>N(INDEX(Krankheitstage!$G222:$DV222,1,(Einstellungen!$C$3-2026)*24+7))</f>
        <v/>
      </c>
      <c r="K222" s="76">
        <f>N(INDEX(Krankheitstage!$G222:$DV222,1,(Einstellungen!$C$3-2026)*24+8))</f>
        <v/>
      </c>
      <c r="L222" s="76">
        <f>N(INDEX(Krankheitstage!$G222:$DV222,1,(Einstellungen!$C$3-2026)*24+9))</f>
        <v/>
      </c>
      <c r="M222" s="76">
        <f>N(INDEX(Krankheitstage!$G222:$DV222,1,(Einstellungen!$C$3-2026)*24+10))</f>
        <v/>
      </c>
      <c r="N222" s="76">
        <f>N(INDEX(Krankheitstage!$G222:$DV222,1,(Einstellungen!$C$3-2026)*24+11))</f>
        <v/>
      </c>
      <c r="O222" s="76">
        <f>N(INDEX(Krankheitstage!$G222:$DV222,1,(Einstellungen!$C$3-2026)*24+12))</f>
        <v/>
      </c>
      <c r="P222" s="76">
        <f>IF($B222="","",SUM(D222:O222))</f>
        <v/>
      </c>
      <c r="Q222" s="76">
        <f>N(INDEX(Krankheitstage!$G222:$DV222,1,(Einstellungen!$C$3-2026)*24+13))</f>
        <v/>
      </c>
      <c r="R222" s="76">
        <f>N(INDEX(Krankheitstage!$G222:$DV222,1,(Einstellungen!$C$3-2026)*24+14))</f>
        <v/>
      </c>
      <c r="S222" s="76">
        <f>N(INDEX(Krankheitstage!$G222:$DV222,1,(Einstellungen!$C$3-2026)*24+15))</f>
        <v/>
      </c>
      <c r="T222" s="76">
        <f>N(INDEX(Krankheitstage!$G222:$DV222,1,(Einstellungen!$C$3-2026)*24+16))</f>
        <v/>
      </c>
      <c r="U222" s="76">
        <f>N(INDEX(Krankheitstage!$G222:$DV222,1,(Einstellungen!$C$3-2026)*24+17))</f>
        <v/>
      </c>
      <c r="V222" s="76">
        <f>N(INDEX(Krankheitstage!$G222:$DV222,1,(Einstellungen!$C$3-2026)*24+18))</f>
        <v/>
      </c>
      <c r="W222" s="76">
        <f>N(INDEX(Krankheitstage!$G222:$DV222,1,(Einstellungen!$C$3-2026)*24+19))</f>
        <v/>
      </c>
      <c r="X222" s="76">
        <f>N(INDEX(Krankheitstage!$G222:$DV222,1,(Einstellungen!$C$3-2026)*24+20))</f>
        <v/>
      </c>
      <c r="Y222" s="76">
        <f>N(INDEX(Krankheitstage!$G222:$DV222,1,(Einstellungen!$C$3-2026)*24+21))</f>
        <v/>
      </c>
      <c r="Z222" s="76">
        <f>N(INDEX(Krankheitstage!$G222:$DV222,1,(Einstellungen!$C$3-2026)*24+22))</f>
        <v/>
      </c>
      <c r="AA222" s="76">
        <f>N(INDEX(Krankheitstage!$G222:$DV222,1,(Einstellungen!$C$3-2026)*24+23))</f>
        <v/>
      </c>
      <c r="AB222" s="76">
        <f>N(INDEX(Krankheitstage!$G222:$DV222,1,(Einstellungen!$C$3-2026)*24+24))</f>
        <v/>
      </c>
      <c r="AC222" s="76">
        <f>IF($B222="","",SUM(Q222:AB222))</f>
        <v/>
      </c>
      <c r="AD222" s="76">
        <f>IF($B222="","",SUM(P222,AC222))</f>
        <v/>
      </c>
      <c r="AE222" s="77">
        <f>IF($B222="","",AD222*N(C222))</f>
        <v/>
      </c>
      <c r="AF222" s="76">
        <f>IF($B222="","",Krankheitstage!E222)</f>
        <v/>
      </c>
      <c r="AG222" s="77">
        <f>IF($B222="","",AF222*N(C222))</f>
        <v/>
      </c>
    </row>
    <row r="223">
      <c r="A223" s="74">
        <f>IF(Mitarbeiter!B223="","",Mitarbeiter!A223)</f>
        <v/>
      </c>
      <c r="B223" s="6">
        <f>IF(Mitarbeiter!B223="","",Mitarbeiter!B223)</f>
        <v/>
      </c>
      <c r="C223" s="75">
        <f>IF(Mitarbeiter!B223="","",Mitarbeiter!F223)</f>
        <v/>
      </c>
      <c r="D223" s="76">
        <f>N(INDEX(Krankheitstage!$G223:$DV223,1,(Einstellungen!$C$3-2026)*24+1))</f>
        <v/>
      </c>
      <c r="E223" s="76">
        <f>N(INDEX(Krankheitstage!$G223:$DV223,1,(Einstellungen!$C$3-2026)*24+2))</f>
        <v/>
      </c>
      <c r="F223" s="76">
        <f>N(INDEX(Krankheitstage!$G223:$DV223,1,(Einstellungen!$C$3-2026)*24+3))</f>
        <v/>
      </c>
      <c r="G223" s="76">
        <f>N(INDEX(Krankheitstage!$G223:$DV223,1,(Einstellungen!$C$3-2026)*24+4))</f>
        <v/>
      </c>
      <c r="H223" s="76">
        <f>N(INDEX(Krankheitstage!$G223:$DV223,1,(Einstellungen!$C$3-2026)*24+5))</f>
        <v/>
      </c>
      <c r="I223" s="76">
        <f>N(INDEX(Krankheitstage!$G223:$DV223,1,(Einstellungen!$C$3-2026)*24+6))</f>
        <v/>
      </c>
      <c r="J223" s="76">
        <f>N(INDEX(Krankheitstage!$G223:$DV223,1,(Einstellungen!$C$3-2026)*24+7))</f>
        <v/>
      </c>
      <c r="K223" s="76">
        <f>N(INDEX(Krankheitstage!$G223:$DV223,1,(Einstellungen!$C$3-2026)*24+8))</f>
        <v/>
      </c>
      <c r="L223" s="76">
        <f>N(INDEX(Krankheitstage!$G223:$DV223,1,(Einstellungen!$C$3-2026)*24+9))</f>
        <v/>
      </c>
      <c r="M223" s="76">
        <f>N(INDEX(Krankheitstage!$G223:$DV223,1,(Einstellungen!$C$3-2026)*24+10))</f>
        <v/>
      </c>
      <c r="N223" s="76">
        <f>N(INDEX(Krankheitstage!$G223:$DV223,1,(Einstellungen!$C$3-2026)*24+11))</f>
        <v/>
      </c>
      <c r="O223" s="76">
        <f>N(INDEX(Krankheitstage!$G223:$DV223,1,(Einstellungen!$C$3-2026)*24+12))</f>
        <v/>
      </c>
      <c r="P223" s="76">
        <f>IF($B223="","",SUM(D223:O223))</f>
        <v/>
      </c>
      <c r="Q223" s="76">
        <f>N(INDEX(Krankheitstage!$G223:$DV223,1,(Einstellungen!$C$3-2026)*24+13))</f>
        <v/>
      </c>
      <c r="R223" s="76">
        <f>N(INDEX(Krankheitstage!$G223:$DV223,1,(Einstellungen!$C$3-2026)*24+14))</f>
        <v/>
      </c>
      <c r="S223" s="76">
        <f>N(INDEX(Krankheitstage!$G223:$DV223,1,(Einstellungen!$C$3-2026)*24+15))</f>
        <v/>
      </c>
      <c r="T223" s="76">
        <f>N(INDEX(Krankheitstage!$G223:$DV223,1,(Einstellungen!$C$3-2026)*24+16))</f>
        <v/>
      </c>
      <c r="U223" s="76">
        <f>N(INDEX(Krankheitstage!$G223:$DV223,1,(Einstellungen!$C$3-2026)*24+17))</f>
        <v/>
      </c>
      <c r="V223" s="76">
        <f>N(INDEX(Krankheitstage!$G223:$DV223,1,(Einstellungen!$C$3-2026)*24+18))</f>
        <v/>
      </c>
      <c r="W223" s="76">
        <f>N(INDEX(Krankheitstage!$G223:$DV223,1,(Einstellungen!$C$3-2026)*24+19))</f>
        <v/>
      </c>
      <c r="X223" s="76">
        <f>N(INDEX(Krankheitstage!$G223:$DV223,1,(Einstellungen!$C$3-2026)*24+20))</f>
        <v/>
      </c>
      <c r="Y223" s="76">
        <f>N(INDEX(Krankheitstage!$G223:$DV223,1,(Einstellungen!$C$3-2026)*24+21))</f>
        <v/>
      </c>
      <c r="Z223" s="76">
        <f>N(INDEX(Krankheitstage!$G223:$DV223,1,(Einstellungen!$C$3-2026)*24+22))</f>
        <v/>
      </c>
      <c r="AA223" s="76">
        <f>N(INDEX(Krankheitstage!$G223:$DV223,1,(Einstellungen!$C$3-2026)*24+23))</f>
        <v/>
      </c>
      <c r="AB223" s="76">
        <f>N(INDEX(Krankheitstage!$G223:$DV223,1,(Einstellungen!$C$3-2026)*24+24))</f>
        <v/>
      </c>
      <c r="AC223" s="76">
        <f>IF($B223="","",SUM(Q223:AB223))</f>
        <v/>
      </c>
      <c r="AD223" s="76">
        <f>IF($B223="","",SUM(P223,AC223))</f>
        <v/>
      </c>
      <c r="AE223" s="77">
        <f>IF($B223="","",AD223*N(C223))</f>
        <v/>
      </c>
      <c r="AF223" s="76">
        <f>IF($B223="","",Krankheitstage!E223)</f>
        <v/>
      </c>
      <c r="AG223" s="77">
        <f>IF($B223="","",AF223*N(C223))</f>
        <v/>
      </c>
    </row>
    <row r="224">
      <c r="A224" s="74">
        <f>IF(Mitarbeiter!B224="","",Mitarbeiter!A224)</f>
        <v/>
      </c>
      <c r="B224" s="6">
        <f>IF(Mitarbeiter!B224="","",Mitarbeiter!B224)</f>
        <v/>
      </c>
      <c r="C224" s="75">
        <f>IF(Mitarbeiter!B224="","",Mitarbeiter!F224)</f>
        <v/>
      </c>
      <c r="D224" s="76">
        <f>N(INDEX(Krankheitstage!$G224:$DV224,1,(Einstellungen!$C$3-2026)*24+1))</f>
        <v/>
      </c>
      <c r="E224" s="76">
        <f>N(INDEX(Krankheitstage!$G224:$DV224,1,(Einstellungen!$C$3-2026)*24+2))</f>
        <v/>
      </c>
      <c r="F224" s="76">
        <f>N(INDEX(Krankheitstage!$G224:$DV224,1,(Einstellungen!$C$3-2026)*24+3))</f>
        <v/>
      </c>
      <c r="G224" s="76">
        <f>N(INDEX(Krankheitstage!$G224:$DV224,1,(Einstellungen!$C$3-2026)*24+4))</f>
        <v/>
      </c>
      <c r="H224" s="76">
        <f>N(INDEX(Krankheitstage!$G224:$DV224,1,(Einstellungen!$C$3-2026)*24+5))</f>
        <v/>
      </c>
      <c r="I224" s="76">
        <f>N(INDEX(Krankheitstage!$G224:$DV224,1,(Einstellungen!$C$3-2026)*24+6))</f>
        <v/>
      </c>
      <c r="J224" s="76">
        <f>N(INDEX(Krankheitstage!$G224:$DV224,1,(Einstellungen!$C$3-2026)*24+7))</f>
        <v/>
      </c>
      <c r="K224" s="76">
        <f>N(INDEX(Krankheitstage!$G224:$DV224,1,(Einstellungen!$C$3-2026)*24+8))</f>
        <v/>
      </c>
      <c r="L224" s="76">
        <f>N(INDEX(Krankheitstage!$G224:$DV224,1,(Einstellungen!$C$3-2026)*24+9))</f>
        <v/>
      </c>
      <c r="M224" s="76">
        <f>N(INDEX(Krankheitstage!$G224:$DV224,1,(Einstellungen!$C$3-2026)*24+10))</f>
        <v/>
      </c>
      <c r="N224" s="76">
        <f>N(INDEX(Krankheitstage!$G224:$DV224,1,(Einstellungen!$C$3-2026)*24+11))</f>
        <v/>
      </c>
      <c r="O224" s="76">
        <f>N(INDEX(Krankheitstage!$G224:$DV224,1,(Einstellungen!$C$3-2026)*24+12))</f>
        <v/>
      </c>
      <c r="P224" s="76">
        <f>IF($B224="","",SUM(D224:O224))</f>
        <v/>
      </c>
      <c r="Q224" s="76">
        <f>N(INDEX(Krankheitstage!$G224:$DV224,1,(Einstellungen!$C$3-2026)*24+13))</f>
        <v/>
      </c>
      <c r="R224" s="76">
        <f>N(INDEX(Krankheitstage!$G224:$DV224,1,(Einstellungen!$C$3-2026)*24+14))</f>
        <v/>
      </c>
      <c r="S224" s="76">
        <f>N(INDEX(Krankheitstage!$G224:$DV224,1,(Einstellungen!$C$3-2026)*24+15))</f>
        <v/>
      </c>
      <c r="T224" s="76">
        <f>N(INDEX(Krankheitstage!$G224:$DV224,1,(Einstellungen!$C$3-2026)*24+16))</f>
        <v/>
      </c>
      <c r="U224" s="76">
        <f>N(INDEX(Krankheitstage!$G224:$DV224,1,(Einstellungen!$C$3-2026)*24+17))</f>
        <v/>
      </c>
      <c r="V224" s="76">
        <f>N(INDEX(Krankheitstage!$G224:$DV224,1,(Einstellungen!$C$3-2026)*24+18))</f>
        <v/>
      </c>
      <c r="W224" s="76">
        <f>N(INDEX(Krankheitstage!$G224:$DV224,1,(Einstellungen!$C$3-2026)*24+19))</f>
        <v/>
      </c>
      <c r="X224" s="76">
        <f>N(INDEX(Krankheitstage!$G224:$DV224,1,(Einstellungen!$C$3-2026)*24+20))</f>
        <v/>
      </c>
      <c r="Y224" s="76">
        <f>N(INDEX(Krankheitstage!$G224:$DV224,1,(Einstellungen!$C$3-2026)*24+21))</f>
        <v/>
      </c>
      <c r="Z224" s="76">
        <f>N(INDEX(Krankheitstage!$G224:$DV224,1,(Einstellungen!$C$3-2026)*24+22))</f>
        <v/>
      </c>
      <c r="AA224" s="76">
        <f>N(INDEX(Krankheitstage!$G224:$DV224,1,(Einstellungen!$C$3-2026)*24+23))</f>
        <v/>
      </c>
      <c r="AB224" s="76">
        <f>N(INDEX(Krankheitstage!$G224:$DV224,1,(Einstellungen!$C$3-2026)*24+24))</f>
        <v/>
      </c>
      <c r="AC224" s="76">
        <f>IF($B224="","",SUM(Q224:AB224))</f>
        <v/>
      </c>
      <c r="AD224" s="76">
        <f>IF($B224="","",SUM(P224,AC224))</f>
        <v/>
      </c>
      <c r="AE224" s="77">
        <f>IF($B224="","",AD224*N(C224))</f>
        <v/>
      </c>
      <c r="AF224" s="76">
        <f>IF($B224="","",Krankheitstage!E224)</f>
        <v/>
      </c>
      <c r="AG224" s="77">
        <f>IF($B224="","",AF224*N(C224))</f>
        <v/>
      </c>
    </row>
    <row r="225">
      <c r="A225" s="74">
        <f>IF(Mitarbeiter!B225="","",Mitarbeiter!A225)</f>
        <v/>
      </c>
      <c r="B225" s="6">
        <f>IF(Mitarbeiter!B225="","",Mitarbeiter!B225)</f>
        <v/>
      </c>
      <c r="C225" s="75">
        <f>IF(Mitarbeiter!B225="","",Mitarbeiter!F225)</f>
        <v/>
      </c>
      <c r="D225" s="76">
        <f>N(INDEX(Krankheitstage!$G225:$DV225,1,(Einstellungen!$C$3-2026)*24+1))</f>
        <v/>
      </c>
      <c r="E225" s="76">
        <f>N(INDEX(Krankheitstage!$G225:$DV225,1,(Einstellungen!$C$3-2026)*24+2))</f>
        <v/>
      </c>
      <c r="F225" s="76">
        <f>N(INDEX(Krankheitstage!$G225:$DV225,1,(Einstellungen!$C$3-2026)*24+3))</f>
        <v/>
      </c>
      <c r="G225" s="76">
        <f>N(INDEX(Krankheitstage!$G225:$DV225,1,(Einstellungen!$C$3-2026)*24+4))</f>
        <v/>
      </c>
      <c r="H225" s="76">
        <f>N(INDEX(Krankheitstage!$G225:$DV225,1,(Einstellungen!$C$3-2026)*24+5))</f>
        <v/>
      </c>
      <c r="I225" s="76">
        <f>N(INDEX(Krankheitstage!$G225:$DV225,1,(Einstellungen!$C$3-2026)*24+6))</f>
        <v/>
      </c>
      <c r="J225" s="76">
        <f>N(INDEX(Krankheitstage!$G225:$DV225,1,(Einstellungen!$C$3-2026)*24+7))</f>
        <v/>
      </c>
      <c r="K225" s="76">
        <f>N(INDEX(Krankheitstage!$G225:$DV225,1,(Einstellungen!$C$3-2026)*24+8))</f>
        <v/>
      </c>
      <c r="L225" s="76">
        <f>N(INDEX(Krankheitstage!$G225:$DV225,1,(Einstellungen!$C$3-2026)*24+9))</f>
        <v/>
      </c>
      <c r="M225" s="76">
        <f>N(INDEX(Krankheitstage!$G225:$DV225,1,(Einstellungen!$C$3-2026)*24+10))</f>
        <v/>
      </c>
      <c r="N225" s="76">
        <f>N(INDEX(Krankheitstage!$G225:$DV225,1,(Einstellungen!$C$3-2026)*24+11))</f>
        <v/>
      </c>
      <c r="O225" s="76">
        <f>N(INDEX(Krankheitstage!$G225:$DV225,1,(Einstellungen!$C$3-2026)*24+12))</f>
        <v/>
      </c>
      <c r="P225" s="76">
        <f>IF($B225="","",SUM(D225:O225))</f>
        <v/>
      </c>
      <c r="Q225" s="76">
        <f>N(INDEX(Krankheitstage!$G225:$DV225,1,(Einstellungen!$C$3-2026)*24+13))</f>
        <v/>
      </c>
      <c r="R225" s="76">
        <f>N(INDEX(Krankheitstage!$G225:$DV225,1,(Einstellungen!$C$3-2026)*24+14))</f>
        <v/>
      </c>
      <c r="S225" s="76">
        <f>N(INDEX(Krankheitstage!$G225:$DV225,1,(Einstellungen!$C$3-2026)*24+15))</f>
        <v/>
      </c>
      <c r="T225" s="76">
        <f>N(INDEX(Krankheitstage!$G225:$DV225,1,(Einstellungen!$C$3-2026)*24+16))</f>
        <v/>
      </c>
      <c r="U225" s="76">
        <f>N(INDEX(Krankheitstage!$G225:$DV225,1,(Einstellungen!$C$3-2026)*24+17))</f>
        <v/>
      </c>
      <c r="V225" s="76">
        <f>N(INDEX(Krankheitstage!$G225:$DV225,1,(Einstellungen!$C$3-2026)*24+18))</f>
        <v/>
      </c>
      <c r="W225" s="76">
        <f>N(INDEX(Krankheitstage!$G225:$DV225,1,(Einstellungen!$C$3-2026)*24+19))</f>
        <v/>
      </c>
      <c r="X225" s="76">
        <f>N(INDEX(Krankheitstage!$G225:$DV225,1,(Einstellungen!$C$3-2026)*24+20))</f>
        <v/>
      </c>
      <c r="Y225" s="76">
        <f>N(INDEX(Krankheitstage!$G225:$DV225,1,(Einstellungen!$C$3-2026)*24+21))</f>
        <v/>
      </c>
      <c r="Z225" s="76">
        <f>N(INDEX(Krankheitstage!$G225:$DV225,1,(Einstellungen!$C$3-2026)*24+22))</f>
        <v/>
      </c>
      <c r="AA225" s="76">
        <f>N(INDEX(Krankheitstage!$G225:$DV225,1,(Einstellungen!$C$3-2026)*24+23))</f>
        <v/>
      </c>
      <c r="AB225" s="76">
        <f>N(INDEX(Krankheitstage!$G225:$DV225,1,(Einstellungen!$C$3-2026)*24+24))</f>
        <v/>
      </c>
      <c r="AC225" s="76">
        <f>IF($B225="","",SUM(Q225:AB225))</f>
        <v/>
      </c>
      <c r="AD225" s="76">
        <f>IF($B225="","",SUM(P225,AC225))</f>
        <v/>
      </c>
      <c r="AE225" s="77">
        <f>IF($B225="","",AD225*N(C225))</f>
        <v/>
      </c>
      <c r="AF225" s="76">
        <f>IF($B225="","",Krankheitstage!E225)</f>
        <v/>
      </c>
      <c r="AG225" s="77">
        <f>IF($B225="","",AF225*N(C225))</f>
        <v/>
      </c>
    </row>
    <row r="226">
      <c r="A226" s="74">
        <f>IF(Mitarbeiter!B226="","",Mitarbeiter!A226)</f>
        <v/>
      </c>
      <c r="B226" s="6">
        <f>IF(Mitarbeiter!B226="","",Mitarbeiter!B226)</f>
        <v/>
      </c>
      <c r="C226" s="75">
        <f>IF(Mitarbeiter!B226="","",Mitarbeiter!F226)</f>
        <v/>
      </c>
      <c r="D226" s="76">
        <f>N(INDEX(Krankheitstage!$G226:$DV226,1,(Einstellungen!$C$3-2026)*24+1))</f>
        <v/>
      </c>
      <c r="E226" s="76">
        <f>N(INDEX(Krankheitstage!$G226:$DV226,1,(Einstellungen!$C$3-2026)*24+2))</f>
        <v/>
      </c>
      <c r="F226" s="76">
        <f>N(INDEX(Krankheitstage!$G226:$DV226,1,(Einstellungen!$C$3-2026)*24+3))</f>
        <v/>
      </c>
      <c r="G226" s="76">
        <f>N(INDEX(Krankheitstage!$G226:$DV226,1,(Einstellungen!$C$3-2026)*24+4))</f>
        <v/>
      </c>
      <c r="H226" s="76">
        <f>N(INDEX(Krankheitstage!$G226:$DV226,1,(Einstellungen!$C$3-2026)*24+5))</f>
        <v/>
      </c>
      <c r="I226" s="76">
        <f>N(INDEX(Krankheitstage!$G226:$DV226,1,(Einstellungen!$C$3-2026)*24+6))</f>
        <v/>
      </c>
      <c r="J226" s="76">
        <f>N(INDEX(Krankheitstage!$G226:$DV226,1,(Einstellungen!$C$3-2026)*24+7))</f>
        <v/>
      </c>
      <c r="K226" s="76">
        <f>N(INDEX(Krankheitstage!$G226:$DV226,1,(Einstellungen!$C$3-2026)*24+8))</f>
        <v/>
      </c>
      <c r="L226" s="76">
        <f>N(INDEX(Krankheitstage!$G226:$DV226,1,(Einstellungen!$C$3-2026)*24+9))</f>
        <v/>
      </c>
      <c r="M226" s="76">
        <f>N(INDEX(Krankheitstage!$G226:$DV226,1,(Einstellungen!$C$3-2026)*24+10))</f>
        <v/>
      </c>
      <c r="N226" s="76">
        <f>N(INDEX(Krankheitstage!$G226:$DV226,1,(Einstellungen!$C$3-2026)*24+11))</f>
        <v/>
      </c>
      <c r="O226" s="76">
        <f>N(INDEX(Krankheitstage!$G226:$DV226,1,(Einstellungen!$C$3-2026)*24+12))</f>
        <v/>
      </c>
      <c r="P226" s="76">
        <f>IF($B226="","",SUM(D226:O226))</f>
        <v/>
      </c>
      <c r="Q226" s="76">
        <f>N(INDEX(Krankheitstage!$G226:$DV226,1,(Einstellungen!$C$3-2026)*24+13))</f>
        <v/>
      </c>
      <c r="R226" s="76">
        <f>N(INDEX(Krankheitstage!$G226:$DV226,1,(Einstellungen!$C$3-2026)*24+14))</f>
        <v/>
      </c>
      <c r="S226" s="76">
        <f>N(INDEX(Krankheitstage!$G226:$DV226,1,(Einstellungen!$C$3-2026)*24+15))</f>
        <v/>
      </c>
      <c r="T226" s="76">
        <f>N(INDEX(Krankheitstage!$G226:$DV226,1,(Einstellungen!$C$3-2026)*24+16))</f>
        <v/>
      </c>
      <c r="U226" s="76">
        <f>N(INDEX(Krankheitstage!$G226:$DV226,1,(Einstellungen!$C$3-2026)*24+17))</f>
        <v/>
      </c>
      <c r="V226" s="76">
        <f>N(INDEX(Krankheitstage!$G226:$DV226,1,(Einstellungen!$C$3-2026)*24+18))</f>
        <v/>
      </c>
      <c r="W226" s="76">
        <f>N(INDEX(Krankheitstage!$G226:$DV226,1,(Einstellungen!$C$3-2026)*24+19))</f>
        <v/>
      </c>
      <c r="X226" s="76">
        <f>N(INDEX(Krankheitstage!$G226:$DV226,1,(Einstellungen!$C$3-2026)*24+20))</f>
        <v/>
      </c>
      <c r="Y226" s="76">
        <f>N(INDEX(Krankheitstage!$G226:$DV226,1,(Einstellungen!$C$3-2026)*24+21))</f>
        <v/>
      </c>
      <c r="Z226" s="76">
        <f>N(INDEX(Krankheitstage!$G226:$DV226,1,(Einstellungen!$C$3-2026)*24+22))</f>
        <v/>
      </c>
      <c r="AA226" s="76">
        <f>N(INDEX(Krankheitstage!$G226:$DV226,1,(Einstellungen!$C$3-2026)*24+23))</f>
        <v/>
      </c>
      <c r="AB226" s="76">
        <f>N(INDEX(Krankheitstage!$G226:$DV226,1,(Einstellungen!$C$3-2026)*24+24))</f>
        <v/>
      </c>
      <c r="AC226" s="76">
        <f>IF($B226="","",SUM(Q226:AB226))</f>
        <v/>
      </c>
      <c r="AD226" s="76">
        <f>IF($B226="","",SUM(P226,AC226))</f>
        <v/>
      </c>
      <c r="AE226" s="77">
        <f>IF($B226="","",AD226*N(C226))</f>
        <v/>
      </c>
      <c r="AF226" s="76">
        <f>IF($B226="","",Krankheitstage!E226)</f>
        <v/>
      </c>
      <c r="AG226" s="77">
        <f>IF($B226="","",AF226*N(C226))</f>
        <v/>
      </c>
    </row>
    <row r="227">
      <c r="A227" s="74">
        <f>IF(Mitarbeiter!B227="","",Mitarbeiter!A227)</f>
        <v/>
      </c>
      <c r="B227" s="6">
        <f>IF(Mitarbeiter!B227="","",Mitarbeiter!B227)</f>
        <v/>
      </c>
      <c r="C227" s="75">
        <f>IF(Mitarbeiter!B227="","",Mitarbeiter!F227)</f>
        <v/>
      </c>
      <c r="D227" s="76">
        <f>N(INDEX(Krankheitstage!$G227:$DV227,1,(Einstellungen!$C$3-2026)*24+1))</f>
        <v/>
      </c>
      <c r="E227" s="76">
        <f>N(INDEX(Krankheitstage!$G227:$DV227,1,(Einstellungen!$C$3-2026)*24+2))</f>
        <v/>
      </c>
      <c r="F227" s="76">
        <f>N(INDEX(Krankheitstage!$G227:$DV227,1,(Einstellungen!$C$3-2026)*24+3))</f>
        <v/>
      </c>
      <c r="G227" s="76">
        <f>N(INDEX(Krankheitstage!$G227:$DV227,1,(Einstellungen!$C$3-2026)*24+4))</f>
        <v/>
      </c>
      <c r="H227" s="76">
        <f>N(INDEX(Krankheitstage!$G227:$DV227,1,(Einstellungen!$C$3-2026)*24+5))</f>
        <v/>
      </c>
      <c r="I227" s="76">
        <f>N(INDEX(Krankheitstage!$G227:$DV227,1,(Einstellungen!$C$3-2026)*24+6))</f>
        <v/>
      </c>
      <c r="J227" s="76">
        <f>N(INDEX(Krankheitstage!$G227:$DV227,1,(Einstellungen!$C$3-2026)*24+7))</f>
        <v/>
      </c>
      <c r="K227" s="76">
        <f>N(INDEX(Krankheitstage!$G227:$DV227,1,(Einstellungen!$C$3-2026)*24+8))</f>
        <v/>
      </c>
      <c r="L227" s="76">
        <f>N(INDEX(Krankheitstage!$G227:$DV227,1,(Einstellungen!$C$3-2026)*24+9))</f>
        <v/>
      </c>
      <c r="M227" s="76">
        <f>N(INDEX(Krankheitstage!$G227:$DV227,1,(Einstellungen!$C$3-2026)*24+10))</f>
        <v/>
      </c>
      <c r="N227" s="76">
        <f>N(INDEX(Krankheitstage!$G227:$DV227,1,(Einstellungen!$C$3-2026)*24+11))</f>
        <v/>
      </c>
      <c r="O227" s="76">
        <f>N(INDEX(Krankheitstage!$G227:$DV227,1,(Einstellungen!$C$3-2026)*24+12))</f>
        <v/>
      </c>
      <c r="P227" s="76">
        <f>IF($B227="","",SUM(D227:O227))</f>
        <v/>
      </c>
      <c r="Q227" s="76">
        <f>N(INDEX(Krankheitstage!$G227:$DV227,1,(Einstellungen!$C$3-2026)*24+13))</f>
        <v/>
      </c>
      <c r="R227" s="76">
        <f>N(INDEX(Krankheitstage!$G227:$DV227,1,(Einstellungen!$C$3-2026)*24+14))</f>
        <v/>
      </c>
      <c r="S227" s="76">
        <f>N(INDEX(Krankheitstage!$G227:$DV227,1,(Einstellungen!$C$3-2026)*24+15))</f>
        <v/>
      </c>
      <c r="T227" s="76">
        <f>N(INDEX(Krankheitstage!$G227:$DV227,1,(Einstellungen!$C$3-2026)*24+16))</f>
        <v/>
      </c>
      <c r="U227" s="76">
        <f>N(INDEX(Krankheitstage!$G227:$DV227,1,(Einstellungen!$C$3-2026)*24+17))</f>
        <v/>
      </c>
      <c r="V227" s="76">
        <f>N(INDEX(Krankheitstage!$G227:$DV227,1,(Einstellungen!$C$3-2026)*24+18))</f>
        <v/>
      </c>
      <c r="W227" s="76">
        <f>N(INDEX(Krankheitstage!$G227:$DV227,1,(Einstellungen!$C$3-2026)*24+19))</f>
        <v/>
      </c>
      <c r="X227" s="76">
        <f>N(INDEX(Krankheitstage!$G227:$DV227,1,(Einstellungen!$C$3-2026)*24+20))</f>
        <v/>
      </c>
      <c r="Y227" s="76">
        <f>N(INDEX(Krankheitstage!$G227:$DV227,1,(Einstellungen!$C$3-2026)*24+21))</f>
        <v/>
      </c>
      <c r="Z227" s="76">
        <f>N(INDEX(Krankheitstage!$G227:$DV227,1,(Einstellungen!$C$3-2026)*24+22))</f>
        <v/>
      </c>
      <c r="AA227" s="76">
        <f>N(INDEX(Krankheitstage!$G227:$DV227,1,(Einstellungen!$C$3-2026)*24+23))</f>
        <v/>
      </c>
      <c r="AB227" s="76">
        <f>N(INDEX(Krankheitstage!$G227:$DV227,1,(Einstellungen!$C$3-2026)*24+24))</f>
        <v/>
      </c>
      <c r="AC227" s="76">
        <f>IF($B227="","",SUM(Q227:AB227))</f>
        <v/>
      </c>
      <c r="AD227" s="76">
        <f>IF($B227="","",SUM(P227,AC227))</f>
        <v/>
      </c>
      <c r="AE227" s="77">
        <f>IF($B227="","",AD227*N(C227))</f>
        <v/>
      </c>
      <c r="AF227" s="76">
        <f>IF($B227="","",Krankheitstage!E227)</f>
        <v/>
      </c>
      <c r="AG227" s="77">
        <f>IF($B227="","",AF227*N(C227))</f>
        <v/>
      </c>
    </row>
    <row r="228">
      <c r="A228" s="74">
        <f>IF(Mitarbeiter!B228="","",Mitarbeiter!A228)</f>
        <v/>
      </c>
      <c r="B228" s="6">
        <f>IF(Mitarbeiter!B228="","",Mitarbeiter!B228)</f>
        <v/>
      </c>
      <c r="C228" s="75">
        <f>IF(Mitarbeiter!B228="","",Mitarbeiter!F228)</f>
        <v/>
      </c>
      <c r="D228" s="76">
        <f>N(INDEX(Krankheitstage!$G228:$DV228,1,(Einstellungen!$C$3-2026)*24+1))</f>
        <v/>
      </c>
      <c r="E228" s="76">
        <f>N(INDEX(Krankheitstage!$G228:$DV228,1,(Einstellungen!$C$3-2026)*24+2))</f>
        <v/>
      </c>
      <c r="F228" s="76">
        <f>N(INDEX(Krankheitstage!$G228:$DV228,1,(Einstellungen!$C$3-2026)*24+3))</f>
        <v/>
      </c>
      <c r="G228" s="76">
        <f>N(INDEX(Krankheitstage!$G228:$DV228,1,(Einstellungen!$C$3-2026)*24+4))</f>
        <v/>
      </c>
      <c r="H228" s="76">
        <f>N(INDEX(Krankheitstage!$G228:$DV228,1,(Einstellungen!$C$3-2026)*24+5))</f>
        <v/>
      </c>
      <c r="I228" s="76">
        <f>N(INDEX(Krankheitstage!$G228:$DV228,1,(Einstellungen!$C$3-2026)*24+6))</f>
        <v/>
      </c>
      <c r="J228" s="76">
        <f>N(INDEX(Krankheitstage!$G228:$DV228,1,(Einstellungen!$C$3-2026)*24+7))</f>
        <v/>
      </c>
      <c r="K228" s="76">
        <f>N(INDEX(Krankheitstage!$G228:$DV228,1,(Einstellungen!$C$3-2026)*24+8))</f>
        <v/>
      </c>
      <c r="L228" s="76">
        <f>N(INDEX(Krankheitstage!$G228:$DV228,1,(Einstellungen!$C$3-2026)*24+9))</f>
        <v/>
      </c>
      <c r="M228" s="76">
        <f>N(INDEX(Krankheitstage!$G228:$DV228,1,(Einstellungen!$C$3-2026)*24+10))</f>
        <v/>
      </c>
      <c r="N228" s="76">
        <f>N(INDEX(Krankheitstage!$G228:$DV228,1,(Einstellungen!$C$3-2026)*24+11))</f>
        <v/>
      </c>
      <c r="O228" s="76">
        <f>N(INDEX(Krankheitstage!$G228:$DV228,1,(Einstellungen!$C$3-2026)*24+12))</f>
        <v/>
      </c>
      <c r="P228" s="76">
        <f>IF($B228="","",SUM(D228:O228))</f>
        <v/>
      </c>
      <c r="Q228" s="76">
        <f>N(INDEX(Krankheitstage!$G228:$DV228,1,(Einstellungen!$C$3-2026)*24+13))</f>
        <v/>
      </c>
      <c r="R228" s="76">
        <f>N(INDEX(Krankheitstage!$G228:$DV228,1,(Einstellungen!$C$3-2026)*24+14))</f>
        <v/>
      </c>
      <c r="S228" s="76">
        <f>N(INDEX(Krankheitstage!$G228:$DV228,1,(Einstellungen!$C$3-2026)*24+15))</f>
        <v/>
      </c>
      <c r="T228" s="76">
        <f>N(INDEX(Krankheitstage!$G228:$DV228,1,(Einstellungen!$C$3-2026)*24+16))</f>
        <v/>
      </c>
      <c r="U228" s="76">
        <f>N(INDEX(Krankheitstage!$G228:$DV228,1,(Einstellungen!$C$3-2026)*24+17))</f>
        <v/>
      </c>
      <c r="V228" s="76">
        <f>N(INDEX(Krankheitstage!$G228:$DV228,1,(Einstellungen!$C$3-2026)*24+18))</f>
        <v/>
      </c>
      <c r="W228" s="76">
        <f>N(INDEX(Krankheitstage!$G228:$DV228,1,(Einstellungen!$C$3-2026)*24+19))</f>
        <v/>
      </c>
      <c r="X228" s="76">
        <f>N(INDEX(Krankheitstage!$G228:$DV228,1,(Einstellungen!$C$3-2026)*24+20))</f>
        <v/>
      </c>
      <c r="Y228" s="76">
        <f>N(INDEX(Krankheitstage!$G228:$DV228,1,(Einstellungen!$C$3-2026)*24+21))</f>
        <v/>
      </c>
      <c r="Z228" s="76">
        <f>N(INDEX(Krankheitstage!$G228:$DV228,1,(Einstellungen!$C$3-2026)*24+22))</f>
        <v/>
      </c>
      <c r="AA228" s="76">
        <f>N(INDEX(Krankheitstage!$G228:$DV228,1,(Einstellungen!$C$3-2026)*24+23))</f>
        <v/>
      </c>
      <c r="AB228" s="76">
        <f>N(INDEX(Krankheitstage!$G228:$DV228,1,(Einstellungen!$C$3-2026)*24+24))</f>
        <v/>
      </c>
      <c r="AC228" s="76">
        <f>IF($B228="","",SUM(Q228:AB228))</f>
        <v/>
      </c>
      <c r="AD228" s="76">
        <f>IF($B228="","",SUM(P228,AC228))</f>
        <v/>
      </c>
      <c r="AE228" s="77">
        <f>IF($B228="","",AD228*N(C228))</f>
        <v/>
      </c>
      <c r="AF228" s="76">
        <f>IF($B228="","",Krankheitstage!E228)</f>
        <v/>
      </c>
      <c r="AG228" s="77">
        <f>IF($B228="","",AF228*N(C228))</f>
        <v/>
      </c>
    </row>
    <row r="229">
      <c r="A229" s="74">
        <f>IF(Mitarbeiter!B229="","",Mitarbeiter!A229)</f>
        <v/>
      </c>
      <c r="B229" s="6">
        <f>IF(Mitarbeiter!B229="","",Mitarbeiter!B229)</f>
        <v/>
      </c>
      <c r="C229" s="75">
        <f>IF(Mitarbeiter!B229="","",Mitarbeiter!F229)</f>
        <v/>
      </c>
      <c r="D229" s="76">
        <f>N(INDEX(Krankheitstage!$G229:$DV229,1,(Einstellungen!$C$3-2026)*24+1))</f>
        <v/>
      </c>
      <c r="E229" s="76">
        <f>N(INDEX(Krankheitstage!$G229:$DV229,1,(Einstellungen!$C$3-2026)*24+2))</f>
        <v/>
      </c>
      <c r="F229" s="76">
        <f>N(INDEX(Krankheitstage!$G229:$DV229,1,(Einstellungen!$C$3-2026)*24+3))</f>
        <v/>
      </c>
      <c r="G229" s="76">
        <f>N(INDEX(Krankheitstage!$G229:$DV229,1,(Einstellungen!$C$3-2026)*24+4))</f>
        <v/>
      </c>
      <c r="H229" s="76">
        <f>N(INDEX(Krankheitstage!$G229:$DV229,1,(Einstellungen!$C$3-2026)*24+5))</f>
        <v/>
      </c>
      <c r="I229" s="76">
        <f>N(INDEX(Krankheitstage!$G229:$DV229,1,(Einstellungen!$C$3-2026)*24+6))</f>
        <v/>
      </c>
      <c r="J229" s="76">
        <f>N(INDEX(Krankheitstage!$G229:$DV229,1,(Einstellungen!$C$3-2026)*24+7))</f>
        <v/>
      </c>
      <c r="K229" s="76">
        <f>N(INDEX(Krankheitstage!$G229:$DV229,1,(Einstellungen!$C$3-2026)*24+8))</f>
        <v/>
      </c>
      <c r="L229" s="76">
        <f>N(INDEX(Krankheitstage!$G229:$DV229,1,(Einstellungen!$C$3-2026)*24+9))</f>
        <v/>
      </c>
      <c r="M229" s="76">
        <f>N(INDEX(Krankheitstage!$G229:$DV229,1,(Einstellungen!$C$3-2026)*24+10))</f>
        <v/>
      </c>
      <c r="N229" s="76">
        <f>N(INDEX(Krankheitstage!$G229:$DV229,1,(Einstellungen!$C$3-2026)*24+11))</f>
        <v/>
      </c>
      <c r="O229" s="76">
        <f>N(INDEX(Krankheitstage!$G229:$DV229,1,(Einstellungen!$C$3-2026)*24+12))</f>
        <v/>
      </c>
      <c r="P229" s="76">
        <f>IF($B229="","",SUM(D229:O229))</f>
        <v/>
      </c>
      <c r="Q229" s="76">
        <f>N(INDEX(Krankheitstage!$G229:$DV229,1,(Einstellungen!$C$3-2026)*24+13))</f>
        <v/>
      </c>
      <c r="R229" s="76">
        <f>N(INDEX(Krankheitstage!$G229:$DV229,1,(Einstellungen!$C$3-2026)*24+14))</f>
        <v/>
      </c>
      <c r="S229" s="76">
        <f>N(INDEX(Krankheitstage!$G229:$DV229,1,(Einstellungen!$C$3-2026)*24+15))</f>
        <v/>
      </c>
      <c r="T229" s="76">
        <f>N(INDEX(Krankheitstage!$G229:$DV229,1,(Einstellungen!$C$3-2026)*24+16))</f>
        <v/>
      </c>
      <c r="U229" s="76">
        <f>N(INDEX(Krankheitstage!$G229:$DV229,1,(Einstellungen!$C$3-2026)*24+17))</f>
        <v/>
      </c>
      <c r="V229" s="76">
        <f>N(INDEX(Krankheitstage!$G229:$DV229,1,(Einstellungen!$C$3-2026)*24+18))</f>
        <v/>
      </c>
      <c r="W229" s="76">
        <f>N(INDEX(Krankheitstage!$G229:$DV229,1,(Einstellungen!$C$3-2026)*24+19))</f>
        <v/>
      </c>
      <c r="X229" s="76">
        <f>N(INDEX(Krankheitstage!$G229:$DV229,1,(Einstellungen!$C$3-2026)*24+20))</f>
        <v/>
      </c>
      <c r="Y229" s="76">
        <f>N(INDEX(Krankheitstage!$G229:$DV229,1,(Einstellungen!$C$3-2026)*24+21))</f>
        <v/>
      </c>
      <c r="Z229" s="76">
        <f>N(INDEX(Krankheitstage!$G229:$DV229,1,(Einstellungen!$C$3-2026)*24+22))</f>
        <v/>
      </c>
      <c r="AA229" s="76">
        <f>N(INDEX(Krankheitstage!$G229:$DV229,1,(Einstellungen!$C$3-2026)*24+23))</f>
        <v/>
      </c>
      <c r="AB229" s="76">
        <f>N(INDEX(Krankheitstage!$G229:$DV229,1,(Einstellungen!$C$3-2026)*24+24))</f>
        <v/>
      </c>
      <c r="AC229" s="76">
        <f>IF($B229="","",SUM(Q229:AB229))</f>
        <v/>
      </c>
      <c r="AD229" s="76">
        <f>IF($B229="","",SUM(P229,AC229))</f>
        <v/>
      </c>
      <c r="AE229" s="77">
        <f>IF($B229="","",AD229*N(C229))</f>
        <v/>
      </c>
      <c r="AF229" s="76">
        <f>IF($B229="","",Krankheitstage!E229)</f>
        <v/>
      </c>
      <c r="AG229" s="77">
        <f>IF($B229="","",AF229*N(C229))</f>
        <v/>
      </c>
    </row>
    <row r="230">
      <c r="A230" s="74">
        <f>IF(Mitarbeiter!B230="","",Mitarbeiter!A230)</f>
        <v/>
      </c>
      <c r="B230" s="6">
        <f>IF(Mitarbeiter!B230="","",Mitarbeiter!B230)</f>
        <v/>
      </c>
      <c r="C230" s="75">
        <f>IF(Mitarbeiter!B230="","",Mitarbeiter!F230)</f>
        <v/>
      </c>
      <c r="D230" s="76">
        <f>N(INDEX(Krankheitstage!$G230:$DV230,1,(Einstellungen!$C$3-2026)*24+1))</f>
        <v/>
      </c>
      <c r="E230" s="76">
        <f>N(INDEX(Krankheitstage!$G230:$DV230,1,(Einstellungen!$C$3-2026)*24+2))</f>
        <v/>
      </c>
      <c r="F230" s="76">
        <f>N(INDEX(Krankheitstage!$G230:$DV230,1,(Einstellungen!$C$3-2026)*24+3))</f>
        <v/>
      </c>
      <c r="G230" s="76">
        <f>N(INDEX(Krankheitstage!$G230:$DV230,1,(Einstellungen!$C$3-2026)*24+4))</f>
        <v/>
      </c>
      <c r="H230" s="76">
        <f>N(INDEX(Krankheitstage!$G230:$DV230,1,(Einstellungen!$C$3-2026)*24+5))</f>
        <v/>
      </c>
      <c r="I230" s="76">
        <f>N(INDEX(Krankheitstage!$G230:$DV230,1,(Einstellungen!$C$3-2026)*24+6))</f>
        <v/>
      </c>
      <c r="J230" s="76">
        <f>N(INDEX(Krankheitstage!$G230:$DV230,1,(Einstellungen!$C$3-2026)*24+7))</f>
        <v/>
      </c>
      <c r="K230" s="76">
        <f>N(INDEX(Krankheitstage!$G230:$DV230,1,(Einstellungen!$C$3-2026)*24+8))</f>
        <v/>
      </c>
      <c r="L230" s="76">
        <f>N(INDEX(Krankheitstage!$G230:$DV230,1,(Einstellungen!$C$3-2026)*24+9))</f>
        <v/>
      </c>
      <c r="M230" s="76">
        <f>N(INDEX(Krankheitstage!$G230:$DV230,1,(Einstellungen!$C$3-2026)*24+10))</f>
        <v/>
      </c>
      <c r="N230" s="76">
        <f>N(INDEX(Krankheitstage!$G230:$DV230,1,(Einstellungen!$C$3-2026)*24+11))</f>
        <v/>
      </c>
      <c r="O230" s="76">
        <f>N(INDEX(Krankheitstage!$G230:$DV230,1,(Einstellungen!$C$3-2026)*24+12))</f>
        <v/>
      </c>
      <c r="P230" s="76">
        <f>IF($B230="","",SUM(D230:O230))</f>
        <v/>
      </c>
      <c r="Q230" s="76">
        <f>N(INDEX(Krankheitstage!$G230:$DV230,1,(Einstellungen!$C$3-2026)*24+13))</f>
        <v/>
      </c>
      <c r="R230" s="76">
        <f>N(INDEX(Krankheitstage!$G230:$DV230,1,(Einstellungen!$C$3-2026)*24+14))</f>
        <v/>
      </c>
      <c r="S230" s="76">
        <f>N(INDEX(Krankheitstage!$G230:$DV230,1,(Einstellungen!$C$3-2026)*24+15))</f>
        <v/>
      </c>
      <c r="T230" s="76">
        <f>N(INDEX(Krankheitstage!$G230:$DV230,1,(Einstellungen!$C$3-2026)*24+16))</f>
        <v/>
      </c>
      <c r="U230" s="76">
        <f>N(INDEX(Krankheitstage!$G230:$DV230,1,(Einstellungen!$C$3-2026)*24+17))</f>
        <v/>
      </c>
      <c r="V230" s="76">
        <f>N(INDEX(Krankheitstage!$G230:$DV230,1,(Einstellungen!$C$3-2026)*24+18))</f>
        <v/>
      </c>
      <c r="W230" s="76">
        <f>N(INDEX(Krankheitstage!$G230:$DV230,1,(Einstellungen!$C$3-2026)*24+19))</f>
        <v/>
      </c>
      <c r="X230" s="76">
        <f>N(INDEX(Krankheitstage!$G230:$DV230,1,(Einstellungen!$C$3-2026)*24+20))</f>
        <v/>
      </c>
      <c r="Y230" s="76">
        <f>N(INDEX(Krankheitstage!$G230:$DV230,1,(Einstellungen!$C$3-2026)*24+21))</f>
        <v/>
      </c>
      <c r="Z230" s="76">
        <f>N(INDEX(Krankheitstage!$G230:$DV230,1,(Einstellungen!$C$3-2026)*24+22))</f>
        <v/>
      </c>
      <c r="AA230" s="76">
        <f>N(INDEX(Krankheitstage!$G230:$DV230,1,(Einstellungen!$C$3-2026)*24+23))</f>
        <v/>
      </c>
      <c r="AB230" s="76">
        <f>N(INDEX(Krankheitstage!$G230:$DV230,1,(Einstellungen!$C$3-2026)*24+24))</f>
        <v/>
      </c>
      <c r="AC230" s="76">
        <f>IF($B230="","",SUM(Q230:AB230))</f>
        <v/>
      </c>
      <c r="AD230" s="76">
        <f>IF($B230="","",SUM(P230,AC230))</f>
        <v/>
      </c>
      <c r="AE230" s="77">
        <f>IF($B230="","",AD230*N(C230))</f>
        <v/>
      </c>
      <c r="AF230" s="76">
        <f>IF($B230="","",Krankheitstage!E230)</f>
        <v/>
      </c>
      <c r="AG230" s="77">
        <f>IF($B230="","",AF230*N(C230))</f>
        <v/>
      </c>
    </row>
    <row r="231">
      <c r="A231" s="74">
        <f>IF(Mitarbeiter!B231="","",Mitarbeiter!A231)</f>
        <v/>
      </c>
      <c r="B231" s="6">
        <f>IF(Mitarbeiter!B231="","",Mitarbeiter!B231)</f>
        <v/>
      </c>
      <c r="C231" s="75">
        <f>IF(Mitarbeiter!B231="","",Mitarbeiter!F231)</f>
        <v/>
      </c>
      <c r="D231" s="76">
        <f>N(INDEX(Krankheitstage!$G231:$DV231,1,(Einstellungen!$C$3-2026)*24+1))</f>
        <v/>
      </c>
      <c r="E231" s="76">
        <f>N(INDEX(Krankheitstage!$G231:$DV231,1,(Einstellungen!$C$3-2026)*24+2))</f>
        <v/>
      </c>
      <c r="F231" s="76">
        <f>N(INDEX(Krankheitstage!$G231:$DV231,1,(Einstellungen!$C$3-2026)*24+3))</f>
        <v/>
      </c>
      <c r="G231" s="76">
        <f>N(INDEX(Krankheitstage!$G231:$DV231,1,(Einstellungen!$C$3-2026)*24+4))</f>
        <v/>
      </c>
      <c r="H231" s="76">
        <f>N(INDEX(Krankheitstage!$G231:$DV231,1,(Einstellungen!$C$3-2026)*24+5))</f>
        <v/>
      </c>
      <c r="I231" s="76">
        <f>N(INDEX(Krankheitstage!$G231:$DV231,1,(Einstellungen!$C$3-2026)*24+6))</f>
        <v/>
      </c>
      <c r="J231" s="76">
        <f>N(INDEX(Krankheitstage!$G231:$DV231,1,(Einstellungen!$C$3-2026)*24+7))</f>
        <v/>
      </c>
      <c r="K231" s="76">
        <f>N(INDEX(Krankheitstage!$G231:$DV231,1,(Einstellungen!$C$3-2026)*24+8))</f>
        <v/>
      </c>
      <c r="L231" s="76">
        <f>N(INDEX(Krankheitstage!$G231:$DV231,1,(Einstellungen!$C$3-2026)*24+9))</f>
        <v/>
      </c>
      <c r="M231" s="76">
        <f>N(INDEX(Krankheitstage!$G231:$DV231,1,(Einstellungen!$C$3-2026)*24+10))</f>
        <v/>
      </c>
      <c r="N231" s="76">
        <f>N(INDEX(Krankheitstage!$G231:$DV231,1,(Einstellungen!$C$3-2026)*24+11))</f>
        <v/>
      </c>
      <c r="O231" s="76">
        <f>N(INDEX(Krankheitstage!$G231:$DV231,1,(Einstellungen!$C$3-2026)*24+12))</f>
        <v/>
      </c>
      <c r="P231" s="76">
        <f>IF($B231="","",SUM(D231:O231))</f>
        <v/>
      </c>
      <c r="Q231" s="76">
        <f>N(INDEX(Krankheitstage!$G231:$DV231,1,(Einstellungen!$C$3-2026)*24+13))</f>
        <v/>
      </c>
      <c r="R231" s="76">
        <f>N(INDEX(Krankheitstage!$G231:$DV231,1,(Einstellungen!$C$3-2026)*24+14))</f>
        <v/>
      </c>
      <c r="S231" s="76">
        <f>N(INDEX(Krankheitstage!$G231:$DV231,1,(Einstellungen!$C$3-2026)*24+15))</f>
        <v/>
      </c>
      <c r="T231" s="76">
        <f>N(INDEX(Krankheitstage!$G231:$DV231,1,(Einstellungen!$C$3-2026)*24+16))</f>
        <v/>
      </c>
      <c r="U231" s="76">
        <f>N(INDEX(Krankheitstage!$G231:$DV231,1,(Einstellungen!$C$3-2026)*24+17))</f>
        <v/>
      </c>
      <c r="V231" s="76">
        <f>N(INDEX(Krankheitstage!$G231:$DV231,1,(Einstellungen!$C$3-2026)*24+18))</f>
        <v/>
      </c>
      <c r="W231" s="76">
        <f>N(INDEX(Krankheitstage!$G231:$DV231,1,(Einstellungen!$C$3-2026)*24+19))</f>
        <v/>
      </c>
      <c r="X231" s="76">
        <f>N(INDEX(Krankheitstage!$G231:$DV231,1,(Einstellungen!$C$3-2026)*24+20))</f>
        <v/>
      </c>
      <c r="Y231" s="76">
        <f>N(INDEX(Krankheitstage!$G231:$DV231,1,(Einstellungen!$C$3-2026)*24+21))</f>
        <v/>
      </c>
      <c r="Z231" s="76">
        <f>N(INDEX(Krankheitstage!$G231:$DV231,1,(Einstellungen!$C$3-2026)*24+22))</f>
        <v/>
      </c>
      <c r="AA231" s="76">
        <f>N(INDEX(Krankheitstage!$G231:$DV231,1,(Einstellungen!$C$3-2026)*24+23))</f>
        <v/>
      </c>
      <c r="AB231" s="76">
        <f>N(INDEX(Krankheitstage!$G231:$DV231,1,(Einstellungen!$C$3-2026)*24+24))</f>
        <v/>
      </c>
      <c r="AC231" s="76">
        <f>IF($B231="","",SUM(Q231:AB231))</f>
        <v/>
      </c>
      <c r="AD231" s="76">
        <f>IF($B231="","",SUM(P231,AC231))</f>
        <v/>
      </c>
      <c r="AE231" s="77">
        <f>IF($B231="","",AD231*N(C231))</f>
        <v/>
      </c>
      <c r="AF231" s="76">
        <f>IF($B231="","",Krankheitstage!E231)</f>
        <v/>
      </c>
      <c r="AG231" s="77">
        <f>IF($B231="","",AF231*N(C231))</f>
        <v/>
      </c>
    </row>
    <row r="232">
      <c r="A232" s="74">
        <f>IF(Mitarbeiter!B232="","",Mitarbeiter!A232)</f>
        <v/>
      </c>
      <c r="B232" s="6">
        <f>IF(Mitarbeiter!B232="","",Mitarbeiter!B232)</f>
        <v/>
      </c>
      <c r="C232" s="75">
        <f>IF(Mitarbeiter!B232="","",Mitarbeiter!F232)</f>
        <v/>
      </c>
      <c r="D232" s="76">
        <f>N(INDEX(Krankheitstage!$G232:$DV232,1,(Einstellungen!$C$3-2026)*24+1))</f>
        <v/>
      </c>
      <c r="E232" s="76">
        <f>N(INDEX(Krankheitstage!$G232:$DV232,1,(Einstellungen!$C$3-2026)*24+2))</f>
        <v/>
      </c>
      <c r="F232" s="76">
        <f>N(INDEX(Krankheitstage!$G232:$DV232,1,(Einstellungen!$C$3-2026)*24+3))</f>
        <v/>
      </c>
      <c r="G232" s="76">
        <f>N(INDEX(Krankheitstage!$G232:$DV232,1,(Einstellungen!$C$3-2026)*24+4))</f>
        <v/>
      </c>
      <c r="H232" s="76">
        <f>N(INDEX(Krankheitstage!$G232:$DV232,1,(Einstellungen!$C$3-2026)*24+5))</f>
        <v/>
      </c>
      <c r="I232" s="76">
        <f>N(INDEX(Krankheitstage!$G232:$DV232,1,(Einstellungen!$C$3-2026)*24+6))</f>
        <v/>
      </c>
      <c r="J232" s="76">
        <f>N(INDEX(Krankheitstage!$G232:$DV232,1,(Einstellungen!$C$3-2026)*24+7))</f>
        <v/>
      </c>
      <c r="K232" s="76">
        <f>N(INDEX(Krankheitstage!$G232:$DV232,1,(Einstellungen!$C$3-2026)*24+8))</f>
        <v/>
      </c>
      <c r="L232" s="76">
        <f>N(INDEX(Krankheitstage!$G232:$DV232,1,(Einstellungen!$C$3-2026)*24+9))</f>
        <v/>
      </c>
      <c r="M232" s="76">
        <f>N(INDEX(Krankheitstage!$G232:$DV232,1,(Einstellungen!$C$3-2026)*24+10))</f>
        <v/>
      </c>
      <c r="N232" s="76">
        <f>N(INDEX(Krankheitstage!$G232:$DV232,1,(Einstellungen!$C$3-2026)*24+11))</f>
        <v/>
      </c>
      <c r="O232" s="76">
        <f>N(INDEX(Krankheitstage!$G232:$DV232,1,(Einstellungen!$C$3-2026)*24+12))</f>
        <v/>
      </c>
      <c r="P232" s="76">
        <f>IF($B232="","",SUM(D232:O232))</f>
        <v/>
      </c>
      <c r="Q232" s="76">
        <f>N(INDEX(Krankheitstage!$G232:$DV232,1,(Einstellungen!$C$3-2026)*24+13))</f>
        <v/>
      </c>
      <c r="R232" s="76">
        <f>N(INDEX(Krankheitstage!$G232:$DV232,1,(Einstellungen!$C$3-2026)*24+14))</f>
        <v/>
      </c>
      <c r="S232" s="76">
        <f>N(INDEX(Krankheitstage!$G232:$DV232,1,(Einstellungen!$C$3-2026)*24+15))</f>
        <v/>
      </c>
      <c r="T232" s="76">
        <f>N(INDEX(Krankheitstage!$G232:$DV232,1,(Einstellungen!$C$3-2026)*24+16))</f>
        <v/>
      </c>
      <c r="U232" s="76">
        <f>N(INDEX(Krankheitstage!$G232:$DV232,1,(Einstellungen!$C$3-2026)*24+17))</f>
        <v/>
      </c>
      <c r="V232" s="76">
        <f>N(INDEX(Krankheitstage!$G232:$DV232,1,(Einstellungen!$C$3-2026)*24+18))</f>
        <v/>
      </c>
      <c r="W232" s="76">
        <f>N(INDEX(Krankheitstage!$G232:$DV232,1,(Einstellungen!$C$3-2026)*24+19))</f>
        <v/>
      </c>
      <c r="X232" s="76">
        <f>N(INDEX(Krankheitstage!$G232:$DV232,1,(Einstellungen!$C$3-2026)*24+20))</f>
        <v/>
      </c>
      <c r="Y232" s="76">
        <f>N(INDEX(Krankheitstage!$G232:$DV232,1,(Einstellungen!$C$3-2026)*24+21))</f>
        <v/>
      </c>
      <c r="Z232" s="76">
        <f>N(INDEX(Krankheitstage!$G232:$DV232,1,(Einstellungen!$C$3-2026)*24+22))</f>
        <v/>
      </c>
      <c r="AA232" s="76">
        <f>N(INDEX(Krankheitstage!$G232:$DV232,1,(Einstellungen!$C$3-2026)*24+23))</f>
        <v/>
      </c>
      <c r="AB232" s="76">
        <f>N(INDEX(Krankheitstage!$G232:$DV232,1,(Einstellungen!$C$3-2026)*24+24))</f>
        <v/>
      </c>
      <c r="AC232" s="76">
        <f>IF($B232="","",SUM(Q232:AB232))</f>
        <v/>
      </c>
      <c r="AD232" s="76">
        <f>IF($B232="","",SUM(P232,AC232))</f>
        <v/>
      </c>
      <c r="AE232" s="77">
        <f>IF($B232="","",AD232*N(C232))</f>
        <v/>
      </c>
      <c r="AF232" s="76">
        <f>IF($B232="","",Krankheitstage!E232)</f>
        <v/>
      </c>
      <c r="AG232" s="77">
        <f>IF($B232="","",AF232*N(C232))</f>
        <v/>
      </c>
    </row>
    <row r="233">
      <c r="A233" s="74">
        <f>IF(Mitarbeiter!B233="","",Mitarbeiter!A233)</f>
        <v/>
      </c>
      <c r="B233" s="6">
        <f>IF(Mitarbeiter!B233="","",Mitarbeiter!B233)</f>
        <v/>
      </c>
      <c r="C233" s="75">
        <f>IF(Mitarbeiter!B233="","",Mitarbeiter!F233)</f>
        <v/>
      </c>
      <c r="D233" s="76">
        <f>N(INDEX(Krankheitstage!$G233:$DV233,1,(Einstellungen!$C$3-2026)*24+1))</f>
        <v/>
      </c>
      <c r="E233" s="76">
        <f>N(INDEX(Krankheitstage!$G233:$DV233,1,(Einstellungen!$C$3-2026)*24+2))</f>
        <v/>
      </c>
      <c r="F233" s="76">
        <f>N(INDEX(Krankheitstage!$G233:$DV233,1,(Einstellungen!$C$3-2026)*24+3))</f>
        <v/>
      </c>
      <c r="G233" s="76">
        <f>N(INDEX(Krankheitstage!$G233:$DV233,1,(Einstellungen!$C$3-2026)*24+4))</f>
        <v/>
      </c>
      <c r="H233" s="76">
        <f>N(INDEX(Krankheitstage!$G233:$DV233,1,(Einstellungen!$C$3-2026)*24+5))</f>
        <v/>
      </c>
      <c r="I233" s="76">
        <f>N(INDEX(Krankheitstage!$G233:$DV233,1,(Einstellungen!$C$3-2026)*24+6))</f>
        <v/>
      </c>
      <c r="J233" s="76">
        <f>N(INDEX(Krankheitstage!$G233:$DV233,1,(Einstellungen!$C$3-2026)*24+7))</f>
        <v/>
      </c>
      <c r="K233" s="76">
        <f>N(INDEX(Krankheitstage!$G233:$DV233,1,(Einstellungen!$C$3-2026)*24+8))</f>
        <v/>
      </c>
      <c r="L233" s="76">
        <f>N(INDEX(Krankheitstage!$G233:$DV233,1,(Einstellungen!$C$3-2026)*24+9))</f>
        <v/>
      </c>
      <c r="M233" s="76">
        <f>N(INDEX(Krankheitstage!$G233:$DV233,1,(Einstellungen!$C$3-2026)*24+10))</f>
        <v/>
      </c>
      <c r="N233" s="76">
        <f>N(INDEX(Krankheitstage!$G233:$DV233,1,(Einstellungen!$C$3-2026)*24+11))</f>
        <v/>
      </c>
      <c r="O233" s="76">
        <f>N(INDEX(Krankheitstage!$G233:$DV233,1,(Einstellungen!$C$3-2026)*24+12))</f>
        <v/>
      </c>
      <c r="P233" s="76">
        <f>IF($B233="","",SUM(D233:O233))</f>
        <v/>
      </c>
      <c r="Q233" s="76">
        <f>N(INDEX(Krankheitstage!$G233:$DV233,1,(Einstellungen!$C$3-2026)*24+13))</f>
        <v/>
      </c>
      <c r="R233" s="76">
        <f>N(INDEX(Krankheitstage!$G233:$DV233,1,(Einstellungen!$C$3-2026)*24+14))</f>
        <v/>
      </c>
      <c r="S233" s="76">
        <f>N(INDEX(Krankheitstage!$G233:$DV233,1,(Einstellungen!$C$3-2026)*24+15))</f>
        <v/>
      </c>
      <c r="T233" s="76">
        <f>N(INDEX(Krankheitstage!$G233:$DV233,1,(Einstellungen!$C$3-2026)*24+16))</f>
        <v/>
      </c>
      <c r="U233" s="76">
        <f>N(INDEX(Krankheitstage!$G233:$DV233,1,(Einstellungen!$C$3-2026)*24+17))</f>
        <v/>
      </c>
      <c r="V233" s="76">
        <f>N(INDEX(Krankheitstage!$G233:$DV233,1,(Einstellungen!$C$3-2026)*24+18))</f>
        <v/>
      </c>
      <c r="W233" s="76">
        <f>N(INDEX(Krankheitstage!$G233:$DV233,1,(Einstellungen!$C$3-2026)*24+19))</f>
        <v/>
      </c>
      <c r="X233" s="76">
        <f>N(INDEX(Krankheitstage!$G233:$DV233,1,(Einstellungen!$C$3-2026)*24+20))</f>
        <v/>
      </c>
      <c r="Y233" s="76">
        <f>N(INDEX(Krankheitstage!$G233:$DV233,1,(Einstellungen!$C$3-2026)*24+21))</f>
        <v/>
      </c>
      <c r="Z233" s="76">
        <f>N(INDEX(Krankheitstage!$G233:$DV233,1,(Einstellungen!$C$3-2026)*24+22))</f>
        <v/>
      </c>
      <c r="AA233" s="76">
        <f>N(INDEX(Krankheitstage!$G233:$DV233,1,(Einstellungen!$C$3-2026)*24+23))</f>
        <v/>
      </c>
      <c r="AB233" s="76">
        <f>N(INDEX(Krankheitstage!$G233:$DV233,1,(Einstellungen!$C$3-2026)*24+24))</f>
        <v/>
      </c>
      <c r="AC233" s="76">
        <f>IF($B233="","",SUM(Q233:AB233))</f>
        <v/>
      </c>
      <c r="AD233" s="76">
        <f>IF($B233="","",SUM(P233,AC233))</f>
        <v/>
      </c>
      <c r="AE233" s="77">
        <f>IF($B233="","",AD233*N(C233))</f>
        <v/>
      </c>
      <c r="AF233" s="76">
        <f>IF($B233="","",Krankheitstage!E233)</f>
        <v/>
      </c>
      <c r="AG233" s="77">
        <f>IF($B233="","",AF233*N(C233))</f>
        <v/>
      </c>
    </row>
    <row r="234">
      <c r="A234" s="74">
        <f>IF(Mitarbeiter!B234="","",Mitarbeiter!A234)</f>
        <v/>
      </c>
      <c r="B234" s="6">
        <f>IF(Mitarbeiter!B234="","",Mitarbeiter!B234)</f>
        <v/>
      </c>
      <c r="C234" s="75">
        <f>IF(Mitarbeiter!B234="","",Mitarbeiter!F234)</f>
        <v/>
      </c>
      <c r="D234" s="76">
        <f>N(INDEX(Krankheitstage!$G234:$DV234,1,(Einstellungen!$C$3-2026)*24+1))</f>
        <v/>
      </c>
      <c r="E234" s="76">
        <f>N(INDEX(Krankheitstage!$G234:$DV234,1,(Einstellungen!$C$3-2026)*24+2))</f>
        <v/>
      </c>
      <c r="F234" s="76">
        <f>N(INDEX(Krankheitstage!$G234:$DV234,1,(Einstellungen!$C$3-2026)*24+3))</f>
        <v/>
      </c>
      <c r="G234" s="76">
        <f>N(INDEX(Krankheitstage!$G234:$DV234,1,(Einstellungen!$C$3-2026)*24+4))</f>
        <v/>
      </c>
      <c r="H234" s="76">
        <f>N(INDEX(Krankheitstage!$G234:$DV234,1,(Einstellungen!$C$3-2026)*24+5))</f>
        <v/>
      </c>
      <c r="I234" s="76">
        <f>N(INDEX(Krankheitstage!$G234:$DV234,1,(Einstellungen!$C$3-2026)*24+6))</f>
        <v/>
      </c>
      <c r="J234" s="76">
        <f>N(INDEX(Krankheitstage!$G234:$DV234,1,(Einstellungen!$C$3-2026)*24+7))</f>
        <v/>
      </c>
      <c r="K234" s="76">
        <f>N(INDEX(Krankheitstage!$G234:$DV234,1,(Einstellungen!$C$3-2026)*24+8))</f>
        <v/>
      </c>
      <c r="L234" s="76">
        <f>N(INDEX(Krankheitstage!$G234:$DV234,1,(Einstellungen!$C$3-2026)*24+9))</f>
        <v/>
      </c>
      <c r="M234" s="76">
        <f>N(INDEX(Krankheitstage!$G234:$DV234,1,(Einstellungen!$C$3-2026)*24+10))</f>
        <v/>
      </c>
      <c r="N234" s="76">
        <f>N(INDEX(Krankheitstage!$G234:$DV234,1,(Einstellungen!$C$3-2026)*24+11))</f>
        <v/>
      </c>
      <c r="O234" s="76">
        <f>N(INDEX(Krankheitstage!$G234:$DV234,1,(Einstellungen!$C$3-2026)*24+12))</f>
        <v/>
      </c>
      <c r="P234" s="76">
        <f>IF($B234="","",SUM(D234:O234))</f>
        <v/>
      </c>
      <c r="Q234" s="76">
        <f>N(INDEX(Krankheitstage!$G234:$DV234,1,(Einstellungen!$C$3-2026)*24+13))</f>
        <v/>
      </c>
      <c r="R234" s="76">
        <f>N(INDEX(Krankheitstage!$G234:$DV234,1,(Einstellungen!$C$3-2026)*24+14))</f>
        <v/>
      </c>
      <c r="S234" s="76">
        <f>N(INDEX(Krankheitstage!$G234:$DV234,1,(Einstellungen!$C$3-2026)*24+15))</f>
        <v/>
      </c>
      <c r="T234" s="76">
        <f>N(INDEX(Krankheitstage!$G234:$DV234,1,(Einstellungen!$C$3-2026)*24+16))</f>
        <v/>
      </c>
      <c r="U234" s="76">
        <f>N(INDEX(Krankheitstage!$G234:$DV234,1,(Einstellungen!$C$3-2026)*24+17))</f>
        <v/>
      </c>
      <c r="V234" s="76">
        <f>N(INDEX(Krankheitstage!$G234:$DV234,1,(Einstellungen!$C$3-2026)*24+18))</f>
        <v/>
      </c>
      <c r="W234" s="76">
        <f>N(INDEX(Krankheitstage!$G234:$DV234,1,(Einstellungen!$C$3-2026)*24+19))</f>
        <v/>
      </c>
      <c r="X234" s="76">
        <f>N(INDEX(Krankheitstage!$G234:$DV234,1,(Einstellungen!$C$3-2026)*24+20))</f>
        <v/>
      </c>
      <c r="Y234" s="76">
        <f>N(INDEX(Krankheitstage!$G234:$DV234,1,(Einstellungen!$C$3-2026)*24+21))</f>
        <v/>
      </c>
      <c r="Z234" s="76">
        <f>N(INDEX(Krankheitstage!$G234:$DV234,1,(Einstellungen!$C$3-2026)*24+22))</f>
        <v/>
      </c>
      <c r="AA234" s="76">
        <f>N(INDEX(Krankheitstage!$G234:$DV234,1,(Einstellungen!$C$3-2026)*24+23))</f>
        <v/>
      </c>
      <c r="AB234" s="76">
        <f>N(INDEX(Krankheitstage!$G234:$DV234,1,(Einstellungen!$C$3-2026)*24+24))</f>
        <v/>
      </c>
      <c r="AC234" s="76">
        <f>IF($B234="","",SUM(Q234:AB234))</f>
        <v/>
      </c>
      <c r="AD234" s="76">
        <f>IF($B234="","",SUM(P234,AC234))</f>
        <v/>
      </c>
      <c r="AE234" s="77">
        <f>IF($B234="","",AD234*N(C234))</f>
        <v/>
      </c>
      <c r="AF234" s="76">
        <f>IF($B234="","",Krankheitstage!E234)</f>
        <v/>
      </c>
      <c r="AG234" s="77">
        <f>IF($B234="","",AF234*N(C234))</f>
        <v/>
      </c>
    </row>
    <row r="235">
      <c r="A235" s="74">
        <f>IF(Mitarbeiter!B235="","",Mitarbeiter!A235)</f>
        <v/>
      </c>
      <c r="B235" s="6">
        <f>IF(Mitarbeiter!B235="","",Mitarbeiter!B235)</f>
        <v/>
      </c>
      <c r="C235" s="75">
        <f>IF(Mitarbeiter!B235="","",Mitarbeiter!F235)</f>
        <v/>
      </c>
      <c r="D235" s="76">
        <f>N(INDEX(Krankheitstage!$G235:$DV235,1,(Einstellungen!$C$3-2026)*24+1))</f>
        <v/>
      </c>
      <c r="E235" s="76">
        <f>N(INDEX(Krankheitstage!$G235:$DV235,1,(Einstellungen!$C$3-2026)*24+2))</f>
        <v/>
      </c>
      <c r="F235" s="76">
        <f>N(INDEX(Krankheitstage!$G235:$DV235,1,(Einstellungen!$C$3-2026)*24+3))</f>
        <v/>
      </c>
      <c r="G235" s="76">
        <f>N(INDEX(Krankheitstage!$G235:$DV235,1,(Einstellungen!$C$3-2026)*24+4))</f>
        <v/>
      </c>
      <c r="H235" s="76">
        <f>N(INDEX(Krankheitstage!$G235:$DV235,1,(Einstellungen!$C$3-2026)*24+5))</f>
        <v/>
      </c>
      <c r="I235" s="76">
        <f>N(INDEX(Krankheitstage!$G235:$DV235,1,(Einstellungen!$C$3-2026)*24+6))</f>
        <v/>
      </c>
      <c r="J235" s="76">
        <f>N(INDEX(Krankheitstage!$G235:$DV235,1,(Einstellungen!$C$3-2026)*24+7))</f>
        <v/>
      </c>
      <c r="K235" s="76">
        <f>N(INDEX(Krankheitstage!$G235:$DV235,1,(Einstellungen!$C$3-2026)*24+8))</f>
        <v/>
      </c>
      <c r="L235" s="76">
        <f>N(INDEX(Krankheitstage!$G235:$DV235,1,(Einstellungen!$C$3-2026)*24+9))</f>
        <v/>
      </c>
      <c r="M235" s="76">
        <f>N(INDEX(Krankheitstage!$G235:$DV235,1,(Einstellungen!$C$3-2026)*24+10))</f>
        <v/>
      </c>
      <c r="N235" s="76">
        <f>N(INDEX(Krankheitstage!$G235:$DV235,1,(Einstellungen!$C$3-2026)*24+11))</f>
        <v/>
      </c>
      <c r="O235" s="76">
        <f>N(INDEX(Krankheitstage!$G235:$DV235,1,(Einstellungen!$C$3-2026)*24+12))</f>
        <v/>
      </c>
      <c r="P235" s="76">
        <f>IF($B235="","",SUM(D235:O235))</f>
        <v/>
      </c>
      <c r="Q235" s="76">
        <f>N(INDEX(Krankheitstage!$G235:$DV235,1,(Einstellungen!$C$3-2026)*24+13))</f>
        <v/>
      </c>
      <c r="R235" s="76">
        <f>N(INDEX(Krankheitstage!$G235:$DV235,1,(Einstellungen!$C$3-2026)*24+14))</f>
        <v/>
      </c>
      <c r="S235" s="76">
        <f>N(INDEX(Krankheitstage!$G235:$DV235,1,(Einstellungen!$C$3-2026)*24+15))</f>
        <v/>
      </c>
      <c r="T235" s="76">
        <f>N(INDEX(Krankheitstage!$G235:$DV235,1,(Einstellungen!$C$3-2026)*24+16))</f>
        <v/>
      </c>
      <c r="U235" s="76">
        <f>N(INDEX(Krankheitstage!$G235:$DV235,1,(Einstellungen!$C$3-2026)*24+17))</f>
        <v/>
      </c>
      <c r="V235" s="76">
        <f>N(INDEX(Krankheitstage!$G235:$DV235,1,(Einstellungen!$C$3-2026)*24+18))</f>
        <v/>
      </c>
      <c r="W235" s="76">
        <f>N(INDEX(Krankheitstage!$G235:$DV235,1,(Einstellungen!$C$3-2026)*24+19))</f>
        <v/>
      </c>
      <c r="X235" s="76">
        <f>N(INDEX(Krankheitstage!$G235:$DV235,1,(Einstellungen!$C$3-2026)*24+20))</f>
        <v/>
      </c>
      <c r="Y235" s="76">
        <f>N(INDEX(Krankheitstage!$G235:$DV235,1,(Einstellungen!$C$3-2026)*24+21))</f>
        <v/>
      </c>
      <c r="Z235" s="76">
        <f>N(INDEX(Krankheitstage!$G235:$DV235,1,(Einstellungen!$C$3-2026)*24+22))</f>
        <v/>
      </c>
      <c r="AA235" s="76">
        <f>N(INDEX(Krankheitstage!$G235:$DV235,1,(Einstellungen!$C$3-2026)*24+23))</f>
        <v/>
      </c>
      <c r="AB235" s="76">
        <f>N(INDEX(Krankheitstage!$G235:$DV235,1,(Einstellungen!$C$3-2026)*24+24))</f>
        <v/>
      </c>
      <c r="AC235" s="76">
        <f>IF($B235="","",SUM(Q235:AB235))</f>
        <v/>
      </c>
      <c r="AD235" s="76">
        <f>IF($B235="","",SUM(P235,AC235))</f>
        <v/>
      </c>
      <c r="AE235" s="77">
        <f>IF($B235="","",AD235*N(C235))</f>
        <v/>
      </c>
      <c r="AF235" s="76">
        <f>IF($B235="","",Krankheitstage!E235)</f>
        <v/>
      </c>
      <c r="AG235" s="77">
        <f>IF($B235="","",AF235*N(C235))</f>
        <v/>
      </c>
    </row>
    <row r="236">
      <c r="A236" s="74">
        <f>IF(Mitarbeiter!B236="","",Mitarbeiter!A236)</f>
        <v/>
      </c>
      <c r="B236" s="6">
        <f>IF(Mitarbeiter!B236="","",Mitarbeiter!B236)</f>
        <v/>
      </c>
      <c r="C236" s="75">
        <f>IF(Mitarbeiter!B236="","",Mitarbeiter!F236)</f>
        <v/>
      </c>
      <c r="D236" s="76">
        <f>N(INDEX(Krankheitstage!$G236:$DV236,1,(Einstellungen!$C$3-2026)*24+1))</f>
        <v/>
      </c>
      <c r="E236" s="76">
        <f>N(INDEX(Krankheitstage!$G236:$DV236,1,(Einstellungen!$C$3-2026)*24+2))</f>
        <v/>
      </c>
      <c r="F236" s="76">
        <f>N(INDEX(Krankheitstage!$G236:$DV236,1,(Einstellungen!$C$3-2026)*24+3))</f>
        <v/>
      </c>
      <c r="G236" s="76">
        <f>N(INDEX(Krankheitstage!$G236:$DV236,1,(Einstellungen!$C$3-2026)*24+4))</f>
        <v/>
      </c>
      <c r="H236" s="76">
        <f>N(INDEX(Krankheitstage!$G236:$DV236,1,(Einstellungen!$C$3-2026)*24+5))</f>
        <v/>
      </c>
      <c r="I236" s="76">
        <f>N(INDEX(Krankheitstage!$G236:$DV236,1,(Einstellungen!$C$3-2026)*24+6))</f>
        <v/>
      </c>
      <c r="J236" s="76">
        <f>N(INDEX(Krankheitstage!$G236:$DV236,1,(Einstellungen!$C$3-2026)*24+7))</f>
        <v/>
      </c>
      <c r="K236" s="76">
        <f>N(INDEX(Krankheitstage!$G236:$DV236,1,(Einstellungen!$C$3-2026)*24+8))</f>
        <v/>
      </c>
      <c r="L236" s="76">
        <f>N(INDEX(Krankheitstage!$G236:$DV236,1,(Einstellungen!$C$3-2026)*24+9))</f>
        <v/>
      </c>
      <c r="M236" s="76">
        <f>N(INDEX(Krankheitstage!$G236:$DV236,1,(Einstellungen!$C$3-2026)*24+10))</f>
        <v/>
      </c>
      <c r="N236" s="76">
        <f>N(INDEX(Krankheitstage!$G236:$DV236,1,(Einstellungen!$C$3-2026)*24+11))</f>
        <v/>
      </c>
      <c r="O236" s="76">
        <f>N(INDEX(Krankheitstage!$G236:$DV236,1,(Einstellungen!$C$3-2026)*24+12))</f>
        <v/>
      </c>
      <c r="P236" s="76">
        <f>IF($B236="","",SUM(D236:O236))</f>
        <v/>
      </c>
      <c r="Q236" s="76">
        <f>N(INDEX(Krankheitstage!$G236:$DV236,1,(Einstellungen!$C$3-2026)*24+13))</f>
        <v/>
      </c>
      <c r="R236" s="76">
        <f>N(INDEX(Krankheitstage!$G236:$DV236,1,(Einstellungen!$C$3-2026)*24+14))</f>
        <v/>
      </c>
      <c r="S236" s="76">
        <f>N(INDEX(Krankheitstage!$G236:$DV236,1,(Einstellungen!$C$3-2026)*24+15))</f>
        <v/>
      </c>
      <c r="T236" s="76">
        <f>N(INDEX(Krankheitstage!$G236:$DV236,1,(Einstellungen!$C$3-2026)*24+16))</f>
        <v/>
      </c>
      <c r="U236" s="76">
        <f>N(INDEX(Krankheitstage!$G236:$DV236,1,(Einstellungen!$C$3-2026)*24+17))</f>
        <v/>
      </c>
      <c r="V236" s="76">
        <f>N(INDEX(Krankheitstage!$G236:$DV236,1,(Einstellungen!$C$3-2026)*24+18))</f>
        <v/>
      </c>
      <c r="W236" s="76">
        <f>N(INDEX(Krankheitstage!$G236:$DV236,1,(Einstellungen!$C$3-2026)*24+19))</f>
        <v/>
      </c>
      <c r="X236" s="76">
        <f>N(INDEX(Krankheitstage!$G236:$DV236,1,(Einstellungen!$C$3-2026)*24+20))</f>
        <v/>
      </c>
      <c r="Y236" s="76">
        <f>N(INDEX(Krankheitstage!$G236:$DV236,1,(Einstellungen!$C$3-2026)*24+21))</f>
        <v/>
      </c>
      <c r="Z236" s="76">
        <f>N(INDEX(Krankheitstage!$G236:$DV236,1,(Einstellungen!$C$3-2026)*24+22))</f>
        <v/>
      </c>
      <c r="AA236" s="76">
        <f>N(INDEX(Krankheitstage!$G236:$DV236,1,(Einstellungen!$C$3-2026)*24+23))</f>
        <v/>
      </c>
      <c r="AB236" s="76">
        <f>N(INDEX(Krankheitstage!$G236:$DV236,1,(Einstellungen!$C$3-2026)*24+24))</f>
        <v/>
      </c>
      <c r="AC236" s="76">
        <f>IF($B236="","",SUM(Q236:AB236))</f>
        <v/>
      </c>
      <c r="AD236" s="76">
        <f>IF($B236="","",SUM(P236,AC236))</f>
        <v/>
      </c>
      <c r="AE236" s="77">
        <f>IF($B236="","",AD236*N(C236))</f>
        <v/>
      </c>
      <c r="AF236" s="76">
        <f>IF($B236="","",Krankheitstage!E236)</f>
        <v/>
      </c>
      <c r="AG236" s="77">
        <f>IF($B236="","",AF236*N(C236))</f>
        <v/>
      </c>
    </row>
    <row r="237">
      <c r="A237" s="74">
        <f>IF(Mitarbeiter!B237="","",Mitarbeiter!A237)</f>
        <v/>
      </c>
      <c r="B237" s="6">
        <f>IF(Mitarbeiter!B237="","",Mitarbeiter!B237)</f>
        <v/>
      </c>
      <c r="C237" s="75">
        <f>IF(Mitarbeiter!B237="","",Mitarbeiter!F237)</f>
        <v/>
      </c>
      <c r="D237" s="76">
        <f>N(INDEX(Krankheitstage!$G237:$DV237,1,(Einstellungen!$C$3-2026)*24+1))</f>
        <v/>
      </c>
      <c r="E237" s="76">
        <f>N(INDEX(Krankheitstage!$G237:$DV237,1,(Einstellungen!$C$3-2026)*24+2))</f>
        <v/>
      </c>
      <c r="F237" s="76">
        <f>N(INDEX(Krankheitstage!$G237:$DV237,1,(Einstellungen!$C$3-2026)*24+3))</f>
        <v/>
      </c>
      <c r="G237" s="76">
        <f>N(INDEX(Krankheitstage!$G237:$DV237,1,(Einstellungen!$C$3-2026)*24+4))</f>
        <v/>
      </c>
      <c r="H237" s="76">
        <f>N(INDEX(Krankheitstage!$G237:$DV237,1,(Einstellungen!$C$3-2026)*24+5))</f>
        <v/>
      </c>
      <c r="I237" s="76">
        <f>N(INDEX(Krankheitstage!$G237:$DV237,1,(Einstellungen!$C$3-2026)*24+6))</f>
        <v/>
      </c>
      <c r="J237" s="76">
        <f>N(INDEX(Krankheitstage!$G237:$DV237,1,(Einstellungen!$C$3-2026)*24+7))</f>
        <v/>
      </c>
      <c r="K237" s="76">
        <f>N(INDEX(Krankheitstage!$G237:$DV237,1,(Einstellungen!$C$3-2026)*24+8))</f>
        <v/>
      </c>
      <c r="L237" s="76">
        <f>N(INDEX(Krankheitstage!$G237:$DV237,1,(Einstellungen!$C$3-2026)*24+9))</f>
        <v/>
      </c>
      <c r="M237" s="76">
        <f>N(INDEX(Krankheitstage!$G237:$DV237,1,(Einstellungen!$C$3-2026)*24+10))</f>
        <v/>
      </c>
      <c r="N237" s="76">
        <f>N(INDEX(Krankheitstage!$G237:$DV237,1,(Einstellungen!$C$3-2026)*24+11))</f>
        <v/>
      </c>
      <c r="O237" s="76">
        <f>N(INDEX(Krankheitstage!$G237:$DV237,1,(Einstellungen!$C$3-2026)*24+12))</f>
        <v/>
      </c>
      <c r="P237" s="76">
        <f>IF($B237="","",SUM(D237:O237))</f>
        <v/>
      </c>
      <c r="Q237" s="76">
        <f>N(INDEX(Krankheitstage!$G237:$DV237,1,(Einstellungen!$C$3-2026)*24+13))</f>
        <v/>
      </c>
      <c r="R237" s="76">
        <f>N(INDEX(Krankheitstage!$G237:$DV237,1,(Einstellungen!$C$3-2026)*24+14))</f>
        <v/>
      </c>
      <c r="S237" s="76">
        <f>N(INDEX(Krankheitstage!$G237:$DV237,1,(Einstellungen!$C$3-2026)*24+15))</f>
        <v/>
      </c>
      <c r="T237" s="76">
        <f>N(INDEX(Krankheitstage!$G237:$DV237,1,(Einstellungen!$C$3-2026)*24+16))</f>
        <v/>
      </c>
      <c r="U237" s="76">
        <f>N(INDEX(Krankheitstage!$G237:$DV237,1,(Einstellungen!$C$3-2026)*24+17))</f>
        <v/>
      </c>
      <c r="V237" s="76">
        <f>N(INDEX(Krankheitstage!$G237:$DV237,1,(Einstellungen!$C$3-2026)*24+18))</f>
        <v/>
      </c>
      <c r="W237" s="76">
        <f>N(INDEX(Krankheitstage!$G237:$DV237,1,(Einstellungen!$C$3-2026)*24+19))</f>
        <v/>
      </c>
      <c r="X237" s="76">
        <f>N(INDEX(Krankheitstage!$G237:$DV237,1,(Einstellungen!$C$3-2026)*24+20))</f>
        <v/>
      </c>
      <c r="Y237" s="76">
        <f>N(INDEX(Krankheitstage!$G237:$DV237,1,(Einstellungen!$C$3-2026)*24+21))</f>
        <v/>
      </c>
      <c r="Z237" s="76">
        <f>N(INDEX(Krankheitstage!$G237:$DV237,1,(Einstellungen!$C$3-2026)*24+22))</f>
        <v/>
      </c>
      <c r="AA237" s="76">
        <f>N(INDEX(Krankheitstage!$G237:$DV237,1,(Einstellungen!$C$3-2026)*24+23))</f>
        <v/>
      </c>
      <c r="AB237" s="76">
        <f>N(INDEX(Krankheitstage!$G237:$DV237,1,(Einstellungen!$C$3-2026)*24+24))</f>
        <v/>
      </c>
      <c r="AC237" s="76">
        <f>IF($B237="","",SUM(Q237:AB237))</f>
        <v/>
      </c>
      <c r="AD237" s="76">
        <f>IF($B237="","",SUM(P237,AC237))</f>
        <v/>
      </c>
      <c r="AE237" s="77">
        <f>IF($B237="","",AD237*N(C237))</f>
        <v/>
      </c>
      <c r="AF237" s="76">
        <f>IF($B237="","",Krankheitstage!E237)</f>
        <v/>
      </c>
      <c r="AG237" s="77">
        <f>IF($B237="","",AF237*N(C237))</f>
        <v/>
      </c>
    </row>
    <row r="238">
      <c r="A238" s="74">
        <f>IF(Mitarbeiter!B238="","",Mitarbeiter!A238)</f>
        <v/>
      </c>
      <c r="B238" s="6">
        <f>IF(Mitarbeiter!B238="","",Mitarbeiter!B238)</f>
        <v/>
      </c>
      <c r="C238" s="75">
        <f>IF(Mitarbeiter!B238="","",Mitarbeiter!F238)</f>
        <v/>
      </c>
      <c r="D238" s="76">
        <f>N(INDEX(Krankheitstage!$G238:$DV238,1,(Einstellungen!$C$3-2026)*24+1))</f>
        <v/>
      </c>
      <c r="E238" s="76">
        <f>N(INDEX(Krankheitstage!$G238:$DV238,1,(Einstellungen!$C$3-2026)*24+2))</f>
        <v/>
      </c>
      <c r="F238" s="76">
        <f>N(INDEX(Krankheitstage!$G238:$DV238,1,(Einstellungen!$C$3-2026)*24+3))</f>
        <v/>
      </c>
      <c r="G238" s="76">
        <f>N(INDEX(Krankheitstage!$G238:$DV238,1,(Einstellungen!$C$3-2026)*24+4))</f>
        <v/>
      </c>
      <c r="H238" s="76">
        <f>N(INDEX(Krankheitstage!$G238:$DV238,1,(Einstellungen!$C$3-2026)*24+5))</f>
        <v/>
      </c>
      <c r="I238" s="76">
        <f>N(INDEX(Krankheitstage!$G238:$DV238,1,(Einstellungen!$C$3-2026)*24+6))</f>
        <v/>
      </c>
      <c r="J238" s="76">
        <f>N(INDEX(Krankheitstage!$G238:$DV238,1,(Einstellungen!$C$3-2026)*24+7))</f>
        <v/>
      </c>
      <c r="K238" s="76">
        <f>N(INDEX(Krankheitstage!$G238:$DV238,1,(Einstellungen!$C$3-2026)*24+8))</f>
        <v/>
      </c>
      <c r="L238" s="76">
        <f>N(INDEX(Krankheitstage!$G238:$DV238,1,(Einstellungen!$C$3-2026)*24+9))</f>
        <v/>
      </c>
      <c r="M238" s="76">
        <f>N(INDEX(Krankheitstage!$G238:$DV238,1,(Einstellungen!$C$3-2026)*24+10))</f>
        <v/>
      </c>
      <c r="N238" s="76">
        <f>N(INDEX(Krankheitstage!$G238:$DV238,1,(Einstellungen!$C$3-2026)*24+11))</f>
        <v/>
      </c>
      <c r="O238" s="76">
        <f>N(INDEX(Krankheitstage!$G238:$DV238,1,(Einstellungen!$C$3-2026)*24+12))</f>
        <v/>
      </c>
      <c r="P238" s="76">
        <f>IF($B238="","",SUM(D238:O238))</f>
        <v/>
      </c>
      <c r="Q238" s="76">
        <f>N(INDEX(Krankheitstage!$G238:$DV238,1,(Einstellungen!$C$3-2026)*24+13))</f>
        <v/>
      </c>
      <c r="R238" s="76">
        <f>N(INDEX(Krankheitstage!$G238:$DV238,1,(Einstellungen!$C$3-2026)*24+14))</f>
        <v/>
      </c>
      <c r="S238" s="76">
        <f>N(INDEX(Krankheitstage!$G238:$DV238,1,(Einstellungen!$C$3-2026)*24+15))</f>
        <v/>
      </c>
      <c r="T238" s="76">
        <f>N(INDEX(Krankheitstage!$G238:$DV238,1,(Einstellungen!$C$3-2026)*24+16))</f>
        <v/>
      </c>
      <c r="U238" s="76">
        <f>N(INDEX(Krankheitstage!$G238:$DV238,1,(Einstellungen!$C$3-2026)*24+17))</f>
        <v/>
      </c>
      <c r="V238" s="76">
        <f>N(INDEX(Krankheitstage!$G238:$DV238,1,(Einstellungen!$C$3-2026)*24+18))</f>
        <v/>
      </c>
      <c r="W238" s="76">
        <f>N(INDEX(Krankheitstage!$G238:$DV238,1,(Einstellungen!$C$3-2026)*24+19))</f>
        <v/>
      </c>
      <c r="X238" s="76">
        <f>N(INDEX(Krankheitstage!$G238:$DV238,1,(Einstellungen!$C$3-2026)*24+20))</f>
        <v/>
      </c>
      <c r="Y238" s="76">
        <f>N(INDEX(Krankheitstage!$G238:$DV238,1,(Einstellungen!$C$3-2026)*24+21))</f>
        <v/>
      </c>
      <c r="Z238" s="76">
        <f>N(INDEX(Krankheitstage!$G238:$DV238,1,(Einstellungen!$C$3-2026)*24+22))</f>
        <v/>
      </c>
      <c r="AA238" s="76">
        <f>N(INDEX(Krankheitstage!$G238:$DV238,1,(Einstellungen!$C$3-2026)*24+23))</f>
        <v/>
      </c>
      <c r="AB238" s="76">
        <f>N(INDEX(Krankheitstage!$G238:$DV238,1,(Einstellungen!$C$3-2026)*24+24))</f>
        <v/>
      </c>
      <c r="AC238" s="76">
        <f>IF($B238="","",SUM(Q238:AB238))</f>
        <v/>
      </c>
      <c r="AD238" s="76">
        <f>IF($B238="","",SUM(P238,AC238))</f>
        <v/>
      </c>
      <c r="AE238" s="77">
        <f>IF($B238="","",AD238*N(C238))</f>
        <v/>
      </c>
      <c r="AF238" s="76">
        <f>IF($B238="","",Krankheitstage!E238)</f>
        <v/>
      </c>
      <c r="AG238" s="77">
        <f>IF($B238="","",AF238*N(C238))</f>
        <v/>
      </c>
    </row>
    <row r="239">
      <c r="A239" s="74">
        <f>IF(Mitarbeiter!B239="","",Mitarbeiter!A239)</f>
        <v/>
      </c>
      <c r="B239" s="6">
        <f>IF(Mitarbeiter!B239="","",Mitarbeiter!B239)</f>
        <v/>
      </c>
      <c r="C239" s="75">
        <f>IF(Mitarbeiter!B239="","",Mitarbeiter!F239)</f>
        <v/>
      </c>
      <c r="D239" s="76">
        <f>N(INDEX(Krankheitstage!$G239:$DV239,1,(Einstellungen!$C$3-2026)*24+1))</f>
        <v/>
      </c>
      <c r="E239" s="76">
        <f>N(INDEX(Krankheitstage!$G239:$DV239,1,(Einstellungen!$C$3-2026)*24+2))</f>
        <v/>
      </c>
      <c r="F239" s="76">
        <f>N(INDEX(Krankheitstage!$G239:$DV239,1,(Einstellungen!$C$3-2026)*24+3))</f>
        <v/>
      </c>
      <c r="G239" s="76">
        <f>N(INDEX(Krankheitstage!$G239:$DV239,1,(Einstellungen!$C$3-2026)*24+4))</f>
        <v/>
      </c>
      <c r="H239" s="76">
        <f>N(INDEX(Krankheitstage!$G239:$DV239,1,(Einstellungen!$C$3-2026)*24+5))</f>
        <v/>
      </c>
      <c r="I239" s="76">
        <f>N(INDEX(Krankheitstage!$G239:$DV239,1,(Einstellungen!$C$3-2026)*24+6))</f>
        <v/>
      </c>
      <c r="J239" s="76">
        <f>N(INDEX(Krankheitstage!$G239:$DV239,1,(Einstellungen!$C$3-2026)*24+7))</f>
        <v/>
      </c>
      <c r="K239" s="76">
        <f>N(INDEX(Krankheitstage!$G239:$DV239,1,(Einstellungen!$C$3-2026)*24+8))</f>
        <v/>
      </c>
      <c r="L239" s="76">
        <f>N(INDEX(Krankheitstage!$G239:$DV239,1,(Einstellungen!$C$3-2026)*24+9))</f>
        <v/>
      </c>
      <c r="M239" s="76">
        <f>N(INDEX(Krankheitstage!$G239:$DV239,1,(Einstellungen!$C$3-2026)*24+10))</f>
        <v/>
      </c>
      <c r="N239" s="76">
        <f>N(INDEX(Krankheitstage!$G239:$DV239,1,(Einstellungen!$C$3-2026)*24+11))</f>
        <v/>
      </c>
      <c r="O239" s="76">
        <f>N(INDEX(Krankheitstage!$G239:$DV239,1,(Einstellungen!$C$3-2026)*24+12))</f>
        <v/>
      </c>
      <c r="P239" s="76">
        <f>IF($B239="","",SUM(D239:O239))</f>
        <v/>
      </c>
      <c r="Q239" s="76">
        <f>N(INDEX(Krankheitstage!$G239:$DV239,1,(Einstellungen!$C$3-2026)*24+13))</f>
        <v/>
      </c>
      <c r="R239" s="76">
        <f>N(INDEX(Krankheitstage!$G239:$DV239,1,(Einstellungen!$C$3-2026)*24+14))</f>
        <v/>
      </c>
      <c r="S239" s="76">
        <f>N(INDEX(Krankheitstage!$G239:$DV239,1,(Einstellungen!$C$3-2026)*24+15))</f>
        <v/>
      </c>
      <c r="T239" s="76">
        <f>N(INDEX(Krankheitstage!$G239:$DV239,1,(Einstellungen!$C$3-2026)*24+16))</f>
        <v/>
      </c>
      <c r="U239" s="76">
        <f>N(INDEX(Krankheitstage!$G239:$DV239,1,(Einstellungen!$C$3-2026)*24+17))</f>
        <v/>
      </c>
      <c r="V239" s="76">
        <f>N(INDEX(Krankheitstage!$G239:$DV239,1,(Einstellungen!$C$3-2026)*24+18))</f>
        <v/>
      </c>
      <c r="W239" s="76">
        <f>N(INDEX(Krankheitstage!$G239:$DV239,1,(Einstellungen!$C$3-2026)*24+19))</f>
        <v/>
      </c>
      <c r="X239" s="76">
        <f>N(INDEX(Krankheitstage!$G239:$DV239,1,(Einstellungen!$C$3-2026)*24+20))</f>
        <v/>
      </c>
      <c r="Y239" s="76">
        <f>N(INDEX(Krankheitstage!$G239:$DV239,1,(Einstellungen!$C$3-2026)*24+21))</f>
        <v/>
      </c>
      <c r="Z239" s="76">
        <f>N(INDEX(Krankheitstage!$G239:$DV239,1,(Einstellungen!$C$3-2026)*24+22))</f>
        <v/>
      </c>
      <c r="AA239" s="76">
        <f>N(INDEX(Krankheitstage!$G239:$DV239,1,(Einstellungen!$C$3-2026)*24+23))</f>
        <v/>
      </c>
      <c r="AB239" s="76">
        <f>N(INDEX(Krankheitstage!$G239:$DV239,1,(Einstellungen!$C$3-2026)*24+24))</f>
        <v/>
      </c>
      <c r="AC239" s="76">
        <f>IF($B239="","",SUM(Q239:AB239))</f>
        <v/>
      </c>
      <c r="AD239" s="76">
        <f>IF($B239="","",SUM(P239,AC239))</f>
        <v/>
      </c>
      <c r="AE239" s="77">
        <f>IF($B239="","",AD239*N(C239))</f>
        <v/>
      </c>
      <c r="AF239" s="76">
        <f>IF($B239="","",Krankheitstage!E239)</f>
        <v/>
      </c>
      <c r="AG239" s="77">
        <f>IF($B239="","",AF239*N(C239))</f>
        <v/>
      </c>
    </row>
    <row r="240">
      <c r="A240" s="74">
        <f>IF(Mitarbeiter!B240="","",Mitarbeiter!A240)</f>
        <v/>
      </c>
      <c r="B240" s="6">
        <f>IF(Mitarbeiter!B240="","",Mitarbeiter!B240)</f>
        <v/>
      </c>
      <c r="C240" s="75">
        <f>IF(Mitarbeiter!B240="","",Mitarbeiter!F240)</f>
        <v/>
      </c>
      <c r="D240" s="76">
        <f>N(INDEX(Krankheitstage!$G240:$DV240,1,(Einstellungen!$C$3-2026)*24+1))</f>
        <v/>
      </c>
      <c r="E240" s="76">
        <f>N(INDEX(Krankheitstage!$G240:$DV240,1,(Einstellungen!$C$3-2026)*24+2))</f>
        <v/>
      </c>
      <c r="F240" s="76">
        <f>N(INDEX(Krankheitstage!$G240:$DV240,1,(Einstellungen!$C$3-2026)*24+3))</f>
        <v/>
      </c>
      <c r="G240" s="76">
        <f>N(INDEX(Krankheitstage!$G240:$DV240,1,(Einstellungen!$C$3-2026)*24+4))</f>
        <v/>
      </c>
      <c r="H240" s="76">
        <f>N(INDEX(Krankheitstage!$G240:$DV240,1,(Einstellungen!$C$3-2026)*24+5))</f>
        <v/>
      </c>
      <c r="I240" s="76">
        <f>N(INDEX(Krankheitstage!$G240:$DV240,1,(Einstellungen!$C$3-2026)*24+6))</f>
        <v/>
      </c>
      <c r="J240" s="76">
        <f>N(INDEX(Krankheitstage!$G240:$DV240,1,(Einstellungen!$C$3-2026)*24+7))</f>
        <v/>
      </c>
      <c r="K240" s="76">
        <f>N(INDEX(Krankheitstage!$G240:$DV240,1,(Einstellungen!$C$3-2026)*24+8))</f>
        <v/>
      </c>
      <c r="L240" s="76">
        <f>N(INDEX(Krankheitstage!$G240:$DV240,1,(Einstellungen!$C$3-2026)*24+9))</f>
        <v/>
      </c>
      <c r="M240" s="76">
        <f>N(INDEX(Krankheitstage!$G240:$DV240,1,(Einstellungen!$C$3-2026)*24+10))</f>
        <v/>
      </c>
      <c r="N240" s="76">
        <f>N(INDEX(Krankheitstage!$G240:$DV240,1,(Einstellungen!$C$3-2026)*24+11))</f>
        <v/>
      </c>
      <c r="O240" s="76">
        <f>N(INDEX(Krankheitstage!$G240:$DV240,1,(Einstellungen!$C$3-2026)*24+12))</f>
        <v/>
      </c>
      <c r="P240" s="76">
        <f>IF($B240="","",SUM(D240:O240))</f>
        <v/>
      </c>
      <c r="Q240" s="76">
        <f>N(INDEX(Krankheitstage!$G240:$DV240,1,(Einstellungen!$C$3-2026)*24+13))</f>
        <v/>
      </c>
      <c r="R240" s="76">
        <f>N(INDEX(Krankheitstage!$G240:$DV240,1,(Einstellungen!$C$3-2026)*24+14))</f>
        <v/>
      </c>
      <c r="S240" s="76">
        <f>N(INDEX(Krankheitstage!$G240:$DV240,1,(Einstellungen!$C$3-2026)*24+15))</f>
        <v/>
      </c>
      <c r="T240" s="76">
        <f>N(INDEX(Krankheitstage!$G240:$DV240,1,(Einstellungen!$C$3-2026)*24+16))</f>
        <v/>
      </c>
      <c r="U240" s="76">
        <f>N(INDEX(Krankheitstage!$G240:$DV240,1,(Einstellungen!$C$3-2026)*24+17))</f>
        <v/>
      </c>
      <c r="V240" s="76">
        <f>N(INDEX(Krankheitstage!$G240:$DV240,1,(Einstellungen!$C$3-2026)*24+18))</f>
        <v/>
      </c>
      <c r="W240" s="76">
        <f>N(INDEX(Krankheitstage!$G240:$DV240,1,(Einstellungen!$C$3-2026)*24+19))</f>
        <v/>
      </c>
      <c r="X240" s="76">
        <f>N(INDEX(Krankheitstage!$G240:$DV240,1,(Einstellungen!$C$3-2026)*24+20))</f>
        <v/>
      </c>
      <c r="Y240" s="76">
        <f>N(INDEX(Krankheitstage!$G240:$DV240,1,(Einstellungen!$C$3-2026)*24+21))</f>
        <v/>
      </c>
      <c r="Z240" s="76">
        <f>N(INDEX(Krankheitstage!$G240:$DV240,1,(Einstellungen!$C$3-2026)*24+22))</f>
        <v/>
      </c>
      <c r="AA240" s="76">
        <f>N(INDEX(Krankheitstage!$G240:$DV240,1,(Einstellungen!$C$3-2026)*24+23))</f>
        <v/>
      </c>
      <c r="AB240" s="76">
        <f>N(INDEX(Krankheitstage!$G240:$DV240,1,(Einstellungen!$C$3-2026)*24+24))</f>
        <v/>
      </c>
      <c r="AC240" s="76">
        <f>IF($B240="","",SUM(Q240:AB240))</f>
        <v/>
      </c>
      <c r="AD240" s="76">
        <f>IF($B240="","",SUM(P240,AC240))</f>
        <v/>
      </c>
      <c r="AE240" s="77">
        <f>IF($B240="","",AD240*N(C240))</f>
        <v/>
      </c>
      <c r="AF240" s="76">
        <f>IF($B240="","",Krankheitstage!E240)</f>
        <v/>
      </c>
      <c r="AG240" s="77">
        <f>IF($B240="","",AF240*N(C240))</f>
        <v/>
      </c>
    </row>
    <row r="241">
      <c r="A241" s="74">
        <f>IF(Mitarbeiter!B241="","",Mitarbeiter!A241)</f>
        <v/>
      </c>
      <c r="B241" s="6">
        <f>IF(Mitarbeiter!B241="","",Mitarbeiter!B241)</f>
        <v/>
      </c>
      <c r="C241" s="75">
        <f>IF(Mitarbeiter!B241="","",Mitarbeiter!F241)</f>
        <v/>
      </c>
      <c r="D241" s="76">
        <f>N(INDEX(Krankheitstage!$G241:$DV241,1,(Einstellungen!$C$3-2026)*24+1))</f>
        <v/>
      </c>
      <c r="E241" s="76">
        <f>N(INDEX(Krankheitstage!$G241:$DV241,1,(Einstellungen!$C$3-2026)*24+2))</f>
        <v/>
      </c>
      <c r="F241" s="76">
        <f>N(INDEX(Krankheitstage!$G241:$DV241,1,(Einstellungen!$C$3-2026)*24+3))</f>
        <v/>
      </c>
      <c r="G241" s="76">
        <f>N(INDEX(Krankheitstage!$G241:$DV241,1,(Einstellungen!$C$3-2026)*24+4))</f>
        <v/>
      </c>
      <c r="H241" s="76">
        <f>N(INDEX(Krankheitstage!$G241:$DV241,1,(Einstellungen!$C$3-2026)*24+5))</f>
        <v/>
      </c>
      <c r="I241" s="76">
        <f>N(INDEX(Krankheitstage!$G241:$DV241,1,(Einstellungen!$C$3-2026)*24+6))</f>
        <v/>
      </c>
      <c r="J241" s="76">
        <f>N(INDEX(Krankheitstage!$G241:$DV241,1,(Einstellungen!$C$3-2026)*24+7))</f>
        <v/>
      </c>
      <c r="K241" s="76">
        <f>N(INDEX(Krankheitstage!$G241:$DV241,1,(Einstellungen!$C$3-2026)*24+8))</f>
        <v/>
      </c>
      <c r="L241" s="76">
        <f>N(INDEX(Krankheitstage!$G241:$DV241,1,(Einstellungen!$C$3-2026)*24+9))</f>
        <v/>
      </c>
      <c r="M241" s="76">
        <f>N(INDEX(Krankheitstage!$G241:$DV241,1,(Einstellungen!$C$3-2026)*24+10))</f>
        <v/>
      </c>
      <c r="N241" s="76">
        <f>N(INDEX(Krankheitstage!$G241:$DV241,1,(Einstellungen!$C$3-2026)*24+11))</f>
        <v/>
      </c>
      <c r="O241" s="76">
        <f>N(INDEX(Krankheitstage!$G241:$DV241,1,(Einstellungen!$C$3-2026)*24+12))</f>
        <v/>
      </c>
      <c r="P241" s="76">
        <f>IF($B241="","",SUM(D241:O241))</f>
        <v/>
      </c>
      <c r="Q241" s="76">
        <f>N(INDEX(Krankheitstage!$G241:$DV241,1,(Einstellungen!$C$3-2026)*24+13))</f>
        <v/>
      </c>
      <c r="R241" s="76">
        <f>N(INDEX(Krankheitstage!$G241:$DV241,1,(Einstellungen!$C$3-2026)*24+14))</f>
        <v/>
      </c>
      <c r="S241" s="76">
        <f>N(INDEX(Krankheitstage!$G241:$DV241,1,(Einstellungen!$C$3-2026)*24+15))</f>
        <v/>
      </c>
      <c r="T241" s="76">
        <f>N(INDEX(Krankheitstage!$G241:$DV241,1,(Einstellungen!$C$3-2026)*24+16))</f>
        <v/>
      </c>
      <c r="U241" s="76">
        <f>N(INDEX(Krankheitstage!$G241:$DV241,1,(Einstellungen!$C$3-2026)*24+17))</f>
        <v/>
      </c>
      <c r="V241" s="76">
        <f>N(INDEX(Krankheitstage!$G241:$DV241,1,(Einstellungen!$C$3-2026)*24+18))</f>
        <v/>
      </c>
      <c r="W241" s="76">
        <f>N(INDEX(Krankheitstage!$G241:$DV241,1,(Einstellungen!$C$3-2026)*24+19))</f>
        <v/>
      </c>
      <c r="X241" s="76">
        <f>N(INDEX(Krankheitstage!$G241:$DV241,1,(Einstellungen!$C$3-2026)*24+20))</f>
        <v/>
      </c>
      <c r="Y241" s="76">
        <f>N(INDEX(Krankheitstage!$G241:$DV241,1,(Einstellungen!$C$3-2026)*24+21))</f>
        <v/>
      </c>
      <c r="Z241" s="76">
        <f>N(INDEX(Krankheitstage!$G241:$DV241,1,(Einstellungen!$C$3-2026)*24+22))</f>
        <v/>
      </c>
      <c r="AA241" s="76">
        <f>N(INDEX(Krankheitstage!$G241:$DV241,1,(Einstellungen!$C$3-2026)*24+23))</f>
        <v/>
      </c>
      <c r="AB241" s="76">
        <f>N(INDEX(Krankheitstage!$G241:$DV241,1,(Einstellungen!$C$3-2026)*24+24))</f>
        <v/>
      </c>
      <c r="AC241" s="76">
        <f>IF($B241="","",SUM(Q241:AB241))</f>
        <v/>
      </c>
      <c r="AD241" s="76">
        <f>IF($B241="","",SUM(P241,AC241))</f>
        <v/>
      </c>
      <c r="AE241" s="77">
        <f>IF($B241="","",AD241*N(C241))</f>
        <v/>
      </c>
      <c r="AF241" s="76">
        <f>IF($B241="","",Krankheitstage!E241)</f>
        <v/>
      </c>
      <c r="AG241" s="77">
        <f>IF($B241="","",AF241*N(C241))</f>
        <v/>
      </c>
    </row>
    <row r="242">
      <c r="A242" s="74">
        <f>IF(Mitarbeiter!B242="","",Mitarbeiter!A242)</f>
        <v/>
      </c>
      <c r="B242" s="6">
        <f>IF(Mitarbeiter!B242="","",Mitarbeiter!B242)</f>
        <v/>
      </c>
      <c r="C242" s="75">
        <f>IF(Mitarbeiter!B242="","",Mitarbeiter!F242)</f>
        <v/>
      </c>
      <c r="D242" s="76">
        <f>N(INDEX(Krankheitstage!$G242:$DV242,1,(Einstellungen!$C$3-2026)*24+1))</f>
        <v/>
      </c>
      <c r="E242" s="76">
        <f>N(INDEX(Krankheitstage!$G242:$DV242,1,(Einstellungen!$C$3-2026)*24+2))</f>
        <v/>
      </c>
      <c r="F242" s="76">
        <f>N(INDEX(Krankheitstage!$G242:$DV242,1,(Einstellungen!$C$3-2026)*24+3))</f>
        <v/>
      </c>
      <c r="G242" s="76">
        <f>N(INDEX(Krankheitstage!$G242:$DV242,1,(Einstellungen!$C$3-2026)*24+4))</f>
        <v/>
      </c>
      <c r="H242" s="76">
        <f>N(INDEX(Krankheitstage!$G242:$DV242,1,(Einstellungen!$C$3-2026)*24+5))</f>
        <v/>
      </c>
      <c r="I242" s="76">
        <f>N(INDEX(Krankheitstage!$G242:$DV242,1,(Einstellungen!$C$3-2026)*24+6))</f>
        <v/>
      </c>
      <c r="J242" s="76">
        <f>N(INDEX(Krankheitstage!$G242:$DV242,1,(Einstellungen!$C$3-2026)*24+7))</f>
        <v/>
      </c>
      <c r="K242" s="76">
        <f>N(INDEX(Krankheitstage!$G242:$DV242,1,(Einstellungen!$C$3-2026)*24+8))</f>
        <v/>
      </c>
      <c r="L242" s="76">
        <f>N(INDEX(Krankheitstage!$G242:$DV242,1,(Einstellungen!$C$3-2026)*24+9))</f>
        <v/>
      </c>
      <c r="M242" s="76">
        <f>N(INDEX(Krankheitstage!$G242:$DV242,1,(Einstellungen!$C$3-2026)*24+10))</f>
        <v/>
      </c>
      <c r="N242" s="76">
        <f>N(INDEX(Krankheitstage!$G242:$DV242,1,(Einstellungen!$C$3-2026)*24+11))</f>
        <v/>
      </c>
      <c r="O242" s="76">
        <f>N(INDEX(Krankheitstage!$G242:$DV242,1,(Einstellungen!$C$3-2026)*24+12))</f>
        <v/>
      </c>
      <c r="P242" s="76">
        <f>IF($B242="","",SUM(D242:O242))</f>
        <v/>
      </c>
      <c r="Q242" s="76">
        <f>N(INDEX(Krankheitstage!$G242:$DV242,1,(Einstellungen!$C$3-2026)*24+13))</f>
        <v/>
      </c>
      <c r="R242" s="76">
        <f>N(INDEX(Krankheitstage!$G242:$DV242,1,(Einstellungen!$C$3-2026)*24+14))</f>
        <v/>
      </c>
      <c r="S242" s="76">
        <f>N(INDEX(Krankheitstage!$G242:$DV242,1,(Einstellungen!$C$3-2026)*24+15))</f>
        <v/>
      </c>
      <c r="T242" s="76">
        <f>N(INDEX(Krankheitstage!$G242:$DV242,1,(Einstellungen!$C$3-2026)*24+16))</f>
        <v/>
      </c>
      <c r="U242" s="76">
        <f>N(INDEX(Krankheitstage!$G242:$DV242,1,(Einstellungen!$C$3-2026)*24+17))</f>
        <v/>
      </c>
      <c r="V242" s="76">
        <f>N(INDEX(Krankheitstage!$G242:$DV242,1,(Einstellungen!$C$3-2026)*24+18))</f>
        <v/>
      </c>
      <c r="W242" s="76">
        <f>N(INDEX(Krankheitstage!$G242:$DV242,1,(Einstellungen!$C$3-2026)*24+19))</f>
        <v/>
      </c>
      <c r="X242" s="76">
        <f>N(INDEX(Krankheitstage!$G242:$DV242,1,(Einstellungen!$C$3-2026)*24+20))</f>
        <v/>
      </c>
      <c r="Y242" s="76">
        <f>N(INDEX(Krankheitstage!$G242:$DV242,1,(Einstellungen!$C$3-2026)*24+21))</f>
        <v/>
      </c>
      <c r="Z242" s="76">
        <f>N(INDEX(Krankheitstage!$G242:$DV242,1,(Einstellungen!$C$3-2026)*24+22))</f>
        <v/>
      </c>
      <c r="AA242" s="76">
        <f>N(INDEX(Krankheitstage!$G242:$DV242,1,(Einstellungen!$C$3-2026)*24+23))</f>
        <v/>
      </c>
      <c r="AB242" s="76">
        <f>N(INDEX(Krankheitstage!$G242:$DV242,1,(Einstellungen!$C$3-2026)*24+24))</f>
        <v/>
      </c>
      <c r="AC242" s="76">
        <f>IF($B242="","",SUM(Q242:AB242))</f>
        <v/>
      </c>
      <c r="AD242" s="76">
        <f>IF($B242="","",SUM(P242,AC242))</f>
        <v/>
      </c>
      <c r="AE242" s="77">
        <f>IF($B242="","",AD242*N(C242))</f>
        <v/>
      </c>
      <c r="AF242" s="76">
        <f>IF($B242="","",Krankheitstage!E242)</f>
        <v/>
      </c>
      <c r="AG242" s="77">
        <f>IF($B242="","",AF242*N(C242))</f>
        <v/>
      </c>
    </row>
    <row r="243">
      <c r="A243" s="74">
        <f>IF(Mitarbeiter!B243="","",Mitarbeiter!A243)</f>
        <v/>
      </c>
      <c r="B243" s="6">
        <f>IF(Mitarbeiter!B243="","",Mitarbeiter!B243)</f>
        <v/>
      </c>
      <c r="C243" s="75">
        <f>IF(Mitarbeiter!B243="","",Mitarbeiter!F243)</f>
        <v/>
      </c>
      <c r="D243" s="76">
        <f>N(INDEX(Krankheitstage!$G243:$DV243,1,(Einstellungen!$C$3-2026)*24+1))</f>
        <v/>
      </c>
      <c r="E243" s="76">
        <f>N(INDEX(Krankheitstage!$G243:$DV243,1,(Einstellungen!$C$3-2026)*24+2))</f>
        <v/>
      </c>
      <c r="F243" s="76">
        <f>N(INDEX(Krankheitstage!$G243:$DV243,1,(Einstellungen!$C$3-2026)*24+3))</f>
        <v/>
      </c>
      <c r="G243" s="76">
        <f>N(INDEX(Krankheitstage!$G243:$DV243,1,(Einstellungen!$C$3-2026)*24+4))</f>
        <v/>
      </c>
      <c r="H243" s="76">
        <f>N(INDEX(Krankheitstage!$G243:$DV243,1,(Einstellungen!$C$3-2026)*24+5))</f>
        <v/>
      </c>
      <c r="I243" s="76">
        <f>N(INDEX(Krankheitstage!$G243:$DV243,1,(Einstellungen!$C$3-2026)*24+6))</f>
        <v/>
      </c>
      <c r="J243" s="76">
        <f>N(INDEX(Krankheitstage!$G243:$DV243,1,(Einstellungen!$C$3-2026)*24+7))</f>
        <v/>
      </c>
      <c r="K243" s="76">
        <f>N(INDEX(Krankheitstage!$G243:$DV243,1,(Einstellungen!$C$3-2026)*24+8))</f>
        <v/>
      </c>
      <c r="L243" s="76">
        <f>N(INDEX(Krankheitstage!$G243:$DV243,1,(Einstellungen!$C$3-2026)*24+9))</f>
        <v/>
      </c>
      <c r="M243" s="76">
        <f>N(INDEX(Krankheitstage!$G243:$DV243,1,(Einstellungen!$C$3-2026)*24+10))</f>
        <v/>
      </c>
      <c r="N243" s="76">
        <f>N(INDEX(Krankheitstage!$G243:$DV243,1,(Einstellungen!$C$3-2026)*24+11))</f>
        <v/>
      </c>
      <c r="O243" s="76">
        <f>N(INDEX(Krankheitstage!$G243:$DV243,1,(Einstellungen!$C$3-2026)*24+12))</f>
        <v/>
      </c>
      <c r="P243" s="76">
        <f>IF($B243="","",SUM(D243:O243))</f>
        <v/>
      </c>
      <c r="Q243" s="76">
        <f>N(INDEX(Krankheitstage!$G243:$DV243,1,(Einstellungen!$C$3-2026)*24+13))</f>
        <v/>
      </c>
      <c r="R243" s="76">
        <f>N(INDEX(Krankheitstage!$G243:$DV243,1,(Einstellungen!$C$3-2026)*24+14))</f>
        <v/>
      </c>
      <c r="S243" s="76">
        <f>N(INDEX(Krankheitstage!$G243:$DV243,1,(Einstellungen!$C$3-2026)*24+15))</f>
        <v/>
      </c>
      <c r="T243" s="76">
        <f>N(INDEX(Krankheitstage!$G243:$DV243,1,(Einstellungen!$C$3-2026)*24+16))</f>
        <v/>
      </c>
      <c r="U243" s="76">
        <f>N(INDEX(Krankheitstage!$G243:$DV243,1,(Einstellungen!$C$3-2026)*24+17))</f>
        <v/>
      </c>
      <c r="V243" s="76">
        <f>N(INDEX(Krankheitstage!$G243:$DV243,1,(Einstellungen!$C$3-2026)*24+18))</f>
        <v/>
      </c>
      <c r="W243" s="76">
        <f>N(INDEX(Krankheitstage!$G243:$DV243,1,(Einstellungen!$C$3-2026)*24+19))</f>
        <v/>
      </c>
      <c r="X243" s="76">
        <f>N(INDEX(Krankheitstage!$G243:$DV243,1,(Einstellungen!$C$3-2026)*24+20))</f>
        <v/>
      </c>
      <c r="Y243" s="76">
        <f>N(INDEX(Krankheitstage!$G243:$DV243,1,(Einstellungen!$C$3-2026)*24+21))</f>
        <v/>
      </c>
      <c r="Z243" s="76">
        <f>N(INDEX(Krankheitstage!$G243:$DV243,1,(Einstellungen!$C$3-2026)*24+22))</f>
        <v/>
      </c>
      <c r="AA243" s="76">
        <f>N(INDEX(Krankheitstage!$G243:$DV243,1,(Einstellungen!$C$3-2026)*24+23))</f>
        <v/>
      </c>
      <c r="AB243" s="76">
        <f>N(INDEX(Krankheitstage!$G243:$DV243,1,(Einstellungen!$C$3-2026)*24+24))</f>
        <v/>
      </c>
      <c r="AC243" s="76">
        <f>IF($B243="","",SUM(Q243:AB243))</f>
        <v/>
      </c>
      <c r="AD243" s="76">
        <f>IF($B243="","",SUM(P243,AC243))</f>
        <v/>
      </c>
      <c r="AE243" s="77">
        <f>IF($B243="","",AD243*N(C243))</f>
        <v/>
      </c>
      <c r="AF243" s="76">
        <f>IF($B243="","",Krankheitstage!E243)</f>
        <v/>
      </c>
      <c r="AG243" s="77">
        <f>IF($B243="","",AF243*N(C243))</f>
        <v/>
      </c>
    </row>
    <row r="244">
      <c r="A244" s="74">
        <f>IF(Mitarbeiter!B244="","",Mitarbeiter!A244)</f>
        <v/>
      </c>
      <c r="B244" s="6">
        <f>IF(Mitarbeiter!B244="","",Mitarbeiter!B244)</f>
        <v/>
      </c>
      <c r="C244" s="75">
        <f>IF(Mitarbeiter!B244="","",Mitarbeiter!F244)</f>
        <v/>
      </c>
      <c r="D244" s="76">
        <f>N(INDEX(Krankheitstage!$G244:$DV244,1,(Einstellungen!$C$3-2026)*24+1))</f>
        <v/>
      </c>
      <c r="E244" s="76">
        <f>N(INDEX(Krankheitstage!$G244:$DV244,1,(Einstellungen!$C$3-2026)*24+2))</f>
        <v/>
      </c>
      <c r="F244" s="76">
        <f>N(INDEX(Krankheitstage!$G244:$DV244,1,(Einstellungen!$C$3-2026)*24+3))</f>
        <v/>
      </c>
      <c r="G244" s="76">
        <f>N(INDEX(Krankheitstage!$G244:$DV244,1,(Einstellungen!$C$3-2026)*24+4))</f>
        <v/>
      </c>
      <c r="H244" s="76">
        <f>N(INDEX(Krankheitstage!$G244:$DV244,1,(Einstellungen!$C$3-2026)*24+5))</f>
        <v/>
      </c>
      <c r="I244" s="76">
        <f>N(INDEX(Krankheitstage!$G244:$DV244,1,(Einstellungen!$C$3-2026)*24+6))</f>
        <v/>
      </c>
      <c r="J244" s="76">
        <f>N(INDEX(Krankheitstage!$G244:$DV244,1,(Einstellungen!$C$3-2026)*24+7))</f>
        <v/>
      </c>
      <c r="K244" s="76">
        <f>N(INDEX(Krankheitstage!$G244:$DV244,1,(Einstellungen!$C$3-2026)*24+8))</f>
        <v/>
      </c>
      <c r="L244" s="76">
        <f>N(INDEX(Krankheitstage!$G244:$DV244,1,(Einstellungen!$C$3-2026)*24+9))</f>
        <v/>
      </c>
      <c r="M244" s="76">
        <f>N(INDEX(Krankheitstage!$G244:$DV244,1,(Einstellungen!$C$3-2026)*24+10))</f>
        <v/>
      </c>
      <c r="N244" s="76">
        <f>N(INDEX(Krankheitstage!$G244:$DV244,1,(Einstellungen!$C$3-2026)*24+11))</f>
        <v/>
      </c>
      <c r="O244" s="76">
        <f>N(INDEX(Krankheitstage!$G244:$DV244,1,(Einstellungen!$C$3-2026)*24+12))</f>
        <v/>
      </c>
      <c r="P244" s="76">
        <f>IF($B244="","",SUM(D244:O244))</f>
        <v/>
      </c>
      <c r="Q244" s="76">
        <f>N(INDEX(Krankheitstage!$G244:$DV244,1,(Einstellungen!$C$3-2026)*24+13))</f>
        <v/>
      </c>
      <c r="R244" s="76">
        <f>N(INDEX(Krankheitstage!$G244:$DV244,1,(Einstellungen!$C$3-2026)*24+14))</f>
        <v/>
      </c>
      <c r="S244" s="76">
        <f>N(INDEX(Krankheitstage!$G244:$DV244,1,(Einstellungen!$C$3-2026)*24+15))</f>
        <v/>
      </c>
      <c r="T244" s="76">
        <f>N(INDEX(Krankheitstage!$G244:$DV244,1,(Einstellungen!$C$3-2026)*24+16))</f>
        <v/>
      </c>
      <c r="U244" s="76">
        <f>N(INDEX(Krankheitstage!$G244:$DV244,1,(Einstellungen!$C$3-2026)*24+17))</f>
        <v/>
      </c>
      <c r="V244" s="76">
        <f>N(INDEX(Krankheitstage!$G244:$DV244,1,(Einstellungen!$C$3-2026)*24+18))</f>
        <v/>
      </c>
      <c r="W244" s="76">
        <f>N(INDEX(Krankheitstage!$G244:$DV244,1,(Einstellungen!$C$3-2026)*24+19))</f>
        <v/>
      </c>
      <c r="X244" s="76">
        <f>N(INDEX(Krankheitstage!$G244:$DV244,1,(Einstellungen!$C$3-2026)*24+20))</f>
        <v/>
      </c>
      <c r="Y244" s="76">
        <f>N(INDEX(Krankheitstage!$G244:$DV244,1,(Einstellungen!$C$3-2026)*24+21))</f>
        <v/>
      </c>
      <c r="Z244" s="76">
        <f>N(INDEX(Krankheitstage!$G244:$DV244,1,(Einstellungen!$C$3-2026)*24+22))</f>
        <v/>
      </c>
      <c r="AA244" s="76">
        <f>N(INDEX(Krankheitstage!$G244:$DV244,1,(Einstellungen!$C$3-2026)*24+23))</f>
        <v/>
      </c>
      <c r="AB244" s="76">
        <f>N(INDEX(Krankheitstage!$G244:$DV244,1,(Einstellungen!$C$3-2026)*24+24))</f>
        <v/>
      </c>
      <c r="AC244" s="76">
        <f>IF($B244="","",SUM(Q244:AB244))</f>
        <v/>
      </c>
      <c r="AD244" s="76">
        <f>IF($B244="","",SUM(P244,AC244))</f>
        <v/>
      </c>
      <c r="AE244" s="77">
        <f>IF($B244="","",AD244*N(C244))</f>
        <v/>
      </c>
      <c r="AF244" s="76">
        <f>IF($B244="","",Krankheitstage!E244)</f>
        <v/>
      </c>
      <c r="AG244" s="77">
        <f>IF($B244="","",AF244*N(C244))</f>
        <v/>
      </c>
    </row>
    <row r="245">
      <c r="A245" s="74">
        <f>IF(Mitarbeiter!B245="","",Mitarbeiter!A245)</f>
        <v/>
      </c>
      <c r="B245" s="6">
        <f>IF(Mitarbeiter!B245="","",Mitarbeiter!B245)</f>
        <v/>
      </c>
      <c r="C245" s="75">
        <f>IF(Mitarbeiter!B245="","",Mitarbeiter!F245)</f>
        <v/>
      </c>
      <c r="D245" s="76">
        <f>N(INDEX(Krankheitstage!$G245:$DV245,1,(Einstellungen!$C$3-2026)*24+1))</f>
        <v/>
      </c>
      <c r="E245" s="76">
        <f>N(INDEX(Krankheitstage!$G245:$DV245,1,(Einstellungen!$C$3-2026)*24+2))</f>
        <v/>
      </c>
      <c r="F245" s="76">
        <f>N(INDEX(Krankheitstage!$G245:$DV245,1,(Einstellungen!$C$3-2026)*24+3))</f>
        <v/>
      </c>
      <c r="G245" s="76">
        <f>N(INDEX(Krankheitstage!$G245:$DV245,1,(Einstellungen!$C$3-2026)*24+4))</f>
        <v/>
      </c>
      <c r="H245" s="76">
        <f>N(INDEX(Krankheitstage!$G245:$DV245,1,(Einstellungen!$C$3-2026)*24+5))</f>
        <v/>
      </c>
      <c r="I245" s="76">
        <f>N(INDEX(Krankheitstage!$G245:$DV245,1,(Einstellungen!$C$3-2026)*24+6))</f>
        <v/>
      </c>
      <c r="J245" s="76">
        <f>N(INDEX(Krankheitstage!$G245:$DV245,1,(Einstellungen!$C$3-2026)*24+7))</f>
        <v/>
      </c>
      <c r="K245" s="76">
        <f>N(INDEX(Krankheitstage!$G245:$DV245,1,(Einstellungen!$C$3-2026)*24+8))</f>
        <v/>
      </c>
      <c r="L245" s="76">
        <f>N(INDEX(Krankheitstage!$G245:$DV245,1,(Einstellungen!$C$3-2026)*24+9))</f>
        <v/>
      </c>
      <c r="M245" s="76">
        <f>N(INDEX(Krankheitstage!$G245:$DV245,1,(Einstellungen!$C$3-2026)*24+10))</f>
        <v/>
      </c>
      <c r="N245" s="76">
        <f>N(INDEX(Krankheitstage!$G245:$DV245,1,(Einstellungen!$C$3-2026)*24+11))</f>
        <v/>
      </c>
      <c r="O245" s="76">
        <f>N(INDEX(Krankheitstage!$G245:$DV245,1,(Einstellungen!$C$3-2026)*24+12))</f>
        <v/>
      </c>
      <c r="P245" s="76">
        <f>IF($B245="","",SUM(D245:O245))</f>
        <v/>
      </c>
      <c r="Q245" s="76">
        <f>N(INDEX(Krankheitstage!$G245:$DV245,1,(Einstellungen!$C$3-2026)*24+13))</f>
        <v/>
      </c>
      <c r="R245" s="76">
        <f>N(INDEX(Krankheitstage!$G245:$DV245,1,(Einstellungen!$C$3-2026)*24+14))</f>
        <v/>
      </c>
      <c r="S245" s="76">
        <f>N(INDEX(Krankheitstage!$G245:$DV245,1,(Einstellungen!$C$3-2026)*24+15))</f>
        <v/>
      </c>
      <c r="T245" s="76">
        <f>N(INDEX(Krankheitstage!$G245:$DV245,1,(Einstellungen!$C$3-2026)*24+16))</f>
        <v/>
      </c>
      <c r="U245" s="76">
        <f>N(INDEX(Krankheitstage!$G245:$DV245,1,(Einstellungen!$C$3-2026)*24+17))</f>
        <v/>
      </c>
      <c r="V245" s="76">
        <f>N(INDEX(Krankheitstage!$G245:$DV245,1,(Einstellungen!$C$3-2026)*24+18))</f>
        <v/>
      </c>
      <c r="W245" s="76">
        <f>N(INDEX(Krankheitstage!$G245:$DV245,1,(Einstellungen!$C$3-2026)*24+19))</f>
        <v/>
      </c>
      <c r="X245" s="76">
        <f>N(INDEX(Krankheitstage!$G245:$DV245,1,(Einstellungen!$C$3-2026)*24+20))</f>
        <v/>
      </c>
      <c r="Y245" s="76">
        <f>N(INDEX(Krankheitstage!$G245:$DV245,1,(Einstellungen!$C$3-2026)*24+21))</f>
        <v/>
      </c>
      <c r="Z245" s="76">
        <f>N(INDEX(Krankheitstage!$G245:$DV245,1,(Einstellungen!$C$3-2026)*24+22))</f>
        <v/>
      </c>
      <c r="AA245" s="76">
        <f>N(INDEX(Krankheitstage!$G245:$DV245,1,(Einstellungen!$C$3-2026)*24+23))</f>
        <v/>
      </c>
      <c r="AB245" s="76">
        <f>N(INDEX(Krankheitstage!$G245:$DV245,1,(Einstellungen!$C$3-2026)*24+24))</f>
        <v/>
      </c>
      <c r="AC245" s="76">
        <f>IF($B245="","",SUM(Q245:AB245))</f>
        <v/>
      </c>
      <c r="AD245" s="76">
        <f>IF($B245="","",SUM(P245,AC245))</f>
        <v/>
      </c>
      <c r="AE245" s="77">
        <f>IF($B245="","",AD245*N(C245))</f>
        <v/>
      </c>
      <c r="AF245" s="76">
        <f>IF($B245="","",Krankheitstage!E245)</f>
        <v/>
      </c>
      <c r="AG245" s="77">
        <f>IF($B245="","",AF245*N(C245))</f>
        <v/>
      </c>
    </row>
    <row r="246">
      <c r="A246" s="74">
        <f>IF(Mitarbeiter!B246="","",Mitarbeiter!A246)</f>
        <v/>
      </c>
      <c r="B246" s="6">
        <f>IF(Mitarbeiter!B246="","",Mitarbeiter!B246)</f>
        <v/>
      </c>
      <c r="C246" s="75">
        <f>IF(Mitarbeiter!B246="","",Mitarbeiter!F246)</f>
        <v/>
      </c>
      <c r="D246" s="76">
        <f>N(INDEX(Krankheitstage!$G246:$DV246,1,(Einstellungen!$C$3-2026)*24+1))</f>
        <v/>
      </c>
      <c r="E246" s="76">
        <f>N(INDEX(Krankheitstage!$G246:$DV246,1,(Einstellungen!$C$3-2026)*24+2))</f>
        <v/>
      </c>
      <c r="F246" s="76">
        <f>N(INDEX(Krankheitstage!$G246:$DV246,1,(Einstellungen!$C$3-2026)*24+3))</f>
        <v/>
      </c>
      <c r="G246" s="76">
        <f>N(INDEX(Krankheitstage!$G246:$DV246,1,(Einstellungen!$C$3-2026)*24+4))</f>
        <v/>
      </c>
      <c r="H246" s="76">
        <f>N(INDEX(Krankheitstage!$G246:$DV246,1,(Einstellungen!$C$3-2026)*24+5))</f>
        <v/>
      </c>
      <c r="I246" s="76">
        <f>N(INDEX(Krankheitstage!$G246:$DV246,1,(Einstellungen!$C$3-2026)*24+6))</f>
        <v/>
      </c>
      <c r="J246" s="76">
        <f>N(INDEX(Krankheitstage!$G246:$DV246,1,(Einstellungen!$C$3-2026)*24+7))</f>
        <v/>
      </c>
      <c r="K246" s="76">
        <f>N(INDEX(Krankheitstage!$G246:$DV246,1,(Einstellungen!$C$3-2026)*24+8))</f>
        <v/>
      </c>
      <c r="L246" s="76">
        <f>N(INDEX(Krankheitstage!$G246:$DV246,1,(Einstellungen!$C$3-2026)*24+9))</f>
        <v/>
      </c>
      <c r="M246" s="76">
        <f>N(INDEX(Krankheitstage!$G246:$DV246,1,(Einstellungen!$C$3-2026)*24+10))</f>
        <v/>
      </c>
      <c r="N246" s="76">
        <f>N(INDEX(Krankheitstage!$G246:$DV246,1,(Einstellungen!$C$3-2026)*24+11))</f>
        <v/>
      </c>
      <c r="O246" s="76">
        <f>N(INDEX(Krankheitstage!$G246:$DV246,1,(Einstellungen!$C$3-2026)*24+12))</f>
        <v/>
      </c>
      <c r="P246" s="76">
        <f>IF($B246="","",SUM(D246:O246))</f>
        <v/>
      </c>
      <c r="Q246" s="76">
        <f>N(INDEX(Krankheitstage!$G246:$DV246,1,(Einstellungen!$C$3-2026)*24+13))</f>
        <v/>
      </c>
      <c r="R246" s="76">
        <f>N(INDEX(Krankheitstage!$G246:$DV246,1,(Einstellungen!$C$3-2026)*24+14))</f>
        <v/>
      </c>
      <c r="S246" s="76">
        <f>N(INDEX(Krankheitstage!$G246:$DV246,1,(Einstellungen!$C$3-2026)*24+15))</f>
        <v/>
      </c>
      <c r="T246" s="76">
        <f>N(INDEX(Krankheitstage!$G246:$DV246,1,(Einstellungen!$C$3-2026)*24+16))</f>
        <v/>
      </c>
      <c r="U246" s="76">
        <f>N(INDEX(Krankheitstage!$G246:$DV246,1,(Einstellungen!$C$3-2026)*24+17))</f>
        <v/>
      </c>
      <c r="V246" s="76">
        <f>N(INDEX(Krankheitstage!$G246:$DV246,1,(Einstellungen!$C$3-2026)*24+18))</f>
        <v/>
      </c>
      <c r="W246" s="76">
        <f>N(INDEX(Krankheitstage!$G246:$DV246,1,(Einstellungen!$C$3-2026)*24+19))</f>
        <v/>
      </c>
      <c r="X246" s="76">
        <f>N(INDEX(Krankheitstage!$G246:$DV246,1,(Einstellungen!$C$3-2026)*24+20))</f>
        <v/>
      </c>
      <c r="Y246" s="76">
        <f>N(INDEX(Krankheitstage!$G246:$DV246,1,(Einstellungen!$C$3-2026)*24+21))</f>
        <v/>
      </c>
      <c r="Z246" s="76">
        <f>N(INDEX(Krankheitstage!$G246:$DV246,1,(Einstellungen!$C$3-2026)*24+22))</f>
        <v/>
      </c>
      <c r="AA246" s="76">
        <f>N(INDEX(Krankheitstage!$G246:$DV246,1,(Einstellungen!$C$3-2026)*24+23))</f>
        <v/>
      </c>
      <c r="AB246" s="76">
        <f>N(INDEX(Krankheitstage!$G246:$DV246,1,(Einstellungen!$C$3-2026)*24+24))</f>
        <v/>
      </c>
      <c r="AC246" s="76">
        <f>IF($B246="","",SUM(Q246:AB246))</f>
        <v/>
      </c>
      <c r="AD246" s="76">
        <f>IF($B246="","",SUM(P246,AC246))</f>
        <v/>
      </c>
      <c r="AE246" s="77">
        <f>IF($B246="","",AD246*N(C246))</f>
        <v/>
      </c>
      <c r="AF246" s="76">
        <f>IF($B246="","",Krankheitstage!E246)</f>
        <v/>
      </c>
      <c r="AG246" s="77">
        <f>IF($B246="","",AF246*N(C246))</f>
        <v/>
      </c>
    </row>
    <row r="247">
      <c r="A247" s="74">
        <f>IF(Mitarbeiter!B247="","",Mitarbeiter!A247)</f>
        <v/>
      </c>
      <c r="B247" s="6">
        <f>IF(Mitarbeiter!B247="","",Mitarbeiter!B247)</f>
        <v/>
      </c>
      <c r="C247" s="75">
        <f>IF(Mitarbeiter!B247="","",Mitarbeiter!F247)</f>
        <v/>
      </c>
      <c r="D247" s="76">
        <f>N(INDEX(Krankheitstage!$G247:$DV247,1,(Einstellungen!$C$3-2026)*24+1))</f>
        <v/>
      </c>
      <c r="E247" s="76">
        <f>N(INDEX(Krankheitstage!$G247:$DV247,1,(Einstellungen!$C$3-2026)*24+2))</f>
        <v/>
      </c>
      <c r="F247" s="76">
        <f>N(INDEX(Krankheitstage!$G247:$DV247,1,(Einstellungen!$C$3-2026)*24+3))</f>
        <v/>
      </c>
      <c r="G247" s="76">
        <f>N(INDEX(Krankheitstage!$G247:$DV247,1,(Einstellungen!$C$3-2026)*24+4))</f>
        <v/>
      </c>
      <c r="H247" s="76">
        <f>N(INDEX(Krankheitstage!$G247:$DV247,1,(Einstellungen!$C$3-2026)*24+5))</f>
        <v/>
      </c>
      <c r="I247" s="76">
        <f>N(INDEX(Krankheitstage!$G247:$DV247,1,(Einstellungen!$C$3-2026)*24+6))</f>
        <v/>
      </c>
      <c r="J247" s="76">
        <f>N(INDEX(Krankheitstage!$G247:$DV247,1,(Einstellungen!$C$3-2026)*24+7))</f>
        <v/>
      </c>
      <c r="K247" s="76">
        <f>N(INDEX(Krankheitstage!$G247:$DV247,1,(Einstellungen!$C$3-2026)*24+8))</f>
        <v/>
      </c>
      <c r="L247" s="76">
        <f>N(INDEX(Krankheitstage!$G247:$DV247,1,(Einstellungen!$C$3-2026)*24+9))</f>
        <v/>
      </c>
      <c r="M247" s="76">
        <f>N(INDEX(Krankheitstage!$G247:$DV247,1,(Einstellungen!$C$3-2026)*24+10))</f>
        <v/>
      </c>
      <c r="N247" s="76">
        <f>N(INDEX(Krankheitstage!$G247:$DV247,1,(Einstellungen!$C$3-2026)*24+11))</f>
        <v/>
      </c>
      <c r="O247" s="76">
        <f>N(INDEX(Krankheitstage!$G247:$DV247,1,(Einstellungen!$C$3-2026)*24+12))</f>
        <v/>
      </c>
      <c r="P247" s="76">
        <f>IF($B247="","",SUM(D247:O247))</f>
        <v/>
      </c>
      <c r="Q247" s="76">
        <f>N(INDEX(Krankheitstage!$G247:$DV247,1,(Einstellungen!$C$3-2026)*24+13))</f>
        <v/>
      </c>
      <c r="R247" s="76">
        <f>N(INDEX(Krankheitstage!$G247:$DV247,1,(Einstellungen!$C$3-2026)*24+14))</f>
        <v/>
      </c>
      <c r="S247" s="76">
        <f>N(INDEX(Krankheitstage!$G247:$DV247,1,(Einstellungen!$C$3-2026)*24+15))</f>
        <v/>
      </c>
      <c r="T247" s="76">
        <f>N(INDEX(Krankheitstage!$G247:$DV247,1,(Einstellungen!$C$3-2026)*24+16))</f>
        <v/>
      </c>
      <c r="U247" s="76">
        <f>N(INDEX(Krankheitstage!$G247:$DV247,1,(Einstellungen!$C$3-2026)*24+17))</f>
        <v/>
      </c>
      <c r="V247" s="76">
        <f>N(INDEX(Krankheitstage!$G247:$DV247,1,(Einstellungen!$C$3-2026)*24+18))</f>
        <v/>
      </c>
      <c r="W247" s="76">
        <f>N(INDEX(Krankheitstage!$G247:$DV247,1,(Einstellungen!$C$3-2026)*24+19))</f>
        <v/>
      </c>
      <c r="X247" s="76">
        <f>N(INDEX(Krankheitstage!$G247:$DV247,1,(Einstellungen!$C$3-2026)*24+20))</f>
        <v/>
      </c>
      <c r="Y247" s="76">
        <f>N(INDEX(Krankheitstage!$G247:$DV247,1,(Einstellungen!$C$3-2026)*24+21))</f>
        <v/>
      </c>
      <c r="Z247" s="76">
        <f>N(INDEX(Krankheitstage!$G247:$DV247,1,(Einstellungen!$C$3-2026)*24+22))</f>
        <v/>
      </c>
      <c r="AA247" s="76">
        <f>N(INDEX(Krankheitstage!$G247:$DV247,1,(Einstellungen!$C$3-2026)*24+23))</f>
        <v/>
      </c>
      <c r="AB247" s="76">
        <f>N(INDEX(Krankheitstage!$G247:$DV247,1,(Einstellungen!$C$3-2026)*24+24))</f>
        <v/>
      </c>
      <c r="AC247" s="76">
        <f>IF($B247="","",SUM(Q247:AB247))</f>
        <v/>
      </c>
      <c r="AD247" s="76">
        <f>IF($B247="","",SUM(P247,AC247))</f>
        <v/>
      </c>
      <c r="AE247" s="77">
        <f>IF($B247="","",AD247*N(C247))</f>
        <v/>
      </c>
      <c r="AF247" s="76">
        <f>IF($B247="","",Krankheitstage!E247)</f>
        <v/>
      </c>
      <c r="AG247" s="77">
        <f>IF($B247="","",AF247*N(C247))</f>
        <v/>
      </c>
    </row>
    <row r="248">
      <c r="A248" s="74">
        <f>IF(Mitarbeiter!B248="","",Mitarbeiter!A248)</f>
        <v/>
      </c>
      <c r="B248" s="6">
        <f>IF(Mitarbeiter!B248="","",Mitarbeiter!B248)</f>
        <v/>
      </c>
      <c r="C248" s="75">
        <f>IF(Mitarbeiter!B248="","",Mitarbeiter!F248)</f>
        <v/>
      </c>
      <c r="D248" s="76">
        <f>N(INDEX(Krankheitstage!$G248:$DV248,1,(Einstellungen!$C$3-2026)*24+1))</f>
        <v/>
      </c>
      <c r="E248" s="76">
        <f>N(INDEX(Krankheitstage!$G248:$DV248,1,(Einstellungen!$C$3-2026)*24+2))</f>
        <v/>
      </c>
      <c r="F248" s="76">
        <f>N(INDEX(Krankheitstage!$G248:$DV248,1,(Einstellungen!$C$3-2026)*24+3))</f>
        <v/>
      </c>
      <c r="G248" s="76">
        <f>N(INDEX(Krankheitstage!$G248:$DV248,1,(Einstellungen!$C$3-2026)*24+4))</f>
        <v/>
      </c>
      <c r="H248" s="76">
        <f>N(INDEX(Krankheitstage!$G248:$DV248,1,(Einstellungen!$C$3-2026)*24+5))</f>
        <v/>
      </c>
      <c r="I248" s="76">
        <f>N(INDEX(Krankheitstage!$G248:$DV248,1,(Einstellungen!$C$3-2026)*24+6))</f>
        <v/>
      </c>
      <c r="J248" s="76">
        <f>N(INDEX(Krankheitstage!$G248:$DV248,1,(Einstellungen!$C$3-2026)*24+7))</f>
        <v/>
      </c>
      <c r="K248" s="76">
        <f>N(INDEX(Krankheitstage!$G248:$DV248,1,(Einstellungen!$C$3-2026)*24+8))</f>
        <v/>
      </c>
      <c r="L248" s="76">
        <f>N(INDEX(Krankheitstage!$G248:$DV248,1,(Einstellungen!$C$3-2026)*24+9))</f>
        <v/>
      </c>
      <c r="M248" s="76">
        <f>N(INDEX(Krankheitstage!$G248:$DV248,1,(Einstellungen!$C$3-2026)*24+10))</f>
        <v/>
      </c>
      <c r="N248" s="76">
        <f>N(INDEX(Krankheitstage!$G248:$DV248,1,(Einstellungen!$C$3-2026)*24+11))</f>
        <v/>
      </c>
      <c r="O248" s="76">
        <f>N(INDEX(Krankheitstage!$G248:$DV248,1,(Einstellungen!$C$3-2026)*24+12))</f>
        <v/>
      </c>
      <c r="P248" s="76">
        <f>IF($B248="","",SUM(D248:O248))</f>
        <v/>
      </c>
      <c r="Q248" s="76">
        <f>N(INDEX(Krankheitstage!$G248:$DV248,1,(Einstellungen!$C$3-2026)*24+13))</f>
        <v/>
      </c>
      <c r="R248" s="76">
        <f>N(INDEX(Krankheitstage!$G248:$DV248,1,(Einstellungen!$C$3-2026)*24+14))</f>
        <v/>
      </c>
      <c r="S248" s="76">
        <f>N(INDEX(Krankheitstage!$G248:$DV248,1,(Einstellungen!$C$3-2026)*24+15))</f>
        <v/>
      </c>
      <c r="T248" s="76">
        <f>N(INDEX(Krankheitstage!$G248:$DV248,1,(Einstellungen!$C$3-2026)*24+16))</f>
        <v/>
      </c>
      <c r="U248" s="76">
        <f>N(INDEX(Krankheitstage!$G248:$DV248,1,(Einstellungen!$C$3-2026)*24+17))</f>
        <v/>
      </c>
      <c r="V248" s="76">
        <f>N(INDEX(Krankheitstage!$G248:$DV248,1,(Einstellungen!$C$3-2026)*24+18))</f>
        <v/>
      </c>
      <c r="W248" s="76">
        <f>N(INDEX(Krankheitstage!$G248:$DV248,1,(Einstellungen!$C$3-2026)*24+19))</f>
        <v/>
      </c>
      <c r="X248" s="76">
        <f>N(INDEX(Krankheitstage!$G248:$DV248,1,(Einstellungen!$C$3-2026)*24+20))</f>
        <v/>
      </c>
      <c r="Y248" s="76">
        <f>N(INDEX(Krankheitstage!$G248:$DV248,1,(Einstellungen!$C$3-2026)*24+21))</f>
        <v/>
      </c>
      <c r="Z248" s="76">
        <f>N(INDEX(Krankheitstage!$G248:$DV248,1,(Einstellungen!$C$3-2026)*24+22))</f>
        <v/>
      </c>
      <c r="AA248" s="76">
        <f>N(INDEX(Krankheitstage!$G248:$DV248,1,(Einstellungen!$C$3-2026)*24+23))</f>
        <v/>
      </c>
      <c r="AB248" s="76">
        <f>N(INDEX(Krankheitstage!$G248:$DV248,1,(Einstellungen!$C$3-2026)*24+24))</f>
        <v/>
      </c>
      <c r="AC248" s="76">
        <f>IF($B248="","",SUM(Q248:AB248))</f>
        <v/>
      </c>
      <c r="AD248" s="76">
        <f>IF($B248="","",SUM(P248,AC248))</f>
        <v/>
      </c>
      <c r="AE248" s="77">
        <f>IF($B248="","",AD248*N(C248))</f>
        <v/>
      </c>
      <c r="AF248" s="76">
        <f>IF($B248="","",Krankheitstage!E248)</f>
        <v/>
      </c>
      <c r="AG248" s="77">
        <f>IF($B248="","",AF248*N(C248))</f>
        <v/>
      </c>
    </row>
    <row r="249">
      <c r="A249" s="74">
        <f>IF(Mitarbeiter!B249="","",Mitarbeiter!A249)</f>
        <v/>
      </c>
      <c r="B249" s="6">
        <f>IF(Mitarbeiter!B249="","",Mitarbeiter!B249)</f>
        <v/>
      </c>
      <c r="C249" s="75">
        <f>IF(Mitarbeiter!B249="","",Mitarbeiter!F249)</f>
        <v/>
      </c>
      <c r="D249" s="76">
        <f>N(INDEX(Krankheitstage!$G249:$DV249,1,(Einstellungen!$C$3-2026)*24+1))</f>
        <v/>
      </c>
      <c r="E249" s="76">
        <f>N(INDEX(Krankheitstage!$G249:$DV249,1,(Einstellungen!$C$3-2026)*24+2))</f>
        <v/>
      </c>
      <c r="F249" s="76">
        <f>N(INDEX(Krankheitstage!$G249:$DV249,1,(Einstellungen!$C$3-2026)*24+3))</f>
        <v/>
      </c>
      <c r="G249" s="76">
        <f>N(INDEX(Krankheitstage!$G249:$DV249,1,(Einstellungen!$C$3-2026)*24+4))</f>
        <v/>
      </c>
      <c r="H249" s="76">
        <f>N(INDEX(Krankheitstage!$G249:$DV249,1,(Einstellungen!$C$3-2026)*24+5))</f>
        <v/>
      </c>
      <c r="I249" s="76">
        <f>N(INDEX(Krankheitstage!$G249:$DV249,1,(Einstellungen!$C$3-2026)*24+6))</f>
        <v/>
      </c>
      <c r="J249" s="76">
        <f>N(INDEX(Krankheitstage!$G249:$DV249,1,(Einstellungen!$C$3-2026)*24+7))</f>
        <v/>
      </c>
      <c r="K249" s="76">
        <f>N(INDEX(Krankheitstage!$G249:$DV249,1,(Einstellungen!$C$3-2026)*24+8))</f>
        <v/>
      </c>
      <c r="L249" s="76">
        <f>N(INDEX(Krankheitstage!$G249:$DV249,1,(Einstellungen!$C$3-2026)*24+9))</f>
        <v/>
      </c>
      <c r="M249" s="76">
        <f>N(INDEX(Krankheitstage!$G249:$DV249,1,(Einstellungen!$C$3-2026)*24+10))</f>
        <v/>
      </c>
      <c r="N249" s="76">
        <f>N(INDEX(Krankheitstage!$G249:$DV249,1,(Einstellungen!$C$3-2026)*24+11))</f>
        <v/>
      </c>
      <c r="O249" s="76">
        <f>N(INDEX(Krankheitstage!$G249:$DV249,1,(Einstellungen!$C$3-2026)*24+12))</f>
        <v/>
      </c>
      <c r="P249" s="76">
        <f>IF($B249="","",SUM(D249:O249))</f>
        <v/>
      </c>
      <c r="Q249" s="76">
        <f>N(INDEX(Krankheitstage!$G249:$DV249,1,(Einstellungen!$C$3-2026)*24+13))</f>
        <v/>
      </c>
      <c r="R249" s="76">
        <f>N(INDEX(Krankheitstage!$G249:$DV249,1,(Einstellungen!$C$3-2026)*24+14))</f>
        <v/>
      </c>
      <c r="S249" s="76">
        <f>N(INDEX(Krankheitstage!$G249:$DV249,1,(Einstellungen!$C$3-2026)*24+15))</f>
        <v/>
      </c>
      <c r="T249" s="76">
        <f>N(INDEX(Krankheitstage!$G249:$DV249,1,(Einstellungen!$C$3-2026)*24+16))</f>
        <v/>
      </c>
      <c r="U249" s="76">
        <f>N(INDEX(Krankheitstage!$G249:$DV249,1,(Einstellungen!$C$3-2026)*24+17))</f>
        <v/>
      </c>
      <c r="V249" s="76">
        <f>N(INDEX(Krankheitstage!$G249:$DV249,1,(Einstellungen!$C$3-2026)*24+18))</f>
        <v/>
      </c>
      <c r="W249" s="76">
        <f>N(INDEX(Krankheitstage!$G249:$DV249,1,(Einstellungen!$C$3-2026)*24+19))</f>
        <v/>
      </c>
      <c r="X249" s="76">
        <f>N(INDEX(Krankheitstage!$G249:$DV249,1,(Einstellungen!$C$3-2026)*24+20))</f>
        <v/>
      </c>
      <c r="Y249" s="76">
        <f>N(INDEX(Krankheitstage!$G249:$DV249,1,(Einstellungen!$C$3-2026)*24+21))</f>
        <v/>
      </c>
      <c r="Z249" s="76">
        <f>N(INDEX(Krankheitstage!$G249:$DV249,1,(Einstellungen!$C$3-2026)*24+22))</f>
        <v/>
      </c>
      <c r="AA249" s="76">
        <f>N(INDEX(Krankheitstage!$G249:$DV249,1,(Einstellungen!$C$3-2026)*24+23))</f>
        <v/>
      </c>
      <c r="AB249" s="76">
        <f>N(INDEX(Krankheitstage!$G249:$DV249,1,(Einstellungen!$C$3-2026)*24+24))</f>
        <v/>
      </c>
      <c r="AC249" s="76">
        <f>IF($B249="","",SUM(Q249:AB249))</f>
        <v/>
      </c>
      <c r="AD249" s="76">
        <f>IF($B249="","",SUM(P249,AC249))</f>
        <v/>
      </c>
      <c r="AE249" s="77">
        <f>IF($B249="","",AD249*N(C249))</f>
        <v/>
      </c>
      <c r="AF249" s="76">
        <f>IF($B249="","",Krankheitstage!E249)</f>
        <v/>
      </c>
      <c r="AG249" s="77">
        <f>IF($B249="","",AF249*N(C249))</f>
        <v/>
      </c>
    </row>
    <row r="250">
      <c r="A250" s="74">
        <f>IF(Mitarbeiter!B250="","",Mitarbeiter!A250)</f>
        <v/>
      </c>
      <c r="B250" s="6">
        <f>IF(Mitarbeiter!B250="","",Mitarbeiter!B250)</f>
        <v/>
      </c>
      <c r="C250" s="75">
        <f>IF(Mitarbeiter!B250="","",Mitarbeiter!F250)</f>
        <v/>
      </c>
      <c r="D250" s="76">
        <f>N(INDEX(Krankheitstage!$G250:$DV250,1,(Einstellungen!$C$3-2026)*24+1))</f>
        <v/>
      </c>
      <c r="E250" s="76">
        <f>N(INDEX(Krankheitstage!$G250:$DV250,1,(Einstellungen!$C$3-2026)*24+2))</f>
        <v/>
      </c>
      <c r="F250" s="76">
        <f>N(INDEX(Krankheitstage!$G250:$DV250,1,(Einstellungen!$C$3-2026)*24+3))</f>
        <v/>
      </c>
      <c r="G250" s="76">
        <f>N(INDEX(Krankheitstage!$G250:$DV250,1,(Einstellungen!$C$3-2026)*24+4))</f>
        <v/>
      </c>
      <c r="H250" s="76">
        <f>N(INDEX(Krankheitstage!$G250:$DV250,1,(Einstellungen!$C$3-2026)*24+5))</f>
        <v/>
      </c>
      <c r="I250" s="76">
        <f>N(INDEX(Krankheitstage!$G250:$DV250,1,(Einstellungen!$C$3-2026)*24+6))</f>
        <v/>
      </c>
      <c r="J250" s="76">
        <f>N(INDEX(Krankheitstage!$G250:$DV250,1,(Einstellungen!$C$3-2026)*24+7))</f>
        <v/>
      </c>
      <c r="K250" s="76">
        <f>N(INDEX(Krankheitstage!$G250:$DV250,1,(Einstellungen!$C$3-2026)*24+8))</f>
        <v/>
      </c>
      <c r="L250" s="76">
        <f>N(INDEX(Krankheitstage!$G250:$DV250,1,(Einstellungen!$C$3-2026)*24+9))</f>
        <v/>
      </c>
      <c r="M250" s="76">
        <f>N(INDEX(Krankheitstage!$G250:$DV250,1,(Einstellungen!$C$3-2026)*24+10))</f>
        <v/>
      </c>
      <c r="N250" s="76">
        <f>N(INDEX(Krankheitstage!$G250:$DV250,1,(Einstellungen!$C$3-2026)*24+11))</f>
        <v/>
      </c>
      <c r="O250" s="76">
        <f>N(INDEX(Krankheitstage!$G250:$DV250,1,(Einstellungen!$C$3-2026)*24+12))</f>
        <v/>
      </c>
      <c r="P250" s="76">
        <f>IF($B250="","",SUM(D250:O250))</f>
        <v/>
      </c>
      <c r="Q250" s="76">
        <f>N(INDEX(Krankheitstage!$G250:$DV250,1,(Einstellungen!$C$3-2026)*24+13))</f>
        <v/>
      </c>
      <c r="R250" s="76">
        <f>N(INDEX(Krankheitstage!$G250:$DV250,1,(Einstellungen!$C$3-2026)*24+14))</f>
        <v/>
      </c>
      <c r="S250" s="76">
        <f>N(INDEX(Krankheitstage!$G250:$DV250,1,(Einstellungen!$C$3-2026)*24+15))</f>
        <v/>
      </c>
      <c r="T250" s="76">
        <f>N(INDEX(Krankheitstage!$G250:$DV250,1,(Einstellungen!$C$3-2026)*24+16))</f>
        <v/>
      </c>
      <c r="U250" s="76">
        <f>N(INDEX(Krankheitstage!$G250:$DV250,1,(Einstellungen!$C$3-2026)*24+17))</f>
        <v/>
      </c>
      <c r="V250" s="76">
        <f>N(INDEX(Krankheitstage!$G250:$DV250,1,(Einstellungen!$C$3-2026)*24+18))</f>
        <v/>
      </c>
      <c r="W250" s="76">
        <f>N(INDEX(Krankheitstage!$G250:$DV250,1,(Einstellungen!$C$3-2026)*24+19))</f>
        <v/>
      </c>
      <c r="X250" s="76">
        <f>N(INDEX(Krankheitstage!$G250:$DV250,1,(Einstellungen!$C$3-2026)*24+20))</f>
        <v/>
      </c>
      <c r="Y250" s="76">
        <f>N(INDEX(Krankheitstage!$G250:$DV250,1,(Einstellungen!$C$3-2026)*24+21))</f>
        <v/>
      </c>
      <c r="Z250" s="76">
        <f>N(INDEX(Krankheitstage!$G250:$DV250,1,(Einstellungen!$C$3-2026)*24+22))</f>
        <v/>
      </c>
      <c r="AA250" s="76">
        <f>N(INDEX(Krankheitstage!$G250:$DV250,1,(Einstellungen!$C$3-2026)*24+23))</f>
        <v/>
      </c>
      <c r="AB250" s="76">
        <f>N(INDEX(Krankheitstage!$G250:$DV250,1,(Einstellungen!$C$3-2026)*24+24))</f>
        <v/>
      </c>
      <c r="AC250" s="76">
        <f>IF($B250="","",SUM(Q250:AB250))</f>
        <v/>
      </c>
      <c r="AD250" s="76">
        <f>IF($B250="","",SUM(P250,AC250))</f>
        <v/>
      </c>
      <c r="AE250" s="77">
        <f>IF($B250="","",AD250*N(C250))</f>
        <v/>
      </c>
      <c r="AF250" s="76">
        <f>IF($B250="","",Krankheitstage!E250)</f>
        <v/>
      </c>
      <c r="AG250" s="77">
        <f>IF($B250="","",AF250*N(C250))</f>
        <v/>
      </c>
    </row>
    <row r="251">
      <c r="A251" s="74">
        <f>IF(Mitarbeiter!B251="","",Mitarbeiter!A251)</f>
        <v/>
      </c>
      <c r="B251" s="6">
        <f>IF(Mitarbeiter!B251="","",Mitarbeiter!B251)</f>
        <v/>
      </c>
      <c r="C251" s="75">
        <f>IF(Mitarbeiter!B251="","",Mitarbeiter!F251)</f>
        <v/>
      </c>
      <c r="D251" s="76">
        <f>N(INDEX(Krankheitstage!$G251:$DV251,1,(Einstellungen!$C$3-2026)*24+1))</f>
        <v/>
      </c>
      <c r="E251" s="76">
        <f>N(INDEX(Krankheitstage!$G251:$DV251,1,(Einstellungen!$C$3-2026)*24+2))</f>
        <v/>
      </c>
      <c r="F251" s="76">
        <f>N(INDEX(Krankheitstage!$G251:$DV251,1,(Einstellungen!$C$3-2026)*24+3))</f>
        <v/>
      </c>
      <c r="G251" s="76">
        <f>N(INDEX(Krankheitstage!$G251:$DV251,1,(Einstellungen!$C$3-2026)*24+4))</f>
        <v/>
      </c>
      <c r="H251" s="76">
        <f>N(INDEX(Krankheitstage!$G251:$DV251,1,(Einstellungen!$C$3-2026)*24+5))</f>
        <v/>
      </c>
      <c r="I251" s="76">
        <f>N(INDEX(Krankheitstage!$G251:$DV251,1,(Einstellungen!$C$3-2026)*24+6))</f>
        <v/>
      </c>
      <c r="J251" s="76">
        <f>N(INDEX(Krankheitstage!$G251:$DV251,1,(Einstellungen!$C$3-2026)*24+7))</f>
        <v/>
      </c>
      <c r="K251" s="76">
        <f>N(INDEX(Krankheitstage!$G251:$DV251,1,(Einstellungen!$C$3-2026)*24+8))</f>
        <v/>
      </c>
      <c r="L251" s="76">
        <f>N(INDEX(Krankheitstage!$G251:$DV251,1,(Einstellungen!$C$3-2026)*24+9))</f>
        <v/>
      </c>
      <c r="M251" s="76">
        <f>N(INDEX(Krankheitstage!$G251:$DV251,1,(Einstellungen!$C$3-2026)*24+10))</f>
        <v/>
      </c>
      <c r="N251" s="76">
        <f>N(INDEX(Krankheitstage!$G251:$DV251,1,(Einstellungen!$C$3-2026)*24+11))</f>
        <v/>
      </c>
      <c r="O251" s="76">
        <f>N(INDEX(Krankheitstage!$G251:$DV251,1,(Einstellungen!$C$3-2026)*24+12))</f>
        <v/>
      </c>
      <c r="P251" s="76">
        <f>IF($B251="","",SUM(D251:O251))</f>
        <v/>
      </c>
      <c r="Q251" s="76">
        <f>N(INDEX(Krankheitstage!$G251:$DV251,1,(Einstellungen!$C$3-2026)*24+13))</f>
        <v/>
      </c>
      <c r="R251" s="76">
        <f>N(INDEX(Krankheitstage!$G251:$DV251,1,(Einstellungen!$C$3-2026)*24+14))</f>
        <v/>
      </c>
      <c r="S251" s="76">
        <f>N(INDEX(Krankheitstage!$G251:$DV251,1,(Einstellungen!$C$3-2026)*24+15))</f>
        <v/>
      </c>
      <c r="T251" s="76">
        <f>N(INDEX(Krankheitstage!$G251:$DV251,1,(Einstellungen!$C$3-2026)*24+16))</f>
        <v/>
      </c>
      <c r="U251" s="76">
        <f>N(INDEX(Krankheitstage!$G251:$DV251,1,(Einstellungen!$C$3-2026)*24+17))</f>
        <v/>
      </c>
      <c r="V251" s="76">
        <f>N(INDEX(Krankheitstage!$G251:$DV251,1,(Einstellungen!$C$3-2026)*24+18))</f>
        <v/>
      </c>
      <c r="W251" s="76">
        <f>N(INDEX(Krankheitstage!$G251:$DV251,1,(Einstellungen!$C$3-2026)*24+19))</f>
        <v/>
      </c>
      <c r="X251" s="76">
        <f>N(INDEX(Krankheitstage!$G251:$DV251,1,(Einstellungen!$C$3-2026)*24+20))</f>
        <v/>
      </c>
      <c r="Y251" s="76">
        <f>N(INDEX(Krankheitstage!$G251:$DV251,1,(Einstellungen!$C$3-2026)*24+21))</f>
        <v/>
      </c>
      <c r="Z251" s="76">
        <f>N(INDEX(Krankheitstage!$G251:$DV251,1,(Einstellungen!$C$3-2026)*24+22))</f>
        <v/>
      </c>
      <c r="AA251" s="76">
        <f>N(INDEX(Krankheitstage!$G251:$DV251,1,(Einstellungen!$C$3-2026)*24+23))</f>
        <v/>
      </c>
      <c r="AB251" s="76">
        <f>N(INDEX(Krankheitstage!$G251:$DV251,1,(Einstellungen!$C$3-2026)*24+24))</f>
        <v/>
      </c>
      <c r="AC251" s="76">
        <f>IF($B251="","",SUM(Q251:AB251))</f>
        <v/>
      </c>
      <c r="AD251" s="76">
        <f>IF($B251="","",SUM(P251,AC251))</f>
        <v/>
      </c>
      <c r="AE251" s="77">
        <f>IF($B251="","",AD251*N(C251))</f>
        <v/>
      </c>
      <c r="AF251" s="76">
        <f>IF($B251="","",Krankheitstage!E251)</f>
        <v/>
      </c>
      <c r="AG251" s="77">
        <f>IF($B251="","",AF251*N(C251))</f>
        <v/>
      </c>
    </row>
    <row r="252">
      <c r="A252" s="74">
        <f>IF(Mitarbeiter!B252="","",Mitarbeiter!A252)</f>
        <v/>
      </c>
      <c r="B252" s="6">
        <f>IF(Mitarbeiter!B252="","",Mitarbeiter!B252)</f>
        <v/>
      </c>
      <c r="C252" s="75">
        <f>IF(Mitarbeiter!B252="","",Mitarbeiter!F252)</f>
        <v/>
      </c>
      <c r="D252" s="76">
        <f>N(INDEX(Krankheitstage!$G252:$DV252,1,(Einstellungen!$C$3-2026)*24+1))</f>
        <v/>
      </c>
      <c r="E252" s="76">
        <f>N(INDEX(Krankheitstage!$G252:$DV252,1,(Einstellungen!$C$3-2026)*24+2))</f>
        <v/>
      </c>
      <c r="F252" s="76">
        <f>N(INDEX(Krankheitstage!$G252:$DV252,1,(Einstellungen!$C$3-2026)*24+3))</f>
        <v/>
      </c>
      <c r="G252" s="76">
        <f>N(INDEX(Krankheitstage!$G252:$DV252,1,(Einstellungen!$C$3-2026)*24+4))</f>
        <v/>
      </c>
      <c r="H252" s="76">
        <f>N(INDEX(Krankheitstage!$G252:$DV252,1,(Einstellungen!$C$3-2026)*24+5))</f>
        <v/>
      </c>
      <c r="I252" s="76">
        <f>N(INDEX(Krankheitstage!$G252:$DV252,1,(Einstellungen!$C$3-2026)*24+6))</f>
        <v/>
      </c>
      <c r="J252" s="76">
        <f>N(INDEX(Krankheitstage!$G252:$DV252,1,(Einstellungen!$C$3-2026)*24+7))</f>
        <v/>
      </c>
      <c r="K252" s="76">
        <f>N(INDEX(Krankheitstage!$G252:$DV252,1,(Einstellungen!$C$3-2026)*24+8))</f>
        <v/>
      </c>
      <c r="L252" s="76">
        <f>N(INDEX(Krankheitstage!$G252:$DV252,1,(Einstellungen!$C$3-2026)*24+9))</f>
        <v/>
      </c>
      <c r="M252" s="76">
        <f>N(INDEX(Krankheitstage!$G252:$DV252,1,(Einstellungen!$C$3-2026)*24+10))</f>
        <v/>
      </c>
      <c r="N252" s="76">
        <f>N(INDEX(Krankheitstage!$G252:$DV252,1,(Einstellungen!$C$3-2026)*24+11))</f>
        <v/>
      </c>
      <c r="O252" s="76">
        <f>N(INDEX(Krankheitstage!$G252:$DV252,1,(Einstellungen!$C$3-2026)*24+12))</f>
        <v/>
      </c>
      <c r="P252" s="76">
        <f>IF($B252="","",SUM(D252:O252))</f>
        <v/>
      </c>
      <c r="Q252" s="76">
        <f>N(INDEX(Krankheitstage!$G252:$DV252,1,(Einstellungen!$C$3-2026)*24+13))</f>
        <v/>
      </c>
      <c r="R252" s="76">
        <f>N(INDEX(Krankheitstage!$G252:$DV252,1,(Einstellungen!$C$3-2026)*24+14))</f>
        <v/>
      </c>
      <c r="S252" s="76">
        <f>N(INDEX(Krankheitstage!$G252:$DV252,1,(Einstellungen!$C$3-2026)*24+15))</f>
        <v/>
      </c>
      <c r="T252" s="76">
        <f>N(INDEX(Krankheitstage!$G252:$DV252,1,(Einstellungen!$C$3-2026)*24+16))</f>
        <v/>
      </c>
      <c r="U252" s="76">
        <f>N(INDEX(Krankheitstage!$G252:$DV252,1,(Einstellungen!$C$3-2026)*24+17))</f>
        <v/>
      </c>
      <c r="V252" s="76">
        <f>N(INDEX(Krankheitstage!$G252:$DV252,1,(Einstellungen!$C$3-2026)*24+18))</f>
        <v/>
      </c>
      <c r="W252" s="76">
        <f>N(INDEX(Krankheitstage!$G252:$DV252,1,(Einstellungen!$C$3-2026)*24+19))</f>
        <v/>
      </c>
      <c r="X252" s="76">
        <f>N(INDEX(Krankheitstage!$G252:$DV252,1,(Einstellungen!$C$3-2026)*24+20))</f>
        <v/>
      </c>
      <c r="Y252" s="76">
        <f>N(INDEX(Krankheitstage!$G252:$DV252,1,(Einstellungen!$C$3-2026)*24+21))</f>
        <v/>
      </c>
      <c r="Z252" s="76">
        <f>N(INDEX(Krankheitstage!$G252:$DV252,1,(Einstellungen!$C$3-2026)*24+22))</f>
        <v/>
      </c>
      <c r="AA252" s="76">
        <f>N(INDEX(Krankheitstage!$G252:$DV252,1,(Einstellungen!$C$3-2026)*24+23))</f>
        <v/>
      </c>
      <c r="AB252" s="76">
        <f>N(INDEX(Krankheitstage!$G252:$DV252,1,(Einstellungen!$C$3-2026)*24+24))</f>
        <v/>
      </c>
      <c r="AC252" s="76">
        <f>IF($B252="","",SUM(Q252:AB252))</f>
        <v/>
      </c>
      <c r="AD252" s="76">
        <f>IF($B252="","",SUM(P252,AC252))</f>
        <v/>
      </c>
      <c r="AE252" s="77">
        <f>IF($B252="","",AD252*N(C252))</f>
        <v/>
      </c>
      <c r="AF252" s="76">
        <f>IF($B252="","",Krankheitstage!E252)</f>
        <v/>
      </c>
      <c r="AG252" s="77">
        <f>IF($B252="","",AF252*N(C252))</f>
        <v/>
      </c>
    </row>
    <row r="253">
      <c r="A253" s="74">
        <f>IF(Mitarbeiter!B253="","",Mitarbeiter!A253)</f>
        <v/>
      </c>
      <c r="B253" s="6">
        <f>IF(Mitarbeiter!B253="","",Mitarbeiter!B253)</f>
        <v/>
      </c>
      <c r="C253" s="75">
        <f>IF(Mitarbeiter!B253="","",Mitarbeiter!F253)</f>
        <v/>
      </c>
      <c r="D253" s="76">
        <f>N(INDEX(Krankheitstage!$G253:$DV253,1,(Einstellungen!$C$3-2026)*24+1))</f>
        <v/>
      </c>
      <c r="E253" s="76">
        <f>N(INDEX(Krankheitstage!$G253:$DV253,1,(Einstellungen!$C$3-2026)*24+2))</f>
        <v/>
      </c>
      <c r="F253" s="76">
        <f>N(INDEX(Krankheitstage!$G253:$DV253,1,(Einstellungen!$C$3-2026)*24+3))</f>
        <v/>
      </c>
      <c r="G253" s="76">
        <f>N(INDEX(Krankheitstage!$G253:$DV253,1,(Einstellungen!$C$3-2026)*24+4))</f>
        <v/>
      </c>
      <c r="H253" s="76">
        <f>N(INDEX(Krankheitstage!$G253:$DV253,1,(Einstellungen!$C$3-2026)*24+5))</f>
        <v/>
      </c>
      <c r="I253" s="76">
        <f>N(INDEX(Krankheitstage!$G253:$DV253,1,(Einstellungen!$C$3-2026)*24+6))</f>
        <v/>
      </c>
      <c r="J253" s="76">
        <f>N(INDEX(Krankheitstage!$G253:$DV253,1,(Einstellungen!$C$3-2026)*24+7))</f>
        <v/>
      </c>
      <c r="K253" s="76">
        <f>N(INDEX(Krankheitstage!$G253:$DV253,1,(Einstellungen!$C$3-2026)*24+8))</f>
        <v/>
      </c>
      <c r="L253" s="76">
        <f>N(INDEX(Krankheitstage!$G253:$DV253,1,(Einstellungen!$C$3-2026)*24+9))</f>
        <v/>
      </c>
      <c r="M253" s="76">
        <f>N(INDEX(Krankheitstage!$G253:$DV253,1,(Einstellungen!$C$3-2026)*24+10))</f>
        <v/>
      </c>
      <c r="N253" s="76">
        <f>N(INDEX(Krankheitstage!$G253:$DV253,1,(Einstellungen!$C$3-2026)*24+11))</f>
        <v/>
      </c>
      <c r="O253" s="76">
        <f>N(INDEX(Krankheitstage!$G253:$DV253,1,(Einstellungen!$C$3-2026)*24+12))</f>
        <v/>
      </c>
      <c r="P253" s="76">
        <f>IF($B253="","",SUM(D253:O253))</f>
        <v/>
      </c>
      <c r="Q253" s="76">
        <f>N(INDEX(Krankheitstage!$G253:$DV253,1,(Einstellungen!$C$3-2026)*24+13))</f>
        <v/>
      </c>
      <c r="R253" s="76">
        <f>N(INDEX(Krankheitstage!$G253:$DV253,1,(Einstellungen!$C$3-2026)*24+14))</f>
        <v/>
      </c>
      <c r="S253" s="76">
        <f>N(INDEX(Krankheitstage!$G253:$DV253,1,(Einstellungen!$C$3-2026)*24+15))</f>
        <v/>
      </c>
      <c r="T253" s="76">
        <f>N(INDEX(Krankheitstage!$G253:$DV253,1,(Einstellungen!$C$3-2026)*24+16))</f>
        <v/>
      </c>
      <c r="U253" s="76">
        <f>N(INDEX(Krankheitstage!$G253:$DV253,1,(Einstellungen!$C$3-2026)*24+17))</f>
        <v/>
      </c>
      <c r="V253" s="76">
        <f>N(INDEX(Krankheitstage!$G253:$DV253,1,(Einstellungen!$C$3-2026)*24+18))</f>
        <v/>
      </c>
      <c r="W253" s="76">
        <f>N(INDEX(Krankheitstage!$G253:$DV253,1,(Einstellungen!$C$3-2026)*24+19))</f>
        <v/>
      </c>
      <c r="X253" s="76">
        <f>N(INDEX(Krankheitstage!$G253:$DV253,1,(Einstellungen!$C$3-2026)*24+20))</f>
        <v/>
      </c>
      <c r="Y253" s="76">
        <f>N(INDEX(Krankheitstage!$G253:$DV253,1,(Einstellungen!$C$3-2026)*24+21))</f>
        <v/>
      </c>
      <c r="Z253" s="76">
        <f>N(INDEX(Krankheitstage!$G253:$DV253,1,(Einstellungen!$C$3-2026)*24+22))</f>
        <v/>
      </c>
      <c r="AA253" s="76">
        <f>N(INDEX(Krankheitstage!$G253:$DV253,1,(Einstellungen!$C$3-2026)*24+23))</f>
        <v/>
      </c>
      <c r="AB253" s="76">
        <f>N(INDEX(Krankheitstage!$G253:$DV253,1,(Einstellungen!$C$3-2026)*24+24))</f>
        <v/>
      </c>
      <c r="AC253" s="76">
        <f>IF($B253="","",SUM(Q253:AB253))</f>
        <v/>
      </c>
      <c r="AD253" s="76">
        <f>IF($B253="","",SUM(P253,AC253))</f>
        <v/>
      </c>
      <c r="AE253" s="77">
        <f>IF($B253="","",AD253*N(C253))</f>
        <v/>
      </c>
      <c r="AF253" s="76">
        <f>IF($B253="","",Krankheitstage!E253)</f>
        <v/>
      </c>
      <c r="AG253" s="77">
        <f>IF($B253="","",AF253*N(C253))</f>
        <v/>
      </c>
    </row>
    <row r="254">
      <c r="A254" s="74">
        <f>IF(Mitarbeiter!B254="","",Mitarbeiter!A254)</f>
        <v/>
      </c>
      <c r="B254" s="6">
        <f>IF(Mitarbeiter!B254="","",Mitarbeiter!B254)</f>
        <v/>
      </c>
      <c r="C254" s="75">
        <f>IF(Mitarbeiter!B254="","",Mitarbeiter!F254)</f>
        <v/>
      </c>
      <c r="D254" s="76">
        <f>N(INDEX(Krankheitstage!$G254:$DV254,1,(Einstellungen!$C$3-2026)*24+1))</f>
        <v/>
      </c>
      <c r="E254" s="76">
        <f>N(INDEX(Krankheitstage!$G254:$DV254,1,(Einstellungen!$C$3-2026)*24+2))</f>
        <v/>
      </c>
      <c r="F254" s="76">
        <f>N(INDEX(Krankheitstage!$G254:$DV254,1,(Einstellungen!$C$3-2026)*24+3))</f>
        <v/>
      </c>
      <c r="G254" s="76">
        <f>N(INDEX(Krankheitstage!$G254:$DV254,1,(Einstellungen!$C$3-2026)*24+4))</f>
        <v/>
      </c>
      <c r="H254" s="76">
        <f>N(INDEX(Krankheitstage!$G254:$DV254,1,(Einstellungen!$C$3-2026)*24+5))</f>
        <v/>
      </c>
      <c r="I254" s="76">
        <f>N(INDEX(Krankheitstage!$G254:$DV254,1,(Einstellungen!$C$3-2026)*24+6))</f>
        <v/>
      </c>
      <c r="J254" s="76">
        <f>N(INDEX(Krankheitstage!$G254:$DV254,1,(Einstellungen!$C$3-2026)*24+7))</f>
        <v/>
      </c>
      <c r="K254" s="76">
        <f>N(INDEX(Krankheitstage!$G254:$DV254,1,(Einstellungen!$C$3-2026)*24+8))</f>
        <v/>
      </c>
      <c r="L254" s="76">
        <f>N(INDEX(Krankheitstage!$G254:$DV254,1,(Einstellungen!$C$3-2026)*24+9))</f>
        <v/>
      </c>
      <c r="M254" s="76">
        <f>N(INDEX(Krankheitstage!$G254:$DV254,1,(Einstellungen!$C$3-2026)*24+10))</f>
        <v/>
      </c>
      <c r="N254" s="76">
        <f>N(INDEX(Krankheitstage!$G254:$DV254,1,(Einstellungen!$C$3-2026)*24+11))</f>
        <v/>
      </c>
      <c r="O254" s="76">
        <f>N(INDEX(Krankheitstage!$G254:$DV254,1,(Einstellungen!$C$3-2026)*24+12))</f>
        <v/>
      </c>
      <c r="P254" s="76">
        <f>IF($B254="","",SUM(D254:O254))</f>
        <v/>
      </c>
      <c r="Q254" s="76">
        <f>N(INDEX(Krankheitstage!$G254:$DV254,1,(Einstellungen!$C$3-2026)*24+13))</f>
        <v/>
      </c>
      <c r="R254" s="76">
        <f>N(INDEX(Krankheitstage!$G254:$DV254,1,(Einstellungen!$C$3-2026)*24+14))</f>
        <v/>
      </c>
      <c r="S254" s="76">
        <f>N(INDEX(Krankheitstage!$G254:$DV254,1,(Einstellungen!$C$3-2026)*24+15))</f>
        <v/>
      </c>
      <c r="T254" s="76">
        <f>N(INDEX(Krankheitstage!$G254:$DV254,1,(Einstellungen!$C$3-2026)*24+16))</f>
        <v/>
      </c>
      <c r="U254" s="76">
        <f>N(INDEX(Krankheitstage!$G254:$DV254,1,(Einstellungen!$C$3-2026)*24+17))</f>
        <v/>
      </c>
      <c r="V254" s="76">
        <f>N(INDEX(Krankheitstage!$G254:$DV254,1,(Einstellungen!$C$3-2026)*24+18))</f>
        <v/>
      </c>
      <c r="W254" s="76">
        <f>N(INDEX(Krankheitstage!$G254:$DV254,1,(Einstellungen!$C$3-2026)*24+19))</f>
        <v/>
      </c>
      <c r="X254" s="76">
        <f>N(INDEX(Krankheitstage!$G254:$DV254,1,(Einstellungen!$C$3-2026)*24+20))</f>
        <v/>
      </c>
      <c r="Y254" s="76">
        <f>N(INDEX(Krankheitstage!$G254:$DV254,1,(Einstellungen!$C$3-2026)*24+21))</f>
        <v/>
      </c>
      <c r="Z254" s="76">
        <f>N(INDEX(Krankheitstage!$G254:$DV254,1,(Einstellungen!$C$3-2026)*24+22))</f>
        <v/>
      </c>
      <c r="AA254" s="76">
        <f>N(INDEX(Krankheitstage!$G254:$DV254,1,(Einstellungen!$C$3-2026)*24+23))</f>
        <v/>
      </c>
      <c r="AB254" s="76">
        <f>N(INDEX(Krankheitstage!$G254:$DV254,1,(Einstellungen!$C$3-2026)*24+24))</f>
        <v/>
      </c>
      <c r="AC254" s="76">
        <f>IF($B254="","",SUM(Q254:AB254))</f>
        <v/>
      </c>
      <c r="AD254" s="76">
        <f>IF($B254="","",SUM(P254,AC254))</f>
        <v/>
      </c>
      <c r="AE254" s="77">
        <f>IF($B254="","",AD254*N(C254))</f>
        <v/>
      </c>
      <c r="AF254" s="76">
        <f>IF($B254="","",Krankheitstage!E254)</f>
        <v/>
      </c>
      <c r="AG254" s="77">
        <f>IF($B254="","",AF254*N(C254))</f>
        <v/>
      </c>
    </row>
    <row r="255">
      <c r="A255" s="74">
        <f>IF(Mitarbeiter!B255="","",Mitarbeiter!A255)</f>
        <v/>
      </c>
      <c r="B255" s="6">
        <f>IF(Mitarbeiter!B255="","",Mitarbeiter!B255)</f>
        <v/>
      </c>
      <c r="C255" s="75">
        <f>IF(Mitarbeiter!B255="","",Mitarbeiter!F255)</f>
        <v/>
      </c>
      <c r="D255" s="76">
        <f>N(INDEX(Krankheitstage!$G255:$DV255,1,(Einstellungen!$C$3-2026)*24+1))</f>
        <v/>
      </c>
      <c r="E255" s="76">
        <f>N(INDEX(Krankheitstage!$G255:$DV255,1,(Einstellungen!$C$3-2026)*24+2))</f>
        <v/>
      </c>
      <c r="F255" s="76">
        <f>N(INDEX(Krankheitstage!$G255:$DV255,1,(Einstellungen!$C$3-2026)*24+3))</f>
        <v/>
      </c>
      <c r="G255" s="76">
        <f>N(INDEX(Krankheitstage!$G255:$DV255,1,(Einstellungen!$C$3-2026)*24+4))</f>
        <v/>
      </c>
      <c r="H255" s="76">
        <f>N(INDEX(Krankheitstage!$G255:$DV255,1,(Einstellungen!$C$3-2026)*24+5))</f>
        <v/>
      </c>
      <c r="I255" s="76">
        <f>N(INDEX(Krankheitstage!$G255:$DV255,1,(Einstellungen!$C$3-2026)*24+6))</f>
        <v/>
      </c>
      <c r="J255" s="76">
        <f>N(INDEX(Krankheitstage!$G255:$DV255,1,(Einstellungen!$C$3-2026)*24+7))</f>
        <v/>
      </c>
      <c r="K255" s="76">
        <f>N(INDEX(Krankheitstage!$G255:$DV255,1,(Einstellungen!$C$3-2026)*24+8))</f>
        <v/>
      </c>
      <c r="L255" s="76">
        <f>N(INDEX(Krankheitstage!$G255:$DV255,1,(Einstellungen!$C$3-2026)*24+9))</f>
        <v/>
      </c>
      <c r="M255" s="76">
        <f>N(INDEX(Krankheitstage!$G255:$DV255,1,(Einstellungen!$C$3-2026)*24+10))</f>
        <v/>
      </c>
      <c r="N255" s="76">
        <f>N(INDEX(Krankheitstage!$G255:$DV255,1,(Einstellungen!$C$3-2026)*24+11))</f>
        <v/>
      </c>
      <c r="O255" s="76">
        <f>N(INDEX(Krankheitstage!$G255:$DV255,1,(Einstellungen!$C$3-2026)*24+12))</f>
        <v/>
      </c>
      <c r="P255" s="76">
        <f>IF($B255="","",SUM(D255:O255))</f>
        <v/>
      </c>
      <c r="Q255" s="76">
        <f>N(INDEX(Krankheitstage!$G255:$DV255,1,(Einstellungen!$C$3-2026)*24+13))</f>
        <v/>
      </c>
      <c r="R255" s="76">
        <f>N(INDEX(Krankheitstage!$G255:$DV255,1,(Einstellungen!$C$3-2026)*24+14))</f>
        <v/>
      </c>
      <c r="S255" s="76">
        <f>N(INDEX(Krankheitstage!$G255:$DV255,1,(Einstellungen!$C$3-2026)*24+15))</f>
        <v/>
      </c>
      <c r="T255" s="76">
        <f>N(INDEX(Krankheitstage!$G255:$DV255,1,(Einstellungen!$C$3-2026)*24+16))</f>
        <v/>
      </c>
      <c r="U255" s="76">
        <f>N(INDEX(Krankheitstage!$G255:$DV255,1,(Einstellungen!$C$3-2026)*24+17))</f>
        <v/>
      </c>
      <c r="V255" s="76">
        <f>N(INDEX(Krankheitstage!$G255:$DV255,1,(Einstellungen!$C$3-2026)*24+18))</f>
        <v/>
      </c>
      <c r="W255" s="76">
        <f>N(INDEX(Krankheitstage!$G255:$DV255,1,(Einstellungen!$C$3-2026)*24+19))</f>
        <v/>
      </c>
      <c r="X255" s="76">
        <f>N(INDEX(Krankheitstage!$G255:$DV255,1,(Einstellungen!$C$3-2026)*24+20))</f>
        <v/>
      </c>
      <c r="Y255" s="76">
        <f>N(INDEX(Krankheitstage!$G255:$DV255,1,(Einstellungen!$C$3-2026)*24+21))</f>
        <v/>
      </c>
      <c r="Z255" s="76">
        <f>N(INDEX(Krankheitstage!$G255:$DV255,1,(Einstellungen!$C$3-2026)*24+22))</f>
        <v/>
      </c>
      <c r="AA255" s="76">
        <f>N(INDEX(Krankheitstage!$G255:$DV255,1,(Einstellungen!$C$3-2026)*24+23))</f>
        <v/>
      </c>
      <c r="AB255" s="76">
        <f>N(INDEX(Krankheitstage!$G255:$DV255,1,(Einstellungen!$C$3-2026)*24+24))</f>
        <v/>
      </c>
      <c r="AC255" s="76">
        <f>IF($B255="","",SUM(Q255:AB255))</f>
        <v/>
      </c>
      <c r="AD255" s="76">
        <f>IF($B255="","",SUM(P255,AC255))</f>
        <v/>
      </c>
      <c r="AE255" s="77">
        <f>IF($B255="","",AD255*N(C255))</f>
        <v/>
      </c>
      <c r="AF255" s="76">
        <f>IF($B255="","",Krankheitstage!E255)</f>
        <v/>
      </c>
      <c r="AG255" s="77">
        <f>IF($B255="","",AF255*N(C255))</f>
        <v/>
      </c>
    </row>
    <row r="256">
      <c r="A256" s="74">
        <f>IF(Mitarbeiter!B256="","",Mitarbeiter!A256)</f>
        <v/>
      </c>
      <c r="B256" s="6">
        <f>IF(Mitarbeiter!B256="","",Mitarbeiter!B256)</f>
        <v/>
      </c>
      <c r="C256" s="75">
        <f>IF(Mitarbeiter!B256="","",Mitarbeiter!F256)</f>
        <v/>
      </c>
      <c r="D256" s="76">
        <f>N(INDEX(Krankheitstage!$G256:$DV256,1,(Einstellungen!$C$3-2026)*24+1))</f>
        <v/>
      </c>
      <c r="E256" s="76">
        <f>N(INDEX(Krankheitstage!$G256:$DV256,1,(Einstellungen!$C$3-2026)*24+2))</f>
        <v/>
      </c>
      <c r="F256" s="76">
        <f>N(INDEX(Krankheitstage!$G256:$DV256,1,(Einstellungen!$C$3-2026)*24+3))</f>
        <v/>
      </c>
      <c r="G256" s="76">
        <f>N(INDEX(Krankheitstage!$G256:$DV256,1,(Einstellungen!$C$3-2026)*24+4))</f>
        <v/>
      </c>
      <c r="H256" s="76">
        <f>N(INDEX(Krankheitstage!$G256:$DV256,1,(Einstellungen!$C$3-2026)*24+5))</f>
        <v/>
      </c>
      <c r="I256" s="76">
        <f>N(INDEX(Krankheitstage!$G256:$DV256,1,(Einstellungen!$C$3-2026)*24+6))</f>
        <v/>
      </c>
      <c r="J256" s="76">
        <f>N(INDEX(Krankheitstage!$G256:$DV256,1,(Einstellungen!$C$3-2026)*24+7))</f>
        <v/>
      </c>
      <c r="K256" s="76">
        <f>N(INDEX(Krankheitstage!$G256:$DV256,1,(Einstellungen!$C$3-2026)*24+8))</f>
        <v/>
      </c>
      <c r="L256" s="76">
        <f>N(INDEX(Krankheitstage!$G256:$DV256,1,(Einstellungen!$C$3-2026)*24+9))</f>
        <v/>
      </c>
      <c r="M256" s="76">
        <f>N(INDEX(Krankheitstage!$G256:$DV256,1,(Einstellungen!$C$3-2026)*24+10))</f>
        <v/>
      </c>
      <c r="N256" s="76">
        <f>N(INDEX(Krankheitstage!$G256:$DV256,1,(Einstellungen!$C$3-2026)*24+11))</f>
        <v/>
      </c>
      <c r="O256" s="76">
        <f>N(INDEX(Krankheitstage!$G256:$DV256,1,(Einstellungen!$C$3-2026)*24+12))</f>
        <v/>
      </c>
      <c r="P256" s="76">
        <f>IF($B256="","",SUM(D256:O256))</f>
        <v/>
      </c>
      <c r="Q256" s="76">
        <f>N(INDEX(Krankheitstage!$G256:$DV256,1,(Einstellungen!$C$3-2026)*24+13))</f>
        <v/>
      </c>
      <c r="R256" s="76">
        <f>N(INDEX(Krankheitstage!$G256:$DV256,1,(Einstellungen!$C$3-2026)*24+14))</f>
        <v/>
      </c>
      <c r="S256" s="76">
        <f>N(INDEX(Krankheitstage!$G256:$DV256,1,(Einstellungen!$C$3-2026)*24+15))</f>
        <v/>
      </c>
      <c r="T256" s="76">
        <f>N(INDEX(Krankheitstage!$G256:$DV256,1,(Einstellungen!$C$3-2026)*24+16))</f>
        <v/>
      </c>
      <c r="U256" s="76">
        <f>N(INDEX(Krankheitstage!$G256:$DV256,1,(Einstellungen!$C$3-2026)*24+17))</f>
        <v/>
      </c>
      <c r="V256" s="76">
        <f>N(INDEX(Krankheitstage!$G256:$DV256,1,(Einstellungen!$C$3-2026)*24+18))</f>
        <v/>
      </c>
      <c r="W256" s="76">
        <f>N(INDEX(Krankheitstage!$G256:$DV256,1,(Einstellungen!$C$3-2026)*24+19))</f>
        <v/>
      </c>
      <c r="X256" s="76">
        <f>N(INDEX(Krankheitstage!$G256:$DV256,1,(Einstellungen!$C$3-2026)*24+20))</f>
        <v/>
      </c>
      <c r="Y256" s="76">
        <f>N(INDEX(Krankheitstage!$G256:$DV256,1,(Einstellungen!$C$3-2026)*24+21))</f>
        <v/>
      </c>
      <c r="Z256" s="76">
        <f>N(INDEX(Krankheitstage!$G256:$DV256,1,(Einstellungen!$C$3-2026)*24+22))</f>
        <v/>
      </c>
      <c r="AA256" s="76">
        <f>N(INDEX(Krankheitstage!$G256:$DV256,1,(Einstellungen!$C$3-2026)*24+23))</f>
        <v/>
      </c>
      <c r="AB256" s="76">
        <f>N(INDEX(Krankheitstage!$G256:$DV256,1,(Einstellungen!$C$3-2026)*24+24))</f>
        <v/>
      </c>
      <c r="AC256" s="76">
        <f>IF($B256="","",SUM(Q256:AB256))</f>
        <v/>
      </c>
      <c r="AD256" s="76">
        <f>IF($B256="","",SUM(P256,AC256))</f>
        <v/>
      </c>
      <c r="AE256" s="77">
        <f>IF($B256="","",AD256*N(C256))</f>
        <v/>
      </c>
      <c r="AF256" s="76">
        <f>IF($B256="","",Krankheitstage!E256)</f>
        <v/>
      </c>
      <c r="AG256" s="77">
        <f>IF($B256="","",AF256*N(C256))</f>
        <v/>
      </c>
    </row>
    <row r="257">
      <c r="A257" s="74">
        <f>IF(Mitarbeiter!B257="","",Mitarbeiter!A257)</f>
        <v/>
      </c>
      <c r="B257" s="6">
        <f>IF(Mitarbeiter!B257="","",Mitarbeiter!B257)</f>
        <v/>
      </c>
      <c r="C257" s="75">
        <f>IF(Mitarbeiter!B257="","",Mitarbeiter!F257)</f>
        <v/>
      </c>
      <c r="D257" s="76">
        <f>N(INDEX(Krankheitstage!$G257:$DV257,1,(Einstellungen!$C$3-2026)*24+1))</f>
        <v/>
      </c>
      <c r="E257" s="76">
        <f>N(INDEX(Krankheitstage!$G257:$DV257,1,(Einstellungen!$C$3-2026)*24+2))</f>
        <v/>
      </c>
      <c r="F257" s="76">
        <f>N(INDEX(Krankheitstage!$G257:$DV257,1,(Einstellungen!$C$3-2026)*24+3))</f>
        <v/>
      </c>
      <c r="G257" s="76">
        <f>N(INDEX(Krankheitstage!$G257:$DV257,1,(Einstellungen!$C$3-2026)*24+4))</f>
        <v/>
      </c>
      <c r="H257" s="76">
        <f>N(INDEX(Krankheitstage!$G257:$DV257,1,(Einstellungen!$C$3-2026)*24+5))</f>
        <v/>
      </c>
      <c r="I257" s="76">
        <f>N(INDEX(Krankheitstage!$G257:$DV257,1,(Einstellungen!$C$3-2026)*24+6))</f>
        <v/>
      </c>
      <c r="J257" s="76">
        <f>N(INDEX(Krankheitstage!$G257:$DV257,1,(Einstellungen!$C$3-2026)*24+7))</f>
        <v/>
      </c>
      <c r="K257" s="76">
        <f>N(INDEX(Krankheitstage!$G257:$DV257,1,(Einstellungen!$C$3-2026)*24+8))</f>
        <v/>
      </c>
      <c r="L257" s="76">
        <f>N(INDEX(Krankheitstage!$G257:$DV257,1,(Einstellungen!$C$3-2026)*24+9))</f>
        <v/>
      </c>
      <c r="M257" s="76">
        <f>N(INDEX(Krankheitstage!$G257:$DV257,1,(Einstellungen!$C$3-2026)*24+10))</f>
        <v/>
      </c>
      <c r="N257" s="76">
        <f>N(INDEX(Krankheitstage!$G257:$DV257,1,(Einstellungen!$C$3-2026)*24+11))</f>
        <v/>
      </c>
      <c r="O257" s="76">
        <f>N(INDEX(Krankheitstage!$G257:$DV257,1,(Einstellungen!$C$3-2026)*24+12))</f>
        <v/>
      </c>
      <c r="P257" s="76">
        <f>IF($B257="","",SUM(D257:O257))</f>
        <v/>
      </c>
      <c r="Q257" s="76">
        <f>N(INDEX(Krankheitstage!$G257:$DV257,1,(Einstellungen!$C$3-2026)*24+13))</f>
        <v/>
      </c>
      <c r="R257" s="76">
        <f>N(INDEX(Krankheitstage!$G257:$DV257,1,(Einstellungen!$C$3-2026)*24+14))</f>
        <v/>
      </c>
      <c r="S257" s="76">
        <f>N(INDEX(Krankheitstage!$G257:$DV257,1,(Einstellungen!$C$3-2026)*24+15))</f>
        <v/>
      </c>
      <c r="T257" s="76">
        <f>N(INDEX(Krankheitstage!$G257:$DV257,1,(Einstellungen!$C$3-2026)*24+16))</f>
        <v/>
      </c>
      <c r="U257" s="76">
        <f>N(INDEX(Krankheitstage!$G257:$DV257,1,(Einstellungen!$C$3-2026)*24+17))</f>
        <v/>
      </c>
      <c r="V257" s="76">
        <f>N(INDEX(Krankheitstage!$G257:$DV257,1,(Einstellungen!$C$3-2026)*24+18))</f>
        <v/>
      </c>
      <c r="W257" s="76">
        <f>N(INDEX(Krankheitstage!$G257:$DV257,1,(Einstellungen!$C$3-2026)*24+19))</f>
        <v/>
      </c>
      <c r="X257" s="76">
        <f>N(INDEX(Krankheitstage!$G257:$DV257,1,(Einstellungen!$C$3-2026)*24+20))</f>
        <v/>
      </c>
      <c r="Y257" s="76">
        <f>N(INDEX(Krankheitstage!$G257:$DV257,1,(Einstellungen!$C$3-2026)*24+21))</f>
        <v/>
      </c>
      <c r="Z257" s="76">
        <f>N(INDEX(Krankheitstage!$G257:$DV257,1,(Einstellungen!$C$3-2026)*24+22))</f>
        <v/>
      </c>
      <c r="AA257" s="76">
        <f>N(INDEX(Krankheitstage!$G257:$DV257,1,(Einstellungen!$C$3-2026)*24+23))</f>
        <v/>
      </c>
      <c r="AB257" s="76">
        <f>N(INDEX(Krankheitstage!$G257:$DV257,1,(Einstellungen!$C$3-2026)*24+24))</f>
        <v/>
      </c>
      <c r="AC257" s="76">
        <f>IF($B257="","",SUM(Q257:AB257))</f>
        <v/>
      </c>
      <c r="AD257" s="76">
        <f>IF($B257="","",SUM(P257,AC257))</f>
        <v/>
      </c>
      <c r="AE257" s="77">
        <f>IF($B257="","",AD257*N(C257))</f>
        <v/>
      </c>
      <c r="AF257" s="76">
        <f>IF($B257="","",Krankheitstage!E257)</f>
        <v/>
      </c>
      <c r="AG257" s="77">
        <f>IF($B257="","",AF257*N(C257))</f>
        <v/>
      </c>
    </row>
    <row r="258">
      <c r="A258" s="74">
        <f>IF(Mitarbeiter!B258="","",Mitarbeiter!A258)</f>
        <v/>
      </c>
      <c r="B258" s="6">
        <f>IF(Mitarbeiter!B258="","",Mitarbeiter!B258)</f>
        <v/>
      </c>
      <c r="C258" s="75">
        <f>IF(Mitarbeiter!B258="","",Mitarbeiter!F258)</f>
        <v/>
      </c>
      <c r="D258" s="76">
        <f>N(INDEX(Krankheitstage!$G258:$DV258,1,(Einstellungen!$C$3-2026)*24+1))</f>
        <v/>
      </c>
      <c r="E258" s="76">
        <f>N(INDEX(Krankheitstage!$G258:$DV258,1,(Einstellungen!$C$3-2026)*24+2))</f>
        <v/>
      </c>
      <c r="F258" s="76">
        <f>N(INDEX(Krankheitstage!$G258:$DV258,1,(Einstellungen!$C$3-2026)*24+3))</f>
        <v/>
      </c>
      <c r="G258" s="76">
        <f>N(INDEX(Krankheitstage!$G258:$DV258,1,(Einstellungen!$C$3-2026)*24+4))</f>
        <v/>
      </c>
      <c r="H258" s="76">
        <f>N(INDEX(Krankheitstage!$G258:$DV258,1,(Einstellungen!$C$3-2026)*24+5))</f>
        <v/>
      </c>
      <c r="I258" s="76">
        <f>N(INDEX(Krankheitstage!$G258:$DV258,1,(Einstellungen!$C$3-2026)*24+6))</f>
        <v/>
      </c>
      <c r="J258" s="76">
        <f>N(INDEX(Krankheitstage!$G258:$DV258,1,(Einstellungen!$C$3-2026)*24+7))</f>
        <v/>
      </c>
      <c r="K258" s="76">
        <f>N(INDEX(Krankheitstage!$G258:$DV258,1,(Einstellungen!$C$3-2026)*24+8))</f>
        <v/>
      </c>
      <c r="L258" s="76">
        <f>N(INDEX(Krankheitstage!$G258:$DV258,1,(Einstellungen!$C$3-2026)*24+9))</f>
        <v/>
      </c>
      <c r="M258" s="76">
        <f>N(INDEX(Krankheitstage!$G258:$DV258,1,(Einstellungen!$C$3-2026)*24+10))</f>
        <v/>
      </c>
      <c r="N258" s="76">
        <f>N(INDEX(Krankheitstage!$G258:$DV258,1,(Einstellungen!$C$3-2026)*24+11))</f>
        <v/>
      </c>
      <c r="O258" s="76">
        <f>N(INDEX(Krankheitstage!$G258:$DV258,1,(Einstellungen!$C$3-2026)*24+12))</f>
        <v/>
      </c>
      <c r="P258" s="76">
        <f>IF($B258="","",SUM(D258:O258))</f>
        <v/>
      </c>
      <c r="Q258" s="76">
        <f>N(INDEX(Krankheitstage!$G258:$DV258,1,(Einstellungen!$C$3-2026)*24+13))</f>
        <v/>
      </c>
      <c r="R258" s="76">
        <f>N(INDEX(Krankheitstage!$G258:$DV258,1,(Einstellungen!$C$3-2026)*24+14))</f>
        <v/>
      </c>
      <c r="S258" s="76">
        <f>N(INDEX(Krankheitstage!$G258:$DV258,1,(Einstellungen!$C$3-2026)*24+15))</f>
        <v/>
      </c>
      <c r="T258" s="76">
        <f>N(INDEX(Krankheitstage!$G258:$DV258,1,(Einstellungen!$C$3-2026)*24+16))</f>
        <v/>
      </c>
      <c r="U258" s="76">
        <f>N(INDEX(Krankheitstage!$G258:$DV258,1,(Einstellungen!$C$3-2026)*24+17))</f>
        <v/>
      </c>
      <c r="V258" s="76">
        <f>N(INDEX(Krankheitstage!$G258:$DV258,1,(Einstellungen!$C$3-2026)*24+18))</f>
        <v/>
      </c>
      <c r="W258" s="76">
        <f>N(INDEX(Krankheitstage!$G258:$DV258,1,(Einstellungen!$C$3-2026)*24+19))</f>
        <v/>
      </c>
      <c r="X258" s="76">
        <f>N(INDEX(Krankheitstage!$G258:$DV258,1,(Einstellungen!$C$3-2026)*24+20))</f>
        <v/>
      </c>
      <c r="Y258" s="76">
        <f>N(INDEX(Krankheitstage!$G258:$DV258,1,(Einstellungen!$C$3-2026)*24+21))</f>
        <v/>
      </c>
      <c r="Z258" s="76">
        <f>N(INDEX(Krankheitstage!$G258:$DV258,1,(Einstellungen!$C$3-2026)*24+22))</f>
        <v/>
      </c>
      <c r="AA258" s="76">
        <f>N(INDEX(Krankheitstage!$G258:$DV258,1,(Einstellungen!$C$3-2026)*24+23))</f>
        <v/>
      </c>
      <c r="AB258" s="76">
        <f>N(INDEX(Krankheitstage!$G258:$DV258,1,(Einstellungen!$C$3-2026)*24+24))</f>
        <v/>
      </c>
      <c r="AC258" s="76">
        <f>IF($B258="","",SUM(Q258:AB258))</f>
        <v/>
      </c>
      <c r="AD258" s="76">
        <f>IF($B258="","",SUM(P258,AC258))</f>
        <v/>
      </c>
      <c r="AE258" s="77">
        <f>IF($B258="","",AD258*N(C258))</f>
        <v/>
      </c>
      <c r="AF258" s="76">
        <f>IF($B258="","",Krankheitstage!E258)</f>
        <v/>
      </c>
      <c r="AG258" s="77">
        <f>IF($B258="","",AF258*N(C258))</f>
        <v/>
      </c>
    </row>
    <row r="259">
      <c r="A259" s="74">
        <f>IF(Mitarbeiter!B259="","",Mitarbeiter!A259)</f>
        <v/>
      </c>
      <c r="B259" s="6">
        <f>IF(Mitarbeiter!B259="","",Mitarbeiter!B259)</f>
        <v/>
      </c>
      <c r="C259" s="75">
        <f>IF(Mitarbeiter!B259="","",Mitarbeiter!F259)</f>
        <v/>
      </c>
      <c r="D259" s="76">
        <f>N(INDEX(Krankheitstage!$G259:$DV259,1,(Einstellungen!$C$3-2026)*24+1))</f>
        <v/>
      </c>
      <c r="E259" s="76">
        <f>N(INDEX(Krankheitstage!$G259:$DV259,1,(Einstellungen!$C$3-2026)*24+2))</f>
        <v/>
      </c>
      <c r="F259" s="76">
        <f>N(INDEX(Krankheitstage!$G259:$DV259,1,(Einstellungen!$C$3-2026)*24+3))</f>
        <v/>
      </c>
      <c r="G259" s="76">
        <f>N(INDEX(Krankheitstage!$G259:$DV259,1,(Einstellungen!$C$3-2026)*24+4))</f>
        <v/>
      </c>
      <c r="H259" s="76">
        <f>N(INDEX(Krankheitstage!$G259:$DV259,1,(Einstellungen!$C$3-2026)*24+5))</f>
        <v/>
      </c>
      <c r="I259" s="76">
        <f>N(INDEX(Krankheitstage!$G259:$DV259,1,(Einstellungen!$C$3-2026)*24+6))</f>
        <v/>
      </c>
      <c r="J259" s="76">
        <f>N(INDEX(Krankheitstage!$G259:$DV259,1,(Einstellungen!$C$3-2026)*24+7))</f>
        <v/>
      </c>
      <c r="K259" s="76">
        <f>N(INDEX(Krankheitstage!$G259:$DV259,1,(Einstellungen!$C$3-2026)*24+8))</f>
        <v/>
      </c>
      <c r="L259" s="76">
        <f>N(INDEX(Krankheitstage!$G259:$DV259,1,(Einstellungen!$C$3-2026)*24+9))</f>
        <v/>
      </c>
      <c r="M259" s="76">
        <f>N(INDEX(Krankheitstage!$G259:$DV259,1,(Einstellungen!$C$3-2026)*24+10))</f>
        <v/>
      </c>
      <c r="N259" s="76">
        <f>N(INDEX(Krankheitstage!$G259:$DV259,1,(Einstellungen!$C$3-2026)*24+11))</f>
        <v/>
      </c>
      <c r="O259" s="76">
        <f>N(INDEX(Krankheitstage!$G259:$DV259,1,(Einstellungen!$C$3-2026)*24+12))</f>
        <v/>
      </c>
      <c r="P259" s="76">
        <f>IF($B259="","",SUM(D259:O259))</f>
        <v/>
      </c>
      <c r="Q259" s="76">
        <f>N(INDEX(Krankheitstage!$G259:$DV259,1,(Einstellungen!$C$3-2026)*24+13))</f>
        <v/>
      </c>
      <c r="R259" s="76">
        <f>N(INDEX(Krankheitstage!$G259:$DV259,1,(Einstellungen!$C$3-2026)*24+14))</f>
        <v/>
      </c>
      <c r="S259" s="76">
        <f>N(INDEX(Krankheitstage!$G259:$DV259,1,(Einstellungen!$C$3-2026)*24+15))</f>
        <v/>
      </c>
      <c r="T259" s="76">
        <f>N(INDEX(Krankheitstage!$G259:$DV259,1,(Einstellungen!$C$3-2026)*24+16))</f>
        <v/>
      </c>
      <c r="U259" s="76">
        <f>N(INDEX(Krankheitstage!$G259:$DV259,1,(Einstellungen!$C$3-2026)*24+17))</f>
        <v/>
      </c>
      <c r="V259" s="76">
        <f>N(INDEX(Krankheitstage!$G259:$DV259,1,(Einstellungen!$C$3-2026)*24+18))</f>
        <v/>
      </c>
      <c r="W259" s="76">
        <f>N(INDEX(Krankheitstage!$G259:$DV259,1,(Einstellungen!$C$3-2026)*24+19))</f>
        <v/>
      </c>
      <c r="X259" s="76">
        <f>N(INDEX(Krankheitstage!$G259:$DV259,1,(Einstellungen!$C$3-2026)*24+20))</f>
        <v/>
      </c>
      <c r="Y259" s="76">
        <f>N(INDEX(Krankheitstage!$G259:$DV259,1,(Einstellungen!$C$3-2026)*24+21))</f>
        <v/>
      </c>
      <c r="Z259" s="76">
        <f>N(INDEX(Krankheitstage!$G259:$DV259,1,(Einstellungen!$C$3-2026)*24+22))</f>
        <v/>
      </c>
      <c r="AA259" s="76">
        <f>N(INDEX(Krankheitstage!$G259:$DV259,1,(Einstellungen!$C$3-2026)*24+23))</f>
        <v/>
      </c>
      <c r="AB259" s="76">
        <f>N(INDEX(Krankheitstage!$G259:$DV259,1,(Einstellungen!$C$3-2026)*24+24))</f>
        <v/>
      </c>
      <c r="AC259" s="76">
        <f>IF($B259="","",SUM(Q259:AB259))</f>
        <v/>
      </c>
      <c r="AD259" s="76">
        <f>IF($B259="","",SUM(P259,AC259))</f>
        <v/>
      </c>
      <c r="AE259" s="77">
        <f>IF($B259="","",AD259*N(C259))</f>
        <v/>
      </c>
      <c r="AF259" s="76">
        <f>IF($B259="","",Krankheitstage!E259)</f>
        <v/>
      </c>
      <c r="AG259" s="77">
        <f>IF($B259="","",AF259*N(C259))</f>
        <v/>
      </c>
    </row>
    <row r="260">
      <c r="A260" s="74">
        <f>IF(Mitarbeiter!B260="","",Mitarbeiter!A260)</f>
        <v/>
      </c>
      <c r="B260" s="6">
        <f>IF(Mitarbeiter!B260="","",Mitarbeiter!B260)</f>
        <v/>
      </c>
      <c r="C260" s="75">
        <f>IF(Mitarbeiter!B260="","",Mitarbeiter!F260)</f>
        <v/>
      </c>
      <c r="D260" s="76">
        <f>N(INDEX(Krankheitstage!$G260:$DV260,1,(Einstellungen!$C$3-2026)*24+1))</f>
        <v/>
      </c>
      <c r="E260" s="76">
        <f>N(INDEX(Krankheitstage!$G260:$DV260,1,(Einstellungen!$C$3-2026)*24+2))</f>
        <v/>
      </c>
      <c r="F260" s="76">
        <f>N(INDEX(Krankheitstage!$G260:$DV260,1,(Einstellungen!$C$3-2026)*24+3))</f>
        <v/>
      </c>
      <c r="G260" s="76">
        <f>N(INDEX(Krankheitstage!$G260:$DV260,1,(Einstellungen!$C$3-2026)*24+4))</f>
        <v/>
      </c>
      <c r="H260" s="76">
        <f>N(INDEX(Krankheitstage!$G260:$DV260,1,(Einstellungen!$C$3-2026)*24+5))</f>
        <v/>
      </c>
      <c r="I260" s="76">
        <f>N(INDEX(Krankheitstage!$G260:$DV260,1,(Einstellungen!$C$3-2026)*24+6))</f>
        <v/>
      </c>
      <c r="J260" s="76">
        <f>N(INDEX(Krankheitstage!$G260:$DV260,1,(Einstellungen!$C$3-2026)*24+7))</f>
        <v/>
      </c>
      <c r="K260" s="76">
        <f>N(INDEX(Krankheitstage!$G260:$DV260,1,(Einstellungen!$C$3-2026)*24+8))</f>
        <v/>
      </c>
      <c r="L260" s="76">
        <f>N(INDEX(Krankheitstage!$G260:$DV260,1,(Einstellungen!$C$3-2026)*24+9))</f>
        <v/>
      </c>
      <c r="M260" s="76">
        <f>N(INDEX(Krankheitstage!$G260:$DV260,1,(Einstellungen!$C$3-2026)*24+10))</f>
        <v/>
      </c>
      <c r="N260" s="76">
        <f>N(INDEX(Krankheitstage!$G260:$DV260,1,(Einstellungen!$C$3-2026)*24+11))</f>
        <v/>
      </c>
      <c r="O260" s="76">
        <f>N(INDEX(Krankheitstage!$G260:$DV260,1,(Einstellungen!$C$3-2026)*24+12))</f>
        <v/>
      </c>
      <c r="P260" s="76">
        <f>IF($B260="","",SUM(D260:O260))</f>
        <v/>
      </c>
      <c r="Q260" s="76">
        <f>N(INDEX(Krankheitstage!$G260:$DV260,1,(Einstellungen!$C$3-2026)*24+13))</f>
        <v/>
      </c>
      <c r="R260" s="76">
        <f>N(INDEX(Krankheitstage!$G260:$DV260,1,(Einstellungen!$C$3-2026)*24+14))</f>
        <v/>
      </c>
      <c r="S260" s="76">
        <f>N(INDEX(Krankheitstage!$G260:$DV260,1,(Einstellungen!$C$3-2026)*24+15))</f>
        <v/>
      </c>
      <c r="T260" s="76">
        <f>N(INDEX(Krankheitstage!$G260:$DV260,1,(Einstellungen!$C$3-2026)*24+16))</f>
        <v/>
      </c>
      <c r="U260" s="76">
        <f>N(INDEX(Krankheitstage!$G260:$DV260,1,(Einstellungen!$C$3-2026)*24+17))</f>
        <v/>
      </c>
      <c r="V260" s="76">
        <f>N(INDEX(Krankheitstage!$G260:$DV260,1,(Einstellungen!$C$3-2026)*24+18))</f>
        <v/>
      </c>
      <c r="W260" s="76">
        <f>N(INDEX(Krankheitstage!$G260:$DV260,1,(Einstellungen!$C$3-2026)*24+19))</f>
        <v/>
      </c>
      <c r="X260" s="76">
        <f>N(INDEX(Krankheitstage!$G260:$DV260,1,(Einstellungen!$C$3-2026)*24+20))</f>
        <v/>
      </c>
      <c r="Y260" s="76">
        <f>N(INDEX(Krankheitstage!$G260:$DV260,1,(Einstellungen!$C$3-2026)*24+21))</f>
        <v/>
      </c>
      <c r="Z260" s="76">
        <f>N(INDEX(Krankheitstage!$G260:$DV260,1,(Einstellungen!$C$3-2026)*24+22))</f>
        <v/>
      </c>
      <c r="AA260" s="76">
        <f>N(INDEX(Krankheitstage!$G260:$DV260,1,(Einstellungen!$C$3-2026)*24+23))</f>
        <v/>
      </c>
      <c r="AB260" s="76">
        <f>N(INDEX(Krankheitstage!$G260:$DV260,1,(Einstellungen!$C$3-2026)*24+24))</f>
        <v/>
      </c>
      <c r="AC260" s="76">
        <f>IF($B260="","",SUM(Q260:AB260))</f>
        <v/>
      </c>
      <c r="AD260" s="76">
        <f>IF($B260="","",SUM(P260,AC260))</f>
        <v/>
      </c>
      <c r="AE260" s="77">
        <f>IF($B260="","",AD260*N(C260))</f>
        <v/>
      </c>
      <c r="AF260" s="76">
        <f>IF($B260="","",Krankheitstage!E260)</f>
        <v/>
      </c>
      <c r="AG260" s="77">
        <f>IF($B260="","",AF260*N(C260))</f>
        <v/>
      </c>
    </row>
    <row r="261">
      <c r="A261" s="74">
        <f>IF(Mitarbeiter!B261="","",Mitarbeiter!A261)</f>
        <v/>
      </c>
      <c r="B261" s="6">
        <f>IF(Mitarbeiter!B261="","",Mitarbeiter!B261)</f>
        <v/>
      </c>
      <c r="C261" s="75">
        <f>IF(Mitarbeiter!B261="","",Mitarbeiter!F261)</f>
        <v/>
      </c>
      <c r="D261" s="76">
        <f>N(INDEX(Krankheitstage!$G261:$DV261,1,(Einstellungen!$C$3-2026)*24+1))</f>
        <v/>
      </c>
      <c r="E261" s="76">
        <f>N(INDEX(Krankheitstage!$G261:$DV261,1,(Einstellungen!$C$3-2026)*24+2))</f>
        <v/>
      </c>
      <c r="F261" s="76">
        <f>N(INDEX(Krankheitstage!$G261:$DV261,1,(Einstellungen!$C$3-2026)*24+3))</f>
        <v/>
      </c>
      <c r="G261" s="76">
        <f>N(INDEX(Krankheitstage!$G261:$DV261,1,(Einstellungen!$C$3-2026)*24+4))</f>
        <v/>
      </c>
      <c r="H261" s="76">
        <f>N(INDEX(Krankheitstage!$G261:$DV261,1,(Einstellungen!$C$3-2026)*24+5))</f>
        <v/>
      </c>
      <c r="I261" s="76">
        <f>N(INDEX(Krankheitstage!$G261:$DV261,1,(Einstellungen!$C$3-2026)*24+6))</f>
        <v/>
      </c>
      <c r="J261" s="76">
        <f>N(INDEX(Krankheitstage!$G261:$DV261,1,(Einstellungen!$C$3-2026)*24+7))</f>
        <v/>
      </c>
      <c r="K261" s="76">
        <f>N(INDEX(Krankheitstage!$G261:$DV261,1,(Einstellungen!$C$3-2026)*24+8))</f>
        <v/>
      </c>
      <c r="L261" s="76">
        <f>N(INDEX(Krankheitstage!$G261:$DV261,1,(Einstellungen!$C$3-2026)*24+9))</f>
        <v/>
      </c>
      <c r="M261" s="76">
        <f>N(INDEX(Krankheitstage!$G261:$DV261,1,(Einstellungen!$C$3-2026)*24+10))</f>
        <v/>
      </c>
      <c r="N261" s="76">
        <f>N(INDEX(Krankheitstage!$G261:$DV261,1,(Einstellungen!$C$3-2026)*24+11))</f>
        <v/>
      </c>
      <c r="O261" s="76">
        <f>N(INDEX(Krankheitstage!$G261:$DV261,1,(Einstellungen!$C$3-2026)*24+12))</f>
        <v/>
      </c>
      <c r="P261" s="76">
        <f>IF($B261="","",SUM(D261:O261))</f>
        <v/>
      </c>
      <c r="Q261" s="76">
        <f>N(INDEX(Krankheitstage!$G261:$DV261,1,(Einstellungen!$C$3-2026)*24+13))</f>
        <v/>
      </c>
      <c r="R261" s="76">
        <f>N(INDEX(Krankheitstage!$G261:$DV261,1,(Einstellungen!$C$3-2026)*24+14))</f>
        <v/>
      </c>
      <c r="S261" s="76">
        <f>N(INDEX(Krankheitstage!$G261:$DV261,1,(Einstellungen!$C$3-2026)*24+15))</f>
        <v/>
      </c>
      <c r="T261" s="76">
        <f>N(INDEX(Krankheitstage!$G261:$DV261,1,(Einstellungen!$C$3-2026)*24+16))</f>
        <v/>
      </c>
      <c r="U261" s="76">
        <f>N(INDEX(Krankheitstage!$G261:$DV261,1,(Einstellungen!$C$3-2026)*24+17))</f>
        <v/>
      </c>
      <c r="V261" s="76">
        <f>N(INDEX(Krankheitstage!$G261:$DV261,1,(Einstellungen!$C$3-2026)*24+18))</f>
        <v/>
      </c>
      <c r="W261" s="76">
        <f>N(INDEX(Krankheitstage!$G261:$DV261,1,(Einstellungen!$C$3-2026)*24+19))</f>
        <v/>
      </c>
      <c r="X261" s="76">
        <f>N(INDEX(Krankheitstage!$G261:$DV261,1,(Einstellungen!$C$3-2026)*24+20))</f>
        <v/>
      </c>
      <c r="Y261" s="76">
        <f>N(INDEX(Krankheitstage!$G261:$DV261,1,(Einstellungen!$C$3-2026)*24+21))</f>
        <v/>
      </c>
      <c r="Z261" s="76">
        <f>N(INDEX(Krankheitstage!$G261:$DV261,1,(Einstellungen!$C$3-2026)*24+22))</f>
        <v/>
      </c>
      <c r="AA261" s="76">
        <f>N(INDEX(Krankheitstage!$G261:$DV261,1,(Einstellungen!$C$3-2026)*24+23))</f>
        <v/>
      </c>
      <c r="AB261" s="76">
        <f>N(INDEX(Krankheitstage!$G261:$DV261,1,(Einstellungen!$C$3-2026)*24+24))</f>
        <v/>
      </c>
      <c r="AC261" s="76">
        <f>IF($B261="","",SUM(Q261:AB261))</f>
        <v/>
      </c>
      <c r="AD261" s="76">
        <f>IF($B261="","",SUM(P261,AC261))</f>
        <v/>
      </c>
      <c r="AE261" s="77">
        <f>IF($B261="","",AD261*N(C261))</f>
        <v/>
      </c>
      <c r="AF261" s="76">
        <f>IF($B261="","",Krankheitstage!E261)</f>
        <v/>
      </c>
      <c r="AG261" s="77">
        <f>IF($B261="","",AF261*N(C261))</f>
        <v/>
      </c>
    </row>
    <row r="262">
      <c r="A262" s="74">
        <f>IF(Mitarbeiter!B262="","",Mitarbeiter!A262)</f>
        <v/>
      </c>
      <c r="B262" s="6">
        <f>IF(Mitarbeiter!B262="","",Mitarbeiter!B262)</f>
        <v/>
      </c>
      <c r="C262" s="75">
        <f>IF(Mitarbeiter!B262="","",Mitarbeiter!F262)</f>
        <v/>
      </c>
      <c r="D262" s="76">
        <f>N(INDEX(Krankheitstage!$G262:$DV262,1,(Einstellungen!$C$3-2026)*24+1))</f>
        <v/>
      </c>
      <c r="E262" s="76">
        <f>N(INDEX(Krankheitstage!$G262:$DV262,1,(Einstellungen!$C$3-2026)*24+2))</f>
        <v/>
      </c>
      <c r="F262" s="76">
        <f>N(INDEX(Krankheitstage!$G262:$DV262,1,(Einstellungen!$C$3-2026)*24+3))</f>
        <v/>
      </c>
      <c r="G262" s="76">
        <f>N(INDEX(Krankheitstage!$G262:$DV262,1,(Einstellungen!$C$3-2026)*24+4))</f>
        <v/>
      </c>
      <c r="H262" s="76">
        <f>N(INDEX(Krankheitstage!$G262:$DV262,1,(Einstellungen!$C$3-2026)*24+5))</f>
        <v/>
      </c>
      <c r="I262" s="76">
        <f>N(INDEX(Krankheitstage!$G262:$DV262,1,(Einstellungen!$C$3-2026)*24+6))</f>
        <v/>
      </c>
      <c r="J262" s="76">
        <f>N(INDEX(Krankheitstage!$G262:$DV262,1,(Einstellungen!$C$3-2026)*24+7))</f>
        <v/>
      </c>
      <c r="K262" s="76">
        <f>N(INDEX(Krankheitstage!$G262:$DV262,1,(Einstellungen!$C$3-2026)*24+8))</f>
        <v/>
      </c>
      <c r="L262" s="76">
        <f>N(INDEX(Krankheitstage!$G262:$DV262,1,(Einstellungen!$C$3-2026)*24+9))</f>
        <v/>
      </c>
      <c r="M262" s="76">
        <f>N(INDEX(Krankheitstage!$G262:$DV262,1,(Einstellungen!$C$3-2026)*24+10))</f>
        <v/>
      </c>
      <c r="N262" s="76">
        <f>N(INDEX(Krankheitstage!$G262:$DV262,1,(Einstellungen!$C$3-2026)*24+11))</f>
        <v/>
      </c>
      <c r="O262" s="76">
        <f>N(INDEX(Krankheitstage!$G262:$DV262,1,(Einstellungen!$C$3-2026)*24+12))</f>
        <v/>
      </c>
      <c r="P262" s="76">
        <f>IF($B262="","",SUM(D262:O262))</f>
        <v/>
      </c>
      <c r="Q262" s="76">
        <f>N(INDEX(Krankheitstage!$G262:$DV262,1,(Einstellungen!$C$3-2026)*24+13))</f>
        <v/>
      </c>
      <c r="R262" s="76">
        <f>N(INDEX(Krankheitstage!$G262:$DV262,1,(Einstellungen!$C$3-2026)*24+14))</f>
        <v/>
      </c>
      <c r="S262" s="76">
        <f>N(INDEX(Krankheitstage!$G262:$DV262,1,(Einstellungen!$C$3-2026)*24+15))</f>
        <v/>
      </c>
      <c r="T262" s="76">
        <f>N(INDEX(Krankheitstage!$G262:$DV262,1,(Einstellungen!$C$3-2026)*24+16))</f>
        <v/>
      </c>
      <c r="U262" s="76">
        <f>N(INDEX(Krankheitstage!$G262:$DV262,1,(Einstellungen!$C$3-2026)*24+17))</f>
        <v/>
      </c>
      <c r="V262" s="76">
        <f>N(INDEX(Krankheitstage!$G262:$DV262,1,(Einstellungen!$C$3-2026)*24+18))</f>
        <v/>
      </c>
      <c r="W262" s="76">
        <f>N(INDEX(Krankheitstage!$G262:$DV262,1,(Einstellungen!$C$3-2026)*24+19))</f>
        <v/>
      </c>
      <c r="X262" s="76">
        <f>N(INDEX(Krankheitstage!$G262:$DV262,1,(Einstellungen!$C$3-2026)*24+20))</f>
        <v/>
      </c>
      <c r="Y262" s="76">
        <f>N(INDEX(Krankheitstage!$G262:$DV262,1,(Einstellungen!$C$3-2026)*24+21))</f>
        <v/>
      </c>
      <c r="Z262" s="76">
        <f>N(INDEX(Krankheitstage!$G262:$DV262,1,(Einstellungen!$C$3-2026)*24+22))</f>
        <v/>
      </c>
      <c r="AA262" s="76">
        <f>N(INDEX(Krankheitstage!$G262:$DV262,1,(Einstellungen!$C$3-2026)*24+23))</f>
        <v/>
      </c>
      <c r="AB262" s="76">
        <f>N(INDEX(Krankheitstage!$G262:$DV262,1,(Einstellungen!$C$3-2026)*24+24))</f>
        <v/>
      </c>
      <c r="AC262" s="76">
        <f>IF($B262="","",SUM(Q262:AB262))</f>
        <v/>
      </c>
      <c r="AD262" s="76">
        <f>IF($B262="","",SUM(P262,AC262))</f>
        <v/>
      </c>
      <c r="AE262" s="77">
        <f>IF($B262="","",AD262*N(C262))</f>
        <v/>
      </c>
      <c r="AF262" s="76">
        <f>IF($B262="","",Krankheitstage!E262)</f>
        <v/>
      </c>
      <c r="AG262" s="77">
        <f>IF($B262="","",AF262*N(C262))</f>
        <v/>
      </c>
    </row>
    <row r="263">
      <c r="A263" s="74">
        <f>IF(Mitarbeiter!B263="","",Mitarbeiter!A263)</f>
        <v/>
      </c>
      <c r="B263" s="6">
        <f>IF(Mitarbeiter!B263="","",Mitarbeiter!B263)</f>
        <v/>
      </c>
      <c r="C263" s="75">
        <f>IF(Mitarbeiter!B263="","",Mitarbeiter!F263)</f>
        <v/>
      </c>
      <c r="D263" s="76">
        <f>N(INDEX(Krankheitstage!$G263:$DV263,1,(Einstellungen!$C$3-2026)*24+1))</f>
        <v/>
      </c>
      <c r="E263" s="76">
        <f>N(INDEX(Krankheitstage!$G263:$DV263,1,(Einstellungen!$C$3-2026)*24+2))</f>
        <v/>
      </c>
      <c r="F263" s="76">
        <f>N(INDEX(Krankheitstage!$G263:$DV263,1,(Einstellungen!$C$3-2026)*24+3))</f>
        <v/>
      </c>
      <c r="G263" s="76">
        <f>N(INDEX(Krankheitstage!$G263:$DV263,1,(Einstellungen!$C$3-2026)*24+4))</f>
        <v/>
      </c>
      <c r="H263" s="76">
        <f>N(INDEX(Krankheitstage!$G263:$DV263,1,(Einstellungen!$C$3-2026)*24+5))</f>
        <v/>
      </c>
      <c r="I263" s="76">
        <f>N(INDEX(Krankheitstage!$G263:$DV263,1,(Einstellungen!$C$3-2026)*24+6))</f>
        <v/>
      </c>
      <c r="J263" s="76">
        <f>N(INDEX(Krankheitstage!$G263:$DV263,1,(Einstellungen!$C$3-2026)*24+7))</f>
        <v/>
      </c>
      <c r="K263" s="76">
        <f>N(INDEX(Krankheitstage!$G263:$DV263,1,(Einstellungen!$C$3-2026)*24+8))</f>
        <v/>
      </c>
      <c r="L263" s="76">
        <f>N(INDEX(Krankheitstage!$G263:$DV263,1,(Einstellungen!$C$3-2026)*24+9))</f>
        <v/>
      </c>
      <c r="M263" s="76">
        <f>N(INDEX(Krankheitstage!$G263:$DV263,1,(Einstellungen!$C$3-2026)*24+10))</f>
        <v/>
      </c>
      <c r="N263" s="76">
        <f>N(INDEX(Krankheitstage!$G263:$DV263,1,(Einstellungen!$C$3-2026)*24+11))</f>
        <v/>
      </c>
      <c r="O263" s="76">
        <f>N(INDEX(Krankheitstage!$G263:$DV263,1,(Einstellungen!$C$3-2026)*24+12))</f>
        <v/>
      </c>
      <c r="P263" s="76">
        <f>IF($B263="","",SUM(D263:O263))</f>
        <v/>
      </c>
      <c r="Q263" s="76">
        <f>N(INDEX(Krankheitstage!$G263:$DV263,1,(Einstellungen!$C$3-2026)*24+13))</f>
        <v/>
      </c>
      <c r="R263" s="76">
        <f>N(INDEX(Krankheitstage!$G263:$DV263,1,(Einstellungen!$C$3-2026)*24+14))</f>
        <v/>
      </c>
      <c r="S263" s="76">
        <f>N(INDEX(Krankheitstage!$G263:$DV263,1,(Einstellungen!$C$3-2026)*24+15))</f>
        <v/>
      </c>
      <c r="T263" s="76">
        <f>N(INDEX(Krankheitstage!$G263:$DV263,1,(Einstellungen!$C$3-2026)*24+16))</f>
        <v/>
      </c>
      <c r="U263" s="76">
        <f>N(INDEX(Krankheitstage!$G263:$DV263,1,(Einstellungen!$C$3-2026)*24+17))</f>
        <v/>
      </c>
      <c r="V263" s="76">
        <f>N(INDEX(Krankheitstage!$G263:$DV263,1,(Einstellungen!$C$3-2026)*24+18))</f>
        <v/>
      </c>
      <c r="W263" s="76">
        <f>N(INDEX(Krankheitstage!$G263:$DV263,1,(Einstellungen!$C$3-2026)*24+19))</f>
        <v/>
      </c>
      <c r="X263" s="76">
        <f>N(INDEX(Krankheitstage!$G263:$DV263,1,(Einstellungen!$C$3-2026)*24+20))</f>
        <v/>
      </c>
      <c r="Y263" s="76">
        <f>N(INDEX(Krankheitstage!$G263:$DV263,1,(Einstellungen!$C$3-2026)*24+21))</f>
        <v/>
      </c>
      <c r="Z263" s="76">
        <f>N(INDEX(Krankheitstage!$G263:$DV263,1,(Einstellungen!$C$3-2026)*24+22))</f>
        <v/>
      </c>
      <c r="AA263" s="76">
        <f>N(INDEX(Krankheitstage!$G263:$DV263,1,(Einstellungen!$C$3-2026)*24+23))</f>
        <v/>
      </c>
      <c r="AB263" s="76">
        <f>N(INDEX(Krankheitstage!$G263:$DV263,1,(Einstellungen!$C$3-2026)*24+24))</f>
        <v/>
      </c>
      <c r="AC263" s="76">
        <f>IF($B263="","",SUM(Q263:AB263))</f>
        <v/>
      </c>
      <c r="AD263" s="76">
        <f>IF($B263="","",SUM(P263,AC263))</f>
        <v/>
      </c>
      <c r="AE263" s="77">
        <f>IF($B263="","",AD263*N(C263))</f>
        <v/>
      </c>
      <c r="AF263" s="76">
        <f>IF($B263="","",Krankheitstage!E263)</f>
        <v/>
      </c>
      <c r="AG263" s="77">
        <f>IF($B263="","",AF263*N(C263))</f>
        <v/>
      </c>
    </row>
    <row r="264">
      <c r="A264" s="74">
        <f>IF(Mitarbeiter!B264="","",Mitarbeiter!A264)</f>
        <v/>
      </c>
      <c r="B264" s="6">
        <f>IF(Mitarbeiter!B264="","",Mitarbeiter!B264)</f>
        <v/>
      </c>
      <c r="C264" s="75">
        <f>IF(Mitarbeiter!B264="","",Mitarbeiter!F264)</f>
        <v/>
      </c>
      <c r="D264" s="76">
        <f>N(INDEX(Krankheitstage!$G264:$DV264,1,(Einstellungen!$C$3-2026)*24+1))</f>
        <v/>
      </c>
      <c r="E264" s="76">
        <f>N(INDEX(Krankheitstage!$G264:$DV264,1,(Einstellungen!$C$3-2026)*24+2))</f>
        <v/>
      </c>
      <c r="F264" s="76">
        <f>N(INDEX(Krankheitstage!$G264:$DV264,1,(Einstellungen!$C$3-2026)*24+3))</f>
        <v/>
      </c>
      <c r="G264" s="76">
        <f>N(INDEX(Krankheitstage!$G264:$DV264,1,(Einstellungen!$C$3-2026)*24+4))</f>
        <v/>
      </c>
      <c r="H264" s="76">
        <f>N(INDEX(Krankheitstage!$G264:$DV264,1,(Einstellungen!$C$3-2026)*24+5))</f>
        <v/>
      </c>
      <c r="I264" s="76">
        <f>N(INDEX(Krankheitstage!$G264:$DV264,1,(Einstellungen!$C$3-2026)*24+6))</f>
        <v/>
      </c>
      <c r="J264" s="76">
        <f>N(INDEX(Krankheitstage!$G264:$DV264,1,(Einstellungen!$C$3-2026)*24+7))</f>
        <v/>
      </c>
      <c r="K264" s="76">
        <f>N(INDEX(Krankheitstage!$G264:$DV264,1,(Einstellungen!$C$3-2026)*24+8))</f>
        <v/>
      </c>
      <c r="L264" s="76">
        <f>N(INDEX(Krankheitstage!$G264:$DV264,1,(Einstellungen!$C$3-2026)*24+9))</f>
        <v/>
      </c>
      <c r="M264" s="76">
        <f>N(INDEX(Krankheitstage!$G264:$DV264,1,(Einstellungen!$C$3-2026)*24+10))</f>
        <v/>
      </c>
      <c r="N264" s="76">
        <f>N(INDEX(Krankheitstage!$G264:$DV264,1,(Einstellungen!$C$3-2026)*24+11))</f>
        <v/>
      </c>
      <c r="O264" s="76">
        <f>N(INDEX(Krankheitstage!$G264:$DV264,1,(Einstellungen!$C$3-2026)*24+12))</f>
        <v/>
      </c>
      <c r="P264" s="76">
        <f>IF($B264="","",SUM(D264:O264))</f>
        <v/>
      </c>
      <c r="Q264" s="76">
        <f>N(INDEX(Krankheitstage!$G264:$DV264,1,(Einstellungen!$C$3-2026)*24+13))</f>
        <v/>
      </c>
      <c r="R264" s="76">
        <f>N(INDEX(Krankheitstage!$G264:$DV264,1,(Einstellungen!$C$3-2026)*24+14))</f>
        <v/>
      </c>
      <c r="S264" s="76">
        <f>N(INDEX(Krankheitstage!$G264:$DV264,1,(Einstellungen!$C$3-2026)*24+15))</f>
        <v/>
      </c>
      <c r="T264" s="76">
        <f>N(INDEX(Krankheitstage!$G264:$DV264,1,(Einstellungen!$C$3-2026)*24+16))</f>
        <v/>
      </c>
      <c r="U264" s="76">
        <f>N(INDEX(Krankheitstage!$G264:$DV264,1,(Einstellungen!$C$3-2026)*24+17))</f>
        <v/>
      </c>
      <c r="V264" s="76">
        <f>N(INDEX(Krankheitstage!$G264:$DV264,1,(Einstellungen!$C$3-2026)*24+18))</f>
        <v/>
      </c>
      <c r="W264" s="76">
        <f>N(INDEX(Krankheitstage!$G264:$DV264,1,(Einstellungen!$C$3-2026)*24+19))</f>
        <v/>
      </c>
      <c r="X264" s="76">
        <f>N(INDEX(Krankheitstage!$G264:$DV264,1,(Einstellungen!$C$3-2026)*24+20))</f>
        <v/>
      </c>
      <c r="Y264" s="76">
        <f>N(INDEX(Krankheitstage!$G264:$DV264,1,(Einstellungen!$C$3-2026)*24+21))</f>
        <v/>
      </c>
      <c r="Z264" s="76">
        <f>N(INDEX(Krankheitstage!$G264:$DV264,1,(Einstellungen!$C$3-2026)*24+22))</f>
        <v/>
      </c>
      <c r="AA264" s="76">
        <f>N(INDEX(Krankheitstage!$G264:$DV264,1,(Einstellungen!$C$3-2026)*24+23))</f>
        <v/>
      </c>
      <c r="AB264" s="76">
        <f>N(INDEX(Krankheitstage!$G264:$DV264,1,(Einstellungen!$C$3-2026)*24+24))</f>
        <v/>
      </c>
      <c r="AC264" s="76">
        <f>IF($B264="","",SUM(Q264:AB264))</f>
        <v/>
      </c>
      <c r="AD264" s="76">
        <f>IF($B264="","",SUM(P264,AC264))</f>
        <v/>
      </c>
      <c r="AE264" s="77">
        <f>IF($B264="","",AD264*N(C264))</f>
        <v/>
      </c>
      <c r="AF264" s="76">
        <f>IF($B264="","",Krankheitstage!E264)</f>
        <v/>
      </c>
      <c r="AG264" s="77">
        <f>IF($B264="","",AF264*N(C264))</f>
        <v/>
      </c>
    </row>
    <row r="265">
      <c r="A265" s="74">
        <f>IF(Mitarbeiter!B265="","",Mitarbeiter!A265)</f>
        <v/>
      </c>
      <c r="B265" s="6">
        <f>IF(Mitarbeiter!B265="","",Mitarbeiter!B265)</f>
        <v/>
      </c>
      <c r="C265" s="75">
        <f>IF(Mitarbeiter!B265="","",Mitarbeiter!F265)</f>
        <v/>
      </c>
      <c r="D265" s="76">
        <f>N(INDEX(Krankheitstage!$G265:$DV265,1,(Einstellungen!$C$3-2026)*24+1))</f>
        <v/>
      </c>
      <c r="E265" s="76">
        <f>N(INDEX(Krankheitstage!$G265:$DV265,1,(Einstellungen!$C$3-2026)*24+2))</f>
        <v/>
      </c>
      <c r="F265" s="76">
        <f>N(INDEX(Krankheitstage!$G265:$DV265,1,(Einstellungen!$C$3-2026)*24+3))</f>
        <v/>
      </c>
      <c r="G265" s="76">
        <f>N(INDEX(Krankheitstage!$G265:$DV265,1,(Einstellungen!$C$3-2026)*24+4))</f>
        <v/>
      </c>
      <c r="H265" s="76">
        <f>N(INDEX(Krankheitstage!$G265:$DV265,1,(Einstellungen!$C$3-2026)*24+5))</f>
        <v/>
      </c>
      <c r="I265" s="76">
        <f>N(INDEX(Krankheitstage!$G265:$DV265,1,(Einstellungen!$C$3-2026)*24+6))</f>
        <v/>
      </c>
      <c r="J265" s="76">
        <f>N(INDEX(Krankheitstage!$G265:$DV265,1,(Einstellungen!$C$3-2026)*24+7))</f>
        <v/>
      </c>
      <c r="K265" s="76">
        <f>N(INDEX(Krankheitstage!$G265:$DV265,1,(Einstellungen!$C$3-2026)*24+8))</f>
        <v/>
      </c>
      <c r="L265" s="76">
        <f>N(INDEX(Krankheitstage!$G265:$DV265,1,(Einstellungen!$C$3-2026)*24+9))</f>
        <v/>
      </c>
      <c r="M265" s="76">
        <f>N(INDEX(Krankheitstage!$G265:$DV265,1,(Einstellungen!$C$3-2026)*24+10))</f>
        <v/>
      </c>
      <c r="N265" s="76">
        <f>N(INDEX(Krankheitstage!$G265:$DV265,1,(Einstellungen!$C$3-2026)*24+11))</f>
        <v/>
      </c>
      <c r="O265" s="76">
        <f>N(INDEX(Krankheitstage!$G265:$DV265,1,(Einstellungen!$C$3-2026)*24+12))</f>
        <v/>
      </c>
      <c r="P265" s="76">
        <f>IF($B265="","",SUM(D265:O265))</f>
        <v/>
      </c>
      <c r="Q265" s="76">
        <f>N(INDEX(Krankheitstage!$G265:$DV265,1,(Einstellungen!$C$3-2026)*24+13))</f>
        <v/>
      </c>
      <c r="R265" s="76">
        <f>N(INDEX(Krankheitstage!$G265:$DV265,1,(Einstellungen!$C$3-2026)*24+14))</f>
        <v/>
      </c>
      <c r="S265" s="76">
        <f>N(INDEX(Krankheitstage!$G265:$DV265,1,(Einstellungen!$C$3-2026)*24+15))</f>
        <v/>
      </c>
      <c r="T265" s="76">
        <f>N(INDEX(Krankheitstage!$G265:$DV265,1,(Einstellungen!$C$3-2026)*24+16))</f>
        <v/>
      </c>
      <c r="U265" s="76">
        <f>N(INDEX(Krankheitstage!$G265:$DV265,1,(Einstellungen!$C$3-2026)*24+17))</f>
        <v/>
      </c>
      <c r="V265" s="76">
        <f>N(INDEX(Krankheitstage!$G265:$DV265,1,(Einstellungen!$C$3-2026)*24+18))</f>
        <v/>
      </c>
      <c r="W265" s="76">
        <f>N(INDEX(Krankheitstage!$G265:$DV265,1,(Einstellungen!$C$3-2026)*24+19))</f>
        <v/>
      </c>
      <c r="X265" s="76">
        <f>N(INDEX(Krankheitstage!$G265:$DV265,1,(Einstellungen!$C$3-2026)*24+20))</f>
        <v/>
      </c>
      <c r="Y265" s="76">
        <f>N(INDEX(Krankheitstage!$G265:$DV265,1,(Einstellungen!$C$3-2026)*24+21))</f>
        <v/>
      </c>
      <c r="Z265" s="76">
        <f>N(INDEX(Krankheitstage!$G265:$DV265,1,(Einstellungen!$C$3-2026)*24+22))</f>
        <v/>
      </c>
      <c r="AA265" s="76">
        <f>N(INDEX(Krankheitstage!$G265:$DV265,1,(Einstellungen!$C$3-2026)*24+23))</f>
        <v/>
      </c>
      <c r="AB265" s="76">
        <f>N(INDEX(Krankheitstage!$G265:$DV265,1,(Einstellungen!$C$3-2026)*24+24))</f>
        <v/>
      </c>
      <c r="AC265" s="76">
        <f>IF($B265="","",SUM(Q265:AB265))</f>
        <v/>
      </c>
      <c r="AD265" s="76">
        <f>IF($B265="","",SUM(P265,AC265))</f>
        <v/>
      </c>
      <c r="AE265" s="77">
        <f>IF($B265="","",AD265*N(C265))</f>
        <v/>
      </c>
      <c r="AF265" s="76">
        <f>IF($B265="","",Krankheitstage!E265)</f>
        <v/>
      </c>
      <c r="AG265" s="77">
        <f>IF($B265="","",AF265*N(C265))</f>
        <v/>
      </c>
    </row>
    <row r="266">
      <c r="A266" s="74">
        <f>IF(Mitarbeiter!B266="","",Mitarbeiter!A266)</f>
        <v/>
      </c>
      <c r="B266" s="6">
        <f>IF(Mitarbeiter!B266="","",Mitarbeiter!B266)</f>
        <v/>
      </c>
      <c r="C266" s="75">
        <f>IF(Mitarbeiter!B266="","",Mitarbeiter!F266)</f>
        <v/>
      </c>
      <c r="D266" s="76">
        <f>N(INDEX(Krankheitstage!$G266:$DV266,1,(Einstellungen!$C$3-2026)*24+1))</f>
        <v/>
      </c>
      <c r="E266" s="76">
        <f>N(INDEX(Krankheitstage!$G266:$DV266,1,(Einstellungen!$C$3-2026)*24+2))</f>
        <v/>
      </c>
      <c r="F266" s="76">
        <f>N(INDEX(Krankheitstage!$G266:$DV266,1,(Einstellungen!$C$3-2026)*24+3))</f>
        <v/>
      </c>
      <c r="G266" s="76">
        <f>N(INDEX(Krankheitstage!$G266:$DV266,1,(Einstellungen!$C$3-2026)*24+4))</f>
        <v/>
      </c>
      <c r="H266" s="76">
        <f>N(INDEX(Krankheitstage!$G266:$DV266,1,(Einstellungen!$C$3-2026)*24+5))</f>
        <v/>
      </c>
      <c r="I266" s="76">
        <f>N(INDEX(Krankheitstage!$G266:$DV266,1,(Einstellungen!$C$3-2026)*24+6))</f>
        <v/>
      </c>
      <c r="J266" s="76">
        <f>N(INDEX(Krankheitstage!$G266:$DV266,1,(Einstellungen!$C$3-2026)*24+7))</f>
        <v/>
      </c>
      <c r="K266" s="76">
        <f>N(INDEX(Krankheitstage!$G266:$DV266,1,(Einstellungen!$C$3-2026)*24+8))</f>
        <v/>
      </c>
      <c r="L266" s="76">
        <f>N(INDEX(Krankheitstage!$G266:$DV266,1,(Einstellungen!$C$3-2026)*24+9))</f>
        <v/>
      </c>
      <c r="M266" s="76">
        <f>N(INDEX(Krankheitstage!$G266:$DV266,1,(Einstellungen!$C$3-2026)*24+10))</f>
        <v/>
      </c>
      <c r="N266" s="76">
        <f>N(INDEX(Krankheitstage!$G266:$DV266,1,(Einstellungen!$C$3-2026)*24+11))</f>
        <v/>
      </c>
      <c r="O266" s="76">
        <f>N(INDEX(Krankheitstage!$G266:$DV266,1,(Einstellungen!$C$3-2026)*24+12))</f>
        <v/>
      </c>
      <c r="P266" s="76">
        <f>IF($B266="","",SUM(D266:O266))</f>
        <v/>
      </c>
      <c r="Q266" s="76">
        <f>N(INDEX(Krankheitstage!$G266:$DV266,1,(Einstellungen!$C$3-2026)*24+13))</f>
        <v/>
      </c>
      <c r="R266" s="76">
        <f>N(INDEX(Krankheitstage!$G266:$DV266,1,(Einstellungen!$C$3-2026)*24+14))</f>
        <v/>
      </c>
      <c r="S266" s="76">
        <f>N(INDEX(Krankheitstage!$G266:$DV266,1,(Einstellungen!$C$3-2026)*24+15))</f>
        <v/>
      </c>
      <c r="T266" s="76">
        <f>N(INDEX(Krankheitstage!$G266:$DV266,1,(Einstellungen!$C$3-2026)*24+16))</f>
        <v/>
      </c>
      <c r="U266" s="76">
        <f>N(INDEX(Krankheitstage!$G266:$DV266,1,(Einstellungen!$C$3-2026)*24+17))</f>
        <v/>
      </c>
      <c r="V266" s="76">
        <f>N(INDEX(Krankheitstage!$G266:$DV266,1,(Einstellungen!$C$3-2026)*24+18))</f>
        <v/>
      </c>
      <c r="W266" s="76">
        <f>N(INDEX(Krankheitstage!$G266:$DV266,1,(Einstellungen!$C$3-2026)*24+19))</f>
        <v/>
      </c>
      <c r="X266" s="76">
        <f>N(INDEX(Krankheitstage!$G266:$DV266,1,(Einstellungen!$C$3-2026)*24+20))</f>
        <v/>
      </c>
      <c r="Y266" s="76">
        <f>N(INDEX(Krankheitstage!$G266:$DV266,1,(Einstellungen!$C$3-2026)*24+21))</f>
        <v/>
      </c>
      <c r="Z266" s="76">
        <f>N(INDEX(Krankheitstage!$G266:$DV266,1,(Einstellungen!$C$3-2026)*24+22))</f>
        <v/>
      </c>
      <c r="AA266" s="76">
        <f>N(INDEX(Krankheitstage!$G266:$DV266,1,(Einstellungen!$C$3-2026)*24+23))</f>
        <v/>
      </c>
      <c r="AB266" s="76">
        <f>N(INDEX(Krankheitstage!$G266:$DV266,1,(Einstellungen!$C$3-2026)*24+24))</f>
        <v/>
      </c>
      <c r="AC266" s="76">
        <f>IF($B266="","",SUM(Q266:AB266))</f>
        <v/>
      </c>
      <c r="AD266" s="76">
        <f>IF($B266="","",SUM(P266,AC266))</f>
        <v/>
      </c>
      <c r="AE266" s="77">
        <f>IF($B266="","",AD266*N(C266))</f>
        <v/>
      </c>
      <c r="AF266" s="76">
        <f>IF($B266="","",Krankheitstage!E266)</f>
        <v/>
      </c>
      <c r="AG266" s="77">
        <f>IF($B266="","",AF266*N(C266))</f>
        <v/>
      </c>
    </row>
    <row r="267">
      <c r="A267" s="74">
        <f>IF(Mitarbeiter!B267="","",Mitarbeiter!A267)</f>
        <v/>
      </c>
      <c r="B267" s="6">
        <f>IF(Mitarbeiter!B267="","",Mitarbeiter!B267)</f>
        <v/>
      </c>
      <c r="C267" s="75">
        <f>IF(Mitarbeiter!B267="","",Mitarbeiter!F267)</f>
        <v/>
      </c>
      <c r="D267" s="76">
        <f>N(INDEX(Krankheitstage!$G267:$DV267,1,(Einstellungen!$C$3-2026)*24+1))</f>
        <v/>
      </c>
      <c r="E267" s="76">
        <f>N(INDEX(Krankheitstage!$G267:$DV267,1,(Einstellungen!$C$3-2026)*24+2))</f>
        <v/>
      </c>
      <c r="F267" s="76">
        <f>N(INDEX(Krankheitstage!$G267:$DV267,1,(Einstellungen!$C$3-2026)*24+3))</f>
        <v/>
      </c>
      <c r="G267" s="76">
        <f>N(INDEX(Krankheitstage!$G267:$DV267,1,(Einstellungen!$C$3-2026)*24+4))</f>
        <v/>
      </c>
      <c r="H267" s="76">
        <f>N(INDEX(Krankheitstage!$G267:$DV267,1,(Einstellungen!$C$3-2026)*24+5))</f>
        <v/>
      </c>
      <c r="I267" s="76">
        <f>N(INDEX(Krankheitstage!$G267:$DV267,1,(Einstellungen!$C$3-2026)*24+6))</f>
        <v/>
      </c>
      <c r="J267" s="76">
        <f>N(INDEX(Krankheitstage!$G267:$DV267,1,(Einstellungen!$C$3-2026)*24+7))</f>
        <v/>
      </c>
      <c r="K267" s="76">
        <f>N(INDEX(Krankheitstage!$G267:$DV267,1,(Einstellungen!$C$3-2026)*24+8))</f>
        <v/>
      </c>
      <c r="L267" s="76">
        <f>N(INDEX(Krankheitstage!$G267:$DV267,1,(Einstellungen!$C$3-2026)*24+9))</f>
        <v/>
      </c>
      <c r="M267" s="76">
        <f>N(INDEX(Krankheitstage!$G267:$DV267,1,(Einstellungen!$C$3-2026)*24+10))</f>
        <v/>
      </c>
      <c r="N267" s="76">
        <f>N(INDEX(Krankheitstage!$G267:$DV267,1,(Einstellungen!$C$3-2026)*24+11))</f>
        <v/>
      </c>
      <c r="O267" s="76">
        <f>N(INDEX(Krankheitstage!$G267:$DV267,1,(Einstellungen!$C$3-2026)*24+12))</f>
        <v/>
      </c>
      <c r="P267" s="76">
        <f>IF($B267="","",SUM(D267:O267))</f>
        <v/>
      </c>
      <c r="Q267" s="76">
        <f>N(INDEX(Krankheitstage!$G267:$DV267,1,(Einstellungen!$C$3-2026)*24+13))</f>
        <v/>
      </c>
      <c r="R267" s="76">
        <f>N(INDEX(Krankheitstage!$G267:$DV267,1,(Einstellungen!$C$3-2026)*24+14))</f>
        <v/>
      </c>
      <c r="S267" s="76">
        <f>N(INDEX(Krankheitstage!$G267:$DV267,1,(Einstellungen!$C$3-2026)*24+15))</f>
        <v/>
      </c>
      <c r="T267" s="76">
        <f>N(INDEX(Krankheitstage!$G267:$DV267,1,(Einstellungen!$C$3-2026)*24+16))</f>
        <v/>
      </c>
      <c r="U267" s="76">
        <f>N(INDEX(Krankheitstage!$G267:$DV267,1,(Einstellungen!$C$3-2026)*24+17))</f>
        <v/>
      </c>
      <c r="V267" s="76">
        <f>N(INDEX(Krankheitstage!$G267:$DV267,1,(Einstellungen!$C$3-2026)*24+18))</f>
        <v/>
      </c>
      <c r="W267" s="76">
        <f>N(INDEX(Krankheitstage!$G267:$DV267,1,(Einstellungen!$C$3-2026)*24+19))</f>
        <v/>
      </c>
      <c r="X267" s="76">
        <f>N(INDEX(Krankheitstage!$G267:$DV267,1,(Einstellungen!$C$3-2026)*24+20))</f>
        <v/>
      </c>
      <c r="Y267" s="76">
        <f>N(INDEX(Krankheitstage!$G267:$DV267,1,(Einstellungen!$C$3-2026)*24+21))</f>
        <v/>
      </c>
      <c r="Z267" s="76">
        <f>N(INDEX(Krankheitstage!$G267:$DV267,1,(Einstellungen!$C$3-2026)*24+22))</f>
        <v/>
      </c>
      <c r="AA267" s="76">
        <f>N(INDEX(Krankheitstage!$G267:$DV267,1,(Einstellungen!$C$3-2026)*24+23))</f>
        <v/>
      </c>
      <c r="AB267" s="76">
        <f>N(INDEX(Krankheitstage!$G267:$DV267,1,(Einstellungen!$C$3-2026)*24+24))</f>
        <v/>
      </c>
      <c r="AC267" s="76">
        <f>IF($B267="","",SUM(Q267:AB267))</f>
        <v/>
      </c>
      <c r="AD267" s="76">
        <f>IF($B267="","",SUM(P267,AC267))</f>
        <v/>
      </c>
      <c r="AE267" s="77">
        <f>IF($B267="","",AD267*N(C267))</f>
        <v/>
      </c>
      <c r="AF267" s="76">
        <f>IF($B267="","",Krankheitstage!E267)</f>
        <v/>
      </c>
      <c r="AG267" s="77">
        <f>IF($B267="","",AF267*N(C267))</f>
        <v/>
      </c>
    </row>
    <row r="268">
      <c r="A268" s="74">
        <f>IF(Mitarbeiter!B268="","",Mitarbeiter!A268)</f>
        <v/>
      </c>
      <c r="B268" s="6">
        <f>IF(Mitarbeiter!B268="","",Mitarbeiter!B268)</f>
        <v/>
      </c>
      <c r="C268" s="75">
        <f>IF(Mitarbeiter!B268="","",Mitarbeiter!F268)</f>
        <v/>
      </c>
      <c r="D268" s="76">
        <f>N(INDEX(Krankheitstage!$G268:$DV268,1,(Einstellungen!$C$3-2026)*24+1))</f>
        <v/>
      </c>
      <c r="E268" s="76">
        <f>N(INDEX(Krankheitstage!$G268:$DV268,1,(Einstellungen!$C$3-2026)*24+2))</f>
        <v/>
      </c>
      <c r="F268" s="76">
        <f>N(INDEX(Krankheitstage!$G268:$DV268,1,(Einstellungen!$C$3-2026)*24+3))</f>
        <v/>
      </c>
      <c r="G268" s="76">
        <f>N(INDEX(Krankheitstage!$G268:$DV268,1,(Einstellungen!$C$3-2026)*24+4))</f>
        <v/>
      </c>
      <c r="H268" s="76">
        <f>N(INDEX(Krankheitstage!$G268:$DV268,1,(Einstellungen!$C$3-2026)*24+5))</f>
        <v/>
      </c>
      <c r="I268" s="76">
        <f>N(INDEX(Krankheitstage!$G268:$DV268,1,(Einstellungen!$C$3-2026)*24+6))</f>
        <v/>
      </c>
      <c r="J268" s="76">
        <f>N(INDEX(Krankheitstage!$G268:$DV268,1,(Einstellungen!$C$3-2026)*24+7))</f>
        <v/>
      </c>
      <c r="K268" s="76">
        <f>N(INDEX(Krankheitstage!$G268:$DV268,1,(Einstellungen!$C$3-2026)*24+8))</f>
        <v/>
      </c>
      <c r="L268" s="76">
        <f>N(INDEX(Krankheitstage!$G268:$DV268,1,(Einstellungen!$C$3-2026)*24+9))</f>
        <v/>
      </c>
      <c r="M268" s="76">
        <f>N(INDEX(Krankheitstage!$G268:$DV268,1,(Einstellungen!$C$3-2026)*24+10))</f>
        <v/>
      </c>
      <c r="N268" s="76">
        <f>N(INDEX(Krankheitstage!$G268:$DV268,1,(Einstellungen!$C$3-2026)*24+11))</f>
        <v/>
      </c>
      <c r="O268" s="76">
        <f>N(INDEX(Krankheitstage!$G268:$DV268,1,(Einstellungen!$C$3-2026)*24+12))</f>
        <v/>
      </c>
      <c r="P268" s="76">
        <f>IF($B268="","",SUM(D268:O268))</f>
        <v/>
      </c>
      <c r="Q268" s="76">
        <f>N(INDEX(Krankheitstage!$G268:$DV268,1,(Einstellungen!$C$3-2026)*24+13))</f>
        <v/>
      </c>
      <c r="R268" s="76">
        <f>N(INDEX(Krankheitstage!$G268:$DV268,1,(Einstellungen!$C$3-2026)*24+14))</f>
        <v/>
      </c>
      <c r="S268" s="76">
        <f>N(INDEX(Krankheitstage!$G268:$DV268,1,(Einstellungen!$C$3-2026)*24+15))</f>
        <v/>
      </c>
      <c r="T268" s="76">
        <f>N(INDEX(Krankheitstage!$G268:$DV268,1,(Einstellungen!$C$3-2026)*24+16))</f>
        <v/>
      </c>
      <c r="U268" s="76">
        <f>N(INDEX(Krankheitstage!$G268:$DV268,1,(Einstellungen!$C$3-2026)*24+17))</f>
        <v/>
      </c>
      <c r="V268" s="76">
        <f>N(INDEX(Krankheitstage!$G268:$DV268,1,(Einstellungen!$C$3-2026)*24+18))</f>
        <v/>
      </c>
      <c r="W268" s="76">
        <f>N(INDEX(Krankheitstage!$G268:$DV268,1,(Einstellungen!$C$3-2026)*24+19))</f>
        <v/>
      </c>
      <c r="X268" s="76">
        <f>N(INDEX(Krankheitstage!$G268:$DV268,1,(Einstellungen!$C$3-2026)*24+20))</f>
        <v/>
      </c>
      <c r="Y268" s="76">
        <f>N(INDEX(Krankheitstage!$G268:$DV268,1,(Einstellungen!$C$3-2026)*24+21))</f>
        <v/>
      </c>
      <c r="Z268" s="76">
        <f>N(INDEX(Krankheitstage!$G268:$DV268,1,(Einstellungen!$C$3-2026)*24+22))</f>
        <v/>
      </c>
      <c r="AA268" s="76">
        <f>N(INDEX(Krankheitstage!$G268:$DV268,1,(Einstellungen!$C$3-2026)*24+23))</f>
        <v/>
      </c>
      <c r="AB268" s="76">
        <f>N(INDEX(Krankheitstage!$G268:$DV268,1,(Einstellungen!$C$3-2026)*24+24))</f>
        <v/>
      </c>
      <c r="AC268" s="76">
        <f>IF($B268="","",SUM(Q268:AB268))</f>
        <v/>
      </c>
      <c r="AD268" s="76">
        <f>IF($B268="","",SUM(P268,AC268))</f>
        <v/>
      </c>
      <c r="AE268" s="77">
        <f>IF($B268="","",AD268*N(C268))</f>
        <v/>
      </c>
      <c r="AF268" s="76">
        <f>IF($B268="","",Krankheitstage!E268)</f>
        <v/>
      </c>
      <c r="AG268" s="77">
        <f>IF($B268="","",AF268*N(C268))</f>
        <v/>
      </c>
    </row>
    <row r="269">
      <c r="A269" s="74">
        <f>IF(Mitarbeiter!B269="","",Mitarbeiter!A269)</f>
        <v/>
      </c>
      <c r="B269" s="6">
        <f>IF(Mitarbeiter!B269="","",Mitarbeiter!B269)</f>
        <v/>
      </c>
      <c r="C269" s="75">
        <f>IF(Mitarbeiter!B269="","",Mitarbeiter!F269)</f>
        <v/>
      </c>
      <c r="D269" s="76">
        <f>N(INDEX(Krankheitstage!$G269:$DV269,1,(Einstellungen!$C$3-2026)*24+1))</f>
        <v/>
      </c>
      <c r="E269" s="76">
        <f>N(INDEX(Krankheitstage!$G269:$DV269,1,(Einstellungen!$C$3-2026)*24+2))</f>
        <v/>
      </c>
      <c r="F269" s="76">
        <f>N(INDEX(Krankheitstage!$G269:$DV269,1,(Einstellungen!$C$3-2026)*24+3))</f>
        <v/>
      </c>
      <c r="G269" s="76">
        <f>N(INDEX(Krankheitstage!$G269:$DV269,1,(Einstellungen!$C$3-2026)*24+4))</f>
        <v/>
      </c>
      <c r="H269" s="76">
        <f>N(INDEX(Krankheitstage!$G269:$DV269,1,(Einstellungen!$C$3-2026)*24+5))</f>
        <v/>
      </c>
      <c r="I269" s="76">
        <f>N(INDEX(Krankheitstage!$G269:$DV269,1,(Einstellungen!$C$3-2026)*24+6))</f>
        <v/>
      </c>
      <c r="J269" s="76">
        <f>N(INDEX(Krankheitstage!$G269:$DV269,1,(Einstellungen!$C$3-2026)*24+7))</f>
        <v/>
      </c>
      <c r="K269" s="76">
        <f>N(INDEX(Krankheitstage!$G269:$DV269,1,(Einstellungen!$C$3-2026)*24+8))</f>
        <v/>
      </c>
      <c r="L269" s="76">
        <f>N(INDEX(Krankheitstage!$G269:$DV269,1,(Einstellungen!$C$3-2026)*24+9))</f>
        <v/>
      </c>
      <c r="M269" s="76">
        <f>N(INDEX(Krankheitstage!$G269:$DV269,1,(Einstellungen!$C$3-2026)*24+10))</f>
        <v/>
      </c>
      <c r="N269" s="76">
        <f>N(INDEX(Krankheitstage!$G269:$DV269,1,(Einstellungen!$C$3-2026)*24+11))</f>
        <v/>
      </c>
      <c r="O269" s="76">
        <f>N(INDEX(Krankheitstage!$G269:$DV269,1,(Einstellungen!$C$3-2026)*24+12))</f>
        <v/>
      </c>
      <c r="P269" s="76">
        <f>IF($B269="","",SUM(D269:O269))</f>
        <v/>
      </c>
      <c r="Q269" s="76">
        <f>N(INDEX(Krankheitstage!$G269:$DV269,1,(Einstellungen!$C$3-2026)*24+13))</f>
        <v/>
      </c>
      <c r="R269" s="76">
        <f>N(INDEX(Krankheitstage!$G269:$DV269,1,(Einstellungen!$C$3-2026)*24+14))</f>
        <v/>
      </c>
      <c r="S269" s="76">
        <f>N(INDEX(Krankheitstage!$G269:$DV269,1,(Einstellungen!$C$3-2026)*24+15))</f>
        <v/>
      </c>
      <c r="T269" s="76">
        <f>N(INDEX(Krankheitstage!$G269:$DV269,1,(Einstellungen!$C$3-2026)*24+16))</f>
        <v/>
      </c>
      <c r="U269" s="76">
        <f>N(INDEX(Krankheitstage!$G269:$DV269,1,(Einstellungen!$C$3-2026)*24+17))</f>
        <v/>
      </c>
      <c r="V269" s="76">
        <f>N(INDEX(Krankheitstage!$G269:$DV269,1,(Einstellungen!$C$3-2026)*24+18))</f>
        <v/>
      </c>
      <c r="W269" s="76">
        <f>N(INDEX(Krankheitstage!$G269:$DV269,1,(Einstellungen!$C$3-2026)*24+19))</f>
        <v/>
      </c>
      <c r="X269" s="76">
        <f>N(INDEX(Krankheitstage!$G269:$DV269,1,(Einstellungen!$C$3-2026)*24+20))</f>
        <v/>
      </c>
      <c r="Y269" s="76">
        <f>N(INDEX(Krankheitstage!$G269:$DV269,1,(Einstellungen!$C$3-2026)*24+21))</f>
        <v/>
      </c>
      <c r="Z269" s="76">
        <f>N(INDEX(Krankheitstage!$G269:$DV269,1,(Einstellungen!$C$3-2026)*24+22))</f>
        <v/>
      </c>
      <c r="AA269" s="76">
        <f>N(INDEX(Krankheitstage!$G269:$DV269,1,(Einstellungen!$C$3-2026)*24+23))</f>
        <v/>
      </c>
      <c r="AB269" s="76">
        <f>N(INDEX(Krankheitstage!$G269:$DV269,1,(Einstellungen!$C$3-2026)*24+24))</f>
        <v/>
      </c>
      <c r="AC269" s="76">
        <f>IF($B269="","",SUM(Q269:AB269))</f>
        <v/>
      </c>
      <c r="AD269" s="76">
        <f>IF($B269="","",SUM(P269,AC269))</f>
        <v/>
      </c>
      <c r="AE269" s="77">
        <f>IF($B269="","",AD269*N(C269))</f>
        <v/>
      </c>
      <c r="AF269" s="76">
        <f>IF($B269="","",Krankheitstage!E269)</f>
        <v/>
      </c>
      <c r="AG269" s="77">
        <f>IF($B269="","",AF269*N(C269))</f>
        <v/>
      </c>
    </row>
    <row r="270">
      <c r="A270" s="74">
        <f>IF(Mitarbeiter!B270="","",Mitarbeiter!A270)</f>
        <v/>
      </c>
      <c r="B270" s="6">
        <f>IF(Mitarbeiter!B270="","",Mitarbeiter!B270)</f>
        <v/>
      </c>
      <c r="C270" s="75">
        <f>IF(Mitarbeiter!B270="","",Mitarbeiter!F270)</f>
        <v/>
      </c>
      <c r="D270" s="76">
        <f>N(INDEX(Krankheitstage!$G270:$DV270,1,(Einstellungen!$C$3-2026)*24+1))</f>
        <v/>
      </c>
      <c r="E270" s="76">
        <f>N(INDEX(Krankheitstage!$G270:$DV270,1,(Einstellungen!$C$3-2026)*24+2))</f>
        <v/>
      </c>
      <c r="F270" s="76">
        <f>N(INDEX(Krankheitstage!$G270:$DV270,1,(Einstellungen!$C$3-2026)*24+3))</f>
        <v/>
      </c>
      <c r="G270" s="76">
        <f>N(INDEX(Krankheitstage!$G270:$DV270,1,(Einstellungen!$C$3-2026)*24+4))</f>
        <v/>
      </c>
      <c r="H270" s="76">
        <f>N(INDEX(Krankheitstage!$G270:$DV270,1,(Einstellungen!$C$3-2026)*24+5))</f>
        <v/>
      </c>
      <c r="I270" s="76">
        <f>N(INDEX(Krankheitstage!$G270:$DV270,1,(Einstellungen!$C$3-2026)*24+6))</f>
        <v/>
      </c>
      <c r="J270" s="76">
        <f>N(INDEX(Krankheitstage!$G270:$DV270,1,(Einstellungen!$C$3-2026)*24+7))</f>
        <v/>
      </c>
      <c r="K270" s="76">
        <f>N(INDEX(Krankheitstage!$G270:$DV270,1,(Einstellungen!$C$3-2026)*24+8))</f>
        <v/>
      </c>
      <c r="L270" s="76">
        <f>N(INDEX(Krankheitstage!$G270:$DV270,1,(Einstellungen!$C$3-2026)*24+9))</f>
        <v/>
      </c>
      <c r="M270" s="76">
        <f>N(INDEX(Krankheitstage!$G270:$DV270,1,(Einstellungen!$C$3-2026)*24+10))</f>
        <v/>
      </c>
      <c r="N270" s="76">
        <f>N(INDEX(Krankheitstage!$G270:$DV270,1,(Einstellungen!$C$3-2026)*24+11))</f>
        <v/>
      </c>
      <c r="O270" s="76">
        <f>N(INDEX(Krankheitstage!$G270:$DV270,1,(Einstellungen!$C$3-2026)*24+12))</f>
        <v/>
      </c>
      <c r="P270" s="76">
        <f>IF($B270="","",SUM(D270:O270))</f>
        <v/>
      </c>
      <c r="Q270" s="76">
        <f>N(INDEX(Krankheitstage!$G270:$DV270,1,(Einstellungen!$C$3-2026)*24+13))</f>
        <v/>
      </c>
      <c r="R270" s="76">
        <f>N(INDEX(Krankheitstage!$G270:$DV270,1,(Einstellungen!$C$3-2026)*24+14))</f>
        <v/>
      </c>
      <c r="S270" s="76">
        <f>N(INDEX(Krankheitstage!$G270:$DV270,1,(Einstellungen!$C$3-2026)*24+15))</f>
        <v/>
      </c>
      <c r="T270" s="76">
        <f>N(INDEX(Krankheitstage!$G270:$DV270,1,(Einstellungen!$C$3-2026)*24+16))</f>
        <v/>
      </c>
      <c r="U270" s="76">
        <f>N(INDEX(Krankheitstage!$G270:$DV270,1,(Einstellungen!$C$3-2026)*24+17))</f>
        <v/>
      </c>
      <c r="V270" s="76">
        <f>N(INDEX(Krankheitstage!$G270:$DV270,1,(Einstellungen!$C$3-2026)*24+18))</f>
        <v/>
      </c>
      <c r="W270" s="76">
        <f>N(INDEX(Krankheitstage!$G270:$DV270,1,(Einstellungen!$C$3-2026)*24+19))</f>
        <v/>
      </c>
      <c r="X270" s="76">
        <f>N(INDEX(Krankheitstage!$G270:$DV270,1,(Einstellungen!$C$3-2026)*24+20))</f>
        <v/>
      </c>
      <c r="Y270" s="76">
        <f>N(INDEX(Krankheitstage!$G270:$DV270,1,(Einstellungen!$C$3-2026)*24+21))</f>
        <v/>
      </c>
      <c r="Z270" s="76">
        <f>N(INDEX(Krankheitstage!$G270:$DV270,1,(Einstellungen!$C$3-2026)*24+22))</f>
        <v/>
      </c>
      <c r="AA270" s="76">
        <f>N(INDEX(Krankheitstage!$G270:$DV270,1,(Einstellungen!$C$3-2026)*24+23))</f>
        <v/>
      </c>
      <c r="AB270" s="76">
        <f>N(INDEX(Krankheitstage!$G270:$DV270,1,(Einstellungen!$C$3-2026)*24+24))</f>
        <v/>
      </c>
      <c r="AC270" s="76">
        <f>IF($B270="","",SUM(Q270:AB270))</f>
        <v/>
      </c>
      <c r="AD270" s="76">
        <f>IF($B270="","",SUM(P270,AC270))</f>
        <v/>
      </c>
      <c r="AE270" s="77">
        <f>IF($B270="","",AD270*N(C270))</f>
        <v/>
      </c>
      <c r="AF270" s="76">
        <f>IF($B270="","",Krankheitstage!E270)</f>
        <v/>
      </c>
      <c r="AG270" s="77">
        <f>IF($B270="","",AF270*N(C270))</f>
        <v/>
      </c>
    </row>
    <row r="271">
      <c r="A271" s="74">
        <f>IF(Mitarbeiter!B271="","",Mitarbeiter!A271)</f>
        <v/>
      </c>
      <c r="B271" s="6">
        <f>IF(Mitarbeiter!B271="","",Mitarbeiter!B271)</f>
        <v/>
      </c>
      <c r="C271" s="75">
        <f>IF(Mitarbeiter!B271="","",Mitarbeiter!F271)</f>
        <v/>
      </c>
      <c r="D271" s="76">
        <f>N(INDEX(Krankheitstage!$G271:$DV271,1,(Einstellungen!$C$3-2026)*24+1))</f>
        <v/>
      </c>
      <c r="E271" s="76">
        <f>N(INDEX(Krankheitstage!$G271:$DV271,1,(Einstellungen!$C$3-2026)*24+2))</f>
        <v/>
      </c>
      <c r="F271" s="76">
        <f>N(INDEX(Krankheitstage!$G271:$DV271,1,(Einstellungen!$C$3-2026)*24+3))</f>
        <v/>
      </c>
      <c r="G271" s="76">
        <f>N(INDEX(Krankheitstage!$G271:$DV271,1,(Einstellungen!$C$3-2026)*24+4))</f>
        <v/>
      </c>
      <c r="H271" s="76">
        <f>N(INDEX(Krankheitstage!$G271:$DV271,1,(Einstellungen!$C$3-2026)*24+5))</f>
        <v/>
      </c>
      <c r="I271" s="76">
        <f>N(INDEX(Krankheitstage!$G271:$DV271,1,(Einstellungen!$C$3-2026)*24+6))</f>
        <v/>
      </c>
      <c r="J271" s="76">
        <f>N(INDEX(Krankheitstage!$G271:$DV271,1,(Einstellungen!$C$3-2026)*24+7))</f>
        <v/>
      </c>
      <c r="K271" s="76">
        <f>N(INDEX(Krankheitstage!$G271:$DV271,1,(Einstellungen!$C$3-2026)*24+8))</f>
        <v/>
      </c>
      <c r="L271" s="76">
        <f>N(INDEX(Krankheitstage!$G271:$DV271,1,(Einstellungen!$C$3-2026)*24+9))</f>
        <v/>
      </c>
      <c r="M271" s="76">
        <f>N(INDEX(Krankheitstage!$G271:$DV271,1,(Einstellungen!$C$3-2026)*24+10))</f>
        <v/>
      </c>
      <c r="N271" s="76">
        <f>N(INDEX(Krankheitstage!$G271:$DV271,1,(Einstellungen!$C$3-2026)*24+11))</f>
        <v/>
      </c>
      <c r="O271" s="76">
        <f>N(INDEX(Krankheitstage!$G271:$DV271,1,(Einstellungen!$C$3-2026)*24+12))</f>
        <v/>
      </c>
      <c r="P271" s="76">
        <f>IF($B271="","",SUM(D271:O271))</f>
        <v/>
      </c>
      <c r="Q271" s="76">
        <f>N(INDEX(Krankheitstage!$G271:$DV271,1,(Einstellungen!$C$3-2026)*24+13))</f>
        <v/>
      </c>
      <c r="R271" s="76">
        <f>N(INDEX(Krankheitstage!$G271:$DV271,1,(Einstellungen!$C$3-2026)*24+14))</f>
        <v/>
      </c>
      <c r="S271" s="76">
        <f>N(INDEX(Krankheitstage!$G271:$DV271,1,(Einstellungen!$C$3-2026)*24+15))</f>
        <v/>
      </c>
      <c r="T271" s="76">
        <f>N(INDEX(Krankheitstage!$G271:$DV271,1,(Einstellungen!$C$3-2026)*24+16))</f>
        <v/>
      </c>
      <c r="U271" s="76">
        <f>N(INDEX(Krankheitstage!$G271:$DV271,1,(Einstellungen!$C$3-2026)*24+17))</f>
        <v/>
      </c>
      <c r="V271" s="76">
        <f>N(INDEX(Krankheitstage!$G271:$DV271,1,(Einstellungen!$C$3-2026)*24+18))</f>
        <v/>
      </c>
      <c r="W271" s="76">
        <f>N(INDEX(Krankheitstage!$G271:$DV271,1,(Einstellungen!$C$3-2026)*24+19))</f>
        <v/>
      </c>
      <c r="X271" s="76">
        <f>N(INDEX(Krankheitstage!$G271:$DV271,1,(Einstellungen!$C$3-2026)*24+20))</f>
        <v/>
      </c>
      <c r="Y271" s="76">
        <f>N(INDEX(Krankheitstage!$G271:$DV271,1,(Einstellungen!$C$3-2026)*24+21))</f>
        <v/>
      </c>
      <c r="Z271" s="76">
        <f>N(INDEX(Krankheitstage!$G271:$DV271,1,(Einstellungen!$C$3-2026)*24+22))</f>
        <v/>
      </c>
      <c r="AA271" s="76">
        <f>N(INDEX(Krankheitstage!$G271:$DV271,1,(Einstellungen!$C$3-2026)*24+23))</f>
        <v/>
      </c>
      <c r="AB271" s="76">
        <f>N(INDEX(Krankheitstage!$G271:$DV271,1,(Einstellungen!$C$3-2026)*24+24))</f>
        <v/>
      </c>
      <c r="AC271" s="76">
        <f>IF($B271="","",SUM(Q271:AB271))</f>
        <v/>
      </c>
      <c r="AD271" s="76">
        <f>IF($B271="","",SUM(P271,AC271))</f>
        <v/>
      </c>
      <c r="AE271" s="77">
        <f>IF($B271="","",AD271*N(C271))</f>
        <v/>
      </c>
      <c r="AF271" s="76">
        <f>IF($B271="","",Krankheitstage!E271)</f>
        <v/>
      </c>
      <c r="AG271" s="77">
        <f>IF($B271="","",AF271*N(C271))</f>
        <v/>
      </c>
    </row>
    <row r="272">
      <c r="A272" s="74">
        <f>IF(Mitarbeiter!B272="","",Mitarbeiter!A272)</f>
        <v/>
      </c>
      <c r="B272" s="6">
        <f>IF(Mitarbeiter!B272="","",Mitarbeiter!B272)</f>
        <v/>
      </c>
      <c r="C272" s="75">
        <f>IF(Mitarbeiter!B272="","",Mitarbeiter!F272)</f>
        <v/>
      </c>
      <c r="D272" s="76">
        <f>N(INDEX(Krankheitstage!$G272:$DV272,1,(Einstellungen!$C$3-2026)*24+1))</f>
        <v/>
      </c>
      <c r="E272" s="76">
        <f>N(INDEX(Krankheitstage!$G272:$DV272,1,(Einstellungen!$C$3-2026)*24+2))</f>
        <v/>
      </c>
      <c r="F272" s="76">
        <f>N(INDEX(Krankheitstage!$G272:$DV272,1,(Einstellungen!$C$3-2026)*24+3))</f>
        <v/>
      </c>
      <c r="G272" s="76">
        <f>N(INDEX(Krankheitstage!$G272:$DV272,1,(Einstellungen!$C$3-2026)*24+4))</f>
        <v/>
      </c>
      <c r="H272" s="76">
        <f>N(INDEX(Krankheitstage!$G272:$DV272,1,(Einstellungen!$C$3-2026)*24+5))</f>
        <v/>
      </c>
      <c r="I272" s="76">
        <f>N(INDEX(Krankheitstage!$G272:$DV272,1,(Einstellungen!$C$3-2026)*24+6))</f>
        <v/>
      </c>
      <c r="J272" s="76">
        <f>N(INDEX(Krankheitstage!$G272:$DV272,1,(Einstellungen!$C$3-2026)*24+7))</f>
        <v/>
      </c>
      <c r="K272" s="76">
        <f>N(INDEX(Krankheitstage!$G272:$DV272,1,(Einstellungen!$C$3-2026)*24+8))</f>
        <v/>
      </c>
      <c r="L272" s="76">
        <f>N(INDEX(Krankheitstage!$G272:$DV272,1,(Einstellungen!$C$3-2026)*24+9))</f>
        <v/>
      </c>
      <c r="M272" s="76">
        <f>N(INDEX(Krankheitstage!$G272:$DV272,1,(Einstellungen!$C$3-2026)*24+10))</f>
        <v/>
      </c>
      <c r="N272" s="76">
        <f>N(INDEX(Krankheitstage!$G272:$DV272,1,(Einstellungen!$C$3-2026)*24+11))</f>
        <v/>
      </c>
      <c r="O272" s="76">
        <f>N(INDEX(Krankheitstage!$G272:$DV272,1,(Einstellungen!$C$3-2026)*24+12))</f>
        <v/>
      </c>
      <c r="P272" s="76">
        <f>IF($B272="","",SUM(D272:O272))</f>
        <v/>
      </c>
      <c r="Q272" s="76">
        <f>N(INDEX(Krankheitstage!$G272:$DV272,1,(Einstellungen!$C$3-2026)*24+13))</f>
        <v/>
      </c>
      <c r="R272" s="76">
        <f>N(INDEX(Krankheitstage!$G272:$DV272,1,(Einstellungen!$C$3-2026)*24+14))</f>
        <v/>
      </c>
      <c r="S272" s="76">
        <f>N(INDEX(Krankheitstage!$G272:$DV272,1,(Einstellungen!$C$3-2026)*24+15))</f>
        <v/>
      </c>
      <c r="T272" s="76">
        <f>N(INDEX(Krankheitstage!$G272:$DV272,1,(Einstellungen!$C$3-2026)*24+16))</f>
        <v/>
      </c>
      <c r="U272" s="76">
        <f>N(INDEX(Krankheitstage!$G272:$DV272,1,(Einstellungen!$C$3-2026)*24+17))</f>
        <v/>
      </c>
      <c r="V272" s="76">
        <f>N(INDEX(Krankheitstage!$G272:$DV272,1,(Einstellungen!$C$3-2026)*24+18))</f>
        <v/>
      </c>
      <c r="W272" s="76">
        <f>N(INDEX(Krankheitstage!$G272:$DV272,1,(Einstellungen!$C$3-2026)*24+19))</f>
        <v/>
      </c>
      <c r="X272" s="76">
        <f>N(INDEX(Krankheitstage!$G272:$DV272,1,(Einstellungen!$C$3-2026)*24+20))</f>
        <v/>
      </c>
      <c r="Y272" s="76">
        <f>N(INDEX(Krankheitstage!$G272:$DV272,1,(Einstellungen!$C$3-2026)*24+21))</f>
        <v/>
      </c>
      <c r="Z272" s="76">
        <f>N(INDEX(Krankheitstage!$G272:$DV272,1,(Einstellungen!$C$3-2026)*24+22))</f>
        <v/>
      </c>
      <c r="AA272" s="76">
        <f>N(INDEX(Krankheitstage!$G272:$DV272,1,(Einstellungen!$C$3-2026)*24+23))</f>
        <v/>
      </c>
      <c r="AB272" s="76">
        <f>N(INDEX(Krankheitstage!$G272:$DV272,1,(Einstellungen!$C$3-2026)*24+24))</f>
        <v/>
      </c>
      <c r="AC272" s="76">
        <f>IF($B272="","",SUM(Q272:AB272))</f>
        <v/>
      </c>
      <c r="AD272" s="76">
        <f>IF($B272="","",SUM(P272,AC272))</f>
        <v/>
      </c>
      <c r="AE272" s="77">
        <f>IF($B272="","",AD272*N(C272))</f>
        <v/>
      </c>
      <c r="AF272" s="76">
        <f>IF($B272="","",Krankheitstage!E272)</f>
        <v/>
      </c>
      <c r="AG272" s="77">
        <f>IF($B272="","",AF272*N(C272))</f>
        <v/>
      </c>
    </row>
    <row r="273">
      <c r="A273" s="74">
        <f>IF(Mitarbeiter!B273="","",Mitarbeiter!A273)</f>
        <v/>
      </c>
      <c r="B273" s="6">
        <f>IF(Mitarbeiter!B273="","",Mitarbeiter!B273)</f>
        <v/>
      </c>
      <c r="C273" s="75">
        <f>IF(Mitarbeiter!B273="","",Mitarbeiter!F273)</f>
        <v/>
      </c>
      <c r="D273" s="76">
        <f>N(INDEX(Krankheitstage!$G273:$DV273,1,(Einstellungen!$C$3-2026)*24+1))</f>
        <v/>
      </c>
      <c r="E273" s="76">
        <f>N(INDEX(Krankheitstage!$G273:$DV273,1,(Einstellungen!$C$3-2026)*24+2))</f>
        <v/>
      </c>
      <c r="F273" s="76">
        <f>N(INDEX(Krankheitstage!$G273:$DV273,1,(Einstellungen!$C$3-2026)*24+3))</f>
        <v/>
      </c>
      <c r="G273" s="76">
        <f>N(INDEX(Krankheitstage!$G273:$DV273,1,(Einstellungen!$C$3-2026)*24+4))</f>
        <v/>
      </c>
      <c r="H273" s="76">
        <f>N(INDEX(Krankheitstage!$G273:$DV273,1,(Einstellungen!$C$3-2026)*24+5))</f>
        <v/>
      </c>
      <c r="I273" s="76">
        <f>N(INDEX(Krankheitstage!$G273:$DV273,1,(Einstellungen!$C$3-2026)*24+6))</f>
        <v/>
      </c>
      <c r="J273" s="76">
        <f>N(INDEX(Krankheitstage!$G273:$DV273,1,(Einstellungen!$C$3-2026)*24+7))</f>
        <v/>
      </c>
      <c r="K273" s="76">
        <f>N(INDEX(Krankheitstage!$G273:$DV273,1,(Einstellungen!$C$3-2026)*24+8))</f>
        <v/>
      </c>
      <c r="L273" s="76">
        <f>N(INDEX(Krankheitstage!$G273:$DV273,1,(Einstellungen!$C$3-2026)*24+9))</f>
        <v/>
      </c>
      <c r="M273" s="76">
        <f>N(INDEX(Krankheitstage!$G273:$DV273,1,(Einstellungen!$C$3-2026)*24+10))</f>
        <v/>
      </c>
      <c r="N273" s="76">
        <f>N(INDEX(Krankheitstage!$G273:$DV273,1,(Einstellungen!$C$3-2026)*24+11))</f>
        <v/>
      </c>
      <c r="O273" s="76">
        <f>N(INDEX(Krankheitstage!$G273:$DV273,1,(Einstellungen!$C$3-2026)*24+12))</f>
        <v/>
      </c>
      <c r="P273" s="76">
        <f>IF($B273="","",SUM(D273:O273))</f>
        <v/>
      </c>
      <c r="Q273" s="76">
        <f>N(INDEX(Krankheitstage!$G273:$DV273,1,(Einstellungen!$C$3-2026)*24+13))</f>
        <v/>
      </c>
      <c r="R273" s="76">
        <f>N(INDEX(Krankheitstage!$G273:$DV273,1,(Einstellungen!$C$3-2026)*24+14))</f>
        <v/>
      </c>
      <c r="S273" s="76">
        <f>N(INDEX(Krankheitstage!$G273:$DV273,1,(Einstellungen!$C$3-2026)*24+15))</f>
        <v/>
      </c>
      <c r="T273" s="76">
        <f>N(INDEX(Krankheitstage!$G273:$DV273,1,(Einstellungen!$C$3-2026)*24+16))</f>
        <v/>
      </c>
      <c r="U273" s="76">
        <f>N(INDEX(Krankheitstage!$G273:$DV273,1,(Einstellungen!$C$3-2026)*24+17))</f>
        <v/>
      </c>
      <c r="V273" s="76">
        <f>N(INDEX(Krankheitstage!$G273:$DV273,1,(Einstellungen!$C$3-2026)*24+18))</f>
        <v/>
      </c>
      <c r="W273" s="76">
        <f>N(INDEX(Krankheitstage!$G273:$DV273,1,(Einstellungen!$C$3-2026)*24+19))</f>
        <v/>
      </c>
      <c r="X273" s="76">
        <f>N(INDEX(Krankheitstage!$G273:$DV273,1,(Einstellungen!$C$3-2026)*24+20))</f>
        <v/>
      </c>
      <c r="Y273" s="76">
        <f>N(INDEX(Krankheitstage!$G273:$DV273,1,(Einstellungen!$C$3-2026)*24+21))</f>
        <v/>
      </c>
      <c r="Z273" s="76">
        <f>N(INDEX(Krankheitstage!$G273:$DV273,1,(Einstellungen!$C$3-2026)*24+22))</f>
        <v/>
      </c>
      <c r="AA273" s="76">
        <f>N(INDEX(Krankheitstage!$G273:$DV273,1,(Einstellungen!$C$3-2026)*24+23))</f>
        <v/>
      </c>
      <c r="AB273" s="76">
        <f>N(INDEX(Krankheitstage!$G273:$DV273,1,(Einstellungen!$C$3-2026)*24+24))</f>
        <v/>
      </c>
      <c r="AC273" s="76">
        <f>IF($B273="","",SUM(Q273:AB273))</f>
        <v/>
      </c>
      <c r="AD273" s="76">
        <f>IF($B273="","",SUM(P273,AC273))</f>
        <v/>
      </c>
      <c r="AE273" s="77">
        <f>IF($B273="","",AD273*N(C273))</f>
        <v/>
      </c>
      <c r="AF273" s="76">
        <f>IF($B273="","",Krankheitstage!E273)</f>
        <v/>
      </c>
      <c r="AG273" s="77">
        <f>IF($B273="","",AF273*N(C273))</f>
        <v/>
      </c>
    </row>
    <row r="274">
      <c r="A274" s="74">
        <f>IF(Mitarbeiter!B274="","",Mitarbeiter!A274)</f>
        <v/>
      </c>
      <c r="B274" s="6">
        <f>IF(Mitarbeiter!B274="","",Mitarbeiter!B274)</f>
        <v/>
      </c>
      <c r="C274" s="75">
        <f>IF(Mitarbeiter!B274="","",Mitarbeiter!F274)</f>
        <v/>
      </c>
      <c r="D274" s="76">
        <f>N(INDEX(Krankheitstage!$G274:$DV274,1,(Einstellungen!$C$3-2026)*24+1))</f>
        <v/>
      </c>
      <c r="E274" s="76">
        <f>N(INDEX(Krankheitstage!$G274:$DV274,1,(Einstellungen!$C$3-2026)*24+2))</f>
        <v/>
      </c>
      <c r="F274" s="76">
        <f>N(INDEX(Krankheitstage!$G274:$DV274,1,(Einstellungen!$C$3-2026)*24+3))</f>
        <v/>
      </c>
      <c r="G274" s="76">
        <f>N(INDEX(Krankheitstage!$G274:$DV274,1,(Einstellungen!$C$3-2026)*24+4))</f>
        <v/>
      </c>
      <c r="H274" s="76">
        <f>N(INDEX(Krankheitstage!$G274:$DV274,1,(Einstellungen!$C$3-2026)*24+5))</f>
        <v/>
      </c>
      <c r="I274" s="76">
        <f>N(INDEX(Krankheitstage!$G274:$DV274,1,(Einstellungen!$C$3-2026)*24+6))</f>
        <v/>
      </c>
      <c r="J274" s="76">
        <f>N(INDEX(Krankheitstage!$G274:$DV274,1,(Einstellungen!$C$3-2026)*24+7))</f>
        <v/>
      </c>
      <c r="K274" s="76">
        <f>N(INDEX(Krankheitstage!$G274:$DV274,1,(Einstellungen!$C$3-2026)*24+8))</f>
        <v/>
      </c>
      <c r="L274" s="76">
        <f>N(INDEX(Krankheitstage!$G274:$DV274,1,(Einstellungen!$C$3-2026)*24+9))</f>
        <v/>
      </c>
      <c r="M274" s="76">
        <f>N(INDEX(Krankheitstage!$G274:$DV274,1,(Einstellungen!$C$3-2026)*24+10))</f>
        <v/>
      </c>
      <c r="N274" s="76">
        <f>N(INDEX(Krankheitstage!$G274:$DV274,1,(Einstellungen!$C$3-2026)*24+11))</f>
        <v/>
      </c>
      <c r="O274" s="76">
        <f>N(INDEX(Krankheitstage!$G274:$DV274,1,(Einstellungen!$C$3-2026)*24+12))</f>
        <v/>
      </c>
      <c r="P274" s="76">
        <f>IF($B274="","",SUM(D274:O274))</f>
        <v/>
      </c>
      <c r="Q274" s="76">
        <f>N(INDEX(Krankheitstage!$G274:$DV274,1,(Einstellungen!$C$3-2026)*24+13))</f>
        <v/>
      </c>
      <c r="R274" s="76">
        <f>N(INDEX(Krankheitstage!$G274:$DV274,1,(Einstellungen!$C$3-2026)*24+14))</f>
        <v/>
      </c>
      <c r="S274" s="76">
        <f>N(INDEX(Krankheitstage!$G274:$DV274,1,(Einstellungen!$C$3-2026)*24+15))</f>
        <v/>
      </c>
      <c r="T274" s="76">
        <f>N(INDEX(Krankheitstage!$G274:$DV274,1,(Einstellungen!$C$3-2026)*24+16))</f>
        <v/>
      </c>
      <c r="U274" s="76">
        <f>N(INDEX(Krankheitstage!$G274:$DV274,1,(Einstellungen!$C$3-2026)*24+17))</f>
        <v/>
      </c>
      <c r="V274" s="76">
        <f>N(INDEX(Krankheitstage!$G274:$DV274,1,(Einstellungen!$C$3-2026)*24+18))</f>
        <v/>
      </c>
      <c r="W274" s="76">
        <f>N(INDEX(Krankheitstage!$G274:$DV274,1,(Einstellungen!$C$3-2026)*24+19))</f>
        <v/>
      </c>
      <c r="X274" s="76">
        <f>N(INDEX(Krankheitstage!$G274:$DV274,1,(Einstellungen!$C$3-2026)*24+20))</f>
        <v/>
      </c>
      <c r="Y274" s="76">
        <f>N(INDEX(Krankheitstage!$G274:$DV274,1,(Einstellungen!$C$3-2026)*24+21))</f>
        <v/>
      </c>
      <c r="Z274" s="76">
        <f>N(INDEX(Krankheitstage!$G274:$DV274,1,(Einstellungen!$C$3-2026)*24+22))</f>
        <v/>
      </c>
      <c r="AA274" s="76">
        <f>N(INDEX(Krankheitstage!$G274:$DV274,1,(Einstellungen!$C$3-2026)*24+23))</f>
        <v/>
      </c>
      <c r="AB274" s="76">
        <f>N(INDEX(Krankheitstage!$G274:$DV274,1,(Einstellungen!$C$3-2026)*24+24))</f>
        <v/>
      </c>
      <c r="AC274" s="76">
        <f>IF($B274="","",SUM(Q274:AB274))</f>
        <v/>
      </c>
      <c r="AD274" s="76">
        <f>IF($B274="","",SUM(P274,AC274))</f>
        <v/>
      </c>
      <c r="AE274" s="77">
        <f>IF($B274="","",AD274*N(C274))</f>
        <v/>
      </c>
      <c r="AF274" s="76">
        <f>IF($B274="","",Krankheitstage!E274)</f>
        <v/>
      </c>
      <c r="AG274" s="77">
        <f>IF($B274="","",AF274*N(C274))</f>
        <v/>
      </c>
    </row>
    <row r="275">
      <c r="A275" s="74">
        <f>IF(Mitarbeiter!B275="","",Mitarbeiter!A275)</f>
        <v/>
      </c>
      <c r="B275" s="6">
        <f>IF(Mitarbeiter!B275="","",Mitarbeiter!B275)</f>
        <v/>
      </c>
      <c r="C275" s="75">
        <f>IF(Mitarbeiter!B275="","",Mitarbeiter!F275)</f>
        <v/>
      </c>
      <c r="D275" s="76">
        <f>N(INDEX(Krankheitstage!$G275:$DV275,1,(Einstellungen!$C$3-2026)*24+1))</f>
        <v/>
      </c>
      <c r="E275" s="76">
        <f>N(INDEX(Krankheitstage!$G275:$DV275,1,(Einstellungen!$C$3-2026)*24+2))</f>
        <v/>
      </c>
      <c r="F275" s="76">
        <f>N(INDEX(Krankheitstage!$G275:$DV275,1,(Einstellungen!$C$3-2026)*24+3))</f>
        <v/>
      </c>
      <c r="G275" s="76">
        <f>N(INDEX(Krankheitstage!$G275:$DV275,1,(Einstellungen!$C$3-2026)*24+4))</f>
        <v/>
      </c>
      <c r="H275" s="76">
        <f>N(INDEX(Krankheitstage!$G275:$DV275,1,(Einstellungen!$C$3-2026)*24+5))</f>
        <v/>
      </c>
      <c r="I275" s="76">
        <f>N(INDEX(Krankheitstage!$G275:$DV275,1,(Einstellungen!$C$3-2026)*24+6))</f>
        <v/>
      </c>
      <c r="J275" s="76">
        <f>N(INDEX(Krankheitstage!$G275:$DV275,1,(Einstellungen!$C$3-2026)*24+7))</f>
        <v/>
      </c>
      <c r="K275" s="76">
        <f>N(INDEX(Krankheitstage!$G275:$DV275,1,(Einstellungen!$C$3-2026)*24+8))</f>
        <v/>
      </c>
      <c r="L275" s="76">
        <f>N(INDEX(Krankheitstage!$G275:$DV275,1,(Einstellungen!$C$3-2026)*24+9))</f>
        <v/>
      </c>
      <c r="M275" s="76">
        <f>N(INDEX(Krankheitstage!$G275:$DV275,1,(Einstellungen!$C$3-2026)*24+10))</f>
        <v/>
      </c>
      <c r="N275" s="76">
        <f>N(INDEX(Krankheitstage!$G275:$DV275,1,(Einstellungen!$C$3-2026)*24+11))</f>
        <v/>
      </c>
      <c r="O275" s="76">
        <f>N(INDEX(Krankheitstage!$G275:$DV275,1,(Einstellungen!$C$3-2026)*24+12))</f>
        <v/>
      </c>
      <c r="P275" s="76">
        <f>IF($B275="","",SUM(D275:O275))</f>
        <v/>
      </c>
      <c r="Q275" s="76">
        <f>N(INDEX(Krankheitstage!$G275:$DV275,1,(Einstellungen!$C$3-2026)*24+13))</f>
        <v/>
      </c>
      <c r="R275" s="76">
        <f>N(INDEX(Krankheitstage!$G275:$DV275,1,(Einstellungen!$C$3-2026)*24+14))</f>
        <v/>
      </c>
      <c r="S275" s="76">
        <f>N(INDEX(Krankheitstage!$G275:$DV275,1,(Einstellungen!$C$3-2026)*24+15))</f>
        <v/>
      </c>
      <c r="T275" s="76">
        <f>N(INDEX(Krankheitstage!$G275:$DV275,1,(Einstellungen!$C$3-2026)*24+16))</f>
        <v/>
      </c>
      <c r="U275" s="76">
        <f>N(INDEX(Krankheitstage!$G275:$DV275,1,(Einstellungen!$C$3-2026)*24+17))</f>
        <v/>
      </c>
      <c r="V275" s="76">
        <f>N(INDEX(Krankheitstage!$G275:$DV275,1,(Einstellungen!$C$3-2026)*24+18))</f>
        <v/>
      </c>
      <c r="W275" s="76">
        <f>N(INDEX(Krankheitstage!$G275:$DV275,1,(Einstellungen!$C$3-2026)*24+19))</f>
        <v/>
      </c>
      <c r="X275" s="76">
        <f>N(INDEX(Krankheitstage!$G275:$DV275,1,(Einstellungen!$C$3-2026)*24+20))</f>
        <v/>
      </c>
      <c r="Y275" s="76">
        <f>N(INDEX(Krankheitstage!$G275:$DV275,1,(Einstellungen!$C$3-2026)*24+21))</f>
        <v/>
      </c>
      <c r="Z275" s="76">
        <f>N(INDEX(Krankheitstage!$G275:$DV275,1,(Einstellungen!$C$3-2026)*24+22))</f>
        <v/>
      </c>
      <c r="AA275" s="76">
        <f>N(INDEX(Krankheitstage!$G275:$DV275,1,(Einstellungen!$C$3-2026)*24+23))</f>
        <v/>
      </c>
      <c r="AB275" s="76">
        <f>N(INDEX(Krankheitstage!$G275:$DV275,1,(Einstellungen!$C$3-2026)*24+24))</f>
        <v/>
      </c>
      <c r="AC275" s="76">
        <f>IF($B275="","",SUM(Q275:AB275))</f>
        <v/>
      </c>
      <c r="AD275" s="76">
        <f>IF($B275="","",SUM(P275,AC275))</f>
        <v/>
      </c>
      <c r="AE275" s="77">
        <f>IF($B275="","",AD275*N(C275))</f>
        <v/>
      </c>
      <c r="AF275" s="76">
        <f>IF($B275="","",Krankheitstage!E275)</f>
        <v/>
      </c>
      <c r="AG275" s="77">
        <f>IF($B275="","",AF275*N(C275))</f>
        <v/>
      </c>
    </row>
    <row r="276">
      <c r="A276" s="74">
        <f>IF(Mitarbeiter!B276="","",Mitarbeiter!A276)</f>
        <v/>
      </c>
      <c r="B276" s="6">
        <f>IF(Mitarbeiter!B276="","",Mitarbeiter!B276)</f>
        <v/>
      </c>
      <c r="C276" s="75">
        <f>IF(Mitarbeiter!B276="","",Mitarbeiter!F276)</f>
        <v/>
      </c>
      <c r="D276" s="76">
        <f>N(INDEX(Krankheitstage!$G276:$DV276,1,(Einstellungen!$C$3-2026)*24+1))</f>
        <v/>
      </c>
      <c r="E276" s="76">
        <f>N(INDEX(Krankheitstage!$G276:$DV276,1,(Einstellungen!$C$3-2026)*24+2))</f>
        <v/>
      </c>
      <c r="F276" s="76">
        <f>N(INDEX(Krankheitstage!$G276:$DV276,1,(Einstellungen!$C$3-2026)*24+3))</f>
        <v/>
      </c>
      <c r="G276" s="76">
        <f>N(INDEX(Krankheitstage!$G276:$DV276,1,(Einstellungen!$C$3-2026)*24+4))</f>
        <v/>
      </c>
      <c r="H276" s="76">
        <f>N(INDEX(Krankheitstage!$G276:$DV276,1,(Einstellungen!$C$3-2026)*24+5))</f>
        <v/>
      </c>
      <c r="I276" s="76">
        <f>N(INDEX(Krankheitstage!$G276:$DV276,1,(Einstellungen!$C$3-2026)*24+6))</f>
        <v/>
      </c>
      <c r="J276" s="76">
        <f>N(INDEX(Krankheitstage!$G276:$DV276,1,(Einstellungen!$C$3-2026)*24+7))</f>
        <v/>
      </c>
      <c r="K276" s="76">
        <f>N(INDEX(Krankheitstage!$G276:$DV276,1,(Einstellungen!$C$3-2026)*24+8))</f>
        <v/>
      </c>
      <c r="L276" s="76">
        <f>N(INDEX(Krankheitstage!$G276:$DV276,1,(Einstellungen!$C$3-2026)*24+9))</f>
        <v/>
      </c>
      <c r="M276" s="76">
        <f>N(INDEX(Krankheitstage!$G276:$DV276,1,(Einstellungen!$C$3-2026)*24+10))</f>
        <v/>
      </c>
      <c r="N276" s="76">
        <f>N(INDEX(Krankheitstage!$G276:$DV276,1,(Einstellungen!$C$3-2026)*24+11))</f>
        <v/>
      </c>
      <c r="O276" s="76">
        <f>N(INDEX(Krankheitstage!$G276:$DV276,1,(Einstellungen!$C$3-2026)*24+12))</f>
        <v/>
      </c>
      <c r="P276" s="76">
        <f>IF($B276="","",SUM(D276:O276))</f>
        <v/>
      </c>
      <c r="Q276" s="76">
        <f>N(INDEX(Krankheitstage!$G276:$DV276,1,(Einstellungen!$C$3-2026)*24+13))</f>
        <v/>
      </c>
      <c r="R276" s="76">
        <f>N(INDEX(Krankheitstage!$G276:$DV276,1,(Einstellungen!$C$3-2026)*24+14))</f>
        <v/>
      </c>
      <c r="S276" s="76">
        <f>N(INDEX(Krankheitstage!$G276:$DV276,1,(Einstellungen!$C$3-2026)*24+15))</f>
        <v/>
      </c>
      <c r="T276" s="76">
        <f>N(INDEX(Krankheitstage!$G276:$DV276,1,(Einstellungen!$C$3-2026)*24+16))</f>
        <v/>
      </c>
      <c r="U276" s="76">
        <f>N(INDEX(Krankheitstage!$G276:$DV276,1,(Einstellungen!$C$3-2026)*24+17))</f>
        <v/>
      </c>
      <c r="V276" s="76">
        <f>N(INDEX(Krankheitstage!$G276:$DV276,1,(Einstellungen!$C$3-2026)*24+18))</f>
        <v/>
      </c>
      <c r="W276" s="76">
        <f>N(INDEX(Krankheitstage!$G276:$DV276,1,(Einstellungen!$C$3-2026)*24+19))</f>
        <v/>
      </c>
      <c r="X276" s="76">
        <f>N(INDEX(Krankheitstage!$G276:$DV276,1,(Einstellungen!$C$3-2026)*24+20))</f>
        <v/>
      </c>
      <c r="Y276" s="76">
        <f>N(INDEX(Krankheitstage!$G276:$DV276,1,(Einstellungen!$C$3-2026)*24+21))</f>
        <v/>
      </c>
      <c r="Z276" s="76">
        <f>N(INDEX(Krankheitstage!$G276:$DV276,1,(Einstellungen!$C$3-2026)*24+22))</f>
        <v/>
      </c>
      <c r="AA276" s="76">
        <f>N(INDEX(Krankheitstage!$G276:$DV276,1,(Einstellungen!$C$3-2026)*24+23))</f>
        <v/>
      </c>
      <c r="AB276" s="76">
        <f>N(INDEX(Krankheitstage!$G276:$DV276,1,(Einstellungen!$C$3-2026)*24+24))</f>
        <v/>
      </c>
      <c r="AC276" s="76">
        <f>IF($B276="","",SUM(Q276:AB276))</f>
        <v/>
      </c>
      <c r="AD276" s="76">
        <f>IF($B276="","",SUM(P276,AC276))</f>
        <v/>
      </c>
      <c r="AE276" s="77">
        <f>IF($B276="","",AD276*N(C276))</f>
        <v/>
      </c>
      <c r="AF276" s="76">
        <f>IF($B276="","",Krankheitstage!E276)</f>
        <v/>
      </c>
      <c r="AG276" s="77">
        <f>IF($B276="","",AF276*N(C276))</f>
        <v/>
      </c>
    </row>
    <row r="277">
      <c r="A277" s="74">
        <f>IF(Mitarbeiter!B277="","",Mitarbeiter!A277)</f>
        <v/>
      </c>
      <c r="B277" s="6">
        <f>IF(Mitarbeiter!B277="","",Mitarbeiter!B277)</f>
        <v/>
      </c>
      <c r="C277" s="75">
        <f>IF(Mitarbeiter!B277="","",Mitarbeiter!F277)</f>
        <v/>
      </c>
      <c r="D277" s="76">
        <f>N(INDEX(Krankheitstage!$G277:$DV277,1,(Einstellungen!$C$3-2026)*24+1))</f>
        <v/>
      </c>
      <c r="E277" s="76">
        <f>N(INDEX(Krankheitstage!$G277:$DV277,1,(Einstellungen!$C$3-2026)*24+2))</f>
        <v/>
      </c>
      <c r="F277" s="76">
        <f>N(INDEX(Krankheitstage!$G277:$DV277,1,(Einstellungen!$C$3-2026)*24+3))</f>
        <v/>
      </c>
      <c r="G277" s="76">
        <f>N(INDEX(Krankheitstage!$G277:$DV277,1,(Einstellungen!$C$3-2026)*24+4))</f>
        <v/>
      </c>
      <c r="H277" s="76">
        <f>N(INDEX(Krankheitstage!$G277:$DV277,1,(Einstellungen!$C$3-2026)*24+5))</f>
        <v/>
      </c>
      <c r="I277" s="76">
        <f>N(INDEX(Krankheitstage!$G277:$DV277,1,(Einstellungen!$C$3-2026)*24+6))</f>
        <v/>
      </c>
      <c r="J277" s="76">
        <f>N(INDEX(Krankheitstage!$G277:$DV277,1,(Einstellungen!$C$3-2026)*24+7))</f>
        <v/>
      </c>
      <c r="K277" s="76">
        <f>N(INDEX(Krankheitstage!$G277:$DV277,1,(Einstellungen!$C$3-2026)*24+8))</f>
        <v/>
      </c>
      <c r="L277" s="76">
        <f>N(INDEX(Krankheitstage!$G277:$DV277,1,(Einstellungen!$C$3-2026)*24+9))</f>
        <v/>
      </c>
      <c r="M277" s="76">
        <f>N(INDEX(Krankheitstage!$G277:$DV277,1,(Einstellungen!$C$3-2026)*24+10))</f>
        <v/>
      </c>
      <c r="N277" s="76">
        <f>N(INDEX(Krankheitstage!$G277:$DV277,1,(Einstellungen!$C$3-2026)*24+11))</f>
        <v/>
      </c>
      <c r="O277" s="76">
        <f>N(INDEX(Krankheitstage!$G277:$DV277,1,(Einstellungen!$C$3-2026)*24+12))</f>
        <v/>
      </c>
      <c r="P277" s="76">
        <f>IF($B277="","",SUM(D277:O277))</f>
        <v/>
      </c>
      <c r="Q277" s="76">
        <f>N(INDEX(Krankheitstage!$G277:$DV277,1,(Einstellungen!$C$3-2026)*24+13))</f>
        <v/>
      </c>
      <c r="R277" s="76">
        <f>N(INDEX(Krankheitstage!$G277:$DV277,1,(Einstellungen!$C$3-2026)*24+14))</f>
        <v/>
      </c>
      <c r="S277" s="76">
        <f>N(INDEX(Krankheitstage!$G277:$DV277,1,(Einstellungen!$C$3-2026)*24+15))</f>
        <v/>
      </c>
      <c r="T277" s="76">
        <f>N(INDEX(Krankheitstage!$G277:$DV277,1,(Einstellungen!$C$3-2026)*24+16))</f>
        <v/>
      </c>
      <c r="U277" s="76">
        <f>N(INDEX(Krankheitstage!$G277:$DV277,1,(Einstellungen!$C$3-2026)*24+17))</f>
        <v/>
      </c>
      <c r="V277" s="76">
        <f>N(INDEX(Krankheitstage!$G277:$DV277,1,(Einstellungen!$C$3-2026)*24+18))</f>
        <v/>
      </c>
      <c r="W277" s="76">
        <f>N(INDEX(Krankheitstage!$G277:$DV277,1,(Einstellungen!$C$3-2026)*24+19))</f>
        <v/>
      </c>
      <c r="X277" s="76">
        <f>N(INDEX(Krankheitstage!$G277:$DV277,1,(Einstellungen!$C$3-2026)*24+20))</f>
        <v/>
      </c>
      <c r="Y277" s="76">
        <f>N(INDEX(Krankheitstage!$G277:$DV277,1,(Einstellungen!$C$3-2026)*24+21))</f>
        <v/>
      </c>
      <c r="Z277" s="76">
        <f>N(INDEX(Krankheitstage!$G277:$DV277,1,(Einstellungen!$C$3-2026)*24+22))</f>
        <v/>
      </c>
      <c r="AA277" s="76">
        <f>N(INDEX(Krankheitstage!$G277:$DV277,1,(Einstellungen!$C$3-2026)*24+23))</f>
        <v/>
      </c>
      <c r="AB277" s="76">
        <f>N(INDEX(Krankheitstage!$G277:$DV277,1,(Einstellungen!$C$3-2026)*24+24))</f>
        <v/>
      </c>
      <c r="AC277" s="76">
        <f>IF($B277="","",SUM(Q277:AB277))</f>
        <v/>
      </c>
      <c r="AD277" s="76">
        <f>IF($B277="","",SUM(P277,AC277))</f>
        <v/>
      </c>
      <c r="AE277" s="77">
        <f>IF($B277="","",AD277*N(C277))</f>
        <v/>
      </c>
      <c r="AF277" s="76">
        <f>IF($B277="","",Krankheitstage!E277)</f>
        <v/>
      </c>
      <c r="AG277" s="77">
        <f>IF($B277="","",AF277*N(C277))</f>
        <v/>
      </c>
    </row>
    <row r="278">
      <c r="A278" s="74">
        <f>IF(Mitarbeiter!B278="","",Mitarbeiter!A278)</f>
        <v/>
      </c>
      <c r="B278" s="6">
        <f>IF(Mitarbeiter!B278="","",Mitarbeiter!B278)</f>
        <v/>
      </c>
      <c r="C278" s="75">
        <f>IF(Mitarbeiter!B278="","",Mitarbeiter!F278)</f>
        <v/>
      </c>
      <c r="D278" s="76">
        <f>N(INDEX(Krankheitstage!$G278:$DV278,1,(Einstellungen!$C$3-2026)*24+1))</f>
        <v/>
      </c>
      <c r="E278" s="76">
        <f>N(INDEX(Krankheitstage!$G278:$DV278,1,(Einstellungen!$C$3-2026)*24+2))</f>
        <v/>
      </c>
      <c r="F278" s="76">
        <f>N(INDEX(Krankheitstage!$G278:$DV278,1,(Einstellungen!$C$3-2026)*24+3))</f>
        <v/>
      </c>
      <c r="G278" s="76">
        <f>N(INDEX(Krankheitstage!$G278:$DV278,1,(Einstellungen!$C$3-2026)*24+4))</f>
        <v/>
      </c>
      <c r="H278" s="76">
        <f>N(INDEX(Krankheitstage!$G278:$DV278,1,(Einstellungen!$C$3-2026)*24+5))</f>
        <v/>
      </c>
      <c r="I278" s="76">
        <f>N(INDEX(Krankheitstage!$G278:$DV278,1,(Einstellungen!$C$3-2026)*24+6))</f>
        <v/>
      </c>
      <c r="J278" s="76">
        <f>N(INDEX(Krankheitstage!$G278:$DV278,1,(Einstellungen!$C$3-2026)*24+7))</f>
        <v/>
      </c>
      <c r="K278" s="76">
        <f>N(INDEX(Krankheitstage!$G278:$DV278,1,(Einstellungen!$C$3-2026)*24+8))</f>
        <v/>
      </c>
      <c r="L278" s="76">
        <f>N(INDEX(Krankheitstage!$G278:$DV278,1,(Einstellungen!$C$3-2026)*24+9))</f>
        <v/>
      </c>
      <c r="M278" s="76">
        <f>N(INDEX(Krankheitstage!$G278:$DV278,1,(Einstellungen!$C$3-2026)*24+10))</f>
        <v/>
      </c>
      <c r="N278" s="76">
        <f>N(INDEX(Krankheitstage!$G278:$DV278,1,(Einstellungen!$C$3-2026)*24+11))</f>
        <v/>
      </c>
      <c r="O278" s="76">
        <f>N(INDEX(Krankheitstage!$G278:$DV278,1,(Einstellungen!$C$3-2026)*24+12))</f>
        <v/>
      </c>
      <c r="P278" s="76">
        <f>IF($B278="","",SUM(D278:O278))</f>
        <v/>
      </c>
      <c r="Q278" s="76">
        <f>N(INDEX(Krankheitstage!$G278:$DV278,1,(Einstellungen!$C$3-2026)*24+13))</f>
        <v/>
      </c>
      <c r="R278" s="76">
        <f>N(INDEX(Krankheitstage!$G278:$DV278,1,(Einstellungen!$C$3-2026)*24+14))</f>
        <v/>
      </c>
      <c r="S278" s="76">
        <f>N(INDEX(Krankheitstage!$G278:$DV278,1,(Einstellungen!$C$3-2026)*24+15))</f>
        <v/>
      </c>
      <c r="T278" s="76">
        <f>N(INDEX(Krankheitstage!$G278:$DV278,1,(Einstellungen!$C$3-2026)*24+16))</f>
        <v/>
      </c>
      <c r="U278" s="76">
        <f>N(INDEX(Krankheitstage!$G278:$DV278,1,(Einstellungen!$C$3-2026)*24+17))</f>
        <v/>
      </c>
      <c r="V278" s="76">
        <f>N(INDEX(Krankheitstage!$G278:$DV278,1,(Einstellungen!$C$3-2026)*24+18))</f>
        <v/>
      </c>
      <c r="W278" s="76">
        <f>N(INDEX(Krankheitstage!$G278:$DV278,1,(Einstellungen!$C$3-2026)*24+19))</f>
        <v/>
      </c>
      <c r="X278" s="76">
        <f>N(INDEX(Krankheitstage!$G278:$DV278,1,(Einstellungen!$C$3-2026)*24+20))</f>
        <v/>
      </c>
      <c r="Y278" s="76">
        <f>N(INDEX(Krankheitstage!$G278:$DV278,1,(Einstellungen!$C$3-2026)*24+21))</f>
        <v/>
      </c>
      <c r="Z278" s="76">
        <f>N(INDEX(Krankheitstage!$G278:$DV278,1,(Einstellungen!$C$3-2026)*24+22))</f>
        <v/>
      </c>
      <c r="AA278" s="76">
        <f>N(INDEX(Krankheitstage!$G278:$DV278,1,(Einstellungen!$C$3-2026)*24+23))</f>
        <v/>
      </c>
      <c r="AB278" s="76">
        <f>N(INDEX(Krankheitstage!$G278:$DV278,1,(Einstellungen!$C$3-2026)*24+24))</f>
        <v/>
      </c>
      <c r="AC278" s="76">
        <f>IF($B278="","",SUM(Q278:AB278))</f>
        <v/>
      </c>
      <c r="AD278" s="76">
        <f>IF($B278="","",SUM(P278,AC278))</f>
        <v/>
      </c>
      <c r="AE278" s="77">
        <f>IF($B278="","",AD278*N(C278))</f>
        <v/>
      </c>
      <c r="AF278" s="76">
        <f>IF($B278="","",Krankheitstage!E278)</f>
        <v/>
      </c>
      <c r="AG278" s="77">
        <f>IF($B278="","",AF278*N(C278))</f>
        <v/>
      </c>
    </row>
    <row r="279">
      <c r="A279" s="74">
        <f>IF(Mitarbeiter!B279="","",Mitarbeiter!A279)</f>
        <v/>
      </c>
      <c r="B279" s="6">
        <f>IF(Mitarbeiter!B279="","",Mitarbeiter!B279)</f>
        <v/>
      </c>
      <c r="C279" s="75">
        <f>IF(Mitarbeiter!B279="","",Mitarbeiter!F279)</f>
        <v/>
      </c>
      <c r="D279" s="76">
        <f>N(INDEX(Krankheitstage!$G279:$DV279,1,(Einstellungen!$C$3-2026)*24+1))</f>
        <v/>
      </c>
      <c r="E279" s="76">
        <f>N(INDEX(Krankheitstage!$G279:$DV279,1,(Einstellungen!$C$3-2026)*24+2))</f>
        <v/>
      </c>
      <c r="F279" s="76">
        <f>N(INDEX(Krankheitstage!$G279:$DV279,1,(Einstellungen!$C$3-2026)*24+3))</f>
        <v/>
      </c>
      <c r="G279" s="76">
        <f>N(INDEX(Krankheitstage!$G279:$DV279,1,(Einstellungen!$C$3-2026)*24+4))</f>
        <v/>
      </c>
      <c r="H279" s="76">
        <f>N(INDEX(Krankheitstage!$G279:$DV279,1,(Einstellungen!$C$3-2026)*24+5))</f>
        <v/>
      </c>
      <c r="I279" s="76">
        <f>N(INDEX(Krankheitstage!$G279:$DV279,1,(Einstellungen!$C$3-2026)*24+6))</f>
        <v/>
      </c>
      <c r="J279" s="76">
        <f>N(INDEX(Krankheitstage!$G279:$DV279,1,(Einstellungen!$C$3-2026)*24+7))</f>
        <v/>
      </c>
      <c r="K279" s="76">
        <f>N(INDEX(Krankheitstage!$G279:$DV279,1,(Einstellungen!$C$3-2026)*24+8))</f>
        <v/>
      </c>
      <c r="L279" s="76">
        <f>N(INDEX(Krankheitstage!$G279:$DV279,1,(Einstellungen!$C$3-2026)*24+9))</f>
        <v/>
      </c>
      <c r="M279" s="76">
        <f>N(INDEX(Krankheitstage!$G279:$DV279,1,(Einstellungen!$C$3-2026)*24+10))</f>
        <v/>
      </c>
      <c r="N279" s="76">
        <f>N(INDEX(Krankheitstage!$G279:$DV279,1,(Einstellungen!$C$3-2026)*24+11))</f>
        <v/>
      </c>
      <c r="O279" s="76">
        <f>N(INDEX(Krankheitstage!$G279:$DV279,1,(Einstellungen!$C$3-2026)*24+12))</f>
        <v/>
      </c>
      <c r="P279" s="76">
        <f>IF($B279="","",SUM(D279:O279))</f>
        <v/>
      </c>
      <c r="Q279" s="76">
        <f>N(INDEX(Krankheitstage!$G279:$DV279,1,(Einstellungen!$C$3-2026)*24+13))</f>
        <v/>
      </c>
      <c r="R279" s="76">
        <f>N(INDEX(Krankheitstage!$G279:$DV279,1,(Einstellungen!$C$3-2026)*24+14))</f>
        <v/>
      </c>
      <c r="S279" s="76">
        <f>N(INDEX(Krankheitstage!$G279:$DV279,1,(Einstellungen!$C$3-2026)*24+15))</f>
        <v/>
      </c>
      <c r="T279" s="76">
        <f>N(INDEX(Krankheitstage!$G279:$DV279,1,(Einstellungen!$C$3-2026)*24+16))</f>
        <v/>
      </c>
      <c r="U279" s="76">
        <f>N(INDEX(Krankheitstage!$G279:$DV279,1,(Einstellungen!$C$3-2026)*24+17))</f>
        <v/>
      </c>
      <c r="V279" s="76">
        <f>N(INDEX(Krankheitstage!$G279:$DV279,1,(Einstellungen!$C$3-2026)*24+18))</f>
        <v/>
      </c>
      <c r="W279" s="76">
        <f>N(INDEX(Krankheitstage!$G279:$DV279,1,(Einstellungen!$C$3-2026)*24+19))</f>
        <v/>
      </c>
      <c r="X279" s="76">
        <f>N(INDEX(Krankheitstage!$G279:$DV279,1,(Einstellungen!$C$3-2026)*24+20))</f>
        <v/>
      </c>
      <c r="Y279" s="76">
        <f>N(INDEX(Krankheitstage!$G279:$DV279,1,(Einstellungen!$C$3-2026)*24+21))</f>
        <v/>
      </c>
      <c r="Z279" s="76">
        <f>N(INDEX(Krankheitstage!$G279:$DV279,1,(Einstellungen!$C$3-2026)*24+22))</f>
        <v/>
      </c>
      <c r="AA279" s="76">
        <f>N(INDEX(Krankheitstage!$G279:$DV279,1,(Einstellungen!$C$3-2026)*24+23))</f>
        <v/>
      </c>
      <c r="AB279" s="76">
        <f>N(INDEX(Krankheitstage!$G279:$DV279,1,(Einstellungen!$C$3-2026)*24+24))</f>
        <v/>
      </c>
      <c r="AC279" s="76">
        <f>IF($B279="","",SUM(Q279:AB279))</f>
        <v/>
      </c>
      <c r="AD279" s="76">
        <f>IF($B279="","",SUM(P279,AC279))</f>
        <v/>
      </c>
      <c r="AE279" s="77">
        <f>IF($B279="","",AD279*N(C279))</f>
        <v/>
      </c>
      <c r="AF279" s="76">
        <f>IF($B279="","",Krankheitstage!E279)</f>
        <v/>
      </c>
      <c r="AG279" s="77">
        <f>IF($B279="","",AF279*N(C279))</f>
        <v/>
      </c>
    </row>
    <row r="280">
      <c r="A280" s="74">
        <f>IF(Mitarbeiter!B280="","",Mitarbeiter!A280)</f>
        <v/>
      </c>
      <c r="B280" s="6">
        <f>IF(Mitarbeiter!B280="","",Mitarbeiter!B280)</f>
        <v/>
      </c>
      <c r="C280" s="75">
        <f>IF(Mitarbeiter!B280="","",Mitarbeiter!F280)</f>
        <v/>
      </c>
      <c r="D280" s="76">
        <f>N(INDEX(Krankheitstage!$G280:$DV280,1,(Einstellungen!$C$3-2026)*24+1))</f>
        <v/>
      </c>
      <c r="E280" s="76">
        <f>N(INDEX(Krankheitstage!$G280:$DV280,1,(Einstellungen!$C$3-2026)*24+2))</f>
        <v/>
      </c>
      <c r="F280" s="76">
        <f>N(INDEX(Krankheitstage!$G280:$DV280,1,(Einstellungen!$C$3-2026)*24+3))</f>
        <v/>
      </c>
      <c r="G280" s="76">
        <f>N(INDEX(Krankheitstage!$G280:$DV280,1,(Einstellungen!$C$3-2026)*24+4))</f>
        <v/>
      </c>
      <c r="H280" s="76">
        <f>N(INDEX(Krankheitstage!$G280:$DV280,1,(Einstellungen!$C$3-2026)*24+5))</f>
        <v/>
      </c>
      <c r="I280" s="76">
        <f>N(INDEX(Krankheitstage!$G280:$DV280,1,(Einstellungen!$C$3-2026)*24+6))</f>
        <v/>
      </c>
      <c r="J280" s="76">
        <f>N(INDEX(Krankheitstage!$G280:$DV280,1,(Einstellungen!$C$3-2026)*24+7))</f>
        <v/>
      </c>
      <c r="K280" s="76">
        <f>N(INDEX(Krankheitstage!$G280:$DV280,1,(Einstellungen!$C$3-2026)*24+8))</f>
        <v/>
      </c>
      <c r="L280" s="76">
        <f>N(INDEX(Krankheitstage!$G280:$DV280,1,(Einstellungen!$C$3-2026)*24+9))</f>
        <v/>
      </c>
      <c r="M280" s="76">
        <f>N(INDEX(Krankheitstage!$G280:$DV280,1,(Einstellungen!$C$3-2026)*24+10))</f>
        <v/>
      </c>
      <c r="N280" s="76">
        <f>N(INDEX(Krankheitstage!$G280:$DV280,1,(Einstellungen!$C$3-2026)*24+11))</f>
        <v/>
      </c>
      <c r="O280" s="76">
        <f>N(INDEX(Krankheitstage!$G280:$DV280,1,(Einstellungen!$C$3-2026)*24+12))</f>
        <v/>
      </c>
      <c r="P280" s="76">
        <f>IF($B280="","",SUM(D280:O280))</f>
        <v/>
      </c>
      <c r="Q280" s="76">
        <f>N(INDEX(Krankheitstage!$G280:$DV280,1,(Einstellungen!$C$3-2026)*24+13))</f>
        <v/>
      </c>
      <c r="R280" s="76">
        <f>N(INDEX(Krankheitstage!$G280:$DV280,1,(Einstellungen!$C$3-2026)*24+14))</f>
        <v/>
      </c>
      <c r="S280" s="76">
        <f>N(INDEX(Krankheitstage!$G280:$DV280,1,(Einstellungen!$C$3-2026)*24+15))</f>
        <v/>
      </c>
      <c r="T280" s="76">
        <f>N(INDEX(Krankheitstage!$G280:$DV280,1,(Einstellungen!$C$3-2026)*24+16))</f>
        <v/>
      </c>
      <c r="U280" s="76">
        <f>N(INDEX(Krankheitstage!$G280:$DV280,1,(Einstellungen!$C$3-2026)*24+17))</f>
        <v/>
      </c>
      <c r="V280" s="76">
        <f>N(INDEX(Krankheitstage!$G280:$DV280,1,(Einstellungen!$C$3-2026)*24+18))</f>
        <v/>
      </c>
      <c r="W280" s="76">
        <f>N(INDEX(Krankheitstage!$G280:$DV280,1,(Einstellungen!$C$3-2026)*24+19))</f>
        <v/>
      </c>
      <c r="X280" s="76">
        <f>N(INDEX(Krankheitstage!$G280:$DV280,1,(Einstellungen!$C$3-2026)*24+20))</f>
        <v/>
      </c>
      <c r="Y280" s="76">
        <f>N(INDEX(Krankheitstage!$G280:$DV280,1,(Einstellungen!$C$3-2026)*24+21))</f>
        <v/>
      </c>
      <c r="Z280" s="76">
        <f>N(INDEX(Krankheitstage!$G280:$DV280,1,(Einstellungen!$C$3-2026)*24+22))</f>
        <v/>
      </c>
      <c r="AA280" s="76">
        <f>N(INDEX(Krankheitstage!$G280:$DV280,1,(Einstellungen!$C$3-2026)*24+23))</f>
        <v/>
      </c>
      <c r="AB280" s="76">
        <f>N(INDEX(Krankheitstage!$G280:$DV280,1,(Einstellungen!$C$3-2026)*24+24))</f>
        <v/>
      </c>
      <c r="AC280" s="76">
        <f>IF($B280="","",SUM(Q280:AB280))</f>
        <v/>
      </c>
      <c r="AD280" s="76">
        <f>IF($B280="","",SUM(P280,AC280))</f>
        <v/>
      </c>
      <c r="AE280" s="77">
        <f>IF($B280="","",AD280*N(C280))</f>
        <v/>
      </c>
      <c r="AF280" s="76">
        <f>IF($B280="","",Krankheitstage!E280)</f>
        <v/>
      </c>
      <c r="AG280" s="77">
        <f>IF($B280="","",AF280*N(C280))</f>
        <v/>
      </c>
    </row>
    <row r="281">
      <c r="A281" s="74">
        <f>IF(Mitarbeiter!B281="","",Mitarbeiter!A281)</f>
        <v/>
      </c>
      <c r="B281" s="6">
        <f>IF(Mitarbeiter!B281="","",Mitarbeiter!B281)</f>
        <v/>
      </c>
      <c r="C281" s="75">
        <f>IF(Mitarbeiter!B281="","",Mitarbeiter!F281)</f>
        <v/>
      </c>
      <c r="D281" s="76">
        <f>N(INDEX(Krankheitstage!$G281:$DV281,1,(Einstellungen!$C$3-2026)*24+1))</f>
        <v/>
      </c>
      <c r="E281" s="76">
        <f>N(INDEX(Krankheitstage!$G281:$DV281,1,(Einstellungen!$C$3-2026)*24+2))</f>
        <v/>
      </c>
      <c r="F281" s="76">
        <f>N(INDEX(Krankheitstage!$G281:$DV281,1,(Einstellungen!$C$3-2026)*24+3))</f>
        <v/>
      </c>
      <c r="G281" s="76">
        <f>N(INDEX(Krankheitstage!$G281:$DV281,1,(Einstellungen!$C$3-2026)*24+4))</f>
        <v/>
      </c>
      <c r="H281" s="76">
        <f>N(INDEX(Krankheitstage!$G281:$DV281,1,(Einstellungen!$C$3-2026)*24+5))</f>
        <v/>
      </c>
      <c r="I281" s="76">
        <f>N(INDEX(Krankheitstage!$G281:$DV281,1,(Einstellungen!$C$3-2026)*24+6))</f>
        <v/>
      </c>
      <c r="J281" s="76">
        <f>N(INDEX(Krankheitstage!$G281:$DV281,1,(Einstellungen!$C$3-2026)*24+7))</f>
        <v/>
      </c>
      <c r="K281" s="76">
        <f>N(INDEX(Krankheitstage!$G281:$DV281,1,(Einstellungen!$C$3-2026)*24+8))</f>
        <v/>
      </c>
      <c r="L281" s="76">
        <f>N(INDEX(Krankheitstage!$G281:$DV281,1,(Einstellungen!$C$3-2026)*24+9))</f>
        <v/>
      </c>
      <c r="M281" s="76">
        <f>N(INDEX(Krankheitstage!$G281:$DV281,1,(Einstellungen!$C$3-2026)*24+10))</f>
        <v/>
      </c>
      <c r="N281" s="76">
        <f>N(INDEX(Krankheitstage!$G281:$DV281,1,(Einstellungen!$C$3-2026)*24+11))</f>
        <v/>
      </c>
      <c r="O281" s="76">
        <f>N(INDEX(Krankheitstage!$G281:$DV281,1,(Einstellungen!$C$3-2026)*24+12))</f>
        <v/>
      </c>
      <c r="P281" s="76">
        <f>IF($B281="","",SUM(D281:O281))</f>
        <v/>
      </c>
      <c r="Q281" s="76">
        <f>N(INDEX(Krankheitstage!$G281:$DV281,1,(Einstellungen!$C$3-2026)*24+13))</f>
        <v/>
      </c>
      <c r="R281" s="76">
        <f>N(INDEX(Krankheitstage!$G281:$DV281,1,(Einstellungen!$C$3-2026)*24+14))</f>
        <v/>
      </c>
      <c r="S281" s="76">
        <f>N(INDEX(Krankheitstage!$G281:$DV281,1,(Einstellungen!$C$3-2026)*24+15))</f>
        <v/>
      </c>
      <c r="T281" s="76">
        <f>N(INDEX(Krankheitstage!$G281:$DV281,1,(Einstellungen!$C$3-2026)*24+16))</f>
        <v/>
      </c>
      <c r="U281" s="76">
        <f>N(INDEX(Krankheitstage!$G281:$DV281,1,(Einstellungen!$C$3-2026)*24+17))</f>
        <v/>
      </c>
      <c r="V281" s="76">
        <f>N(INDEX(Krankheitstage!$G281:$DV281,1,(Einstellungen!$C$3-2026)*24+18))</f>
        <v/>
      </c>
      <c r="W281" s="76">
        <f>N(INDEX(Krankheitstage!$G281:$DV281,1,(Einstellungen!$C$3-2026)*24+19))</f>
        <v/>
      </c>
      <c r="X281" s="76">
        <f>N(INDEX(Krankheitstage!$G281:$DV281,1,(Einstellungen!$C$3-2026)*24+20))</f>
        <v/>
      </c>
      <c r="Y281" s="76">
        <f>N(INDEX(Krankheitstage!$G281:$DV281,1,(Einstellungen!$C$3-2026)*24+21))</f>
        <v/>
      </c>
      <c r="Z281" s="76">
        <f>N(INDEX(Krankheitstage!$G281:$DV281,1,(Einstellungen!$C$3-2026)*24+22))</f>
        <v/>
      </c>
      <c r="AA281" s="76">
        <f>N(INDEX(Krankheitstage!$G281:$DV281,1,(Einstellungen!$C$3-2026)*24+23))</f>
        <v/>
      </c>
      <c r="AB281" s="76">
        <f>N(INDEX(Krankheitstage!$G281:$DV281,1,(Einstellungen!$C$3-2026)*24+24))</f>
        <v/>
      </c>
      <c r="AC281" s="76">
        <f>IF($B281="","",SUM(Q281:AB281))</f>
        <v/>
      </c>
      <c r="AD281" s="76">
        <f>IF($B281="","",SUM(P281,AC281))</f>
        <v/>
      </c>
      <c r="AE281" s="77">
        <f>IF($B281="","",AD281*N(C281))</f>
        <v/>
      </c>
      <c r="AF281" s="76">
        <f>IF($B281="","",Krankheitstage!E281)</f>
        <v/>
      </c>
      <c r="AG281" s="77">
        <f>IF($B281="","",AF281*N(C281))</f>
        <v/>
      </c>
    </row>
    <row r="282">
      <c r="A282" s="74">
        <f>IF(Mitarbeiter!B282="","",Mitarbeiter!A282)</f>
        <v/>
      </c>
      <c r="B282" s="6">
        <f>IF(Mitarbeiter!B282="","",Mitarbeiter!B282)</f>
        <v/>
      </c>
      <c r="C282" s="75">
        <f>IF(Mitarbeiter!B282="","",Mitarbeiter!F282)</f>
        <v/>
      </c>
      <c r="D282" s="76">
        <f>N(INDEX(Krankheitstage!$G282:$DV282,1,(Einstellungen!$C$3-2026)*24+1))</f>
        <v/>
      </c>
      <c r="E282" s="76">
        <f>N(INDEX(Krankheitstage!$G282:$DV282,1,(Einstellungen!$C$3-2026)*24+2))</f>
        <v/>
      </c>
      <c r="F282" s="76">
        <f>N(INDEX(Krankheitstage!$G282:$DV282,1,(Einstellungen!$C$3-2026)*24+3))</f>
        <v/>
      </c>
      <c r="G282" s="76">
        <f>N(INDEX(Krankheitstage!$G282:$DV282,1,(Einstellungen!$C$3-2026)*24+4))</f>
        <v/>
      </c>
      <c r="H282" s="76">
        <f>N(INDEX(Krankheitstage!$G282:$DV282,1,(Einstellungen!$C$3-2026)*24+5))</f>
        <v/>
      </c>
      <c r="I282" s="76">
        <f>N(INDEX(Krankheitstage!$G282:$DV282,1,(Einstellungen!$C$3-2026)*24+6))</f>
        <v/>
      </c>
      <c r="J282" s="76">
        <f>N(INDEX(Krankheitstage!$G282:$DV282,1,(Einstellungen!$C$3-2026)*24+7))</f>
        <v/>
      </c>
      <c r="K282" s="76">
        <f>N(INDEX(Krankheitstage!$G282:$DV282,1,(Einstellungen!$C$3-2026)*24+8))</f>
        <v/>
      </c>
      <c r="L282" s="76">
        <f>N(INDEX(Krankheitstage!$G282:$DV282,1,(Einstellungen!$C$3-2026)*24+9))</f>
        <v/>
      </c>
      <c r="M282" s="76">
        <f>N(INDEX(Krankheitstage!$G282:$DV282,1,(Einstellungen!$C$3-2026)*24+10))</f>
        <v/>
      </c>
      <c r="N282" s="76">
        <f>N(INDEX(Krankheitstage!$G282:$DV282,1,(Einstellungen!$C$3-2026)*24+11))</f>
        <v/>
      </c>
      <c r="O282" s="76">
        <f>N(INDEX(Krankheitstage!$G282:$DV282,1,(Einstellungen!$C$3-2026)*24+12))</f>
        <v/>
      </c>
      <c r="P282" s="76">
        <f>IF($B282="","",SUM(D282:O282))</f>
        <v/>
      </c>
      <c r="Q282" s="76">
        <f>N(INDEX(Krankheitstage!$G282:$DV282,1,(Einstellungen!$C$3-2026)*24+13))</f>
        <v/>
      </c>
      <c r="R282" s="76">
        <f>N(INDEX(Krankheitstage!$G282:$DV282,1,(Einstellungen!$C$3-2026)*24+14))</f>
        <v/>
      </c>
      <c r="S282" s="76">
        <f>N(INDEX(Krankheitstage!$G282:$DV282,1,(Einstellungen!$C$3-2026)*24+15))</f>
        <v/>
      </c>
      <c r="T282" s="76">
        <f>N(INDEX(Krankheitstage!$G282:$DV282,1,(Einstellungen!$C$3-2026)*24+16))</f>
        <v/>
      </c>
      <c r="U282" s="76">
        <f>N(INDEX(Krankheitstage!$G282:$DV282,1,(Einstellungen!$C$3-2026)*24+17))</f>
        <v/>
      </c>
      <c r="V282" s="76">
        <f>N(INDEX(Krankheitstage!$G282:$DV282,1,(Einstellungen!$C$3-2026)*24+18))</f>
        <v/>
      </c>
      <c r="W282" s="76">
        <f>N(INDEX(Krankheitstage!$G282:$DV282,1,(Einstellungen!$C$3-2026)*24+19))</f>
        <v/>
      </c>
      <c r="X282" s="76">
        <f>N(INDEX(Krankheitstage!$G282:$DV282,1,(Einstellungen!$C$3-2026)*24+20))</f>
        <v/>
      </c>
      <c r="Y282" s="76">
        <f>N(INDEX(Krankheitstage!$G282:$DV282,1,(Einstellungen!$C$3-2026)*24+21))</f>
        <v/>
      </c>
      <c r="Z282" s="76">
        <f>N(INDEX(Krankheitstage!$G282:$DV282,1,(Einstellungen!$C$3-2026)*24+22))</f>
        <v/>
      </c>
      <c r="AA282" s="76">
        <f>N(INDEX(Krankheitstage!$G282:$DV282,1,(Einstellungen!$C$3-2026)*24+23))</f>
        <v/>
      </c>
      <c r="AB282" s="76">
        <f>N(INDEX(Krankheitstage!$G282:$DV282,1,(Einstellungen!$C$3-2026)*24+24))</f>
        <v/>
      </c>
      <c r="AC282" s="76">
        <f>IF($B282="","",SUM(Q282:AB282))</f>
        <v/>
      </c>
      <c r="AD282" s="76">
        <f>IF($B282="","",SUM(P282,AC282))</f>
        <v/>
      </c>
      <c r="AE282" s="77">
        <f>IF($B282="","",AD282*N(C282))</f>
        <v/>
      </c>
      <c r="AF282" s="76">
        <f>IF($B282="","",Krankheitstage!E282)</f>
        <v/>
      </c>
      <c r="AG282" s="77">
        <f>IF($B282="","",AF282*N(C282))</f>
        <v/>
      </c>
    </row>
    <row r="283">
      <c r="A283" s="74">
        <f>IF(Mitarbeiter!B283="","",Mitarbeiter!A283)</f>
        <v/>
      </c>
      <c r="B283" s="6">
        <f>IF(Mitarbeiter!B283="","",Mitarbeiter!B283)</f>
        <v/>
      </c>
      <c r="C283" s="75">
        <f>IF(Mitarbeiter!B283="","",Mitarbeiter!F283)</f>
        <v/>
      </c>
      <c r="D283" s="76">
        <f>N(INDEX(Krankheitstage!$G283:$DV283,1,(Einstellungen!$C$3-2026)*24+1))</f>
        <v/>
      </c>
      <c r="E283" s="76">
        <f>N(INDEX(Krankheitstage!$G283:$DV283,1,(Einstellungen!$C$3-2026)*24+2))</f>
        <v/>
      </c>
      <c r="F283" s="76">
        <f>N(INDEX(Krankheitstage!$G283:$DV283,1,(Einstellungen!$C$3-2026)*24+3))</f>
        <v/>
      </c>
      <c r="G283" s="76">
        <f>N(INDEX(Krankheitstage!$G283:$DV283,1,(Einstellungen!$C$3-2026)*24+4))</f>
        <v/>
      </c>
      <c r="H283" s="76">
        <f>N(INDEX(Krankheitstage!$G283:$DV283,1,(Einstellungen!$C$3-2026)*24+5))</f>
        <v/>
      </c>
      <c r="I283" s="76">
        <f>N(INDEX(Krankheitstage!$G283:$DV283,1,(Einstellungen!$C$3-2026)*24+6))</f>
        <v/>
      </c>
      <c r="J283" s="76">
        <f>N(INDEX(Krankheitstage!$G283:$DV283,1,(Einstellungen!$C$3-2026)*24+7))</f>
        <v/>
      </c>
      <c r="K283" s="76">
        <f>N(INDEX(Krankheitstage!$G283:$DV283,1,(Einstellungen!$C$3-2026)*24+8))</f>
        <v/>
      </c>
      <c r="L283" s="76">
        <f>N(INDEX(Krankheitstage!$G283:$DV283,1,(Einstellungen!$C$3-2026)*24+9))</f>
        <v/>
      </c>
      <c r="M283" s="76">
        <f>N(INDEX(Krankheitstage!$G283:$DV283,1,(Einstellungen!$C$3-2026)*24+10))</f>
        <v/>
      </c>
      <c r="N283" s="76">
        <f>N(INDEX(Krankheitstage!$G283:$DV283,1,(Einstellungen!$C$3-2026)*24+11))</f>
        <v/>
      </c>
      <c r="O283" s="76">
        <f>N(INDEX(Krankheitstage!$G283:$DV283,1,(Einstellungen!$C$3-2026)*24+12))</f>
        <v/>
      </c>
      <c r="P283" s="76">
        <f>IF($B283="","",SUM(D283:O283))</f>
        <v/>
      </c>
      <c r="Q283" s="76">
        <f>N(INDEX(Krankheitstage!$G283:$DV283,1,(Einstellungen!$C$3-2026)*24+13))</f>
        <v/>
      </c>
      <c r="R283" s="76">
        <f>N(INDEX(Krankheitstage!$G283:$DV283,1,(Einstellungen!$C$3-2026)*24+14))</f>
        <v/>
      </c>
      <c r="S283" s="76">
        <f>N(INDEX(Krankheitstage!$G283:$DV283,1,(Einstellungen!$C$3-2026)*24+15))</f>
        <v/>
      </c>
      <c r="T283" s="76">
        <f>N(INDEX(Krankheitstage!$G283:$DV283,1,(Einstellungen!$C$3-2026)*24+16))</f>
        <v/>
      </c>
      <c r="U283" s="76">
        <f>N(INDEX(Krankheitstage!$G283:$DV283,1,(Einstellungen!$C$3-2026)*24+17))</f>
        <v/>
      </c>
      <c r="V283" s="76">
        <f>N(INDEX(Krankheitstage!$G283:$DV283,1,(Einstellungen!$C$3-2026)*24+18))</f>
        <v/>
      </c>
      <c r="W283" s="76">
        <f>N(INDEX(Krankheitstage!$G283:$DV283,1,(Einstellungen!$C$3-2026)*24+19))</f>
        <v/>
      </c>
      <c r="X283" s="76">
        <f>N(INDEX(Krankheitstage!$G283:$DV283,1,(Einstellungen!$C$3-2026)*24+20))</f>
        <v/>
      </c>
      <c r="Y283" s="76">
        <f>N(INDEX(Krankheitstage!$G283:$DV283,1,(Einstellungen!$C$3-2026)*24+21))</f>
        <v/>
      </c>
      <c r="Z283" s="76">
        <f>N(INDEX(Krankheitstage!$G283:$DV283,1,(Einstellungen!$C$3-2026)*24+22))</f>
        <v/>
      </c>
      <c r="AA283" s="76">
        <f>N(INDEX(Krankheitstage!$G283:$DV283,1,(Einstellungen!$C$3-2026)*24+23))</f>
        <v/>
      </c>
      <c r="AB283" s="76">
        <f>N(INDEX(Krankheitstage!$G283:$DV283,1,(Einstellungen!$C$3-2026)*24+24))</f>
        <v/>
      </c>
      <c r="AC283" s="76">
        <f>IF($B283="","",SUM(Q283:AB283))</f>
        <v/>
      </c>
      <c r="AD283" s="76">
        <f>IF($B283="","",SUM(P283,AC283))</f>
        <v/>
      </c>
      <c r="AE283" s="77">
        <f>IF($B283="","",AD283*N(C283))</f>
        <v/>
      </c>
      <c r="AF283" s="76">
        <f>IF($B283="","",Krankheitstage!E283)</f>
        <v/>
      </c>
      <c r="AG283" s="77">
        <f>IF($B283="","",AF283*N(C283))</f>
        <v/>
      </c>
    </row>
    <row r="284">
      <c r="A284" s="74">
        <f>IF(Mitarbeiter!B284="","",Mitarbeiter!A284)</f>
        <v/>
      </c>
      <c r="B284" s="6">
        <f>IF(Mitarbeiter!B284="","",Mitarbeiter!B284)</f>
        <v/>
      </c>
      <c r="C284" s="75">
        <f>IF(Mitarbeiter!B284="","",Mitarbeiter!F284)</f>
        <v/>
      </c>
      <c r="D284" s="76">
        <f>N(INDEX(Krankheitstage!$G284:$DV284,1,(Einstellungen!$C$3-2026)*24+1))</f>
        <v/>
      </c>
      <c r="E284" s="76">
        <f>N(INDEX(Krankheitstage!$G284:$DV284,1,(Einstellungen!$C$3-2026)*24+2))</f>
        <v/>
      </c>
      <c r="F284" s="76">
        <f>N(INDEX(Krankheitstage!$G284:$DV284,1,(Einstellungen!$C$3-2026)*24+3))</f>
        <v/>
      </c>
      <c r="G284" s="76">
        <f>N(INDEX(Krankheitstage!$G284:$DV284,1,(Einstellungen!$C$3-2026)*24+4))</f>
        <v/>
      </c>
      <c r="H284" s="76">
        <f>N(INDEX(Krankheitstage!$G284:$DV284,1,(Einstellungen!$C$3-2026)*24+5))</f>
        <v/>
      </c>
      <c r="I284" s="76">
        <f>N(INDEX(Krankheitstage!$G284:$DV284,1,(Einstellungen!$C$3-2026)*24+6))</f>
        <v/>
      </c>
      <c r="J284" s="76">
        <f>N(INDEX(Krankheitstage!$G284:$DV284,1,(Einstellungen!$C$3-2026)*24+7))</f>
        <v/>
      </c>
      <c r="K284" s="76">
        <f>N(INDEX(Krankheitstage!$G284:$DV284,1,(Einstellungen!$C$3-2026)*24+8))</f>
        <v/>
      </c>
      <c r="L284" s="76">
        <f>N(INDEX(Krankheitstage!$G284:$DV284,1,(Einstellungen!$C$3-2026)*24+9))</f>
        <v/>
      </c>
      <c r="M284" s="76">
        <f>N(INDEX(Krankheitstage!$G284:$DV284,1,(Einstellungen!$C$3-2026)*24+10))</f>
        <v/>
      </c>
      <c r="N284" s="76">
        <f>N(INDEX(Krankheitstage!$G284:$DV284,1,(Einstellungen!$C$3-2026)*24+11))</f>
        <v/>
      </c>
      <c r="O284" s="76">
        <f>N(INDEX(Krankheitstage!$G284:$DV284,1,(Einstellungen!$C$3-2026)*24+12))</f>
        <v/>
      </c>
      <c r="P284" s="76">
        <f>IF($B284="","",SUM(D284:O284))</f>
        <v/>
      </c>
      <c r="Q284" s="76">
        <f>N(INDEX(Krankheitstage!$G284:$DV284,1,(Einstellungen!$C$3-2026)*24+13))</f>
        <v/>
      </c>
      <c r="R284" s="76">
        <f>N(INDEX(Krankheitstage!$G284:$DV284,1,(Einstellungen!$C$3-2026)*24+14))</f>
        <v/>
      </c>
      <c r="S284" s="76">
        <f>N(INDEX(Krankheitstage!$G284:$DV284,1,(Einstellungen!$C$3-2026)*24+15))</f>
        <v/>
      </c>
      <c r="T284" s="76">
        <f>N(INDEX(Krankheitstage!$G284:$DV284,1,(Einstellungen!$C$3-2026)*24+16))</f>
        <v/>
      </c>
      <c r="U284" s="76">
        <f>N(INDEX(Krankheitstage!$G284:$DV284,1,(Einstellungen!$C$3-2026)*24+17))</f>
        <v/>
      </c>
      <c r="V284" s="76">
        <f>N(INDEX(Krankheitstage!$G284:$DV284,1,(Einstellungen!$C$3-2026)*24+18))</f>
        <v/>
      </c>
      <c r="W284" s="76">
        <f>N(INDEX(Krankheitstage!$G284:$DV284,1,(Einstellungen!$C$3-2026)*24+19))</f>
        <v/>
      </c>
      <c r="X284" s="76">
        <f>N(INDEX(Krankheitstage!$G284:$DV284,1,(Einstellungen!$C$3-2026)*24+20))</f>
        <v/>
      </c>
      <c r="Y284" s="76">
        <f>N(INDEX(Krankheitstage!$G284:$DV284,1,(Einstellungen!$C$3-2026)*24+21))</f>
        <v/>
      </c>
      <c r="Z284" s="76">
        <f>N(INDEX(Krankheitstage!$G284:$DV284,1,(Einstellungen!$C$3-2026)*24+22))</f>
        <v/>
      </c>
      <c r="AA284" s="76">
        <f>N(INDEX(Krankheitstage!$G284:$DV284,1,(Einstellungen!$C$3-2026)*24+23))</f>
        <v/>
      </c>
      <c r="AB284" s="76">
        <f>N(INDEX(Krankheitstage!$G284:$DV284,1,(Einstellungen!$C$3-2026)*24+24))</f>
        <v/>
      </c>
      <c r="AC284" s="76">
        <f>IF($B284="","",SUM(Q284:AB284))</f>
        <v/>
      </c>
      <c r="AD284" s="76">
        <f>IF($B284="","",SUM(P284,AC284))</f>
        <v/>
      </c>
      <c r="AE284" s="77">
        <f>IF($B284="","",AD284*N(C284))</f>
        <v/>
      </c>
      <c r="AF284" s="76">
        <f>IF($B284="","",Krankheitstage!E284)</f>
        <v/>
      </c>
      <c r="AG284" s="77">
        <f>IF($B284="","",AF284*N(C284))</f>
        <v/>
      </c>
    </row>
    <row r="285">
      <c r="A285" s="74">
        <f>IF(Mitarbeiter!B285="","",Mitarbeiter!A285)</f>
        <v/>
      </c>
      <c r="B285" s="6">
        <f>IF(Mitarbeiter!B285="","",Mitarbeiter!B285)</f>
        <v/>
      </c>
      <c r="C285" s="75">
        <f>IF(Mitarbeiter!B285="","",Mitarbeiter!F285)</f>
        <v/>
      </c>
      <c r="D285" s="76">
        <f>N(INDEX(Krankheitstage!$G285:$DV285,1,(Einstellungen!$C$3-2026)*24+1))</f>
        <v/>
      </c>
      <c r="E285" s="76">
        <f>N(INDEX(Krankheitstage!$G285:$DV285,1,(Einstellungen!$C$3-2026)*24+2))</f>
        <v/>
      </c>
      <c r="F285" s="76">
        <f>N(INDEX(Krankheitstage!$G285:$DV285,1,(Einstellungen!$C$3-2026)*24+3))</f>
        <v/>
      </c>
      <c r="G285" s="76">
        <f>N(INDEX(Krankheitstage!$G285:$DV285,1,(Einstellungen!$C$3-2026)*24+4))</f>
        <v/>
      </c>
      <c r="H285" s="76">
        <f>N(INDEX(Krankheitstage!$G285:$DV285,1,(Einstellungen!$C$3-2026)*24+5))</f>
        <v/>
      </c>
      <c r="I285" s="76">
        <f>N(INDEX(Krankheitstage!$G285:$DV285,1,(Einstellungen!$C$3-2026)*24+6))</f>
        <v/>
      </c>
      <c r="J285" s="76">
        <f>N(INDEX(Krankheitstage!$G285:$DV285,1,(Einstellungen!$C$3-2026)*24+7))</f>
        <v/>
      </c>
      <c r="K285" s="76">
        <f>N(INDEX(Krankheitstage!$G285:$DV285,1,(Einstellungen!$C$3-2026)*24+8))</f>
        <v/>
      </c>
      <c r="L285" s="76">
        <f>N(INDEX(Krankheitstage!$G285:$DV285,1,(Einstellungen!$C$3-2026)*24+9))</f>
        <v/>
      </c>
      <c r="M285" s="76">
        <f>N(INDEX(Krankheitstage!$G285:$DV285,1,(Einstellungen!$C$3-2026)*24+10))</f>
        <v/>
      </c>
      <c r="N285" s="76">
        <f>N(INDEX(Krankheitstage!$G285:$DV285,1,(Einstellungen!$C$3-2026)*24+11))</f>
        <v/>
      </c>
      <c r="O285" s="76">
        <f>N(INDEX(Krankheitstage!$G285:$DV285,1,(Einstellungen!$C$3-2026)*24+12))</f>
        <v/>
      </c>
      <c r="P285" s="76">
        <f>IF($B285="","",SUM(D285:O285))</f>
        <v/>
      </c>
      <c r="Q285" s="76">
        <f>N(INDEX(Krankheitstage!$G285:$DV285,1,(Einstellungen!$C$3-2026)*24+13))</f>
        <v/>
      </c>
      <c r="R285" s="76">
        <f>N(INDEX(Krankheitstage!$G285:$DV285,1,(Einstellungen!$C$3-2026)*24+14))</f>
        <v/>
      </c>
      <c r="S285" s="76">
        <f>N(INDEX(Krankheitstage!$G285:$DV285,1,(Einstellungen!$C$3-2026)*24+15))</f>
        <v/>
      </c>
      <c r="T285" s="76">
        <f>N(INDEX(Krankheitstage!$G285:$DV285,1,(Einstellungen!$C$3-2026)*24+16))</f>
        <v/>
      </c>
      <c r="U285" s="76">
        <f>N(INDEX(Krankheitstage!$G285:$DV285,1,(Einstellungen!$C$3-2026)*24+17))</f>
        <v/>
      </c>
      <c r="V285" s="76">
        <f>N(INDEX(Krankheitstage!$G285:$DV285,1,(Einstellungen!$C$3-2026)*24+18))</f>
        <v/>
      </c>
      <c r="W285" s="76">
        <f>N(INDEX(Krankheitstage!$G285:$DV285,1,(Einstellungen!$C$3-2026)*24+19))</f>
        <v/>
      </c>
      <c r="X285" s="76">
        <f>N(INDEX(Krankheitstage!$G285:$DV285,1,(Einstellungen!$C$3-2026)*24+20))</f>
        <v/>
      </c>
      <c r="Y285" s="76">
        <f>N(INDEX(Krankheitstage!$G285:$DV285,1,(Einstellungen!$C$3-2026)*24+21))</f>
        <v/>
      </c>
      <c r="Z285" s="76">
        <f>N(INDEX(Krankheitstage!$G285:$DV285,1,(Einstellungen!$C$3-2026)*24+22))</f>
        <v/>
      </c>
      <c r="AA285" s="76">
        <f>N(INDEX(Krankheitstage!$G285:$DV285,1,(Einstellungen!$C$3-2026)*24+23))</f>
        <v/>
      </c>
      <c r="AB285" s="76">
        <f>N(INDEX(Krankheitstage!$G285:$DV285,1,(Einstellungen!$C$3-2026)*24+24))</f>
        <v/>
      </c>
      <c r="AC285" s="76">
        <f>IF($B285="","",SUM(Q285:AB285))</f>
        <v/>
      </c>
      <c r="AD285" s="76">
        <f>IF($B285="","",SUM(P285,AC285))</f>
        <v/>
      </c>
      <c r="AE285" s="77">
        <f>IF($B285="","",AD285*N(C285))</f>
        <v/>
      </c>
      <c r="AF285" s="76">
        <f>IF($B285="","",Krankheitstage!E285)</f>
        <v/>
      </c>
      <c r="AG285" s="77">
        <f>IF($B285="","",AF285*N(C285))</f>
        <v/>
      </c>
    </row>
    <row r="286">
      <c r="A286" s="74">
        <f>IF(Mitarbeiter!B286="","",Mitarbeiter!A286)</f>
        <v/>
      </c>
      <c r="B286" s="6">
        <f>IF(Mitarbeiter!B286="","",Mitarbeiter!B286)</f>
        <v/>
      </c>
      <c r="C286" s="75">
        <f>IF(Mitarbeiter!B286="","",Mitarbeiter!F286)</f>
        <v/>
      </c>
      <c r="D286" s="76">
        <f>N(INDEX(Krankheitstage!$G286:$DV286,1,(Einstellungen!$C$3-2026)*24+1))</f>
        <v/>
      </c>
      <c r="E286" s="76">
        <f>N(INDEX(Krankheitstage!$G286:$DV286,1,(Einstellungen!$C$3-2026)*24+2))</f>
        <v/>
      </c>
      <c r="F286" s="76">
        <f>N(INDEX(Krankheitstage!$G286:$DV286,1,(Einstellungen!$C$3-2026)*24+3))</f>
        <v/>
      </c>
      <c r="G286" s="76">
        <f>N(INDEX(Krankheitstage!$G286:$DV286,1,(Einstellungen!$C$3-2026)*24+4))</f>
        <v/>
      </c>
      <c r="H286" s="76">
        <f>N(INDEX(Krankheitstage!$G286:$DV286,1,(Einstellungen!$C$3-2026)*24+5))</f>
        <v/>
      </c>
      <c r="I286" s="76">
        <f>N(INDEX(Krankheitstage!$G286:$DV286,1,(Einstellungen!$C$3-2026)*24+6))</f>
        <v/>
      </c>
      <c r="J286" s="76">
        <f>N(INDEX(Krankheitstage!$G286:$DV286,1,(Einstellungen!$C$3-2026)*24+7))</f>
        <v/>
      </c>
      <c r="K286" s="76">
        <f>N(INDEX(Krankheitstage!$G286:$DV286,1,(Einstellungen!$C$3-2026)*24+8))</f>
        <v/>
      </c>
      <c r="L286" s="76">
        <f>N(INDEX(Krankheitstage!$G286:$DV286,1,(Einstellungen!$C$3-2026)*24+9))</f>
        <v/>
      </c>
      <c r="M286" s="76">
        <f>N(INDEX(Krankheitstage!$G286:$DV286,1,(Einstellungen!$C$3-2026)*24+10))</f>
        <v/>
      </c>
      <c r="N286" s="76">
        <f>N(INDEX(Krankheitstage!$G286:$DV286,1,(Einstellungen!$C$3-2026)*24+11))</f>
        <v/>
      </c>
      <c r="O286" s="76">
        <f>N(INDEX(Krankheitstage!$G286:$DV286,1,(Einstellungen!$C$3-2026)*24+12))</f>
        <v/>
      </c>
      <c r="P286" s="76">
        <f>IF($B286="","",SUM(D286:O286))</f>
        <v/>
      </c>
      <c r="Q286" s="76">
        <f>N(INDEX(Krankheitstage!$G286:$DV286,1,(Einstellungen!$C$3-2026)*24+13))</f>
        <v/>
      </c>
      <c r="R286" s="76">
        <f>N(INDEX(Krankheitstage!$G286:$DV286,1,(Einstellungen!$C$3-2026)*24+14))</f>
        <v/>
      </c>
      <c r="S286" s="76">
        <f>N(INDEX(Krankheitstage!$G286:$DV286,1,(Einstellungen!$C$3-2026)*24+15))</f>
        <v/>
      </c>
      <c r="T286" s="76">
        <f>N(INDEX(Krankheitstage!$G286:$DV286,1,(Einstellungen!$C$3-2026)*24+16))</f>
        <v/>
      </c>
      <c r="U286" s="76">
        <f>N(INDEX(Krankheitstage!$G286:$DV286,1,(Einstellungen!$C$3-2026)*24+17))</f>
        <v/>
      </c>
      <c r="V286" s="76">
        <f>N(INDEX(Krankheitstage!$G286:$DV286,1,(Einstellungen!$C$3-2026)*24+18))</f>
        <v/>
      </c>
      <c r="W286" s="76">
        <f>N(INDEX(Krankheitstage!$G286:$DV286,1,(Einstellungen!$C$3-2026)*24+19))</f>
        <v/>
      </c>
      <c r="X286" s="76">
        <f>N(INDEX(Krankheitstage!$G286:$DV286,1,(Einstellungen!$C$3-2026)*24+20))</f>
        <v/>
      </c>
      <c r="Y286" s="76">
        <f>N(INDEX(Krankheitstage!$G286:$DV286,1,(Einstellungen!$C$3-2026)*24+21))</f>
        <v/>
      </c>
      <c r="Z286" s="76">
        <f>N(INDEX(Krankheitstage!$G286:$DV286,1,(Einstellungen!$C$3-2026)*24+22))</f>
        <v/>
      </c>
      <c r="AA286" s="76">
        <f>N(INDEX(Krankheitstage!$G286:$DV286,1,(Einstellungen!$C$3-2026)*24+23))</f>
        <v/>
      </c>
      <c r="AB286" s="76">
        <f>N(INDEX(Krankheitstage!$G286:$DV286,1,(Einstellungen!$C$3-2026)*24+24))</f>
        <v/>
      </c>
      <c r="AC286" s="76">
        <f>IF($B286="","",SUM(Q286:AB286))</f>
        <v/>
      </c>
      <c r="AD286" s="76">
        <f>IF($B286="","",SUM(P286,AC286))</f>
        <v/>
      </c>
      <c r="AE286" s="77">
        <f>IF($B286="","",AD286*N(C286))</f>
        <v/>
      </c>
      <c r="AF286" s="76">
        <f>IF($B286="","",Krankheitstage!E286)</f>
        <v/>
      </c>
      <c r="AG286" s="77">
        <f>IF($B286="","",AF286*N(C286))</f>
        <v/>
      </c>
    </row>
    <row r="287">
      <c r="A287" s="74">
        <f>IF(Mitarbeiter!B287="","",Mitarbeiter!A287)</f>
        <v/>
      </c>
      <c r="B287" s="6">
        <f>IF(Mitarbeiter!B287="","",Mitarbeiter!B287)</f>
        <v/>
      </c>
      <c r="C287" s="75">
        <f>IF(Mitarbeiter!B287="","",Mitarbeiter!F287)</f>
        <v/>
      </c>
      <c r="D287" s="76">
        <f>N(INDEX(Krankheitstage!$G287:$DV287,1,(Einstellungen!$C$3-2026)*24+1))</f>
        <v/>
      </c>
      <c r="E287" s="76">
        <f>N(INDEX(Krankheitstage!$G287:$DV287,1,(Einstellungen!$C$3-2026)*24+2))</f>
        <v/>
      </c>
      <c r="F287" s="76">
        <f>N(INDEX(Krankheitstage!$G287:$DV287,1,(Einstellungen!$C$3-2026)*24+3))</f>
        <v/>
      </c>
      <c r="G287" s="76">
        <f>N(INDEX(Krankheitstage!$G287:$DV287,1,(Einstellungen!$C$3-2026)*24+4))</f>
        <v/>
      </c>
      <c r="H287" s="76">
        <f>N(INDEX(Krankheitstage!$G287:$DV287,1,(Einstellungen!$C$3-2026)*24+5))</f>
        <v/>
      </c>
      <c r="I287" s="76">
        <f>N(INDEX(Krankheitstage!$G287:$DV287,1,(Einstellungen!$C$3-2026)*24+6))</f>
        <v/>
      </c>
      <c r="J287" s="76">
        <f>N(INDEX(Krankheitstage!$G287:$DV287,1,(Einstellungen!$C$3-2026)*24+7))</f>
        <v/>
      </c>
      <c r="K287" s="76">
        <f>N(INDEX(Krankheitstage!$G287:$DV287,1,(Einstellungen!$C$3-2026)*24+8))</f>
        <v/>
      </c>
      <c r="L287" s="76">
        <f>N(INDEX(Krankheitstage!$G287:$DV287,1,(Einstellungen!$C$3-2026)*24+9))</f>
        <v/>
      </c>
      <c r="M287" s="76">
        <f>N(INDEX(Krankheitstage!$G287:$DV287,1,(Einstellungen!$C$3-2026)*24+10))</f>
        <v/>
      </c>
      <c r="N287" s="76">
        <f>N(INDEX(Krankheitstage!$G287:$DV287,1,(Einstellungen!$C$3-2026)*24+11))</f>
        <v/>
      </c>
      <c r="O287" s="76">
        <f>N(INDEX(Krankheitstage!$G287:$DV287,1,(Einstellungen!$C$3-2026)*24+12))</f>
        <v/>
      </c>
      <c r="P287" s="76">
        <f>IF($B287="","",SUM(D287:O287))</f>
        <v/>
      </c>
      <c r="Q287" s="76">
        <f>N(INDEX(Krankheitstage!$G287:$DV287,1,(Einstellungen!$C$3-2026)*24+13))</f>
        <v/>
      </c>
      <c r="R287" s="76">
        <f>N(INDEX(Krankheitstage!$G287:$DV287,1,(Einstellungen!$C$3-2026)*24+14))</f>
        <v/>
      </c>
      <c r="S287" s="76">
        <f>N(INDEX(Krankheitstage!$G287:$DV287,1,(Einstellungen!$C$3-2026)*24+15))</f>
        <v/>
      </c>
      <c r="T287" s="76">
        <f>N(INDEX(Krankheitstage!$G287:$DV287,1,(Einstellungen!$C$3-2026)*24+16))</f>
        <v/>
      </c>
      <c r="U287" s="76">
        <f>N(INDEX(Krankheitstage!$G287:$DV287,1,(Einstellungen!$C$3-2026)*24+17))</f>
        <v/>
      </c>
      <c r="V287" s="76">
        <f>N(INDEX(Krankheitstage!$G287:$DV287,1,(Einstellungen!$C$3-2026)*24+18))</f>
        <v/>
      </c>
      <c r="W287" s="76">
        <f>N(INDEX(Krankheitstage!$G287:$DV287,1,(Einstellungen!$C$3-2026)*24+19))</f>
        <v/>
      </c>
      <c r="X287" s="76">
        <f>N(INDEX(Krankheitstage!$G287:$DV287,1,(Einstellungen!$C$3-2026)*24+20))</f>
        <v/>
      </c>
      <c r="Y287" s="76">
        <f>N(INDEX(Krankheitstage!$G287:$DV287,1,(Einstellungen!$C$3-2026)*24+21))</f>
        <v/>
      </c>
      <c r="Z287" s="76">
        <f>N(INDEX(Krankheitstage!$G287:$DV287,1,(Einstellungen!$C$3-2026)*24+22))</f>
        <v/>
      </c>
      <c r="AA287" s="76">
        <f>N(INDEX(Krankheitstage!$G287:$DV287,1,(Einstellungen!$C$3-2026)*24+23))</f>
        <v/>
      </c>
      <c r="AB287" s="76">
        <f>N(INDEX(Krankheitstage!$G287:$DV287,1,(Einstellungen!$C$3-2026)*24+24))</f>
        <v/>
      </c>
      <c r="AC287" s="76">
        <f>IF($B287="","",SUM(Q287:AB287))</f>
        <v/>
      </c>
      <c r="AD287" s="76">
        <f>IF($B287="","",SUM(P287,AC287))</f>
        <v/>
      </c>
      <c r="AE287" s="77">
        <f>IF($B287="","",AD287*N(C287))</f>
        <v/>
      </c>
      <c r="AF287" s="76">
        <f>IF($B287="","",Krankheitstage!E287)</f>
        <v/>
      </c>
      <c r="AG287" s="77">
        <f>IF($B287="","",AF287*N(C287))</f>
        <v/>
      </c>
    </row>
    <row r="288">
      <c r="A288" s="74">
        <f>IF(Mitarbeiter!B288="","",Mitarbeiter!A288)</f>
        <v/>
      </c>
      <c r="B288" s="6">
        <f>IF(Mitarbeiter!B288="","",Mitarbeiter!B288)</f>
        <v/>
      </c>
      <c r="C288" s="75">
        <f>IF(Mitarbeiter!B288="","",Mitarbeiter!F288)</f>
        <v/>
      </c>
      <c r="D288" s="76">
        <f>N(INDEX(Krankheitstage!$G288:$DV288,1,(Einstellungen!$C$3-2026)*24+1))</f>
        <v/>
      </c>
      <c r="E288" s="76">
        <f>N(INDEX(Krankheitstage!$G288:$DV288,1,(Einstellungen!$C$3-2026)*24+2))</f>
        <v/>
      </c>
      <c r="F288" s="76">
        <f>N(INDEX(Krankheitstage!$G288:$DV288,1,(Einstellungen!$C$3-2026)*24+3))</f>
        <v/>
      </c>
      <c r="G288" s="76">
        <f>N(INDEX(Krankheitstage!$G288:$DV288,1,(Einstellungen!$C$3-2026)*24+4))</f>
        <v/>
      </c>
      <c r="H288" s="76">
        <f>N(INDEX(Krankheitstage!$G288:$DV288,1,(Einstellungen!$C$3-2026)*24+5))</f>
        <v/>
      </c>
      <c r="I288" s="76">
        <f>N(INDEX(Krankheitstage!$G288:$DV288,1,(Einstellungen!$C$3-2026)*24+6))</f>
        <v/>
      </c>
      <c r="J288" s="76">
        <f>N(INDEX(Krankheitstage!$G288:$DV288,1,(Einstellungen!$C$3-2026)*24+7))</f>
        <v/>
      </c>
      <c r="K288" s="76">
        <f>N(INDEX(Krankheitstage!$G288:$DV288,1,(Einstellungen!$C$3-2026)*24+8))</f>
        <v/>
      </c>
      <c r="L288" s="76">
        <f>N(INDEX(Krankheitstage!$G288:$DV288,1,(Einstellungen!$C$3-2026)*24+9))</f>
        <v/>
      </c>
      <c r="M288" s="76">
        <f>N(INDEX(Krankheitstage!$G288:$DV288,1,(Einstellungen!$C$3-2026)*24+10))</f>
        <v/>
      </c>
      <c r="N288" s="76">
        <f>N(INDEX(Krankheitstage!$G288:$DV288,1,(Einstellungen!$C$3-2026)*24+11))</f>
        <v/>
      </c>
      <c r="O288" s="76">
        <f>N(INDEX(Krankheitstage!$G288:$DV288,1,(Einstellungen!$C$3-2026)*24+12))</f>
        <v/>
      </c>
      <c r="P288" s="76">
        <f>IF($B288="","",SUM(D288:O288))</f>
        <v/>
      </c>
      <c r="Q288" s="76">
        <f>N(INDEX(Krankheitstage!$G288:$DV288,1,(Einstellungen!$C$3-2026)*24+13))</f>
        <v/>
      </c>
      <c r="R288" s="76">
        <f>N(INDEX(Krankheitstage!$G288:$DV288,1,(Einstellungen!$C$3-2026)*24+14))</f>
        <v/>
      </c>
      <c r="S288" s="76">
        <f>N(INDEX(Krankheitstage!$G288:$DV288,1,(Einstellungen!$C$3-2026)*24+15))</f>
        <v/>
      </c>
      <c r="T288" s="76">
        <f>N(INDEX(Krankheitstage!$G288:$DV288,1,(Einstellungen!$C$3-2026)*24+16))</f>
        <v/>
      </c>
      <c r="U288" s="76">
        <f>N(INDEX(Krankheitstage!$G288:$DV288,1,(Einstellungen!$C$3-2026)*24+17))</f>
        <v/>
      </c>
      <c r="V288" s="76">
        <f>N(INDEX(Krankheitstage!$G288:$DV288,1,(Einstellungen!$C$3-2026)*24+18))</f>
        <v/>
      </c>
      <c r="W288" s="76">
        <f>N(INDEX(Krankheitstage!$G288:$DV288,1,(Einstellungen!$C$3-2026)*24+19))</f>
        <v/>
      </c>
      <c r="X288" s="76">
        <f>N(INDEX(Krankheitstage!$G288:$DV288,1,(Einstellungen!$C$3-2026)*24+20))</f>
        <v/>
      </c>
      <c r="Y288" s="76">
        <f>N(INDEX(Krankheitstage!$G288:$DV288,1,(Einstellungen!$C$3-2026)*24+21))</f>
        <v/>
      </c>
      <c r="Z288" s="76">
        <f>N(INDEX(Krankheitstage!$G288:$DV288,1,(Einstellungen!$C$3-2026)*24+22))</f>
        <v/>
      </c>
      <c r="AA288" s="76">
        <f>N(INDEX(Krankheitstage!$G288:$DV288,1,(Einstellungen!$C$3-2026)*24+23))</f>
        <v/>
      </c>
      <c r="AB288" s="76">
        <f>N(INDEX(Krankheitstage!$G288:$DV288,1,(Einstellungen!$C$3-2026)*24+24))</f>
        <v/>
      </c>
      <c r="AC288" s="76">
        <f>IF($B288="","",SUM(Q288:AB288))</f>
        <v/>
      </c>
      <c r="AD288" s="76">
        <f>IF($B288="","",SUM(P288,AC288))</f>
        <v/>
      </c>
      <c r="AE288" s="77">
        <f>IF($B288="","",AD288*N(C288))</f>
        <v/>
      </c>
      <c r="AF288" s="76">
        <f>IF($B288="","",Krankheitstage!E288)</f>
        <v/>
      </c>
      <c r="AG288" s="77">
        <f>IF($B288="","",AF288*N(C288))</f>
        <v/>
      </c>
    </row>
    <row r="289">
      <c r="A289" s="74">
        <f>IF(Mitarbeiter!B289="","",Mitarbeiter!A289)</f>
        <v/>
      </c>
      <c r="B289" s="6">
        <f>IF(Mitarbeiter!B289="","",Mitarbeiter!B289)</f>
        <v/>
      </c>
      <c r="C289" s="75">
        <f>IF(Mitarbeiter!B289="","",Mitarbeiter!F289)</f>
        <v/>
      </c>
      <c r="D289" s="76">
        <f>N(INDEX(Krankheitstage!$G289:$DV289,1,(Einstellungen!$C$3-2026)*24+1))</f>
        <v/>
      </c>
      <c r="E289" s="76">
        <f>N(INDEX(Krankheitstage!$G289:$DV289,1,(Einstellungen!$C$3-2026)*24+2))</f>
        <v/>
      </c>
      <c r="F289" s="76">
        <f>N(INDEX(Krankheitstage!$G289:$DV289,1,(Einstellungen!$C$3-2026)*24+3))</f>
        <v/>
      </c>
      <c r="G289" s="76">
        <f>N(INDEX(Krankheitstage!$G289:$DV289,1,(Einstellungen!$C$3-2026)*24+4))</f>
        <v/>
      </c>
      <c r="H289" s="76">
        <f>N(INDEX(Krankheitstage!$G289:$DV289,1,(Einstellungen!$C$3-2026)*24+5))</f>
        <v/>
      </c>
      <c r="I289" s="76">
        <f>N(INDEX(Krankheitstage!$G289:$DV289,1,(Einstellungen!$C$3-2026)*24+6))</f>
        <v/>
      </c>
      <c r="J289" s="76">
        <f>N(INDEX(Krankheitstage!$G289:$DV289,1,(Einstellungen!$C$3-2026)*24+7))</f>
        <v/>
      </c>
      <c r="K289" s="76">
        <f>N(INDEX(Krankheitstage!$G289:$DV289,1,(Einstellungen!$C$3-2026)*24+8))</f>
        <v/>
      </c>
      <c r="L289" s="76">
        <f>N(INDEX(Krankheitstage!$G289:$DV289,1,(Einstellungen!$C$3-2026)*24+9))</f>
        <v/>
      </c>
      <c r="M289" s="76">
        <f>N(INDEX(Krankheitstage!$G289:$DV289,1,(Einstellungen!$C$3-2026)*24+10))</f>
        <v/>
      </c>
      <c r="N289" s="76">
        <f>N(INDEX(Krankheitstage!$G289:$DV289,1,(Einstellungen!$C$3-2026)*24+11))</f>
        <v/>
      </c>
      <c r="O289" s="76">
        <f>N(INDEX(Krankheitstage!$G289:$DV289,1,(Einstellungen!$C$3-2026)*24+12))</f>
        <v/>
      </c>
      <c r="P289" s="76">
        <f>IF($B289="","",SUM(D289:O289))</f>
        <v/>
      </c>
      <c r="Q289" s="76">
        <f>N(INDEX(Krankheitstage!$G289:$DV289,1,(Einstellungen!$C$3-2026)*24+13))</f>
        <v/>
      </c>
      <c r="R289" s="76">
        <f>N(INDEX(Krankheitstage!$G289:$DV289,1,(Einstellungen!$C$3-2026)*24+14))</f>
        <v/>
      </c>
      <c r="S289" s="76">
        <f>N(INDEX(Krankheitstage!$G289:$DV289,1,(Einstellungen!$C$3-2026)*24+15))</f>
        <v/>
      </c>
      <c r="T289" s="76">
        <f>N(INDEX(Krankheitstage!$G289:$DV289,1,(Einstellungen!$C$3-2026)*24+16))</f>
        <v/>
      </c>
      <c r="U289" s="76">
        <f>N(INDEX(Krankheitstage!$G289:$DV289,1,(Einstellungen!$C$3-2026)*24+17))</f>
        <v/>
      </c>
      <c r="V289" s="76">
        <f>N(INDEX(Krankheitstage!$G289:$DV289,1,(Einstellungen!$C$3-2026)*24+18))</f>
        <v/>
      </c>
      <c r="W289" s="76">
        <f>N(INDEX(Krankheitstage!$G289:$DV289,1,(Einstellungen!$C$3-2026)*24+19))</f>
        <v/>
      </c>
      <c r="X289" s="76">
        <f>N(INDEX(Krankheitstage!$G289:$DV289,1,(Einstellungen!$C$3-2026)*24+20))</f>
        <v/>
      </c>
      <c r="Y289" s="76">
        <f>N(INDEX(Krankheitstage!$G289:$DV289,1,(Einstellungen!$C$3-2026)*24+21))</f>
        <v/>
      </c>
      <c r="Z289" s="76">
        <f>N(INDEX(Krankheitstage!$G289:$DV289,1,(Einstellungen!$C$3-2026)*24+22))</f>
        <v/>
      </c>
      <c r="AA289" s="76">
        <f>N(INDEX(Krankheitstage!$G289:$DV289,1,(Einstellungen!$C$3-2026)*24+23))</f>
        <v/>
      </c>
      <c r="AB289" s="76">
        <f>N(INDEX(Krankheitstage!$G289:$DV289,1,(Einstellungen!$C$3-2026)*24+24))</f>
        <v/>
      </c>
      <c r="AC289" s="76">
        <f>IF($B289="","",SUM(Q289:AB289))</f>
        <v/>
      </c>
      <c r="AD289" s="76">
        <f>IF($B289="","",SUM(P289,AC289))</f>
        <v/>
      </c>
      <c r="AE289" s="77">
        <f>IF($B289="","",AD289*N(C289))</f>
        <v/>
      </c>
      <c r="AF289" s="76">
        <f>IF($B289="","",Krankheitstage!E289)</f>
        <v/>
      </c>
      <c r="AG289" s="77">
        <f>IF($B289="","",AF289*N(C289))</f>
        <v/>
      </c>
    </row>
    <row r="290">
      <c r="A290" s="74">
        <f>IF(Mitarbeiter!B290="","",Mitarbeiter!A290)</f>
        <v/>
      </c>
      <c r="B290" s="6">
        <f>IF(Mitarbeiter!B290="","",Mitarbeiter!B290)</f>
        <v/>
      </c>
      <c r="C290" s="75">
        <f>IF(Mitarbeiter!B290="","",Mitarbeiter!F290)</f>
        <v/>
      </c>
      <c r="D290" s="76">
        <f>N(INDEX(Krankheitstage!$G290:$DV290,1,(Einstellungen!$C$3-2026)*24+1))</f>
        <v/>
      </c>
      <c r="E290" s="76">
        <f>N(INDEX(Krankheitstage!$G290:$DV290,1,(Einstellungen!$C$3-2026)*24+2))</f>
        <v/>
      </c>
      <c r="F290" s="76">
        <f>N(INDEX(Krankheitstage!$G290:$DV290,1,(Einstellungen!$C$3-2026)*24+3))</f>
        <v/>
      </c>
      <c r="G290" s="76">
        <f>N(INDEX(Krankheitstage!$G290:$DV290,1,(Einstellungen!$C$3-2026)*24+4))</f>
        <v/>
      </c>
      <c r="H290" s="76">
        <f>N(INDEX(Krankheitstage!$G290:$DV290,1,(Einstellungen!$C$3-2026)*24+5))</f>
        <v/>
      </c>
      <c r="I290" s="76">
        <f>N(INDEX(Krankheitstage!$G290:$DV290,1,(Einstellungen!$C$3-2026)*24+6))</f>
        <v/>
      </c>
      <c r="J290" s="76">
        <f>N(INDEX(Krankheitstage!$G290:$DV290,1,(Einstellungen!$C$3-2026)*24+7))</f>
        <v/>
      </c>
      <c r="K290" s="76">
        <f>N(INDEX(Krankheitstage!$G290:$DV290,1,(Einstellungen!$C$3-2026)*24+8))</f>
        <v/>
      </c>
      <c r="L290" s="76">
        <f>N(INDEX(Krankheitstage!$G290:$DV290,1,(Einstellungen!$C$3-2026)*24+9))</f>
        <v/>
      </c>
      <c r="M290" s="76">
        <f>N(INDEX(Krankheitstage!$G290:$DV290,1,(Einstellungen!$C$3-2026)*24+10))</f>
        <v/>
      </c>
      <c r="N290" s="76">
        <f>N(INDEX(Krankheitstage!$G290:$DV290,1,(Einstellungen!$C$3-2026)*24+11))</f>
        <v/>
      </c>
      <c r="O290" s="76">
        <f>N(INDEX(Krankheitstage!$G290:$DV290,1,(Einstellungen!$C$3-2026)*24+12))</f>
        <v/>
      </c>
      <c r="P290" s="76">
        <f>IF($B290="","",SUM(D290:O290))</f>
        <v/>
      </c>
      <c r="Q290" s="76">
        <f>N(INDEX(Krankheitstage!$G290:$DV290,1,(Einstellungen!$C$3-2026)*24+13))</f>
        <v/>
      </c>
      <c r="R290" s="76">
        <f>N(INDEX(Krankheitstage!$G290:$DV290,1,(Einstellungen!$C$3-2026)*24+14))</f>
        <v/>
      </c>
      <c r="S290" s="76">
        <f>N(INDEX(Krankheitstage!$G290:$DV290,1,(Einstellungen!$C$3-2026)*24+15))</f>
        <v/>
      </c>
      <c r="T290" s="76">
        <f>N(INDEX(Krankheitstage!$G290:$DV290,1,(Einstellungen!$C$3-2026)*24+16))</f>
        <v/>
      </c>
      <c r="U290" s="76">
        <f>N(INDEX(Krankheitstage!$G290:$DV290,1,(Einstellungen!$C$3-2026)*24+17))</f>
        <v/>
      </c>
      <c r="V290" s="76">
        <f>N(INDEX(Krankheitstage!$G290:$DV290,1,(Einstellungen!$C$3-2026)*24+18))</f>
        <v/>
      </c>
      <c r="W290" s="76">
        <f>N(INDEX(Krankheitstage!$G290:$DV290,1,(Einstellungen!$C$3-2026)*24+19))</f>
        <v/>
      </c>
      <c r="X290" s="76">
        <f>N(INDEX(Krankheitstage!$G290:$DV290,1,(Einstellungen!$C$3-2026)*24+20))</f>
        <v/>
      </c>
      <c r="Y290" s="76">
        <f>N(INDEX(Krankheitstage!$G290:$DV290,1,(Einstellungen!$C$3-2026)*24+21))</f>
        <v/>
      </c>
      <c r="Z290" s="76">
        <f>N(INDEX(Krankheitstage!$G290:$DV290,1,(Einstellungen!$C$3-2026)*24+22))</f>
        <v/>
      </c>
      <c r="AA290" s="76">
        <f>N(INDEX(Krankheitstage!$G290:$DV290,1,(Einstellungen!$C$3-2026)*24+23))</f>
        <v/>
      </c>
      <c r="AB290" s="76">
        <f>N(INDEX(Krankheitstage!$G290:$DV290,1,(Einstellungen!$C$3-2026)*24+24))</f>
        <v/>
      </c>
      <c r="AC290" s="76">
        <f>IF($B290="","",SUM(Q290:AB290))</f>
        <v/>
      </c>
      <c r="AD290" s="76">
        <f>IF($B290="","",SUM(P290,AC290))</f>
        <v/>
      </c>
      <c r="AE290" s="77">
        <f>IF($B290="","",AD290*N(C290))</f>
        <v/>
      </c>
      <c r="AF290" s="76">
        <f>IF($B290="","",Krankheitstage!E290)</f>
        <v/>
      </c>
      <c r="AG290" s="77">
        <f>IF($B290="","",AF290*N(C290))</f>
        <v/>
      </c>
    </row>
    <row r="291">
      <c r="A291" s="74">
        <f>IF(Mitarbeiter!B291="","",Mitarbeiter!A291)</f>
        <v/>
      </c>
      <c r="B291" s="6">
        <f>IF(Mitarbeiter!B291="","",Mitarbeiter!B291)</f>
        <v/>
      </c>
      <c r="C291" s="75">
        <f>IF(Mitarbeiter!B291="","",Mitarbeiter!F291)</f>
        <v/>
      </c>
      <c r="D291" s="76">
        <f>N(INDEX(Krankheitstage!$G291:$DV291,1,(Einstellungen!$C$3-2026)*24+1))</f>
        <v/>
      </c>
      <c r="E291" s="76">
        <f>N(INDEX(Krankheitstage!$G291:$DV291,1,(Einstellungen!$C$3-2026)*24+2))</f>
        <v/>
      </c>
      <c r="F291" s="76">
        <f>N(INDEX(Krankheitstage!$G291:$DV291,1,(Einstellungen!$C$3-2026)*24+3))</f>
        <v/>
      </c>
      <c r="G291" s="76">
        <f>N(INDEX(Krankheitstage!$G291:$DV291,1,(Einstellungen!$C$3-2026)*24+4))</f>
        <v/>
      </c>
      <c r="H291" s="76">
        <f>N(INDEX(Krankheitstage!$G291:$DV291,1,(Einstellungen!$C$3-2026)*24+5))</f>
        <v/>
      </c>
      <c r="I291" s="76">
        <f>N(INDEX(Krankheitstage!$G291:$DV291,1,(Einstellungen!$C$3-2026)*24+6))</f>
        <v/>
      </c>
      <c r="J291" s="76">
        <f>N(INDEX(Krankheitstage!$G291:$DV291,1,(Einstellungen!$C$3-2026)*24+7))</f>
        <v/>
      </c>
      <c r="K291" s="76">
        <f>N(INDEX(Krankheitstage!$G291:$DV291,1,(Einstellungen!$C$3-2026)*24+8))</f>
        <v/>
      </c>
      <c r="L291" s="76">
        <f>N(INDEX(Krankheitstage!$G291:$DV291,1,(Einstellungen!$C$3-2026)*24+9))</f>
        <v/>
      </c>
      <c r="M291" s="76">
        <f>N(INDEX(Krankheitstage!$G291:$DV291,1,(Einstellungen!$C$3-2026)*24+10))</f>
        <v/>
      </c>
      <c r="N291" s="76">
        <f>N(INDEX(Krankheitstage!$G291:$DV291,1,(Einstellungen!$C$3-2026)*24+11))</f>
        <v/>
      </c>
      <c r="O291" s="76">
        <f>N(INDEX(Krankheitstage!$G291:$DV291,1,(Einstellungen!$C$3-2026)*24+12))</f>
        <v/>
      </c>
      <c r="P291" s="76">
        <f>IF($B291="","",SUM(D291:O291))</f>
        <v/>
      </c>
      <c r="Q291" s="76">
        <f>N(INDEX(Krankheitstage!$G291:$DV291,1,(Einstellungen!$C$3-2026)*24+13))</f>
        <v/>
      </c>
      <c r="R291" s="76">
        <f>N(INDEX(Krankheitstage!$G291:$DV291,1,(Einstellungen!$C$3-2026)*24+14))</f>
        <v/>
      </c>
      <c r="S291" s="76">
        <f>N(INDEX(Krankheitstage!$G291:$DV291,1,(Einstellungen!$C$3-2026)*24+15))</f>
        <v/>
      </c>
      <c r="T291" s="76">
        <f>N(INDEX(Krankheitstage!$G291:$DV291,1,(Einstellungen!$C$3-2026)*24+16))</f>
        <v/>
      </c>
      <c r="U291" s="76">
        <f>N(INDEX(Krankheitstage!$G291:$DV291,1,(Einstellungen!$C$3-2026)*24+17))</f>
        <v/>
      </c>
      <c r="V291" s="76">
        <f>N(INDEX(Krankheitstage!$G291:$DV291,1,(Einstellungen!$C$3-2026)*24+18))</f>
        <v/>
      </c>
      <c r="W291" s="76">
        <f>N(INDEX(Krankheitstage!$G291:$DV291,1,(Einstellungen!$C$3-2026)*24+19))</f>
        <v/>
      </c>
      <c r="X291" s="76">
        <f>N(INDEX(Krankheitstage!$G291:$DV291,1,(Einstellungen!$C$3-2026)*24+20))</f>
        <v/>
      </c>
      <c r="Y291" s="76">
        <f>N(INDEX(Krankheitstage!$G291:$DV291,1,(Einstellungen!$C$3-2026)*24+21))</f>
        <v/>
      </c>
      <c r="Z291" s="76">
        <f>N(INDEX(Krankheitstage!$G291:$DV291,1,(Einstellungen!$C$3-2026)*24+22))</f>
        <v/>
      </c>
      <c r="AA291" s="76">
        <f>N(INDEX(Krankheitstage!$G291:$DV291,1,(Einstellungen!$C$3-2026)*24+23))</f>
        <v/>
      </c>
      <c r="AB291" s="76">
        <f>N(INDEX(Krankheitstage!$G291:$DV291,1,(Einstellungen!$C$3-2026)*24+24))</f>
        <v/>
      </c>
      <c r="AC291" s="76">
        <f>IF($B291="","",SUM(Q291:AB291))</f>
        <v/>
      </c>
      <c r="AD291" s="76">
        <f>IF($B291="","",SUM(P291,AC291))</f>
        <v/>
      </c>
      <c r="AE291" s="77">
        <f>IF($B291="","",AD291*N(C291))</f>
        <v/>
      </c>
      <c r="AF291" s="76">
        <f>IF($B291="","",Krankheitstage!E291)</f>
        <v/>
      </c>
      <c r="AG291" s="77">
        <f>IF($B291="","",AF291*N(C291))</f>
        <v/>
      </c>
    </row>
    <row r="292">
      <c r="A292" s="74">
        <f>IF(Mitarbeiter!B292="","",Mitarbeiter!A292)</f>
        <v/>
      </c>
      <c r="B292" s="6">
        <f>IF(Mitarbeiter!B292="","",Mitarbeiter!B292)</f>
        <v/>
      </c>
      <c r="C292" s="75">
        <f>IF(Mitarbeiter!B292="","",Mitarbeiter!F292)</f>
        <v/>
      </c>
      <c r="D292" s="76">
        <f>N(INDEX(Krankheitstage!$G292:$DV292,1,(Einstellungen!$C$3-2026)*24+1))</f>
        <v/>
      </c>
      <c r="E292" s="76">
        <f>N(INDEX(Krankheitstage!$G292:$DV292,1,(Einstellungen!$C$3-2026)*24+2))</f>
        <v/>
      </c>
      <c r="F292" s="76">
        <f>N(INDEX(Krankheitstage!$G292:$DV292,1,(Einstellungen!$C$3-2026)*24+3))</f>
        <v/>
      </c>
      <c r="G292" s="76">
        <f>N(INDEX(Krankheitstage!$G292:$DV292,1,(Einstellungen!$C$3-2026)*24+4))</f>
        <v/>
      </c>
      <c r="H292" s="76">
        <f>N(INDEX(Krankheitstage!$G292:$DV292,1,(Einstellungen!$C$3-2026)*24+5))</f>
        <v/>
      </c>
      <c r="I292" s="76">
        <f>N(INDEX(Krankheitstage!$G292:$DV292,1,(Einstellungen!$C$3-2026)*24+6))</f>
        <v/>
      </c>
      <c r="J292" s="76">
        <f>N(INDEX(Krankheitstage!$G292:$DV292,1,(Einstellungen!$C$3-2026)*24+7))</f>
        <v/>
      </c>
      <c r="K292" s="76">
        <f>N(INDEX(Krankheitstage!$G292:$DV292,1,(Einstellungen!$C$3-2026)*24+8))</f>
        <v/>
      </c>
      <c r="L292" s="76">
        <f>N(INDEX(Krankheitstage!$G292:$DV292,1,(Einstellungen!$C$3-2026)*24+9))</f>
        <v/>
      </c>
      <c r="M292" s="76">
        <f>N(INDEX(Krankheitstage!$G292:$DV292,1,(Einstellungen!$C$3-2026)*24+10))</f>
        <v/>
      </c>
      <c r="N292" s="76">
        <f>N(INDEX(Krankheitstage!$G292:$DV292,1,(Einstellungen!$C$3-2026)*24+11))</f>
        <v/>
      </c>
      <c r="O292" s="76">
        <f>N(INDEX(Krankheitstage!$G292:$DV292,1,(Einstellungen!$C$3-2026)*24+12))</f>
        <v/>
      </c>
      <c r="P292" s="76">
        <f>IF($B292="","",SUM(D292:O292))</f>
        <v/>
      </c>
      <c r="Q292" s="76">
        <f>N(INDEX(Krankheitstage!$G292:$DV292,1,(Einstellungen!$C$3-2026)*24+13))</f>
        <v/>
      </c>
      <c r="R292" s="76">
        <f>N(INDEX(Krankheitstage!$G292:$DV292,1,(Einstellungen!$C$3-2026)*24+14))</f>
        <v/>
      </c>
      <c r="S292" s="76">
        <f>N(INDEX(Krankheitstage!$G292:$DV292,1,(Einstellungen!$C$3-2026)*24+15))</f>
        <v/>
      </c>
      <c r="T292" s="76">
        <f>N(INDEX(Krankheitstage!$G292:$DV292,1,(Einstellungen!$C$3-2026)*24+16))</f>
        <v/>
      </c>
      <c r="U292" s="76">
        <f>N(INDEX(Krankheitstage!$G292:$DV292,1,(Einstellungen!$C$3-2026)*24+17))</f>
        <v/>
      </c>
      <c r="V292" s="76">
        <f>N(INDEX(Krankheitstage!$G292:$DV292,1,(Einstellungen!$C$3-2026)*24+18))</f>
        <v/>
      </c>
      <c r="W292" s="76">
        <f>N(INDEX(Krankheitstage!$G292:$DV292,1,(Einstellungen!$C$3-2026)*24+19))</f>
        <v/>
      </c>
      <c r="X292" s="76">
        <f>N(INDEX(Krankheitstage!$G292:$DV292,1,(Einstellungen!$C$3-2026)*24+20))</f>
        <v/>
      </c>
      <c r="Y292" s="76">
        <f>N(INDEX(Krankheitstage!$G292:$DV292,1,(Einstellungen!$C$3-2026)*24+21))</f>
        <v/>
      </c>
      <c r="Z292" s="76">
        <f>N(INDEX(Krankheitstage!$G292:$DV292,1,(Einstellungen!$C$3-2026)*24+22))</f>
        <v/>
      </c>
      <c r="AA292" s="76">
        <f>N(INDEX(Krankheitstage!$G292:$DV292,1,(Einstellungen!$C$3-2026)*24+23))</f>
        <v/>
      </c>
      <c r="AB292" s="76">
        <f>N(INDEX(Krankheitstage!$G292:$DV292,1,(Einstellungen!$C$3-2026)*24+24))</f>
        <v/>
      </c>
      <c r="AC292" s="76">
        <f>IF($B292="","",SUM(Q292:AB292))</f>
        <v/>
      </c>
      <c r="AD292" s="76">
        <f>IF($B292="","",SUM(P292,AC292))</f>
        <v/>
      </c>
      <c r="AE292" s="77">
        <f>IF($B292="","",AD292*N(C292))</f>
        <v/>
      </c>
      <c r="AF292" s="76">
        <f>IF($B292="","",Krankheitstage!E292)</f>
        <v/>
      </c>
      <c r="AG292" s="77">
        <f>IF($B292="","",AF292*N(C292))</f>
        <v/>
      </c>
    </row>
    <row r="293">
      <c r="A293" s="74">
        <f>IF(Mitarbeiter!B293="","",Mitarbeiter!A293)</f>
        <v/>
      </c>
      <c r="B293" s="6">
        <f>IF(Mitarbeiter!B293="","",Mitarbeiter!B293)</f>
        <v/>
      </c>
      <c r="C293" s="75">
        <f>IF(Mitarbeiter!B293="","",Mitarbeiter!F293)</f>
        <v/>
      </c>
      <c r="D293" s="76">
        <f>N(INDEX(Krankheitstage!$G293:$DV293,1,(Einstellungen!$C$3-2026)*24+1))</f>
        <v/>
      </c>
      <c r="E293" s="76">
        <f>N(INDEX(Krankheitstage!$G293:$DV293,1,(Einstellungen!$C$3-2026)*24+2))</f>
        <v/>
      </c>
      <c r="F293" s="76">
        <f>N(INDEX(Krankheitstage!$G293:$DV293,1,(Einstellungen!$C$3-2026)*24+3))</f>
        <v/>
      </c>
      <c r="G293" s="76">
        <f>N(INDEX(Krankheitstage!$G293:$DV293,1,(Einstellungen!$C$3-2026)*24+4))</f>
        <v/>
      </c>
      <c r="H293" s="76">
        <f>N(INDEX(Krankheitstage!$G293:$DV293,1,(Einstellungen!$C$3-2026)*24+5))</f>
        <v/>
      </c>
      <c r="I293" s="76">
        <f>N(INDEX(Krankheitstage!$G293:$DV293,1,(Einstellungen!$C$3-2026)*24+6))</f>
        <v/>
      </c>
      <c r="J293" s="76">
        <f>N(INDEX(Krankheitstage!$G293:$DV293,1,(Einstellungen!$C$3-2026)*24+7))</f>
        <v/>
      </c>
      <c r="K293" s="76">
        <f>N(INDEX(Krankheitstage!$G293:$DV293,1,(Einstellungen!$C$3-2026)*24+8))</f>
        <v/>
      </c>
      <c r="L293" s="76">
        <f>N(INDEX(Krankheitstage!$G293:$DV293,1,(Einstellungen!$C$3-2026)*24+9))</f>
        <v/>
      </c>
      <c r="M293" s="76">
        <f>N(INDEX(Krankheitstage!$G293:$DV293,1,(Einstellungen!$C$3-2026)*24+10))</f>
        <v/>
      </c>
      <c r="N293" s="76">
        <f>N(INDEX(Krankheitstage!$G293:$DV293,1,(Einstellungen!$C$3-2026)*24+11))</f>
        <v/>
      </c>
      <c r="O293" s="76">
        <f>N(INDEX(Krankheitstage!$G293:$DV293,1,(Einstellungen!$C$3-2026)*24+12))</f>
        <v/>
      </c>
      <c r="P293" s="76">
        <f>IF($B293="","",SUM(D293:O293))</f>
        <v/>
      </c>
      <c r="Q293" s="76">
        <f>N(INDEX(Krankheitstage!$G293:$DV293,1,(Einstellungen!$C$3-2026)*24+13))</f>
        <v/>
      </c>
      <c r="R293" s="76">
        <f>N(INDEX(Krankheitstage!$G293:$DV293,1,(Einstellungen!$C$3-2026)*24+14))</f>
        <v/>
      </c>
      <c r="S293" s="76">
        <f>N(INDEX(Krankheitstage!$G293:$DV293,1,(Einstellungen!$C$3-2026)*24+15))</f>
        <v/>
      </c>
      <c r="T293" s="76">
        <f>N(INDEX(Krankheitstage!$G293:$DV293,1,(Einstellungen!$C$3-2026)*24+16))</f>
        <v/>
      </c>
      <c r="U293" s="76">
        <f>N(INDEX(Krankheitstage!$G293:$DV293,1,(Einstellungen!$C$3-2026)*24+17))</f>
        <v/>
      </c>
      <c r="V293" s="76">
        <f>N(INDEX(Krankheitstage!$G293:$DV293,1,(Einstellungen!$C$3-2026)*24+18))</f>
        <v/>
      </c>
      <c r="W293" s="76">
        <f>N(INDEX(Krankheitstage!$G293:$DV293,1,(Einstellungen!$C$3-2026)*24+19))</f>
        <v/>
      </c>
      <c r="X293" s="76">
        <f>N(INDEX(Krankheitstage!$G293:$DV293,1,(Einstellungen!$C$3-2026)*24+20))</f>
        <v/>
      </c>
      <c r="Y293" s="76">
        <f>N(INDEX(Krankheitstage!$G293:$DV293,1,(Einstellungen!$C$3-2026)*24+21))</f>
        <v/>
      </c>
      <c r="Z293" s="76">
        <f>N(INDEX(Krankheitstage!$G293:$DV293,1,(Einstellungen!$C$3-2026)*24+22))</f>
        <v/>
      </c>
      <c r="AA293" s="76">
        <f>N(INDEX(Krankheitstage!$G293:$DV293,1,(Einstellungen!$C$3-2026)*24+23))</f>
        <v/>
      </c>
      <c r="AB293" s="76">
        <f>N(INDEX(Krankheitstage!$G293:$DV293,1,(Einstellungen!$C$3-2026)*24+24))</f>
        <v/>
      </c>
      <c r="AC293" s="76">
        <f>IF($B293="","",SUM(Q293:AB293))</f>
        <v/>
      </c>
      <c r="AD293" s="76">
        <f>IF($B293="","",SUM(P293,AC293))</f>
        <v/>
      </c>
      <c r="AE293" s="77">
        <f>IF($B293="","",AD293*N(C293))</f>
        <v/>
      </c>
      <c r="AF293" s="76">
        <f>IF($B293="","",Krankheitstage!E293)</f>
        <v/>
      </c>
      <c r="AG293" s="77">
        <f>IF($B293="","",AF293*N(C293))</f>
        <v/>
      </c>
    </row>
    <row r="294">
      <c r="A294" s="74">
        <f>IF(Mitarbeiter!B294="","",Mitarbeiter!A294)</f>
        <v/>
      </c>
      <c r="B294" s="6">
        <f>IF(Mitarbeiter!B294="","",Mitarbeiter!B294)</f>
        <v/>
      </c>
      <c r="C294" s="75">
        <f>IF(Mitarbeiter!B294="","",Mitarbeiter!F294)</f>
        <v/>
      </c>
      <c r="D294" s="76">
        <f>N(INDEX(Krankheitstage!$G294:$DV294,1,(Einstellungen!$C$3-2026)*24+1))</f>
        <v/>
      </c>
      <c r="E294" s="76">
        <f>N(INDEX(Krankheitstage!$G294:$DV294,1,(Einstellungen!$C$3-2026)*24+2))</f>
        <v/>
      </c>
      <c r="F294" s="76">
        <f>N(INDEX(Krankheitstage!$G294:$DV294,1,(Einstellungen!$C$3-2026)*24+3))</f>
        <v/>
      </c>
      <c r="G294" s="76">
        <f>N(INDEX(Krankheitstage!$G294:$DV294,1,(Einstellungen!$C$3-2026)*24+4))</f>
        <v/>
      </c>
      <c r="H294" s="76">
        <f>N(INDEX(Krankheitstage!$G294:$DV294,1,(Einstellungen!$C$3-2026)*24+5))</f>
        <v/>
      </c>
      <c r="I294" s="76">
        <f>N(INDEX(Krankheitstage!$G294:$DV294,1,(Einstellungen!$C$3-2026)*24+6))</f>
        <v/>
      </c>
      <c r="J294" s="76">
        <f>N(INDEX(Krankheitstage!$G294:$DV294,1,(Einstellungen!$C$3-2026)*24+7))</f>
        <v/>
      </c>
      <c r="K294" s="76">
        <f>N(INDEX(Krankheitstage!$G294:$DV294,1,(Einstellungen!$C$3-2026)*24+8))</f>
        <v/>
      </c>
      <c r="L294" s="76">
        <f>N(INDEX(Krankheitstage!$G294:$DV294,1,(Einstellungen!$C$3-2026)*24+9))</f>
        <v/>
      </c>
      <c r="M294" s="76">
        <f>N(INDEX(Krankheitstage!$G294:$DV294,1,(Einstellungen!$C$3-2026)*24+10))</f>
        <v/>
      </c>
      <c r="N294" s="76">
        <f>N(INDEX(Krankheitstage!$G294:$DV294,1,(Einstellungen!$C$3-2026)*24+11))</f>
        <v/>
      </c>
      <c r="O294" s="76">
        <f>N(INDEX(Krankheitstage!$G294:$DV294,1,(Einstellungen!$C$3-2026)*24+12))</f>
        <v/>
      </c>
      <c r="P294" s="76">
        <f>IF($B294="","",SUM(D294:O294))</f>
        <v/>
      </c>
      <c r="Q294" s="76">
        <f>N(INDEX(Krankheitstage!$G294:$DV294,1,(Einstellungen!$C$3-2026)*24+13))</f>
        <v/>
      </c>
      <c r="R294" s="76">
        <f>N(INDEX(Krankheitstage!$G294:$DV294,1,(Einstellungen!$C$3-2026)*24+14))</f>
        <v/>
      </c>
      <c r="S294" s="76">
        <f>N(INDEX(Krankheitstage!$G294:$DV294,1,(Einstellungen!$C$3-2026)*24+15))</f>
        <v/>
      </c>
      <c r="T294" s="76">
        <f>N(INDEX(Krankheitstage!$G294:$DV294,1,(Einstellungen!$C$3-2026)*24+16))</f>
        <v/>
      </c>
      <c r="U294" s="76">
        <f>N(INDEX(Krankheitstage!$G294:$DV294,1,(Einstellungen!$C$3-2026)*24+17))</f>
        <v/>
      </c>
      <c r="V294" s="76">
        <f>N(INDEX(Krankheitstage!$G294:$DV294,1,(Einstellungen!$C$3-2026)*24+18))</f>
        <v/>
      </c>
      <c r="W294" s="76">
        <f>N(INDEX(Krankheitstage!$G294:$DV294,1,(Einstellungen!$C$3-2026)*24+19))</f>
        <v/>
      </c>
      <c r="X294" s="76">
        <f>N(INDEX(Krankheitstage!$G294:$DV294,1,(Einstellungen!$C$3-2026)*24+20))</f>
        <v/>
      </c>
      <c r="Y294" s="76">
        <f>N(INDEX(Krankheitstage!$G294:$DV294,1,(Einstellungen!$C$3-2026)*24+21))</f>
        <v/>
      </c>
      <c r="Z294" s="76">
        <f>N(INDEX(Krankheitstage!$G294:$DV294,1,(Einstellungen!$C$3-2026)*24+22))</f>
        <v/>
      </c>
      <c r="AA294" s="76">
        <f>N(INDEX(Krankheitstage!$G294:$DV294,1,(Einstellungen!$C$3-2026)*24+23))</f>
        <v/>
      </c>
      <c r="AB294" s="76">
        <f>N(INDEX(Krankheitstage!$G294:$DV294,1,(Einstellungen!$C$3-2026)*24+24))</f>
        <v/>
      </c>
      <c r="AC294" s="76">
        <f>IF($B294="","",SUM(Q294:AB294))</f>
        <v/>
      </c>
      <c r="AD294" s="76">
        <f>IF($B294="","",SUM(P294,AC294))</f>
        <v/>
      </c>
      <c r="AE294" s="77">
        <f>IF($B294="","",AD294*N(C294))</f>
        <v/>
      </c>
      <c r="AF294" s="76">
        <f>IF($B294="","",Krankheitstage!E294)</f>
        <v/>
      </c>
      <c r="AG294" s="77">
        <f>IF($B294="","",AF294*N(C294))</f>
        <v/>
      </c>
    </row>
    <row r="295">
      <c r="A295" s="74">
        <f>IF(Mitarbeiter!B295="","",Mitarbeiter!A295)</f>
        <v/>
      </c>
      <c r="B295" s="6">
        <f>IF(Mitarbeiter!B295="","",Mitarbeiter!B295)</f>
        <v/>
      </c>
      <c r="C295" s="75">
        <f>IF(Mitarbeiter!B295="","",Mitarbeiter!F295)</f>
        <v/>
      </c>
      <c r="D295" s="76">
        <f>N(INDEX(Krankheitstage!$G295:$DV295,1,(Einstellungen!$C$3-2026)*24+1))</f>
        <v/>
      </c>
      <c r="E295" s="76">
        <f>N(INDEX(Krankheitstage!$G295:$DV295,1,(Einstellungen!$C$3-2026)*24+2))</f>
        <v/>
      </c>
      <c r="F295" s="76">
        <f>N(INDEX(Krankheitstage!$G295:$DV295,1,(Einstellungen!$C$3-2026)*24+3))</f>
        <v/>
      </c>
      <c r="G295" s="76">
        <f>N(INDEX(Krankheitstage!$G295:$DV295,1,(Einstellungen!$C$3-2026)*24+4))</f>
        <v/>
      </c>
      <c r="H295" s="76">
        <f>N(INDEX(Krankheitstage!$G295:$DV295,1,(Einstellungen!$C$3-2026)*24+5))</f>
        <v/>
      </c>
      <c r="I295" s="76">
        <f>N(INDEX(Krankheitstage!$G295:$DV295,1,(Einstellungen!$C$3-2026)*24+6))</f>
        <v/>
      </c>
      <c r="J295" s="76">
        <f>N(INDEX(Krankheitstage!$G295:$DV295,1,(Einstellungen!$C$3-2026)*24+7))</f>
        <v/>
      </c>
      <c r="K295" s="76">
        <f>N(INDEX(Krankheitstage!$G295:$DV295,1,(Einstellungen!$C$3-2026)*24+8))</f>
        <v/>
      </c>
      <c r="L295" s="76">
        <f>N(INDEX(Krankheitstage!$G295:$DV295,1,(Einstellungen!$C$3-2026)*24+9))</f>
        <v/>
      </c>
      <c r="M295" s="76">
        <f>N(INDEX(Krankheitstage!$G295:$DV295,1,(Einstellungen!$C$3-2026)*24+10))</f>
        <v/>
      </c>
      <c r="N295" s="76">
        <f>N(INDEX(Krankheitstage!$G295:$DV295,1,(Einstellungen!$C$3-2026)*24+11))</f>
        <v/>
      </c>
      <c r="O295" s="76">
        <f>N(INDEX(Krankheitstage!$G295:$DV295,1,(Einstellungen!$C$3-2026)*24+12))</f>
        <v/>
      </c>
      <c r="P295" s="76">
        <f>IF($B295="","",SUM(D295:O295))</f>
        <v/>
      </c>
      <c r="Q295" s="76">
        <f>N(INDEX(Krankheitstage!$G295:$DV295,1,(Einstellungen!$C$3-2026)*24+13))</f>
        <v/>
      </c>
      <c r="R295" s="76">
        <f>N(INDEX(Krankheitstage!$G295:$DV295,1,(Einstellungen!$C$3-2026)*24+14))</f>
        <v/>
      </c>
      <c r="S295" s="76">
        <f>N(INDEX(Krankheitstage!$G295:$DV295,1,(Einstellungen!$C$3-2026)*24+15))</f>
        <v/>
      </c>
      <c r="T295" s="76">
        <f>N(INDEX(Krankheitstage!$G295:$DV295,1,(Einstellungen!$C$3-2026)*24+16))</f>
        <v/>
      </c>
      <c r="U295" s="76">
        <f>N(INDEX(Krankheitstage!$G295:$DV295,1,(Einstellungen!$C$3-2026)*24+17))</f>
        <v/>
      </c>
      <c r="V295" s="76">
        <f>N(INDEX(Krankheitstage!$G295:$DV295,1,(Einstellungen!$C$3-2026)*24+18))</f>
        <v/>
      </c>
      <c r="W295" s="76">
        <f>N(INDEX(Krankheitstage!$G295:$DV295,1,(Einstellungen!$C$3-2026)*24+19))</f>
        <v/>
      </c>
      <c r="X295" s="76">
        <f>N(INDEX(Krankheitstage!$G295:$DV295,1,(Einstellungen!$C$3-2026)*24+20))</f>
        <v/>
      </c>
      <c r="Y295" s="76">
        <f>N(INDEX(Krankheitstage!$G295:$DV295,1,(Einstellungen!$C$3-2026)*24+21))</f>
        <v/>
      </c>
      <c r="Z295" s="76">
        <f>N(INDEX(Krankheitstage!$G295:$DV295,1,(Einstellungen!$C$3-2026)*24+22))</f>
        <v/>
      </c>
      <c r="AA295" s="76">
        <f>N(INDEX(Krankheitstage!$G295:$DV295,1,(Einstellungen!$C$3-2026)*24+23))</f>
        <v/>
      </c>
      <c r="AB295" s="76">
        <f>N(INDEX(Krankheitstage!$G295:$DV295,1,(Einstellungen!$C$3-2026)*24+24))</f>
        <v/>
      </c>
      <c r="AC295" s="76">
        <f>IF($B295="","",SUM(Q295:AB295))</f>
        <v/>
      </c>
      <c r="AD295" s="76">
        <f>IF($B295="","",SUM(P295,AC295))</f>
        <v/>
      </c>
      <c r="AE295" s="77">
        <f>IF($B295="","",AD295*N(C295))</f>
        <v/>
      </c>
      <c r="AF295" s="76">
        <f>IF($B295="","",Krankheitstage!E295)</f>
        <v/>
      </c>
      <c r="AG295" s="77">
        <f>IF($B295="","",AF295*N(C295))</f>
        <v/>
      </c>
    </row>
    <row r="296">
      <c r="A296" s="74">
        <f>IF(Mitarbeiter!B296="","",Mitarbeiter!A296)</f>
        <v/>
      </c>
      <c r="B296" s="6">
        <f>IF(Mitarbeiter!B296="","",Mitarbeiter!B296)</f>
        <v/>
      </c>
      <c r="C296" s="75">
        <f>IF(Mitarbeiter!B296="","",Mitarbeiter!F296)</f>
        <v/>
      </c>
      <c r="D296" s="76">
        <f>N(INDEX(Krankheitstage!$G296:$DV296,1,(Einstellungen!$C$3-2026)*24+1))</f>
        <v/>
      </c>
      <c r="E296" s="76">
        <f>N(INDEX(Krankheitstage!$G296:$DV296,1,(Einstellungen!$C$3-2026)*24+2))</f>
        <v/>
      </c>
      <c r="F296" s="76">
        <f>N(INDEX(Krankheitstage!$G296:$DV296,1,(Einstellungen!$C$3-2026)*24+3))</f>
        <v/>
      </c>
      <c r="G296" s="76">
        <f>N(INDEX(Krankheitstage!$G296:$DV296,1,(Einstellungen!$C$3-2026)*24+4))</f>
        <v/>
      </c>
      <c r="H296" s="76">
        <f>N(INDEX(Krankheitstage!$G296:$DV296,1,(Einstellungen!$C$3-2026)*24+5))</f>
        <v/>
      </c>
      <c r="I296" s="76">
        <f>N(INDEX(Krankheitstage!$G296:$DV296,1,(Einstellungen!$C$3-2026)*24+6))</f>
        <v/>
      </c>
      <c r="J296" s="76">
        <f>N(INDEX(Krankheitstage!$G296:$DV296,1,(Einstellungen!$C$3-2026)*24+7))</f>
        <v/>
      </c>
      <c r="K296" s="76">
        <f>N(INDEX(Krankheitstage!$G296:$DV296,1,(Einstellungen!$C$3-2026)*24+8))</f>
        <v/>
      </c>
      <c r="L296" s="76">
        <f>N(INDEX(Krankheitstage!$G296:$DV296,1,(Einstellungen!$C$3-2026)*24+9))</f>
        <v/>
      </c>
      <c r="M296" s="76">
        <f>N(INDEX(Krankheitstage!$G296:$DV296,1,(Einstellungen!$C$3-2026)*24+10))</f>
        <v/>
      </c>
      <c r="N296" s="76">
        <f>N(INDEX(Krankheitstage!$G296:$DV296,1,(Einstellungen!$C$3-2026)*24+11))</f>
        <v/>
      </c>
      <c r="O296" s="76">
        <f>N(INDEX(Krankheitstage!$G296:$DV296,1,(Einstellungen!$C$3-2026)*24+12))</f>
        <v/>
      </c>
      <c r="P296" s="76">
        <f>IF($B296="","",SUM(D296:O296))</f>
        <v/>
      </c>
      <c r="Q296" s="76">
        <f>N(INDEX(Krankheitstage!$G296:$DV296,1,(Einstellungen!$C$3-2026)*24+13))</f>
        <v/>
      </c>
      <c r="R296" s="76">
        <f>N(INDEX(Krankheitstage!$G296:$DV296,1,(Einstellungen!$C$3-2026)*24+14))</f>
        <v/>
      </c>
      <c r="S296" s="76">
        <f>N(INDEX(Krankheitstage!$G296:$DV296,1,(Einstellungen!$C$3-2026)*24+15))</f>
        <v/>
      </c>
      <c r="T296" s="76">
        <f>N(INDEX(Krankheitstage!$G296:$DV296,1,(Einstellungen!$C$3-2026)*24+16))</f>
        <v/>
      </c>
      <c r="U296" s="76">
        <f>N(INDEX(Krankheitstage!$G296:$DV296,1,(Einstellungen!$C$3-2026)*24+17))</f>
        <v/>
      </c>
      <c r="V296" s="76">
        <f>N(INDEX(Krankheitstage!$G296:$DV296,1,(Einstellungen!$C$3-2026)*24+18))</f>
        <v/>
      </c>
      <c r="W296" s="76">
        <f>N(INDEX(Krankheitstage!$G296:$DV296,1,(Einstellungen!$C$3-2026)*24+19))</f>
        <v/>
      </c>
      <c r="X296" s="76">
        <f>N(INDEX(Krankheitstage!$G296:$DV296,1,(Einstellungen!$C$3-2026)*24+20))</f>
        <v/>
      </c>
      <c r="Y296" s="76">
        <f>N(INDEX(Krankheitstage!$G296:$DV296,1,(Einstellungen!$C$3-2026)*24+21))</f>
        <v/>
      </c>
      <c r="Z296" s="76">
        <f>N(INDEX(Krankheitstage!$G296:$DV296,1,(Einstellungen!$C$3-2026)*24+22))</f>
        <v/>
      </c>
      <c r="AA296" s="76">
        <f>N(INDEX(Krankheitstage!$G296:$DV296,1,(Einstellungen!$C$3-2026)*24+23))</f>
        <v/>
      </c>
      <c r="AB296" s="76">
        <f>N(INDEX(Krankheitstage!$G296:$DV296,1,(Einstellungen!$C$3-2026)*24+24))</f>
        <v/>
      </c>
      <c r="AC296" s="76">
        <f>IF($B296="","",SUM(Q296:AB296))</f>
        <v/>
      </c>
      <c r="AD296" s="76">
        <f>IF($B296="","",SUM(P296,AC296))</f>
        <v/>
      </c>
      <c r="AE296" s="77">
        <f>IF($B296="","",AD296*N(C296))</f>
        <v/>
      </c>
      <c r="AF296" s="76">
        <f>IF($B296="","",Krankheitstage!E296)</f>
        <v/>
      </c>
      <c r="AG296" s="77">
        <f>IF($B296="","",AF296*N(C296))</f>
        <v/>
      </c>
    </row>
    <row r="297">
      <c r="A297" s="74">
        <f>IF(Mitarbeiter!B297="","",Mitarbeiter!A297)</f>
        <v/>
      </c>
      <c r="B297" s="6">
        <f>IF(Mitarbeiter!B297="","",Mitarbeiter!B297)</f>
        <v/>
      </c>
      <c r="C297" s="75">
        <f>IF(Mitarbeiter!B297="","",Mitarbeiter!F297)</f>
        <v/>
      </c>
      <c r="D297" s="76">
        <f>N(INDEX(Krankheitstage!$G297:$DV297,1,(Einstellungen!$C$3-2026)*24+1))</f>
        <v/>
      </c>
      <c r="E297" s="76">
        <f>N(INDEX(Krankheitstage!$G297:$DV297,1,(Einstellungen!$C$3-2026)*24+2))</f>
        <v/>
      </c>
      <c r="F297" s="76">
        <f>N(INDEX(Krankheitstage!$G297:$DV297,1,(Einstellungen!$C$3-2026)*24+3))</f>
        <v/>
      </c>
      <c r="G297" s="76">
        <f>N(INDEX(Krankheitstage!$G297:$DV297,1,(Einstellungen!$C$3-2026)*24+4))</f>
        <v/>
      </c>
      <c r="H297" s="76">
        <f>N(INDEX(Krankheitstage!$G297:$DV297,1,(Einstellungen!$C$3-2026)*24+5))</f>
        <v/>
      </c>
      <c r="I297" s="76">
        <f>N(INDEX(Krankheitstage!$G297:$DV297,1,(Einstellungen!$C$3-2026)*24+6))</f>
        <v/>
      </c>
      <c r="J297" s="76">
        <f>N(INDEX(Krankheitstage!$G297:$DV297,1,(Einstellungen!$C$3-2026)*24+7))</f>
        <v/>
      </c>
      <c r="K297" s="76">
        <f>N(INDEX(Krankheitstage!$G297:$DV297,1,(Einstellungen!$C$3-2026)*24+8))</f>
        <v/>
      </c>
      <c r="L297" s="76">
        <f>N(INDEX(Krankheitstage!$G297:$DV297,1,(Einstellungen!$C$3-2026)*24+9))</f>
        <v/>
      </c>
      <c r="M297" s="76">
        <f>N(INDEX(Krankheitstage!$G297:$DV297,1,(Einstellungen!$C$3-2026)*24+10))</f>
        <v/>
      </c>
      <c r="N297" s="76">
        <f>N(INDEX(Krankheitstage!$G297:$DV297,1,(Einstellungen!$C$3-2026)*24+11))</f>
        <v/>
      </c>
      <c r="O297" s="76">
        <f>N(INDEX(Krankheitstage!$G297:$DV297,1,(Einstellungen!$C$3-2026)*24+12))</f>
        <v/>
      </c>
      <c r="P297" s="76">
        <f>IF($B297="","",SUM(D297:O297))</f>
        <v/>
      </c>
      <c r="Q297" s="76">
        <f>N(INDEX(Krankheitstage!$G297:$DV297,1,(Einstellungen!$C$3-2026)*24+13))</f>
        <v/>
      </c>
      <c r="R297" s="76">
        <f>N(INDEX(Krankheitstage!$G297:$DV297,1,(Einstellungen!$C$3-2026)*24+14))</f>
        <v/>
      </c>
      <c r="S297" s="76">
        <f>N(INDEX(Krankheitstage!$G297:$DV297,1,(Einstellungen!$C$3-2026)*24+15))</f>
        <v/>
      </c>
      <c r="T297" s="76">
        <f>N(INDEX(Krankheitstage!$G297:$DV297,1,(Einstellungen!$C$3-2026)*24+16))</f>
        <v/>
      </c>
      <c r="U297" s="76">
        <f>N(INDEX(Krankheitstage!$G297:$DV297,1,(Einstellungen!$C$3-2026)*24+17))</f>
        <v/>
      </c>
      <c r="V297" s="76">
        <f>N(INDEX(Krankheitstage!$G297:$DV297,1,(Einstellungen!$C$3-2026)*24+18))</f>
        <v/>
      </c>
      <c r="W297" s="76">
        <f>N(INDEX(Krankheitstage!$G297:$DV297,1,(Einstellungen!$C$3-2026)*24+19))</f>
        <v/>
      </c>
      <c r="X297" s="76">
        <f>N(INDEX(Krankheitstage!$G297:$DV297,1,(Einstellungen!$C$3-2026)*24+20))</f>
        <v/>
      </c>
      <c r="Y297" s="76">
        <f>N(INDEX(Krankheitstage!$G297:$DV297,1,(Einstellungen!$C$3-2026)*24+21))</f>
        <v/>
      </c>
      <c r="Z297" s="76">
        <f>N(INDEX(Krankheitstage!$G297:$DV297,1,(Einstellungen!$C$3-2026)*24+22))</f>
        <v/>
      </c>
      <c r="AA297" s="76">
        <f>N(INDEX(Krankheitstage!$G297:$DV297,1,(Einstellungen!$C$3-2026)*24+23))</f>
        <v/>
      </c>
      <c r="AB297" s="76">
        <f>N(INDEX(Krankheitstage!$G297:$DV297,1,(Einstellungen!$C$3-2026)*24+24))</f>
        <v/>
      </c>
      <c r="AC297" s="76">
        <f>IF($B297="","",SUM(Q297:AB297))</f>
        <v/>
      </c>
      <c r="AD297" s="76">
        <f>IF($B297="","",SUM(P297,AC297))</f>
        <v/>
      </c>
      <c r="AE297" s="77">
        <f>IF($B297="","",AD297*N(C297))</f>
        <v/>
      </c>
      <c r="AF297" s="76">
        <f>IF($B297="","",Krankheitstage!E297)</f>
        <v/>
      </c>
      <c r="AG297" s="77">
        <f>IF($B297="","",AF297*N(C297))</f>
        <v/>
      </c>
    </row>
    <row r="298">
      <c r="A298" s="74">
        <f>IF(Mitarbeiter!B298="","",Mitarbeiter!A298)</f>
        <v/>
      </c>
      <c r="B298" s="6">
        <f>IF(Mitarbeiter!B298="","",Mitarbeiter!B298)</f>
        <v/>
      </c>
      <c r="C298" s="75">
        <f>IF(Mitarbeiter!B298="","",Mitarbeiter!F298)</f>
        <v/>
      </c>
      <c r="D298" s="76">
        <f>N(INDEX(Krankheitstage!$G298:$DV298,1,(Einstellungen!$C$3-2026)*24+1))</f>
        <v/>
      </c>
      <c r="E298" s="76">
        <f>N(INDEX(Krankheitstage!$G298:$DV298,1,(Einstellungen!$C$3-2026)*24+2))</f>
        <v/>
      </c>
      <c r="F298" s="76">
        <f>N(INDEX(Krankheitstage!$G298:$DV298,1,(Einstellungen!$C$3-2026)*24+3))</f>
        <v/>
      </c>
      <c r="G298" s="76">
        <f>N(INDEX(Krankheitstage!$G298:$DV298,1,(Einstellungen!$C$3-2026)*24+4))</f>
        <v/>
      </c>
      <c r="H298" s="76">
        <f>N(INDEX(Krankheitstage!$G298:$DV298,1,(Einstellungen!$C$3-2026)*24+5))</f>
        <v/>
      </c>
      <c r="I298" s="76">
        <f>N(INDEX(Krankheitstage!$G298:$DV298,1,(Einstellungen!$C$3-2026)*24+6))</f>
        <v/>
      </c>
      <c r="J298" s="76">
        <f>N(INDEX(Krankheitstage!$G298:$DV298,1,(Einstellungen!$C$3-2026)*24+7))</f>
        <v/>
      </c>
      <c r="K298" s="76">
        <f>N(INDEX(Krankheitstage!$G298:$DV298,1,(Einstellungen!$C$3-2026)*24+8))</f>
        <v/>
      </c>
      <c r="L298" s="76">
        <f>N(INDEX(Krankheitstage!$G298:$DV298,1,(Einstellungen!$C$3-2026)*24+9))</f>
        <v/>
      </c>
      <c r="M298" s="76">
        <f>N(INDEX(Krankheitstage!$G298:$DV298,1,(Einstellungen!$C$3-2026)*24+10))</f>
        <v/>
      </c>
      <c r="N298" s="76">
        <f>N(INDEX(Krankheitstage!$G298:$DV298,1,(Einstellungen!$C$3-2026)*24+11))</f>
        <v/>
      </c>
      <c r="O298" s="76">
        <f>N(INDEX(Krankheitstage!$G298:$DV298,1,(Einstellungen!$C$3-2026)*24+12))</f>
        <v/>
      </c>
      <c r="P298" s="76">
        <f>IF($B298="","",SUM(D298:O298))</f>
        <v/>
      </c>
      <c r="Q298" s="76">
        <f>N(INDEX(Krankheitstage!$G298:$DV298,1,(Einstellungen!$C$3-2026)*24+13))</f>
        <v/>
      </c>
      <c r="R298" s="76">
        <f>N(INDEX(Krankheitstage!$G298:$DV298,1,(Einstellungen!$C$3-2026)*24+14))</f>
        <v/>
      </c>
      <c r="S298" s="76">
        <f>N(INDEX(Krankheitstage!$G298:$DV298,1,(Einstellungen!$C$3-2026)*24+15))</f>
        <v/>
      </c>
      <c r="T298" s="76">
        <f>N(INDEX(Krankheitstage!$G298:$DV298,1,(Einstellungen!$C$3-2026)*24+16))</f>
        <v/>
      </c>
      <c r="U298" s="76">
        <f>N(INDEX(Krankheitstage!$G298:$DV298,1,(Einstellungen!$C$3-2026)*24+17))</f>
        <v/>
      </c>
      <c r="V298" s="76">
        <f>N(INDEX(Krankheitstage!$G298:$DV298,1,(Einstellungen!$C$3-2026)*24+18))</f>
        <v/>
      </c>
      <c r="W298" s="76">
        <f>N(INDEX(Krankheitstage!$G298:$DV298,1,(Einstellungen!$C$3-2026)*24+19))</f>
        <v/>
      </c>
      <c r="X298" s="76">
        <f>N(INDEX(Krankheitstage!$G298:$DV298,1,(Einstellungen!$C$3-2026)*24+20))</f>
        <v/>
      </c>
      <c r="Y298" s="76">
        <f>N(INDEX(Krankheitstage!$G298:$DV298,1,(Einstellungen!$C$3-2026)*24+21))</f>
        <v/>
      </c>
      <c r="Z298" s="76">
        <f>N(INDEX(Krankheitstage!$G298:$DV298,1,(Einstellungen!$C$3-2026)*24+22))</f>
        <v/>
      </c>
      <c r="AA298" s="76">
        <f>N(INDEX(Krankheitstage!$G298:$DV298,1,(Einstellungen!$C$3-2026)*24+23))</f>
        <v/>
      </c>
      <c r="AB298" s="76">
        <f>N(INDEX(Krankheitstage!$G298:$DV298,1,(Einstellungen!$C$3-2026)*24+24))</f>
        <v/>
      </c>
      <c r="AC298" s="76">
        <f>IF($B298="","",SUM(Q298:AB298))</f>
        <v/>
      </c>
      <c r="AD298" s="76">
        <f>IF($B298="","",SUM(P298,AC298))</f>
        <v/>
      </c>
      <c r="AE298" s="77">
        <f>IF($B298="","",AD298*N(C298))</f>
        <v/>
      </c>
      <c r="AF298" s="76">
        <f>IF($B298="","",Krankheitstage!E298)</f>
        <v/>
      </c>
      <c r="AG298" s="77">
        <f>IF($B298="","",AF298*N(C298))</f>
        <v/>
      </c>
    </row>
    <row r="299">
      <c r="A299" s="74">
        <f>IF(Mitarbeiter!B299="","",Mitarbeiter!A299)</f>
        <v/>
      </c>
      <c r="B299" s="6">
        <f>IF(Mitarbeiter!B299="","",Mitarbeiter!B299)</f>
        <v/>
      </c>
      <c r="C299" s="75">
        <f>IF(Mitarbeiter!B299="","",Mitarbeiter!F299)</f>
        <v/>
      </c>
      <c r="D299" s="76">
        <f>N(INDEX(Krankheitstage!$G299:$DV299,1,(Einstellungen!$C$3-2026)*24+1))</f>
        <v/>
      </c>
      <c r="E299" s="76">
        <f>N(INDEX(Krankheitstage!$G299:$DV299,1,(Einstellungen!$C$3-2026)*24+2))</f>
        <v/>
      </c>
      <c r="F299" s="76">
        <f>N(INDEX(Krankheitstage!$G299:$DV299,1,(Einstellungen!$C$3-2026)*24+3))</f>
        <v/>
      </c>
      <c r="G299" s="76">
        <f>N(INDEX(Krankheitstage!$G299:$DV299,1,(Einstellungen!$C$3-2026)*24+4))</f>
        <v/>
      </c>
      <c r="H299" s="76">
        <f>N(INDEX(Krankheitstage!$G299:$DV299,1,(Einstellungen!$C$3-2026)*24+5))</f>
        <v/>
      </c>
      <c r="I299" s="76">
        <f>N(INDEX(Krankheitstage!$G299:$DV299,1,(Einstellungen!$C$3-2026)*24+6))</f>
        <v/>
      </c>
      <c r="J299" s="76">
        <f>N(INDEX(Krankheitstage!$G299:$DV299,1,(Einstellungen!$C$3-2026)*24+7))</f>
        <v/>
      </c>
      <c r="K299" s="76">
        <f>N(INDEX(Krankheitstage!$G299:$DV299,1,(Einstellungen!$C$3-2026)*24+8))</f>
        <v/>
      </c>
      <c r="L299" s="76">
        <f>N(INDEX(Krankheitstage!$G299:$DV299,1,(Einstellungen!$C$3-2026)*24+9))</f>
        <v/>
      </c>
      <c r="M299" s="76">
        <f>N(INDEX(Krankheitstage!$G299:$DV299,1,(Einstellungen!$C$3-2026)*24+10))</f>
        <v/>
      </c>
      <c r="N299" s="76">
        <f>N(INDEX(Krankheitstage!$G299:$DV299,1,(Einstellungen!$C$3-2026)*24+11))</f>
        <v/>
      </c>
      <c r="O299" s="76">
        <f>N(INDEX(Krankheitstage!$G299:$DV299,1,(Einstellungen!$C$3-2026)*24+12))</f>
        <v/>
      </c>
      <c r="P299" s="76">
        <f>IF($B299="","",SUM(D299:O299))</f>
        <v/>
      </c>
      <c r="Q299" s="76">
        <f>N(INDEX(Krankheitstage!$G299:$DV299,1,(Einstellungen!$C$3-2026)*24+13))</f>
        <v/>
      </c>
      <c r="R299" s="76">
        <f>N(INDEX(Krankheitstage!$G299:$DV299,1,(Einstellungen!$C$3-2026)*24+14))</f>
        <v/>
      </c>
      <c r="S299" s="76">
        <f>N(INDEX(Krankheitstage!$G299:$DV299,1,(Einstellungen!$C$3-2026)*24+15))</f>
        <v/>
      </c>
      <c r="T299" s="76">
        <f>N(INDEX(Krankheitstage!$G299:$DV299,1,(Einstellungen!$C$3-2026)*24+16))</f>
        <v/>
      </c>
      <c r="U299" s="76">
        <f>N(INDEX(Krankheitstage!$G299:$DV299,1,(Einstellungen!$C$3-2026)*24+17))</f>
        <v/>
      </c>
      <c r="V299" s="76">
        <f>N(INDEX(Krankheitstage!$G299:$DV299,1,(Einstellungen!$C$3-2026)*24+18))</f>
        <v/>
      </c>
      <c r="W299" s="76">
        <f>N(INDEX(Krankheitstage!$G299:$DV299,1,(Einstellungen!$C$3-2026)*24+19))</f>
        <v/>
      </c>
      <c r="X299" s="76">
        <f>N(INDEX(Krankheitstage!$G299:$DV299,1,(Einstellungen!$C$3-2026)*24+20))</f>
        <v/>
      </c>
      <c r="Y299" s="76">
        <f>N(INDEX(Krankheitstage!$G299:$DV299,1,(Einstellungen!$C$3-2026)*24+21))</f>
        <v/>
      </c>
      <c r="Z299" s="76">
        <f>N(INDEX(Krankheitstage!$G299:$DV299,1,(Einstellungen!$C$3-2026)*24+22))</f>
        <v/>
      </c>
      <c r="AA299" s="76">
        <f>N(INDEX(Krankheitstage!$G299:$DV299,1,(Einstellungen!$C$3-2026)*24+23))</f>
        <v/>
      </c>
      <c r="AB299" s="76">
        <f>N(INDEX(Krankheitstage!$G299:$DV299,1,(Einstellungen!$C$3-2026)*24+24))</f>
        <v/>
      </c>
      <c r="AC299" s="76">
        <f>IF($B299="","",SUM(Q299:AB299))</f>
        <v/>
      </c>
      <c r="AD299" s="76">
        <f>IF($B299="","",SUM(P299,AC299))</f>
        <v/>
      </c>
      <c r="AE299" s="77">
        <f>IF($B299="","",AD299*N(C299))</f>
        <v/>
      </c>
      <c r="AF299" s="76">
        <f>IF($B299="","",Krankheitstage!E299)</f>
        <v/>
      </c>
      <c r="AG299" s="77">
        <f>IF($B299="","",AF299*N(C299))</f>
        <v/>
      </c>
    </row>
    <row r="300">
      <c r="A300" s="74">
        <f>IF(Mitarbeiter!B300="","",Mitarbeiter!A300)</f>
        <v/>
      </c>
      <c r="B300" s="6">
        <f>IF(Mitarbeiter!B300="","",Mitarbeiter!B300)</f>
        <v/>
      </c>
      <c r="C300" s="75">
        <f>IF(Mitarbeiter!B300="","",Mitarbeiter!F300)</f>
        <v/>
      </c>
      <c r="D300" s="76">
        <f>N(INDEX(Krankheitstage!$G300:$DV300,1,(Einstellungen!$C$3-2026)*24+1))</f>
        <v/>
      </c>
      <c r="E300" s="76">
        <f>N(INDEX(Krankheitstage!$G300:$DV300,1,(Einstellungen!$C$3-2026)*24+2))</f>
        <v/>
      </c>
      <c r="F300" s="76">
        <f>N(INDEX(Krankheitstage!$G300:$DV300,1,(Einstellungen!$C$3-2026)*24+3))</f>
        <v/>
      </c>
      <c r="G300" s="76">
        <f>N(INDEX(Krankheitstage!$G300:$DV300,1,(Einstellungen!$C$3-2026)*24+4))</f>
        <v/>
      </c>
      <c r="H300" s="76">
        <f>N(INDEX(Krankheitstage!$G300:$DV300,1,(Einstellungen!$C$3-2026)*24+5))</f>
        <v/>
      </c>
      <c r="I300" s="76">
        <f>N(INDEX(Krankheitstage!$G300:$DV300,1,(Einstellungen!$C$3-2026)*24+6))</f>
        <v/>
      </c>
      <c r="J300" s="76">
        <f>N(INDEX(Krankheitstage!$G300:$DV300,1,(Einstellungen!$C$3-2026)*24+7))</f>
        <v/>
      </c>
      <c r="K300" s="76">
        <f>N(INDEX(Krankheitstage!$G300:$DV300,1,(Einstellungen!$C$3-2026)*24+8))</f>
        <v/>
      </c>
      <c r="L300" s="76">
        <f>N(INDEX(Krankheitstage!$G300:$DV300,1,(Einstellungen!$C$3-2026)*24+9))</f>
        <v/>
      </c>
      <c r="M300" s="76">
        <f>N(INDEX(Krankheitstage!$G300:$DV300,1,(Einstellungen!$C$3-2026)*24+10))</f>
        <v/>
      </c>
      <c r="N300" s="76">
        <f>N(INDEX(Krankheitstage!$G300:$DV300,1,(Einstellungen!$C$3-2026)*24+11))</f>
        <v/>
      </c>
      <c r="O300" s="76">
        <f>N(INDEX(Krankheitstage!$G300:$DV300,1,(Einstellungen!$C$3-2026)*24+12))</f>
        <v/>
      </c>
      <c r="P300" s="76">
        <f>IF($B300="","",SUM(D300:O300))</f>
        <v/>
      </c>
      <c r="Q300" s="76">
        <f>N(INDEX(Krankheitstage!$G300:$DV300,1,(Einstellungen!$C$3-2026)*24+13))</f>
        <v/>
      </c>
      <c r="R300" s="76">
        <f>N(INDEX(Krankheitstage!$G300:$DV300,1,(Einstellungen!$C$3-2026)*24+14))</f>
        <v/>
      </c>
      <c r="S300" s="76">
        <f>N(INDEX(Krankheitstage!$G300:$DV300,1,(Einstellungen!$C$3-2026)*24+15))</f>
        <v/>
      </c>
      <c r="T300" s="76">
        <f>N(INDEX(Krankheitstage!$G300:$DV300,1,(Einstellungen!$C$3-2026)*24+16))</f>
        <v/>
      </c>
      <c r="U300" s="76">
        <f>N(INDEX(Krankheitstage!$G300:$DV300,1,(Einstellungen!$C$3-2026)*24+17))</f>
        <v/>
      </c>
      <c r="V300" s="76">
        <f>N(INDEX(Krankheitstage!$G300:$DV300,1,(Einstellungen!$C$3-2026)*24+18))</f>
        <v/>
      </c>
      <c r="W300" s="76">
        <f>N(INDEX(Krankheitstage!$G300:$DV300,1,(Einstellungen!$C$3-2026)*24+19))</f>
        <v/>
      </c>
      <c r="X300" s="76">
        <f>N(INDEX(Krankheitstage!$G300:$DV300,1,(Einstellungen!$C$3-2026)*24+20))</f>
        <v/>
      </c>
      <c r="Y300" s="76">
        <f>N(INDEX(Krankheitstage!$G300:$DV300,1,(Einstellungen!$C$3-2026)*24+21))</f>
        <v/>
      </c>
      <c r="Z300" s="76">
        <f>N(INDEX(Krankheitstage!$G300:$DV300,1,(Einstellungen!$C$3-2026)*24+22))</f>
        <v/>
      </c>
      <c r="AA300" s="76">
        <f>N(INDEX(Krankheitstage!$G300:$DV300,1,(Einstellungen!$C$3-2026)*24+23))</f>
        <v/>
      </c>
      <c r="AB300" s="76">
        <f>N(INDEX(Krankheitstage!$G300:$DV300,1,(Einstellungen!$C$3-2026)*24+24))</f>
        <v/>
      </c>
      <c r="AC300" s="76">
        <f>IF($B300="","",SUM(Q300:AB300))</f>
        <v/>
      </c>
      <c r="AD300" s="76">
        <f>IF($B300="","",SUM(P300,AC300))</f>
        <v/>
      </c>
      <c r="AE300" s="77">
        <f>IF($B300="","",AD300*N(C300))</f>
        <v/>
      </c>
      <c r="AF300" s="76">
        <f>IF($B300="","",Krankheitstage!E300)</f>
        <v/>
      </c>
      <c r="AG300" s="77">
        <f>IF($B300="","",AF300*N(C300))</f>
        <v/>
      </c>
    </row>
    <row r="301">
      <c r="A301" s="74">
        <f>IF(Mitarbeiter!B301="","",Mitarbeiter!A301)</f>
        <v/>
      </c>
      <c r="B301" s="6">
        <f>IF(Mitarbeiter!B301="","",Mitarbeiter!B301)</f>
        <v/>
      </c>
      <c r="C301" s="75">
        <f>IF(Mitarbeiter!B301="","",Mitarbeiter!F301)</f>
        <v/>
      </c>
      <c r="D301" s="76">
        <f>N(INDEX(Krankheitstage!$G301:$DV301,1,(Einstellungen!$C$3-2026)*24+1))</f>
        <v/>
      </c>
      <c r="E301" s="76">
        <f>N(INDEX(Krankheitstage!$G301:$DV301,1,(Einstellungen!$C$3-2026)*24+2))</f>
        <v/>
      </c>
      <c r="F301" s="76">
        <f>N(INDEX(Krankheitstage!$G301:$DV301,1,(Einstellungen!$C$3-2026)*24+3))</f>
        <v/>
      </c>
      <c r="G301" s="76">
        <f>N(INDEX(Krankheitstage!$G301:$DV301,1,(Einstellungen!$C$3-2026)*24+4))</f>
        <v/>
      </c>
      <c r="H301" s="76">
        <f>N(INDEX(Krankheitstage!$G301:$DV301,1,(Einstellungen!$C$3-2026)*24+5))</f>
        <v/>
      </c>
      <c r="I301" s="76">
        <f>N(INDEX(Krankheitstage!$G301:$DV301,1,(Einstellungen!$C$3-2026)*24+6))</f>
        <v/>
      </c>
      <c r="J301" s="76">
        <f>N(INDEX(Krankheitstage!$G301:$DV301,1,(Einstellungen!$C$3-2026)*24+7))</f>
        <v/>
      </c>
      <c r="K301" s="76">
        <f>N(INDEX(Krankheitstage!$G301:$DV301,1,(Einstellungen!$C$3-2026)*24+8))</f>
        <v/>
      </c>
      <c r="L301" s="76">
        <f>N(INDEX(Krankheitstage!$G301:$DV301,1,(Einstellungen!$C$3-2026)*24+9))</f>
        <v/>
      </c>
      <c r="M301" s="76">
        <f>N(INDEX(Krankheitstage!$G301:$DV301,1,(Einstellungen!$C$3-2026)*24+10))</f>
        <v/>
      </c>
      <c r="N301" s="76">
        <f>N(INDEX(Krankheitstage!$G301:$DV301,1,(Einstellungen!$C$3-2026)*24+11))</f>
        <v/>
      </c>
      <c r="O301" s="76">
        <f>N(INDEX(Krankheitstage!$G301:$DV301,1,(Einstellungen!$C$3-2026)*24+12))</f>
        <v/>
      </c>
      <c r="P301" s="76">
        <f>IF($B301="","",SUM(D301:O301))</f>
        <v/>
      </c>
      <c r="Q301" s="76">
        <f>N(INDEX(Krankheitstage!$G301:$DV301,1,(Einstellungen!$C$3-2026)*24+13))</f>
        <v/>
      </c>
      <c r="R301" s="76">
        <f>N(INDEX(Krankheitstage!$G301:$DV301,1,(Einstellungen!$C$3-2026)*24+14))</f>
        <v/>
      </c>
      <c r="S301" s="76">
        <f>N(INDEX(Krankheitstage!$G301:$DV301,1,(Einstellungen!$C$3-2026)*24+15))</f>
        <v/>
      </c>
      <c r="T301" s="76">
        <f>N(INDEX(Krankheitstage!$G301:$DV301,1,(Einstellungen!$C$3-2026)*24+16))</f>
        <v/>
      </c>
      <c r="U301" s="76">
        <f>N(INDEX(Krankheitstage!$G301:$DV301,1,(Einstellungen!$C$3-2026)*24+17))</f>
        <v/>
      </c>
      <c r="V301" s="76">
        <f>N(INDEX(Krankheitstage!$G301:$DV301,1,(Einstellungen!$C$3-2026)*24+18))</f>
        <v/>
      </c>
      <c r="W301" s="76">
        <f>N(INDEX(Krankheitstage!$G301:$DV301,1,(Einstellungen!$C$3-2026)*24+19))</f>
        <v/>
      </c>
      <c r="X301" s="76">
        <f>N(INDEX(Krankheitstage!$G301:$DV301,1,(Einstellungen!$C$3-2026)*24+20))</f>
        <v/>
      </c>
      <c r="Y301" s="76">
        <f>N(INDEX(Krankheitstage!$G301:$DV301,1,(Einstellungen!$C$3-2026)*24+21))</f>
        <v/>
      </c>
      <c r="Z301" s="76">
        <f>N(INDEX(Krankheitstage!$G301:$DV301,1,(Einstellungen!$C$3-2026)*24+22))</f>
        <v/>
      </c>
      <c r="AA301" s="76">
        <f>N(INDEX(Krankheitstage!$G301:$DV301,1,(Einstellungen!$C$3-2026)*24+23))</f>
        <v/>
      </c>
      <c r="AB301" s="76">
        <f>N(INDEX(Krankheitstage!$G301:$DV301,1,(Einstellungen!$C$3-2026)*24+24))</f>
        <v/>
      </c>
      <c r="AC301" s="76">
        <f>IF($B301="","",SUM(Q301:AB301))</f>
        <v/>
      </c>
      <c r="AD301" s="76">
        <f>IF($B301="","",SUM(P301,AC301))</f>
        <v/>
      </c>
      <c r="AE301" s="77">
        <f>IF($B301="","",AD301*N(C301))</f>
        <v/>
      </c>
      <c r="AF301" s="76">
        <f>IF($B301="","",Krankheitstage!E301)</f>
        <v/>
      </c>
      <c r="AG301" s="77">
        <f>IF($B301="","",AF301*N(C301))</f>
        <v/>
      </c>
    </row>
    <row r="302">
      <c r="A302" s="74">
        <f>IF(Mitarbeiter!B302="","",Mitarbeiter!A302)</f>
        <v/>
      </c>
      <c r="B302" s="6">
        <f>IF(Mitarbeiter!B302="","",Mitarbeiter!B302)</f>
        <v/>
      </c>
      <c r="C302" s="75">
        <f>IF(Mitarbeiter!B302="","",Mitarbeiter!F302)</f>
        <v/>
      </c>
      <c r="D302" s="76">
        <f>N(INDEX(Krankheitstage!$G302:$DV302,1,(Einstellungen!$C$3-2026)*24+1))</f>
        <v/>
      </c>
      <c r="E302" s="76">
        <f>N(INDEX(Krankheitstage!$G302:$DV302,1,(Einstellungen!$C$3-2026)*24+2))</f>
        <v/>
      </c>
      <c r="F302" s="76">
        <f>N(INDEX(Krankheitstage!$G302:$DV302,1,(Einstellungen!$C$3-2026)*24+3))</f>
        <v/>
      </c>
      <c r="G302" s="76">
        <f>N(INDEX(Krankheitstage!$G302:$DV302,1,(Einstellungen!$C$3-2026)*24+4))</f>
        <v/>
      </c>
      <c r="H302" s="76">
        <f>N(INDEX(Krankheitstage!$G302:$DV302,1,(Einstellungen!$C$3-2026)*24+5))</f>
        <v/>
      </c>
      <c r="I302" s="76">
        <f>N(INDEX(Krankheitstage!$G302:$DV302,1,(Einstellungen!$C$3-2026)*24+6))</f>
        <v/>
      </c>
      <c r="J302" s="76">
        <f>N(INDEX(Krankheitstage!$G302:$DV302,1,(Einstellungen!$C$3-2026)*24+7))</f>
        <v/>
      </c>
      <c r="K302" s="76">
        <f>N(INDEX(Krankheitstage!$G302:$DV302,1,(Einstellungen!$C$3-2026)*24+8))</f>
        <v/>
      </c>
      <c r="L302" s="76">
        <f>N(INDEX(Krankheitstage!$G302:$DV302,1,(Einstellungen!$C$3-2026)*24+9))</f>
        <v/>
      </c>
      <c r="M302" s="76">
        <f>N(INDEX(Krankheitstage!$G302:$DV302,1,(Einstellungen!$C$3-2026)*24+10))</f>
        <v/>
      </c>
      <c r="N302" s="76">
        <f>N(INDEX(Krankheitstage!$G302:$DV302,1,(Einstellungen!$C$3-2026)*24+11))</f>
        <v/>
      </c>
      <c r="O302" s="76">
        <f>N(INDEX(Krankheitstage!$G302:$DV302,1,(Einstellungen!$C$3-2026)*24+12))</f>
        <v/>
      </c>
      <c r="P302" s="76">
        <f>IF($B302="","",SUM(D302:O302))</f>
        <v/>
      </c>
      <c r="Q302" s="76">
        <f>N(INDEX(Krankheitstage!$G302:$DV302,1,(Einstellungen!$C$3-2026)*24+13))</f>
        <v/>
      </c>
      <c r="R302" s="76">
        <f>N(INDEX(Krankheitstage!$G302:$DV302,1,(Einstellungen!$C$3-2026)*24+14))</f>
        <v/>
      </c>
      <c r="S302" s="76">
        <f>N(INDEX(Krankheitstage!$G302:$DV302,1,(Einstellungen!$C$3-2026)*24+15))</f>
        <v/>
      </c>
      <c r="T302" s="76">
        <f>N(INDEX(Krankheitstage!$G302:$DV302,1,(Einstellungen!$C$3-2026)*24+16))</f>
        <v/>
      </c>
      <c r="U302" s="76">
        <f>N(INDEX(Krankheitstage!$G302:$DV302,1,(Einstellungen!$C$3-2026)*24+17))</f>
        <v/>
      </c>
      <c r="V302" s="76">
        <f>N(INDEX(Krankheitstage!$G302:$DV302,1,(Einstellungen!$C$3-2026)*24+18))</f>
        <v/>
      </c>
      <c r="W302" s="76">
        <f>N(INDEX(Krankheitstage!$G302:$DV302,1,(Einstellungen!$C$3-2026)*24+19))</f>
        <v/>
      </c>
      <c r="X302" s="76">
        <f>N(INDEX(Krankheitstage!$G302:$DV302,1,(Einstellungen!$C$3-2026)*24+20))</f>
        <v/>
      </c>
      <c r="Y302" s="76">
        <f>N(INDEX(Krankheitstage!$G302:$DV302,1,(Einstellungen!$C$3-2026)*24+21))</f>
        <v/>
      </c>
      <c r="Z302" s="76">
        <f>N(INDEX(Krankheitstage!$G302:$DV302,1,(Einstellungen!$C$3-2026)*24+22))</f>
        <v/>
      </c>
      <c r="AA302" s="76">
        <f>N(INDEX(Krankheitstage!$G302:$DV302,1,(Einstellungen!$C$3-2026)*24+23))</f>
        <v/>
      </c>
      <c r="AB302" s="76">
        <f>N(INDEX(Krankheitstage!$G302:$DV302,1,(Einstellungen!$C$3-2026)*24+24))</f>
        <v/>
      </c>
      <c r="AC302" s="76">
        <f>IF($B302="","",SUM(Q302:AB302))</f>
        <v/>
      </c>
      <c r="AD302" s="76">
        <f>IF($B302="","",SUM(P302,AC302))</f>
        <v/>
      </c>
      <c r="AE302" s="77">
        <f>IF($B302="","",AD302*N(C302))</f>
        <v/>
      </c>
      <c r="AF302" s="76">
        <f>IF($B302="","",Krankheitstage!E302)</f>
        <v/>
      </c>
      <c r="AG302" s="77">
        <f>IF($B302="","",AF302*N(C302))</f>
        <v/>
      </c>
    </row>
    <row r="303">
      <c r="A303" s="74">
        <f>IF(Mitarbeiter!B303="","",Mitarbeiter!A303)</f>
        <v/>
      </c>
      <c r="B303" s="6">
        <f>IF(Mitarbeiter!B303="","",Mitarbeiter!B303)</f>
        <v/>
      </c>
      <c r="C303" s="75">
        <f>IF(Mitarbeiter!B303="","",Mitarbeiter!F303)</f>
        <v/>
      </c>
      <c r="D303" s="76">
        <f>N(INDEX(Krankheitstage!$G303:$DV303,1,(Einstellungen!$C$3-2026)*24+1))</f>
        <v/>
      </c>
      <c r="E303" s="76">
        <f>N(INDEX(Krankheitstage!$G303:$DV303,1,(Einstellungen!$C$3-2026)*24+2))</f>
        <v/>
      </c>
      <c r="F303" s="76">
        <f>N(INDEX(Krankheitstage!$G303:$DV303,1,(Einstellungen!$C$3-2026)*24+3))</f>
        <v/>
      </c>
      <c r="G303" s="76">
        <f>N(INDEX(Krankheitstage!$G303:$DV303,1,(Einstellungen!$C$3-2026)*24+4))</f>
        <v/>
      </c>
      <c r="H303" s="76">
        <f>N(INDEX(Krankheitstage!$G303:$DV303,1,(Einstellungen!$C$3-2026)*24+5))</f>
        <v/>
      </c>
      <c r="I303" s="76">
        <f>N(INDEX(Krankheitstage!$G303:$DV303,1,(Einstellungen!$C$3-2026)*24+6))</f>
        <v/>
      </c>
      <c r="J303" s="76">
        <f>N(INDEX(Krankheitstage!$G303:$DV303,1,(Einstellungen!$C$3-2026)*24+7))</f>
        <v/>
      </c>
      <c r="K303" s="76">
        <f>N(INDEX(Krankheitstage!$G303:$DV303,1,(Einstellungen!$C$3-2026)*24+8))</f>
        <v/>
      </c>
      <c r="L303" s="76">
        <f>N(INDEX(Krankheitstage!$G303:$DV303,1,(Einstellungen!$C$3-2026)*24+9))</f>
        <v/>
      </c>
      <c r="M303" s="76">
        <f>N(INDEX(Krankheitstage!$G303:$DV303,1,(Einstellungen!$C$3-2026)*24+10))</f>
        <v/>
      </c>
      <c r="N303" s="76">
        <f>N(INDEX(Krankheitstage!$G303:$DV303,1,(Einstellungen!$C$3-2026)*24+11))</f>
        <v/>
      </c>
      <c r="O303" s="76">
        <f>N(INDEX(Krankheitstage!$G303:$DV303,1,(Einstellungen!$C$3-2026)*24+12))</f>
        <v/>
      </c>
      <c r="P303" s="76">
        <f>IF($B303="","",SUM(D303:O303))</f>
        <v/>
      </c>
      <c r="Q303" s="76">
        <f>N(INDEX(Krankheitstage!$G303:$DV303,1,(Einstellungen!$C$3-2026)*24+13))</f>
        <v/>
      </c>
      <c r="R303" s="76">
        <f>N(INDEX(Krankheitstage!$G303:$DV303,1,(Einstellungen!$C$3-2026)*24+14))</f>
        <v/>
      </c>
      <c r="S303" s="76">
        <f>N(INDEX(Krankheitstage!$G303:$DV303,1,(Einstellungen!$C$3-2026)*24+15))</f>
        <v/>
      </c>
      <c r="T303" s="76">
        <f>N(INDEX(Krankheitstage!$G303:$DV303,1,(Einstellungen!$C$3-2026)*24+16))</f>
        <v/>
      </c>
      <c r="U303" s="76">
        <f>N(INDEX(Krankheitstage!$G303:$DV303,1,(Einstellungen!$C$3-2026)*24+17))</f>
        <v/>
      </c>
      <c r="V303" s="76">
        <f>N(INDEX(Krankheitstage!$G303:$DV303,1,(Einstellungen!$C$3-2026)*24+18))</f>
        <v/>
      </c>
      <c r="W303" s="76">
        <f>N(INDEX(Krankheitstage!$G303:$DV303,1,(Einstellungen!$C$3-2026)*24+19))</f>
        <v/>
      </c>
      <c r="X303" s="76">
        <f>N(INDEX(Krankheitstage!$G303:$DV303,1,(Einstellungen!$C$3-2026)*24+20))</f>
        <v/>
      </c>
      <c r="Y303" s="76">
        <f>N(INDEX(Krankheitstage!$G303:$DV303,1,(Einstellungen!$C$3-2026)*24+21))</f>
        <v/>
      </c>
      <c r="Z303" s="76">
        <f>N(INDEX(Krankheitstage!$G303:$DV303,1,(Einstellungen!$C$3-2026)*24+22))</f>
        <v/>
      </c>
      <c r="AA303" s="76">
        <f>N(INDEX(Krankheitstage!$G303:$DV303,1,(Einstellungen!$C$3-2026)*24+23))</f>
        <v/>
      </c>
      <c r="AB303" s="76">
        <f>N(INDEX(Krankheitstage!$G303:$DV303,1,(Einstellungen!$C$3-2026)*24+24))</f>
        <v/>
      </c>
      <c r="AC303" s="76">
        <f>IF($B303="","",SUM(Q303:AB303))</f>
        <v/>
      </c>
      <c r="AD303" s="76">
        <f>IF($B303="","",SUM(P303,AC303))</f>
        <v/>
      </c>
      <c r="AE303" s="77">
        <f>IF($B303="","",AD303*N(C303))</f>
        <v/>
      </c>
      <c r="AF303" s="76">
        <f>IF($B303="","",Krankheitstage!E303)</f>
        <v/>
      </c>
      <c r="AG303" s="77">
        <f>IF($B303="","",AF303*N(C303))</f>
        <v/>
      </c>
    </row>
    <row r="304">
      <c r="A304" s="74">
        <f>IF(Mitarbeiter!B304="","",Mitarbeiter!A304)</f>
        <v/>
      </c>
      <c r="B304" s="6">
        <f>IF(Mitarbeiter!B304="","",Mitarbeiter!B304)</f>
        <v/>
      </c>
      <c r="C304" s="75">
        <f>IF(Mitarbeiter!B304="","",Mitarbeiter!F304)</f>
        <v/>
      </c>
      <c r="D304" s="76">
        <f>N(INDEX(Krankheitstage!$G304:$DV304,1,(Einstellungen!$C$3-2026)*24+1))</f>
        <v/>
      </c>
      <c r="E304" s="76">
        <f>N(INDEX(Krankheitstage!$G304:$DV304,1,(Einstellungen!$C$3-2026)*24+2))</f>
        <v/>
      </c>
      <c r="F304" s="76">
        <f>N(INDEX(Krankheitstage!$G304:$DV304,1,(Einstellungen!$C$3-2026)*24+3))</f>
        <v/>
      </c>
      <c r="G304" s="76">
        <f>N(INDEX(Krankheitstage!$G304:$DV304,1,(Einstellungen!$C$3-2026)*24+4))</f>
        <v/>
      </c>
      <c r="H304" s="76">
        <f>N(INDEX(Krankheitstage!$G304:$DV304,1,(Einstellungen!$C$3-2026)*24+5))</f>
        <v/>
      </c>
      <c r="I304" s="76">
        <f>N(INDEX(Krankheitstage!$G304:$DV304,1,(Einstellungen!$C$3-2026)*24+6))</f>
        <v/>
      </c>
      <c r="J304" s="76">
        <f>N(INDEX(Krankheitstage!$G304:$DV304,1,(Einstellungen!$C$3-2026)*24+7))</f>
        <v/>
      </c>
      <c r="K304" s="76">
        <f>N(INDEX(Krankheitstage!$G304:$DV304,1,(Einstellungen!$C$3-2026)*24+8))</f>
        <v/>
      </c>
      <c r="L304" s="76">
        <f>N(INDEX(Krankheitstage!$G304:$DV304,1,(Einstellungen!$C$3-2026)*24+9))</f>
        <v/>
      </c>
      <c r="M304" s="76">
        <f>N(INDEX(Krankheitstage!$G304:$DV304,1,(Einstellungen!$C$3-2026)*24+10))</f>
        <v/>
      </c>
      <c r="N304" s="76">
        <f>N(INDEX(Krankheitstage!$G304:$DV304,1,(Einstellungen!$C$3-2026)*24+11))</f>
        <v/>
      </c>
      <c r="O304" s="76">
        <f>N(INDEX(Krankheitstage!$G304:$DV304,1,(Einstellungen!$C$3-2026)*24+12))</f>
        <v/>
      </c>
      <c r="P304" s="76">
        <f>IF($B304="","",SUM(D304:O304))</f>
        <v/>
      </c>
      <c r="Q304" s="76">
        <f>N(INDEX(Krankheitstage!$G304:$DV304,1,(Einstellungen!$C$3-2026)*24+13))</f>
        <v/>
      </c>
      <c r="R304" s="76">
        <f>N(INDEX(Krankheitstage!$G304:$DV304,1,(Einstellungen!$C$3-2026)*24+14))</f>
        <v/>
      </c>
      <c r="S304" s="76">
        <f>N(INDEX(Krankheitstage!$G304:$DV304,1,(Einstellungen!$C$3-2026)*24+15))</f>
        <v/>
      </c>
      <c r="T304" s="76">
        <f>N(INDEX(Krankheitstage!$G304:$DV304,1,(Einstellungen!$C$3-2026)*24+16))</f>
        <v/>
      </c>
      <c r="U304" s="76">
        <f>N(INDEX(Krankheitstage!$G304:$DV304,1,(Einstellungen!$C$3-2026)*24+17))</f>
        <v/>
      </c>
      <c r="V304" s="76">
        <f>N(INDEX(Krankheitstage!$G304:$DV304,1,(Einstellungen!$C$3-2026)*24+18))</f>
        <v/>
      </c>
      <c r="W304" s="76">
        <f>N(INDEX(Krankheitstage!$G304:$DV304,1,(Einstellungen!$C$3-2026)*24+19))</f>
        <v/>
      </c>
      <c r="X304" s="76">
        <f>N(INDEX(Krankheitstage!$G304:$DV304,1,(Einstellungen!$C$3-2026)*24+20))</f>
        <v/>
      </c>
      <c r="Y304" s="76">
        <f>N(INDEX(Krankheitstage!$G304:$DV304,1,(Einstellungen!$C$3-2026)*24+21))</f>
        <v/>
      </c>
      <c r="Z304" s="76">
        <f>N(INDEX(Krankheitstage!$G304:$DV304,1,(Einstellungen!$C$3-2026)*24+22))</f>
        <v/>
      </c>
      <c r="AA304" s="76">
        <f>N(INDEX(Krankheitstage!$G304:$DV304,1,(Einstellungen!$C$3-2026)*24+23))</f>
        <v/>
      </c>
      <c r="AB304" s="76">
        <f>N(INDEX(Krankheitstage!$G304:$DV304,1,(Einstellungen!$C$3-2026)*24+24))</f>
        <v/>
      </c>
      <c r="AC304" s="76">
        <f>IF($B304="","",SUM(Q304:AB304))</f>
        <v/>
      </c>
      <c r="AD304" s="76">
        <f>IF($B304="","",SUM(P304,AC304))</f>
        <v/>
      </c>
      <c r="AE304" s="77">
        <f>IF($B304="","",AD304*N(C304))</f>
        <v/>
      </c>
      <c r="AF304" s="76">
        <f>IF($B304="","",Krankheitstage!E304)</f>
        <v/>
      </c>
      <c r="AG304" s="77">
        <f>IF($B304="","",AF304*N(C304))</f>
        <v/>
      </c>
    </row>
    <row r="305">
      <c r="A305" s="74">
        <f>IF(Mitarbeiter!B305="","",Mitarbeiter!A305)</f>
        <v/>
      </c>
      <c r="B305" s="6">
        <f>IF(Mitarbeiter!B305="","",Mitarbeiter!B305)</f>
        <v/>
      </c>
      <c r="C305" s="75">
        <f>IF(Mitarbeiter!B305="","",Mitarbeiter!F305)</f>
        <v/>
      </c>
      <c r="D305" s="76">
        <f>N(INDEX(Krankheitstage!$G305:$DV305,1,(Einstellungen!$C$3-2026)*24+1))</f>
        <v/>
      </c>
      <c r="E305" s="76">
        <f>N(INDEX(Krankheitstage!$G305:$DV305,1,(Einstellungen!$C$3-2026)*24+2))</f>
        <v/>
      </c>
      <c r="F305" s="76">
        <f>N(INDEX(Krankheitstage!$G305:$DV305,1,(Einstellungen!$C$3-2026)*24+3))</f>
        <v/>
      </c>
      <c r="G305" s="76">
        <f>N(INDEX(Krankheitstage!$G305:$DV305,1,(Einstellungen!$C$3-2026)*24+4))</f>
        <v/>
      </c>
      <c r="H305" s="76">
        <f>N(INDEX(Krankheitstage!$G305:$DV305,1,(Einstellungen!$C$3-2026)*24+5))</f>
        <v/>
      </c>
      <c r="I305" s="76">
        <f>N(INDEX(Krankheitstage!$G305:$DV305,1,(Einstellungen!$C$3-2026)*24+6))</f>
        <v/>
      </c>
      <c r="J305" s="76">
        <f>N(INDEX(Krankheitstage!$G305:$DV305,1,(Einstellungen!$C$3-2026)*24+7))</f>
        <v/>
      </c>
      <c r="K305" s="76">
        <f>N(INDEX(Krankheitstage!$G305:$DV305,1,(Einstellungen!$C$3-2026)*24+8))</f>
        <v/>
      </c>
      <c r="L305" s="76">
        <f>N(INDEX(Krankheitstage!$G305:$DV305,1,(Einstellungen!$C$3-2026)*24+9))</f>
        <v/>
      </c>
      <c r="M305" s="76">
        <f>N(INDEX(Krankheitstage!$G305:$DV305,1,(Einstellungen!$C$3-2026)*24+10))</f>
        <v/>
      </c>
      <c r="N305" s="76">
        <f>N(INDEX(Krankheitstage!$G305:$DV305,1,(Einstellungen!$C$3-2026)*24+11))</f>
        <v/>
      </c>
      <c r="O305" s="76">
        <f>N(INDEX(Krankheitstage!$G305:$DV305,1,(Einstellungen!$C$3-2026)*24+12))</f>
        <v/>
      </c>
      <c r="P305" s="76">
        <f>IF($B305="","",SUM(D305:O305))</f>
        <v/>
      </c>
      <c r="Q305" s="76">
        <f>N(INDEX(Krankheitstage!$G305:$DV305,1,(Einstellungen!$C$3-2026)*24+13))</f>
        <v/>
      </c>
      <c r="R305" s="76">
        <f>N(INDEX(Krankheitstage!$G305:$DV305,1,(Einstellungen!$C$3-2026)*24+14))</f>
        <v/>
      </c>
      <c r="S305" s="76">
        <f>N(INDEX(Krankheitstage!$G305:$DV305,1,(Einstellungen!$C$3-2026)*24+15))</f>
        <v/>
      </c>
      <c r="T305" s="76">
        <f>N(INDEX(Krankheitstage!$G305:$DV305,1,(Einstellungen!$C$3-2026)*24+16))</f>
        <v/>
      </c>
      <c r="U305" s="76">
        <f>N(INDEX(Krankheitstage!$G305:$DV305,1,(Einstellungen!$C$3-2026)*24+17))</f>
        <v/>
      </c>
      <c r="V305" s="76">
        <f>N(INDEX(Krankheitstage!$G305:$DV305,1,(Einstellungen!$C$3-2026)*24+18))</f>
        <v/>
      </c>
      <c r="W305" s="76">
        <f>N(INDEX(Krankheitstage!$G305:$DV305,1,(Einstellungen!$C$3-2026)*24+19))</f>
        <v/>
      </c>
      <c r="X305" s="76">
        <f>N(INDEX(Krankheitstage!$G305:$DV305,1,(Einstellungen!$C$3-2026)*24+20))</f>
        <v/>
      </c>
      <c r="Y305" s="76">
        <f>N(INDEX(Krankheitstage!$G305:$DV305,1,(Einstellungen!$C$3-2026)*24+21))</f>
        <v/>
      </c>
      <c r="Z305" s="76">
        <f>N(INDEX(Krankheitstage!$G305:$DV305,1,(Einstellungen!$C$3-2026)*24+22))</f>
        <v/>
      </c>
      <c r="AA305" s="76">
        <f>N(INDEX(Krankheitstage!$G305:$DV305,1,(Einstellungen!$C$3-2026)*24+23))</f>
        <v/>
      </c>
      <c r="AB305" s="76">
        <f>N(INDEX(Krankheitstage!$G305:$DV305,1,(Einstellungen!$C$3-2026)*24+24))</f>
        <v/>
      </c>
      <c r="AC305" s="76">
        <f>IF($B305="","",SUM(Q305:AB305))</f>
        <v/>
      </c>
      <c r="AD305" s="76">
        <f>IF($B305="","",SUM(P305,AC305))</f>
        <v/>
      </c>
      <c r="AE305" s="77">
        <f>IF($B305="","",AD305*N(C305))</f>
        <v/>
      </c>
      <c r="AF305" s="76">
        <f>IF($B305="","",Krankheitstage!E305)</f>
        <v/>
      </c>
      <c r="AG305" s="77">
        <f>IF($B305="","",AF305*N(C305))</f>
        <v/>
      </c>
    </row>
  </sheetData>
  <hyperlinks>
    <hyperlink xmlns:r="http://schemas.openxmlformats.org/officeDocument/2006/relationships" ref="N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2026-10-08T05:31:20Z</dcterms:created>
  <dcterms:modified xsi:type="dcterms:W3CDTF">2026-10-08T05:31:22Z</dcterms:modified>
</cp:coreProperties>
</file>